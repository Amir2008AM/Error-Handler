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vmlDrawing3.vml" ContentType="application/vnd.openxmlformats-officedocument.vmlDrawing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1"/>
  </bookViews>
  <sheets>
    <sheet name="Sheet3" sheetId="1" r:id="rId1" state="hidden"/>
    <sheet name="Sat" sheetId="2" r:id="rId2"/>
    <sheet name="Sun" sheetId="3" r:id="rId3"/>
    <sheet name="Mon" sheetId="4" r:id="rId4"/>
    <sheet name="Tues" sheetId="5" r:id="rId5"/>
    <sheet name="الممنوعين" sheetId="6" r:id="rId6"/>
    <sheet name="Sheet34" sheetId="7" r:id="rId7" state="hidden"/>
    <sheet name="Sheet33" sheetId="8" r:id="rId8" state="hidden"/>
    <sheet name="Copy of Tues" sheetId="9" r:id="rId9" state="hidden"/>
    <sheet name="sat fails " sheetId="10" r:id="rId10" state="hidden"/>
    <sheet name="sun fails " sheetId="11" r:id="rId11" state="hidden"/>
    <sheet name="mon fails" sheetId="12" r:id="rId12" state="hidden"/>
    <sheet name="Sheet14" sheetId="13" r:id="rId13" state="hidden"/>
    <sheet name="draft" sheetId="14" r:id="rId14" state="hidden"/>
    <sheet name="tue fails" sheetId="15" r:id="rId15" state="hidden"/>
  </sheets>
  <calcPr/>
</workbook>
</file>

<file path=xl/comments3.xml><?xml version="1.0" encoding="utf-8"?>
<comments xmlns="http://schemas.openxmlformats.org/spreadsheetml/2006/main">
  <authors>
    <author> </author>
  </authors>
  <commentList>
    <comment ref="B717" authorId="0">
      <text>
        <r>
          <rPr>
            <sz val="10"/>
            <color indexed="81"/>
            <rFont val="Arial"/>
          </rPr>
          <t xml:space="preserve">======</t>
        </r>
        <r>
          <rPr>
            <sz val="10"/>
            <color indexed="81"/>
            <rFont val="Arial"/>
          </rPr>
          <t xml:space="preserve">
ID#AAAB4DxoQ94
tc={eea29873-c2a8-4257-bb0e-c749a03c7d22}    (2026-04-24 13:40:38)
[Threaded comment]
 Your version of Excel allows you to read this threaded comment; however, any edits to it will get removed if the file is opened in a newer version of Excel. Learn more: https://go.microsoft.com/fwlink/?linkid=870924
Comment:
	late by an hour 15/3</t>
        </r>
      </text>
    </comment>
    <comment ref="B719" authorId="0">
      <text>
        <r>
          <rPr>
            <sz val="10"/>
            <color indexed="81"/>
            <rFont val="Arial"/>
          </rPr>
          <t xml:space="preserve">======</t>
        </r>
        <r>
          <rPr>
            <sz val="10"/>
            <color indexed="81"/>
            <rFont val="Arial"/>
          </rPr>
          <t xml:space="preserve">
ID#AAAB4DxoQ90
tc={06abee58-402d-44f9-8154-a109c03d8df6}    (2026-04-24 13:40:38)
[Threaded comment]
 Your version of Excel allows you to read this threaded comment; however, any edits to it will get removed if the file is opened in a newer version of Excel. Learn more: https://go.microsoft.com/fwlink/?linkid=870924
Comment:
	early leave</t>
        </r>
      </text>
    </comment>
    <comment ref="B93" authorId="0">
      <text>
        <r>
          <rPr>
            <sz val="10"/>
            <color indexed="81"/>
            <rFont val="Arial"/>
          </rPr>
          <t xml:space="preserve">======</t>
        </r>
        <r>
          <rPr>
            <sz val="10"/>
            <color indexed="81"/>
            <rFont val="Arial"/>
          </rPr>
          <t xml:space="preserve">
ID#AAAB4DxoQ9w
tc={d6b98b37-5e08-41bf-bd8a-d3af709463ce}    (2026-04-24 13:40:38)
[Threaded comment]
 Your version of Excel allows you to read this threaded comment; however, any edits to it will get removed if the file is opened in a newer version of Excel. Learn more: https://go.microsoft.com/fwlink/?linkid=870924
Comment:
	late almost an hour 15/3</t>
        </r>
      </text>
    </comment>
  </commentList>
</comments>
</file>

<file path=xl/sharedStrings.xml><?xml version="1.0" encoding="utf-8"?>
<sst xmlns="http://schemas.openxmlformats.org/spreadsheetml/2006/main" uniqueCount="5133" count="5133">
  <si>
    <t>h008</t>
  </si>
  <si>
    <t>مش قاعهه</t>
  </si>
  <si>
    <t>tues</t>
  </si>
  <si>
    <t>h024</t>
  </si>
  <si>
    <t>مكتوب 3 مرات</t>
  </si>
  <si>
    <t>monday</t>
  </si>
  <si>
    <t>12+14</t>
  </si>
  <si>
    <t xml:space="preserve">handom </t>
  </si>
  <si>
    <t>sat</t>
  </si>
  <si>
    <t>22+23</t>
  </si>
  <si>
    <t>fatra tanya</t>
  </si>
  <si>
    <t>24+25</t>
  </si>
  <si>
    <t>h009</t>
  </si>
  <si>
    <t>c07  lagna 5asaaa</t>
  </si>
  <si>
    <t>b2 sat</t>
  </si>
  <si>
    <t>36 fatra ola a5aleh fatra tanya</t>
  </si>
  <si>
    <t xml:space="preserve">lagna 5asaaa kol fatraa </t>
  </si>
  <si>
    <t>لجنة الاختبار النهائي لكورس اللغة الإنجليزية - الفصل الدراسي الثاني للعام الدراسي2025-2026
يوم السبت - الموافق 9 مايو 2026</t>
  </si>
  <si>
    <t>رقم التسلسل</t>
  </si>
  <si>
    <t>اسم الطالب</t>
  </si>
  <si>
    <t xml:space="preserve">كود الطالب </t>
  </si>
  <si>
    <t>اسم الكلية</t>
  </si>
  <si>
    <t>المستوى</t>
  </si>
  <si>
    <t>التوقيت</t>
  </si>
  <si>
    <t>القاعة</t>
  </si>
  <si>
    <t xml:space="preserve">كلية الصيدلة
0-010 الدور الارضي </t>
  </si>
  <si>
    <t>محمد السيد محمد مهيدي خليفه</t>
  </si>
  <si>
    <t>كلية الصيدلة- صيدلة فارم- الفرقة الأولى</t>
  </si>
  <si>
    <t>A1 W</t>
  </si>
  <si>
    <t>ابراهيم محمد عبدالرحمن على</t>
  </si>
  <si>
    <t>احمد ابراهيم عبدالودود ابراهيم اسماعيل غنيم</t>
  </si>
  <si>
    <t>احمد ابراهيم محمد محمد السيد</t>
  </si>
  <si>
    <t>احمد اسامه إبراهيم حسين</t>
  </si>
  <si>
    <t>احمد السيد محمد عبد العزيز داود</t>
  </si>
  <si>
    <t>احمد ايمن صالح محمد بو زيد</t>
  </si>
  <si>
    <t>احمد خالد حامد احمد سعد</t>
  </si>
  <si>
    <t>احمد طارق فكري امين محمد</t>
  </si>
  <si>
    <t>احمد عبدالله محمد محمد السيد</t>
  </si>
  <si>
    <t>احمد علي عبدالسلام عبدالحليم خليل</t>
  </si>
  <si>
    <t>احمد فايز سعد جادالله</t>
  </si>
  <si>
    <t>احمد مؤمن جمال الدين حسيني</t>
  </si>
  <si>
    <t>احمد محمد احمد عبدالمنعم عبدالقادر</t>
  </si>
  <si>
    <t>احمد محمد احمد على ابراهيم</t>
  </si>
  <si>
    <t>احمد محمد السيد محمد محمد</t>
  </si>
  <si>
    <t>احمد محمد عبدالمجيد محمد السيد</t>
  </si>
  <si>
    <t>أروى احمد حسنى محمد عمر</t>
  </si>
  <si>
    <t>ازهار زيدان عبد الغني عبد السلام علي</t>
  </si>
  <si>
    <t>إسراء عادل مرسي مرسي الجندي</t>
  </si>
  <si>
    <t>اسراء عبدالحميد محمد سالم خليل</t>
  </si>
  <si>
    <t>اسراء محمد جاب الله عطا علي</t>
  </si>
  <si>
    <t>اسلام محمد السيد عبد العزيز حسن</t>
  </si>
  <si>
    <t>اسماء ابوبكر محمود محمد عوض</t>
  </si>
  <si>
    <t>اسماء محمد حسين محمد</t>
  </si>
  <si>
    <t xml:space="preserve">كلية الصيدلة
0-011 الدور الارضي </t>
  </si>
  <si>
    <t>اسماء محمد علي محمد ابراهيم</t>
  </si>
  <si>
    <t>نادر احمد السيد احمد محمد</t>
  </si>
  <si>
    <t>كلية العلاج الطبيعي الفرقة الأولى</t>
  </si>
  <si>
    <t>محمود الشبراوي محمد سمير عبدالمنعم محمد صالح</t>
  </si>
  <si>
    <t>محمد محسن السيد حلبي</t>
  </si>
  <si>
    <t>معاذ عبدالحميد حسن عبدالحميد محمد</t>
  </si>
  <si>
    <t>نيرمين علي محمد محمد مصطفى</t>
  </si>
  <si>
    <t>هاجر محمد على على العادلى</t>
  </si>
  <si>
    <t>الاء السيد عبد الصمد علي عثمان</t>
  </si>
  <si>
    <t>الاء امير علي علي احمد</t>
  </si>
  <si>
    <t>الاء حلمى على ابراهيم حسن</t>
  </si>
  <si>
    <t>الاء عطاالله رجب السيد احمد</t>
  </si>
  <si>
    <t>الاء محمد احمد على</t>
  </si>
  <si>
    <t>السيد سالم السيد سالم</t>
  </si>
  <si>
    <t>امل السيد سعيد سليمان عبدالهادى</t>
  </si>
  <si>
    <t>أمنية عاطف نبيل أبو النجا منصور</t>
  </si>
  <si>
    <t>امنيه محمد امام محمد حسين</t>
  </si>
  <si>
    <t>امنيه محمود محمد على</t>
  </si>
  <si>
    <t>اميره اشرف عطية محمد خليل</t>
  </si>
  <si>
    <t>اميره محمد محمد احمد ابراهيم</t>
  </si>
  <si>
    <t>انس عاطف محمود الشهيدى</t>
  </si>
  <si>
    <t>ايه السيد حسين محمد عبد الحق</t>
  </si>
  <si>
    <t>ايه رمضان عبد العال علي سلامه</t>
  </si>
  <si>
    <t>ايه عادل علي محمد</t>
  </si>
  <si>
    <t>بسمة احمد عبد العزيز محمد على</t>
  </si>
  <si>
    <t>ثروت سعد الدين احمد احمد عمر</t>
  </si>
  <si>
    <t xml:space="preserve">كلية الصيدلة
0-012 الدور الارضي </t>
  </si>
  <si>
    <t>حنين صلاح عيد الديداموني محمد</t>
  </si>
  <si>
    <t>خيرت حمد محمد حمد</t>
  </si>
  <si>
    <t>دنيا محمد احمد عطالله</t>
  </si>
  <si>
    <t>ايه سعيد سليمان على سالم</t>
  </si>
  <si>
    <t>اسيه هشام محمد محمد</t>
  </si>
  <si>
    <t>آلاء عادل هلال محمد هلال</t>
  </si>
  <si>
    <t>اسماء محمد فؤاد عطيه محمد</t>
  </si>
  <si>
    <t>محمد خالد عبد الخالق عبد العاطى</t>
  </si>
  <si>
    <t>مريم هشام محمد محمد</t>
  </si>
  <si>
    <t>كلية الإدارة والاقتصاد الدولي الفرقة الأولى</t>
  </si>
  <si>
    <t>هيا سمير حسيني احمد عبدالعزيز</t>
  </si>
  <si>
    <t>يارا صلاح محمد محمد الصادق</t>
  </si>
  <si>
    <t>دعاء محمد عبد الباقي حسين حسن</t>
  </si>
  <si>
    <t>كلية الصيدلة-فارم دي-صيدلة إكلينيكية-الفرقة الأولى</t>
  </si>
  <si>
    <t>حنين السيد فوزي شمس الدين حسن</t>
  </si>
  <si>
    <t>ياسمين صالح جابر يونس</t>
  </si>
  <si>
    <t>نورا احمد عبدالمنعم اسماعيل محمد</t>
  </si>
  <si>
    <t>ناديه محمد احمد محمد</t>
  </si>
  <si>
    <t>عمر هانى ابراهيم احمد محمد اسماعيل</t>
  </si>
  <si>
    <t>كريم عيد الشبراوي عثمان</t>
  </si>
  <si>
    <t>محمد عطيه عبدالعظيم عطيه</t>
  </si>
  <si>
    <t>زياد متولي السيد متولي متولي</t>
  </si>
  <si>
    <t>الشيماء محمد ابراهيم عبدالعزيز محمد ابراهيم</t>
  </si>
  <si>
    <t>كلية الحاسبات والمعلومات الفرقة الأولى</t>
  </si>
  <si>
    <t>محمد على حسن احمد عبد الحميد</t>
  </si>
  <si>
    <t>رانيا ابراهيم احمد حسن ابراهيم</t>
  </si>
  <si>
    <t>محمد عماد عبدالرؤف سيداحمد سيداحمد</t>
  </si>
  <si>
    <t>محمد اليمانى سلامة محمد سلامة</t>
  </si>
  <si>
    <t xml:space="preserve">كلية الصيدلة
0-020 الدور الارضي </t>
  </si>
  <si>
    <t>روناء أحمد عبدالحميد محمد جندل</t>
  </si>
  <si>
    <t>A1 S</t>
  </si>
  <si>
    <t>روناء حسام الدين عبدالرحمن محمد سالم</t>
  </si>
  <si>
    <t>رويدا محمد فتحى محمد على</t>
  </si>
  <si>
    <t>ريهام عيد سليمان محمد سالم</t>
  </si>
  <si>
    <t>زوزو رمضان محمد محمد ابراهيم سلام</t>
  </si>
  <si>
    <t>ساره سامح السيد احمد عبد المجيد عسكر</t>
  </si>
  <si>
    <t>ساره عبدالحافظ عمار ياسر سالم</t>
  </si>
  <si>
    <t>ساره محمود عبدالحميد محمد ابراهيم</t>
  </si>
  <si>
    <t>ساره نبيل احمد السيد الجاويش</t>
  </si>
  <si>
    <t>سعيد عبدالرحمن احمد يوسف</t>
  </si>
  <si>
    <t>سلمى عادل توفيق عبدالرحيم</t>
  </si>
  <si>
    <t>سما عبد الدايم احمد عبد الدايم سليمان</t>
  </si>
  <si>
    <t>سماح السيد عبدالمنعم عبدالرحمن سيداحمد</t>
  </si>
  <si>
    <t>سمر احمد السيد غازى السيد</t>
  </si>
  <si>
    <t>سهيله السيد عبدالسلام عبدالله</t>
  </si>
  <si>
    <t>سوسن كمال الدين محمد طلبه العيادي علي</t>
  </si>
  <si>
    <t>شروق طارق علي محمد علي مسعود</t>
  </si>
  <si>
    <t>شمس محمد السيد محمد محمد</t>
  </si>
  <si>
    <t>شهاب احمد محمد بكرى</t>
  </si>
  <si>
    <t>شهد كمال الدين محمد طلبه العيادي علي</t>
  </si>
  <si>
    <t>شهد وليد السيد مصطفى سلامه</t>
  </si>
  <si>
    <t>شيماء احمد السيد محمد رمضان</t>
  </si>
  <si>
    <t>صلاح محمد صلاح على محمود</t>
  </si>
  <si>
    <t>عبد الرحمن امام جمعه طحاوى</t>
  </si>
  <si>
    <t>عبد الله احمد السيد احمد موسي</t>
  </si>
  <si>
    <t xml:space="preserve">كلية الصيدلة
0-021 الدور الارضي </t>
  </si>
  <si>
    <t>عبدالفتاح ابراهيم عبدالفتاح محمد مرعي محمد عمر</t>
  </si>
  <si>
    <t>عبدالله فتحى محمد عبدالله سالم</t>
  </si>
  <si>
    <t>عبدالمنعم منصور عبدالمنعم محمد</t>
  </si>
  <si>
    <t>عبير عبد الرحمن احمد عبد المقصود محمد</t>
  </si>
  <si>
    <t>عزه محسب علي محسب منصور احمد</t>
  </si>
  <si>
    <t>عمر عادل جمال عبد الجليل محمد</t>
  </si>
  <si>
    <t>عمرو عماد احمد ابراهيم سالم</t>
  </si>
  <si>
    <t>عياد حازم محمد احمد السيد</t>
  </si>
  <si>
    <t>غاده محمود ابراهيم حسن ابراهيم</t>
  </si>
  <si>
    <t>فارس تامر عطيه حسين حسن القطاوي</t>
  </si>
  <si>
    <t>فاطمه عابر حنفي كامل</t>
  </si>
  <si>
    <t>فوزى جمال محمد معارج</t>
  </si>
  <si>
    <t>كريم علي حسن علي حسن</t>
  </si>
  <si>
    <t>ليلي حسن حسن احمد عليوة</t>
  </si>
  <si>
    <t>مؤمن محمد الطاهر محمد يسن عبد المقصود</t>
  </si>
  <si>
    <t>مؤمن محمد سالم سلامه سالم</t>
  </si>
  <si>
    <t>مازن ابراهيم حامد محمد ابراهيم</t>
  </si>
  <si>
    <t>مازن احمد بنداري محمد احمد</t>
  </si>
  <si>
    <t>مازن السيد عبدالرحمن السيد</t>
  </si>
  <si>
    <t>محمد احمد محمد محمد عبدالرحمن</t>
  </si>
  <si>
    <t>محمد امير حسن احمد</t>
  </si>
  <si>
    <t>محمد ايهاب محمود محمد راشد</t>
  </si>
  <si>
    <t>حبيبة صلاح علي إمام محمد</t>
  </si>
  <si>
    <t>عبدالله محى احمد محمد منصور</t>
  </si>
  <si>
    <t>سلمى هاني السيد</t>
  </si>
  <si>
    <t xml:space="preserve">كلية الصيدلة
0-022 الدور الارضي </t>
  </si>
  <si>
    <t>محمد صلاح منصور السيد متولي</t>
  </si>
  <si>
    <t>محمد علاء محمد عبدالسيد سالم</t>
  </si>
  <si>
    <t>محمد محمود الناجي محمد عبدالعاطي</t>
  </si>
  <si>
    <t>محمد نصر موسى محمد موسى محمد</t>
  </si>
  <si>
    <t>محمود أحمد محمود جمال السيد</t>
  </si>
  <si>
    <t>محمود عاطف عبد الحميد محمد سليمان</t>
  </si>
  <si>
    <t>محمود عبدالحليم عبد الحميد محمد بدر</t>
  </si>
  <si>
    <t>محمود علاء محمود محمد حسانين</t>
  </si>
  <si>
    <t>مروان السيد محمد محمد على العجمى</t>
  </si>
  <si>
    <t>مريم السيد احمد قاسم ابراهيم</t>
  </si>
  <si>
    <t>مريم طلعت جميعان جمعان جمعه</t>
  </si>
  <si>
    <t>مريم عبد الرحمن محمد فتحى عبد المتولى جوده</t>
  </si>
  <si>
    <t>مريم عبدلله ابراهيم السعيد بركات</t>
  </si>
  <si>
    <t>مريم علاء اسماعيل حسن اسماعيل</t>
  </si>
  <si>
    <t>مريم محمد السيد شحاته سالم</t>
  </si>
  <si>
    <t>مصطفى محمد محمد طلبة خليل</t>
  </si>
  <si>
    <t>مصطفي مصطفي حسانين محمد حسانين</t>
  </si>
  <si>
    <t>ملك محمد محمد كمال عطيه السيد</t>
  </si>
  <si>
    <t>ملك هشام سالم أحمد سالم</t>
  </si>
  <si>
    <t>منة الله جمال ذكي السيد</t>
  </si>
  <si>
    <t>منة الله محمد احمد مصطفي المحلاوي</t>
  </si>
  <si>
    <t>منه الله محمد احمد عطوه بيه</t>
  </si>
  <si>
    <t>احمد محمد السيد عبد الرحمن</t>
  </si>
  <si>
    <t>رضوى محمد السيد محمد السيد</t>
  </si>
  <si>
    <t>اميمه صلاح محمد عبدالحليم محمد</t>
  </si>
  <si>
    <t xml:space="preserve">كلية الصيدلة
1011  الدور الاول </t>
  </si>
  <si>
    <t>منه الله محمد محمد عبد الرزاق السيد</t>
  </si>
  <si>
    <t>منه عبدالله احمد حسين موسى</t>
  </si>
  <si>
    <t>منه على محمد سليمان عبد الله</t>
  </si>
  <si>
    <t>منه مجاهد بيه عبدالله مجاهد عبده</t>
  </si>
  <si>
    <t>منه محمد إبراهيم عبد العزيز إبراهيم</t>
  </si>
  <si>
    <t>منه هاني محمد محمد</t>
  </si>
  <si>
    <t>منى محمد محمد السيد جعفر</t>
  </si>
  <si>
    <t>مى هانى حسن السيد</t>
  </si>
  <si>
    <t>مي عبدالنبي عبدالله ابراهيم</t>
  </si>
  <si>
    <t>ميرفت محمد محمود عبد العال سليمان</t>
  </si>
  <si>
    <t>ميرنا وليد مصطفى حسن محمد</t>
  </si>
  <si>
    <t>ندا عبدالمنعم ابو الفتوح خليل عوض الله</t>
  </si>
  <si>
    <t>ندا محمد مرسي فرحات السيد</t>
  </si>
  <si>
    <t>ندى عصام محمد على السيد</t>
  </si>
  <si>
    <t>ندى مصطفي السيد مصطفي عطيه</t>
  </si>
  <si>
    <t>ندي جمال مصطفي ابراهيم زعزوع</t>
  </si>
  <si>
    <t>ندي محمد عبد الغني متولي</t>
  </si>
  <si>
    <t>نفيسه فريد محمد عبد الحميد السيد</t>
  </si>
  <si>
    <t>نور محمود صلاح محمد سيد أحمد</t>
  </si>
  <si>
    <t>نورهان السادات حسن على ابراهيم</t>
  </si>
  <si>
    <t>نورهان محمد جوده السيد احمد</t>
  </si>
  <si>
    <t>هاجر تامر محمود السيد على</t>
  </si>
  <si>
    <t>هاجر طنطاوي السيد محمد طنطاوي</t>
  </si>
  <si>
    <t>هبه الله محمد حفنى احمد محمد</t>
  </si>
  <si>
    <t>هدير نصر السيد جمعه محمد</t>
  </si>
  <si>
    <t xml:space="preserve">كلية الصيدلة
1013  الدور الاول </t>
  </si>
  <si>
    <t>محمد هاني محمد عبدالمنعم علي</t>
  </si>
  <si>
    <t>يارا السيد محمد احمد موافي</t>
  </si>
  <si>
    <t>منه حلمي محمد عبد العال سالم</t>
  </si>
  <si>
    <t>نورهان فتحى على السيد على</t>
  </si>
  <si>
    <t>رهف فتحى باز سليمان محمد</t>
  </si>
  <si>
    <t>هنا عزب متولي عزب سالم</t>
  </si>
  <si>
    <t>هنا وائل ابراهيم الهادي احمد</t>
  </si>
  <si>
    <t>هيا شريف محمد وفا احمد</t>
  </si>
  <si>
    <t>وعد النقراشي محمود سلامه محمد</t>
  </si>
  <si>
    <t>ولاء زكريا عبدالعزيز محمد احمد</t>
  </si>
  <si>
    <t>يارا محمد احمد داود سليمان</t>
  </si>
  <si>
    <t>ياسمين حسنى محمد محمود عبدالقادر</t>
  </si>
  <si>
    <t>ياسمين خالد ابراهيم عبد الرحمن ابراهيم</t>
  </si>
  <si>
    <t>ياسمينا بلال رفعت السيد احمد</t>
  </si>
  <si>
    <t>يوسف احمد محمد حسن محمود محمد</t>
  </si>
  <si>
    <t>يوسف ماهر خليل السعيد خليل</t>
  </si>
  <si>
    <t>يوسف محمد احمد محمد عبدالرحمن</t>
  </si>
  <si>
    <t>يوسف محمد على ابراهيم على</t>
  </si>
  <si>
    <t>يوسف محمد على موسى عمران</t>
  </si>
  <si>
    <t>مريم حسنى محمد حسن احمد</t>
  </si>
  <si>
    <t>مريم حمدى مصطفى بغدادى حسانين</t>
  </si>
  <si>
    <t>مريم كمال مصطفي حسن مصطفي</t>
  </si>
  <si>
    <t>مريم محمد رضا احمد مصطفى</t>
  </si>
  <si>
    <t>مريم محمود الشبراوي محمد</t>
  </si>
  <si>
    <t xml:space="preserve">كلية الصيدلة
1018  الدور الاول </t>
  </si>
  <si>
    <t>مريم ممدوح الديداموني الطاهر محمد</t>
  </si>
  <si>
    <t>مريم هانى وهيب مكس جرجس</t>
  </si>
  <si>
    <t>ندى محمد محمد السيد مصطفى</t>
  </si>
  <si>
    <t>نور محمد السيد محمد حسانين</t>
  </si>
  <si>
    <t>نورا محمد السيد عبدالموجود السيد</t>
  </si>
  <si>
    <t>نيره محمد ابراهيم محمد عطيه</t>
  </si>
  <si>
    <t>روان فهيم عطيه سيداحمد عبدالهادي</t>
  </si>
  <si>
    <t>روفانا السيد فتحي احمد محمد</t>
  </si>
  <si>
    <t>محمد محمود علي حمدي محمود</t>
  </si>
  <si>
    <t>احمد خالد محمد الخضري</t>
  </si>
  <si>
    <t>نوران محمد حسين محمد</t>
  </si>
  <si>
    <t>ابراهيم عصام ابراهيم محمد</t>
  </si>
  <si>
    <t>ابراهيم محمد ابراهيم زيدان سالم</t>
  </si>
  <si>
    <t>رنا صلاح حسانين السيد يوسف</t>
  </si>
  <si>
    <t>ابراهيم منصور محمد منصور على السيد</t>
  </si>
  <si>
    <t>ابراهيم نبيل ابراهيم الدسوقي محمد حسين</t>
  </si>
  <si>
    <t>احمد السيد محمد محمود محمد</t>
  </si>
  <si>
    <t>احمد حسام على محمد السيد وفا</t>
  </si>
  <si>
    <t>احمد حماده قاسم عبد الحميد قاسم</t>
  </si>
  <si>
    <t>احمد سعيد عبد الرحمن محمد احمد قاسم</t>
  </si>
  <si>
    <t>احمد سمير صبحي احمد محمد</t>
  </si>
  <si>
    <t>احمد صلاح الدين محمد السيد</t>
  </si>
  <si>
    <t>احمد عبد الغنى عبد الغنى على عبد الفتاح</t>
  </si>
  <si>
    <t>احمد محمد اسماعيل السيد جمعه</t>
  </si>
  <si>
    <t>احمد محمد حسين محمد عبد اللطيف</t>
  </si>
  <si>
    <t xml:space="preserve">كلية الصيدلة
1019   الدور الاول </t>
  </si>
  <si>
    <t>احمد ناصر عدلى جاد عبداللا</t>
  </si>
  <si>
    <t>ادهم محمد بركات محمود ابراهيم</t>
  </si>
  <si>
    <t>أحمد عزت فرحات عبدالحميد</t>
  </si>
  <si>
    <t>محمد متولي الجرايحي حسن ابراهيم</t>
  </si>
  <si>
    <t>علي محمود علي محمد علي</t>
  </si>
  <si>
    <t>الاء السيد حسن عبد الرحمن علي</t>
  </si>
  <si>
    <t>محمد صلاح الدين اراهيم</t>
  </si>
  <si>
    <t>بسمه أسامه عبدالله على عبد الرحمن</t>
  </si>
  <si>
    <t>صفا صبري محمد</t>
  </si>
  <si>
    <t>محمد محمد صلاح رمضان</t>
  </si>
  <si>
    <t>محمود ابراهيم فرج عبدالحميد حاتى</t>
  </si>
  <si>
    <t>معاذ محمد عزوز عبدالحفيظ سالم</t>
  </si>
  <si>
    <t>محمود عمادالدين محمود عبدالعزيز محمد</t>
  </si>
  <si>
    <t>عماد محمد فاضل سلامه</t>
  </si>
  <si>
    <t>باسم سعيد احمد محمد محمد الشاذلى</t>
  </si>
  <si>
    <t>جمال عبد الحميد على عبد الحميد</t>
  </si>
  <si>
    <t>ارام علاء السيد حسن محمد</t>
  </si>
  <si>
    <t>اروى احمد حسن خليل محمد</t>
  </si>
  <si>
    <t>اسلام ابراهيم عبدالسلام عبدالمجيد عطيه</t>
  </si>
  <si>
    <t>اسماء عبد الكريم السيد عبد الكريم</t>
  </si>
  <si>
    <t>اسماء محمد ابراهيم متولى السيد</t>
  </si>
  <si>
    <t>اسماء محمد السيد محمد السيد</t>
  </si>
  <si>
    <t>اسماء محمد عبد العزيز السيد جاد</t>
  </si>
  <si>
    <t>اسماء محمود شعبان محمد فرج</t>
  </si>
  <si>
    <t>اشرقت احمد علي احمد السيد</t>
  </si>
  <si>
    <t xml:space="preserve">كلية الصيدلة
1020   الدور الاول </t>
  </si>
  <si>
    <t>الاء رمضان محمود حسن علي</t>
  </si>
  <si>
    <t>الاء محمود السيد احمد بدران</t>
  </si>
  <si>
    <t>الاء هاني معوض متولي محمد يونس</t>
  </si>
  <si>
    <t>الزهراء صلاح احمد اسماعيل عبد الهادى</t>
  </si>
  <si>
    <t>امال فوزي حسين فوزي حسين</t>
  </si>
  <si>
    <t>امانى محمد طه على اسماعيل</t>
  </si>
  <si>
    <t>اماني ربيع السيد محمد عطيه</t>
  </si>
  <si>
    <t>انس السيد منصور محمد حامد</t>
  </si>
  <si>
    <t>اية السيد رجب بيومي الشوادفي</t>
  </si>
  <si>
    <t>ايتن محمد محمد عبد الحميد</t>
  </si>
  <si>
    <t>ايمان اشرف طاهر سيد احمد</t>
  </si>
  <si>
    <t>ايمان انس عبدالله عبدالحميد ابراهيم</t>
  </si>
  <si>
    <t>ايمان رمضان محمد عبد اللطيف حسب الله</t>
  </si>
  <si>
    <t>ايه حسيني السيد عبد الغفار هيب</t>
  </si>
  <si>
    <t>مروة زايد سعد عرابي</t>
  </si>
  <si>
    <t>منه السيد محمد</t>
  </si>
  <si>
    <t>نورا احمد عبد المنعم احمد</t>
  </si>
  <si>
    <t>منه الله احمد ابو السعود ابراهيم احمد</t>
  </si>
  <si>
    <t>جهاد محمد عبد المجيد عبدالله</t>
  </si>
  <si>
    <t>محمد رمضان ابراهيم شعبان سيداحمد</t>
  </si>
  <si>
    <t>عبدالرحمن عادل فوزي النجار</t>
  </si>
  <si>
    <t>ايه وليد محمد على على</t>
  </si>
  <si>
    <t>ايه يحى السيد محمد السيد</t>
  </si>
  <si>
    <t>بدر الدين مصطفى محمد مصطفى عبدالله</t>
  </si>
  <si>
    <t>بسمة حنفى غريب محمد</t>
  </si>
  <si>
    <t>كلية الصيدلة
2011  الدور الثاني</t>
  </si>
  <si>
    <t>بسمة عماد محمد ابراهيم</t>
  </si>
  <si>
    <t>بسمه ابراهيم مصطفى السيد الديهي</t>
  </si>
  <si>
    <t>بسمه خالد احمد متولي عبدالعال</t>
  </si>
  <si>
    <t>بلال احمد السيد سليمان عبيه</t>
  </si>
  <si>
    <t>تسنيم سعيد احمد علي عبدالرازق</t>
  </si>
  <si>
    <t>تقي وائل محمد حامد</t>
  </si>
  <si>
    <t>جنا احمد عبدالله احمد الصادق</t>
  </si>
  <si>
    <t>جنات ياسر نصيح صالح السيد</t>
  </si>
  <si>
    <t>جنى اسامه عبد الحميد محمد عبدالله</t>
  </si>
  <si>
    <t>جهاد محمد السيد ابراهيم بغدادي</t>
  </si>
  <si>
    <t>جومانه محمد مصطفى كامل محمد علي</t>
  </si>
  <si>
    <t>حبيبة خميس خميس محمد عبد اللطيف</t>
  </si>
  <si>
    <t>حبيبه اشرف محمد الشهيدي عزازي محمد</t>
  </si>
  <si>
    <t>اروى ماهر عبد الرحمن الدرديري حسن</t>
  </si>
  <si>
    <t>هديل السيد محمد عبدالله خليل</t>
  </si>
  <si>
    <t>محمود محمد حسين محمد على</t>
  </si>
  <si>
    <t>محمد احمد حسني احمد</t>
  </si>
  <si>
    <t>وجيه طاهر حسن عبد العزيز محمد</t>
  </si>
  <si>
    <t>محمد احمد محمد على عبد الحميد</t>
  </si>
  <si>
    <t>منى السعيد السعيد حامد زين الدين</t>
  </si>
  <si>
    <t>ندى السيد عطية احمد عبد الله</t>
  </si>
  <si>
    <t>محمد السيد اسماعيل الصادق محمد</t>
  </si>
  <si>
    <t>يوسف عز الدين عطية طه عبد الرحيم</t>
  </si>
  <si>
    <t>ميار محمد ابراهيم الشوادفى</t>
  </si>
  <si>
    <t>هند احمد حسن ذكي محمد محمد</t>
  </si>
  <si>
    <t>كلية الصيدلة
2012  الدور الثاني</t>
  </si>
  <si>
    <t>منى وليد عبدالله عبدالفتاح السيد</t>
  </si>
  <si>
    <t>محمد على حسين ابراهيم الاسود</t>
  </si>
  <si>
    <t>هانيا محمود محمد محمود عيسى</t>
  </si>
  <si>
    <t>حبيبه محمد اسماعيل محمد</t>
  </si>
  <si>
    <t>حبيبه محمد محمد رشدى</t>
  </si>
  <si>
    <t>حسام فهمى فهمى عبد الرحمن درباله</t>
  </si>
  <si>
    <t>حنين احمد محمد محمد جمعه</t>
  </si>
  <si>
    <t>حنين حماده حسن عطية حسن</t>
  </si>
  <si>
    <t>حنين عبدالله لطفي السيد محمد</t>
  </si>
  <si>
    <t>حنين ماجدى فتحى عبدالفتاح على</t>
  </si>
  <si>
    <t>حنين مدحت محمد ابراهيم</t>
  </si>
  <si>
    <t>خالد احمد عبد الحميد رستم سليم</t>
  </si>
  <si>
    <t>دنيا احمد علام موسي عبد الرسول</t>
  </si>
  <si>
    <t>دنيا فوزي محمد رأفت ابراهيم سالم خريبه</t>
  </si>
  <si>
    <t>دينا مؤمن عبد الرحمن محمد عبد العزيز</t>
  </si>
  <si>
    <t>رؤى محمد محمد احمد سليمان</t>
  </si>
  <si>
    <t>رانيا هاني محمد محمد البدري</t>
  </si>
  <si>
    <t>رحمة محمود عزيز الدين ابراهيم عبد المجيد</t>
  </si>
  <si>
    <t>رحمه شاكر شاكر عبد العال مرسي</t>
  </si>
  <si>
    <t>رحيل اسامة عودة ابراهيم</t>
  </si>
  <si>
    <t>رنا الوفائى صفوت عبد الفتاح محمد</t>
  </si>
  <si>
    <t>مريم السيد محمد يوسف</t>
  </si>
  <si>
    <t>بسملة محمد إبراهيم سليمان سلامة</t>
  </si>
  <si>
    <t>خلود محمد عبدالرحمن شحاته</t>
  </si>
  <si>
    <t>شمس عبد العاطي موسى السيد</t>
  </si>
  <si>
    <t>كلية الصيدلة
2017  الدور الثاني</t>
  </si>
  <si>
    <t>روان السيد محمد أبو هاشم مصطفي</t>
  </si>
  <si>
    <t>روان حسن عبدالهادي علي فرج</t>
  </si>
  <si>
    <t>روان صلاح فتحي محمد عبد السلام</t>
  </si>
  <si>
    <t>روان طارق احمد عبدالحميد غنيم</t>
  </si>
  <si>
    <t>روان طارق عبدالسلام عبدالدايم احمد</t>
  </si>
  <si>
    <t>روان محمد رشاد عمر سلامه</t>
  </si>
  <si>
    <t>روزين السيد على السيد محمد فداوى</t>
  </si>
  <si>
    <t>روينا محمد عبد الحميد مصطفى احمد</t>
  </si>
  <si>
    <t>ريم محمد حسن حسن عبدالوهاب</t>
  </si>
  <si>
    <t>ريم مصباح عبدالبديع احمد</t>
  </si>
  <si>
    <t>ريناد هيسم محمد اسماعيل عويس</t>
  </si>
  <si>
    <t>ريهام يحي كمال عبد الغني سالم</t>
  </si>
  <si>
    <t>زياد أحمد علي عبدالسلام</t>
  </si>
  <si>
    <t>زياد طلعت فتحي على جاب الله</t>
  </si>
  <si>
    <t>زياد محمد صادق محمد عبده</t>
  </si>
  <si>
    <t>زينب احمد ابراهيم سعيد احمد</t>
  </si>
  <si>
    <t>سارة اشرف زكى عبدالحميد موسي</t>
  </si>
  <si>
    <t>سارة محمد سليمان محمد سليمان</t>
  </si>
  <si>
    <t>ساره احمد السعيد محمد السيد</t>
  </si>
  <si>
    <t>ساره محمد صلاح حسين حبيب</t>
  </si>
  <si>
    <t>ساره محمد محمود حسن حسن</t>
  </si>
  <si>
    <t>سامح عبدالله توفيق توفيق عطيه</t>
  </si>
  <si>
    <t>سامح محمد عيداروس عبدالعال محمد</t>
  </si>
  <si>
    <t>محمود حسن محمد الهواري</t>
  </si>
  <si>
    <t>اية محمد السيد محمد السيد</t>
  </si>
  <si>
    <t>كلية الصيدلة
2018  الدور الثاني</t>
  </si>
  <si>
    <t>سعاد محمد عبد البديع محمد ابوزيد</t>
  </si>
  <si>
    <t>سلمى حسن حسن حسن عبدالوهاب</t>
  </si>
  <si>
    <t>سلمى هشام محمد حسييب جمعه</t>
  </si>
  <si>
    <t>سلمي ايمن محمد محمد العوضي</t>
  </si>
  <si>
    <t>سلمي تامر احمد سيد احمد عفيفي</t>
  </si>
  <si>
    <t>سما محمود الصادق محمود مصطفي</t>
  </si>
  <si>
    <t>سندس احمد محمود مصطفى عطيه</t>
  </si>
  <si>
    <t>سيف وليد محمد محمد عبدالصمد</t>
  </si>
  <si>
    <t>شاهندا احمد سمير ابراهيم</t>
  </si>
  <si>
    <t>شديد عبدالمنعم محمد احمد شديد</t>
  </si>
  <si>
    <t>شروق السيد محمد عبدالرحمن عزب</t>
  </si>
  <si>
    <t>شريف السيد سالم عامر</t>
  </si>
  <si>
    <t>شهد احمد محمد عبدالعال على عسكر</t>
  </si>
  <si>
    <t>شهد الشافعي علي السيد الزنفلي</t>
  </si>
  <si>
    <t>شهد محمود عبدالحميد ابراهيم محمد</t>
  </si>
  <si>
    <t>صفاء محمد ابراهيم احمد محمد</t>
  </si>
  <si>
    <t>صفاء محمد الصادق السيد محمد</t>
  </si>
  <si>
    <t>صفاء مصطفى عبد الرؤوف مصطفى</t>
  </si>
  <si>
    <t>صفيه محمد السيد محمد</t>
  </si>
  <si>
    <t>صلاح سعيد عبدالواحد عبدالعزيز</t>
  </si>
  <si>
    <t>ضحى صلاح احمد جاد متولى</t>
  </si>
  <si>
    <t>طارق عودة عبد الحميد محمد</t>
  </si>
  <si>
    <t>فرحة صابر كمال</t>
  </si>
  <si>
    <t>هايدى حسن منصور حسن محمد احمد</t>
  </si>
  <si>
    <t>ابرار حسيني السيد محمد عبد العال</t>
  </si>
  <si>
    <t>كلية الصيدلة
2019  الدور الثاني</t>
  </si>
  <si>
    <t>اشرف محمحد ممدوح محمد</t>
  </si>
  <si>
    <t>احمد عوض محمود محمد ابراهيم</t>
  </si>
  <si>
    <t>محمود عماد محمد عبدالعزيز عليوه</t>
  </si>
  <si>
    <t>محمد حاتم حموده محمد ابراهيم</t>
  </si>
  <si>
    <t>أميره شعبان رمضان عمر محمد</t>
  </si>
  <si>
    <t>مريم زكريا سليمان عبد الوهاب</t>
  </si>
  <si>
    <t>عبد الجليل اشرف عبدالجليل محمد حسين عسكريه</t>
  </si>
  <si>
    <t>عبد الرحمن اسامة ابراهيم محمد خليل</t>
  </si>
  <si>
    <t>عبد الرحمن السيد عبدالرحمن ابراهيم علي</t>
  </si>
  <si>
    <t>عبد الرحمن على على ابراهيم شاهين</t>
  </si>
  <si>
    <t>عبد الرحمن مالك احمد رأفت محمد</t>
  </si>
  <si>
    <t>عبد الرحمن محمد صالح إبراهيم دومه</t>
  </si>
  <si>
    <t>عبد الرحمن محمد عبد الرحمن محمد عيد</t>
  </si>
  <si>
    <t>عبد العزيز محمد حسين عبد العزيز حسين</t>
  </si>
  <si>
    <t>عبد الله محمد السيد عبد الله ابراهيم</t>
  </si>
  <si>
    <t>عبد الهادى كمال عبد الهادى محمد</t>
  </si>
  <si>
    <t>عبد الوهاب محمد عبد الوهاب</t>
  </si>
  <si>
    <t>عبدالحميد ياسر عبدالحميد محمد الحسيني حبيب سمك</t>
  </si>
  <si>
    <t>عبدالرحمن حماده عبدالعزيز ابراهيم ابو العلا</t>
  </si>
  <si>
    <t>عبدالغني عادل عبدالغني السيد حسن الابزاري</t>
  </si>
  <si>
    <t>عبدالله خالد محمد علي الكيلاني</t>
  </si>
  <si>
    <t>عبدالله ياسر سليمان احمد محمد</t>
  </si>
  <si>
    <t>عز الدين عادل محمد رضا محمد علي عطية</t>
  </si>
  <si>
    <t>عزه محمد حسن انيس حسن عبد الرحمن</t>
  </si>
  <si>
    <t>علاء فاروق محمد احمد الصغير</t>
  </si>
  <si>
    <t xml:space="preserve">كلية أسنان
H028  الدور الارضي </t>
  </si>
  <si>
    <t>على احمد على على زويد</t>
  </si>
  <si>
    <t>روان ابراهيم عبدالرحمن يوسف السماحي</t>
  </si>
  <si>
    <t xml:space="preserve">A1 W </t>
  </si>
  <si>
    <t>منة الله محمد سليمان محمد سليمان</t>
  </si>
  <si>
    <t>ملك وائل محمود محمد محمود</t>
  </si>
  <si>
    <t>نرمين احمد عبد اللطيف يوسف</t>
  </si>
  <si>
    <t>منه متولي محمود احمد</t>
  </si>
  <si>
    <t>مي محمود انور محمد احمد</t>
  </si>
  <si>
    <t>نور عصام عبدالعال محمد سيد احمد</t>
  </si>
  <si>
    <t>نسمه السيد السيد على عبدالدايم</t>
  </si>
  <si>
    <t>ندى نعيم على السيد</t>
  </si>
  <si>
    <t>أفنان مجدي مسعد عبد الرحمن</t>
  </si>
  <si>
    <t>على احمد محمد على احمد</t>
  </si>
  <si>
    <t>علياء عماد على هجرس على مصطفى</t>
  </si>
  <si>
    <t>علياء محمد علي عبدالرحيم</t>
  </si>
  <si>
    <t>عمار مسعد عبد العظيم محمد</t>
  </si>
  <si>
    <t>عمر رضا السيد عبدالعال عبدالعزيز شميس</t>
  </si>
  <si>
    <t>عمر محمد جمعه حسيني الشحات</t>
  </si>
  <si>
    <t>عمر محمد سامى عبد الرحمن محمد</t>
  </si>
  <si>
    <t>عمر محمد صالح الديب</t>
  </si>
  <si>
    <t>عمر محمود السيد ابراهيم الحلواني</t>
  </si>
  <si>
    <t>عمر ناصر مصطفى محمد مصطفى</t>
  </si>
  <si>
    <t>عمرو السيد سالم منصور السيد</t>
  </si>
  <si>
    <t>عمرو عبدالفتاح محمد عبدالفتاح وهبه</t>
  </si>
  <si>
    <t>عمرو محمد علي محمود العريني</t>
  </si>
  <si>
    <t>غاده عبد اللطيف حسن عبد اللطيف</t>
  </si>
  <si>
    <t xml:space="preserve">كلية أسنان
H027 الدور الارضي </t>
  </si>
  <si>
    <t>فاتن السيد محمد محمد عز الدين</t>
  </si>
  <si>
    <t>فارس محمد مصطفي عبدالغني</t>
  </si>
  <si>
    <t>فاطمة طارق رمضان السيد اسماعيل</t>
  </si>
  <si>
    <t>فاطمه الزهراء جمال عبد المعطي بلاسي اسماعيل</t>
  </si>
  <si>
    <t>فاطمه سامح علي احمد</t>
  </si>
  <si>
    <t>زياد محمدين علي غريب عبد الجواد</t>
  </si>
  <si>
    <t>ندى محمد حسانين علي</t>
  </si>
  <si>
    <t>منه حسيني عبد الحميد محمد ابو الوفا</t>
  </si>
  <si>
    <t>منه الله احمد حسن محمد محمد</t>
  </si>
  <si>
    <t>يارا السيد فتحى السيد محمد</t>
  </si>
  <si>
    <t>منه وليد عبدالقوي عبدالمقصود عبدالعال</t>
  </si>
  <si>
    <t>منه الله علي ابراهيم محمد</t>
  </si>
  <si>
    <t>ياسمين سعيد السيد نصار موسي</t>
  </si>
  <si>
    <t>منيره ياسر شفيق السيد عثمان</t>
  </si>
  <si>
    <t>مها محمود عمارة ابو المجد</t>
  </si>
  <si>
    <t>منه الله ابراهيم مصطفي زكي بكار</t>
  </si>
  <si>
    <t>منه رضاعبدالفتاح عوض مقبل</t>
  </si>
  <si>
    <t>منه محمد محمد عبده محمد الليثي</t>
  </si>
  <si>
    <t>منه الله حمدي عبد الوهاب محمود موسي</t>
  </si>
  <si>
    <t>منه محمد محمود عبدالسميع مصطفى</t>
  </si>
  <si>
    <t>منه محمد محمد عثمان البرى</t>
  </si>
  <si>
    <t>منه الله عطية فاروق عطية</t>
  </si>
  <si>
    <t>فاطمه معوض عبدالعليم ابراهيم حسن</t>
  </si>
  <si>
    <t>فرح سامح احمد عبدالهادي محمد</t>
  </si>
  <si>
    <t>مؤمن محمد السيد محمد خضر</t>
  </si>
  <si>
    <t xml:space="preserve">كلية أسنان
H025 الدور الارضي </t>
  </si>
  <si>
    <t>مؤمن محمد متولي سالم دبور</t>
  </si>
  <si>
    <t>مؤمن محمد مصطفي محمد سيد احمد الطحلاوي</t>
  </si>
  <si>
    <t>مازن عمادالدين محمد احمد محمد</t>
  </si>
  <si>
    <t>مايسه خالد محمد مصطفي احمد</t>
  </si>
  <si>
    <t>محمد أبو بكر محمد شاكر محمد محمد</t>
  </si>
  <si>
    <t>محمد احمد علي عبدالله حسونه</t>
  </si>
  <si>
    <t>محمد احمد محمد عبدالسميع طه</t>
  </si>
  <si>
    <t>محمد السيد عبد المنعم محمد عبده</t>
  </si>
  <si>
    <t>محمد ايهاب محمد حسين عبدالحليم</t>
  </si>
  <si>
    <t>محمد بشير توفيق علي محمد حتحوت</t>
  </si>
  <si>
    <t>محمد جهاد الدين عبدالحميد السيد</t>
  </si>
  <si>
    <t>محمد رضا محمد اسماعيل</t>
  </si>
  <si>
    <t>محمد عصام عبد الصبور محمد ابو المعاطي</t>
  </si>
  <si>
    <t>محمد كريم محمد نبوي يوسف</t>
  </si>
  <si>
    <t>محمد ناصر محمود محمد ابراهيم</t>
  </si>
  <si>
    <t>مروه عبد الكريم عبد القادر محمد غندور</t>
  </si>
  <si>
    <t>مروه محمد عبدالحكيم عبدالفتاح عبدالعزيز</t>
  </si>
  <si>
    <t>نور خالد محمود العشماوى فهمى متولى</t>
  </si>
  <si>
    <t>نرمين ناصر احمد محمد المهدي</t>
  </si>
  <si>
    <t>نوران جمال السيد محمد حسين زارع</t>
  </si>
  <si>
    <t>مى ايمن محمد عبدالحفيظ مصطفى</t>
  </si>
  <si>
    <t>همس السيد عبد الحميد السيد</t>
  </si>
  <si>
    <t>نعمه رضا حسن حسن الشرقاوي</t>
  </si>
  <si>
    <t>نسيبه محمد محمود عبدالسلام على</t>
  </si>
  <si>
    <t>نرمين السيد ابراهيم أحمد سعد</t>
  </si>
  <si>
    <t xml:space="preserve">كلية أسنان
H024  الدور الارضي </t>
  </si>
  <si>
    <t>مريم احمد محمد كامل حسن عوض الله</t>
  </si>
  <si>
    <t>مريم اشرف احمد محمد ابراهيم حسن</t>
  </si>
  <si>
    <t>مريم السيد محمد اسماعيل مرسى</t>
  </si>
  <si>
    <t>روان علاء ممدوح محمد عبد الرحمن</t>
  </si>
  <si>
    <t>روضه مصطفي ابراهيم عبد العزيز عبد الخالق</t>
  </si>
  <si>
    <t>روعه السيد احمد عبدالعال محمد</t>
  </si>
  <si>
    <t>زياد اشرف حسن عبدالعال احمد</t>
  </si>
  <si>
    <t>منه احمد محمد احمد حسن عامر</t>
  </si>
  <si>
    <t>مى علاء ابراهيم عبدالعال</t>
  </si>
  <si>
    <t>ندى ماهر عبدالمنعم عبدالعال سويلم</t>
  </si>
  <si>
    <t>ابرار عبد الحليم فكرى محمد شحتو</t>
  </si>
  <si>
    <t>احلام وجيه عبد الرحمن عابدين</t>
  </si>
  <si>
    <t>احمد حمدى السيد نور احمد</t>
  </si>
  <si>
    <t>احمد فتحى عبده السيد سلام</t>
  </si>
  <si>
    <t>اسماء حسين احمد رمضان الدجوى</t>
  </si>
  <si>
    <t>اسماء عطيه علي عوض المعظمى</t>
  </si>
  <si>
    <t>السيد محمد ابراهيم السيد عبد الرحمن</t>
  </si>
  <si>
    <t>بسملة ابراهيم عيد رزق احمد</t>
  </si>
  <si>
    <t>بسمه محمد محمد جعفر مرسي</t>
  </si>
  <si>
    <t>بسنت عصام محمد فتحى</t>
  </si>
  <si>
    <t>حسام محمود عوض محمود عوض</t>
  </si>
  <si>
    <t>ساره هاني محمد عبدالشافي عبد الفتاح</t>
  </si>
  <si>
    <t>سلمى نبيل هلال ربيع محمد</t>
  </si>
  <si>
    <t>عبد الرحمن احمد محمد ابو مسلم</t>
  </si>
  <si>
    <t>فجر حسني علي غريب إبراهيم</t>
  </si>
  <si>
    <t xml:space="preserve">كلية أسنان
H022 الدور الارضي </t>
  </si>
  <si>
    <t>احمد عاطف ابراهيم احمد</t>
  </si>
  <si>
    <t>محمد عصام الشحات ابراهيم</t>
  </si>
  <si>
    <t>عاطف محمد سالم ذكي</t>
  </si>
  <si>
    <t>شيماء محمد السيد عبد الحق</t>
  </si>
  <si>
    <t>مصطفي إبراهيم سالم علي محمد</t>
  </si>
  <si>
    <t>مايا محمد مكرم محمد عبدالعزيز</t>
  </si>
  <si>
    <t>الزهراء الراعي عبدالعال محمد</t>
  </si>
  <si>
    <t>الزهراء محمود سويلم صالح سويلم</t>
  </si>
  <si>
    <t>الشيماء محمد عبدالصبور عبدالعزيز</t>
  </si>
  <si>
    <t>امل ناصر على ابوهاشم السيد</t>
  </si>
  <si>
    <t>اميره صلاح مصطفي محمد علي</t>
  </si>
  <si>
    <t>ايمان حسن ابراهيم خليل ابراهيم</t>
  </si>
  <si>
    <t>ايمان مصطفي ابراهيم خاطر عوض</t>
  </si>
  <si>
    <t>ايه عبدالله محمد سالم بدران</t>
  </si>
  <si>
    <t>ايه عبيد عبد الحميد عبيد رضوان</t>
  </si>
  <si>
    <t>ايه ياسين يوسف الطالونى عكاشه</t>
  </si>
  <si>
    <t>تسنيم محمد خليل سليمان سلمان</t>
  </si>
  <si>
    <t>حبيبه تامر السيد محمد احمد</t>
  </si>
  <si>
    <t>حبيبه محمد فوزى الدسوقى عفيفى</t>
  </si>
  <si>
    <t>حور سمير احمد السيد ابو مندور</t>
  </si>
  <si>
    <t>خالد مازن على محمد السيد وفا</t>
  </si>
  <si>
    <t>خالد وائل محمد عثمان محمد</t>
  </si>
  <si>
    <t>خلود محمد محمد على احمد</t>
  </si>
  <si>
    <t>دعاء اسامه عادل محمد الهادي</t>
  </si>
  <si>
    <t>دعاء عادل محمود محجوب محمد</t>
  </si>
  <si>
    <t xml:space="preserve">كلية أسنان
H006 الدور الارضي </t>
  </si>
  <si>
    <t>اَلاء فتحى عبد الله محمود زامل</t>
  </si>
  <si>
    <t>A2</t>
  </si>
  <si>
    <t>احمد جمال محمد مصباح السيد</t>
  </si>
  <si>
    <t>احمد رضا عبدالرحمن عبدالمقصود</t>
  </si>
  <si>
    <t>احمد محمد عبد السيد سيد احمد ابراهيم صالح</t>
  </si>
  <si>
    <t>اروى احمد عبد المنعم محمد احمد عمار</t>
  </si>
  <si>
    <t>أروي رضا السيد علي خاطر</t>
  </si>
  <si>
    <t>اسراء احمد محمد عبداللطيف ابراهيم</t>
  </si>
  <si>
    <t>اسراء السيد فتح الله ابراهيم محمد</t>
  </si>
  <si>
    <t>اسراء محمد عبداللطيف عبدالفتاح مرسى</t>
  </si>
  <si>
    <t>اسماء انس ابراهيم سالم ابراهيم</t>
  </si>
  <si>
    <t>اسماء محمد حسين محمد موسى النجار</t>
  </si>
  <si>
    <t>اسماء مصطفي عبد الله احمد محمد</t>
  </si>
  <si>
    <t>أشكى أشرف عبدالحميد عبدالهادي محمد</t>
  </si>
  <si>
    <t>الاء ابراهيم عبد السلام ابراهيم سرحان</t>
  </si>
  <si>
    <t>الاء ابراهيم محمد ابراهيم هندي</t>
  </si>
  <si>
    <t>الاء عبدالقادر فتحى إسماعيل سالم</t>
  </si>
  <si>
    <t>الاء محمد سعيد محمود عبدالباقي</t>
  </si>
  <si>
    <t>الزهراء رأفت عبدالعال محمد حسن بدوى</t>
  </si>
  <si>
    <t>امال تامر سامى بدوى</t>
  </si>
  <si>
    <t>امل محمد السيد قطب دويدار</t>
  </si>
  <si>
    <t>ايه محمد عثمان محمد علي</t>
  </si>
  <si>
    <t>بسمله عوض عطا السيد محمد</t>
  </si>
  <si>
    <t>تسنيم علاء منصور عبد العال ابراهيم</t>
  </si>
  <si>
    <t>حمدي محمد حمدي عبدالحميد محمد</t>
  </si>
  <si>
    <t>حنين احمد حلمى احمد السيد</t>
  </si>
  <si>
    <t>ساندرا عماد وليم حنا</t>
  </si>
  <si>
    <t>كلية العلاج الطبيعي الفرقة الثانية</t>
  </si>
  <si>
    <t>هاجر رضا احمد شوقي السيد على</t>
  </si>
  <si>
    <t>احمد محمد متولى عبد العزيز محمد</t>
  </si>
  <si>
    <t>ايمان محمد حسن محمد</t>
  </si>
  <si>
    <t>امجد لطفى السيد احمد الشربينى</t>
  </si>
  <si>
    <t xml:space="preserve">كلية أسنان
H007 الدور الارضي </t>
  </si>
  <si>
    <t>حنان مسعد محمود طه عبدالرحمن</t>
  </si>
  <si>
    <t>محمد صلاح محمد عبدالسلام محمد عوض</t>
  </si>
  <si>
    <t>الاء محمد محمود</t>
  </si>
  <si>
    <t>كلية الصيدلة - فارم دي- الفرقة الأولى</t>
  </si>
  <si>
    <t>مي محروس محمد صلاح</t>
  </si>
  <si>
    <t>مها محمد الهادى تهامى عباس مقلد</t>
  </si>
  <si>
    <t>روفيدا سمير حسن ابراهيم عبدالله النجار</t>
  </si>
  <si>
    <t>روناء السيد على مرسى حسب الله</t>
  </si>
  <si>
    <t>ريم محمود عطيه محمود</t>
  </si>
  <si>
    <t>ريناد على احمد على على</t>
  </si>
  <si>
    <t>زينب طارق احمد متولى السيد</t>
  </si>
  <si>
    <t>ساره احمد محمد عبد السلام محمد</t>
  </si>
  <si>
    <t>ساره مصطفى محمود عطيه سليمان</t>
  </si>
  <si>
    <t>ساره ياسر محمد سليمان سلمي</t>
  </si>
  <si>
    <t>سلمي احمد محمد عبدالحليم محمد</t>
  </si>
  <si>
    <t>سلمي حسن فاروق حسن نمر</t>
  </si>
  <si>
    <t>شدا محمود فتح الله محمد سلامه</t>
  </si>
  <si>
    <t>سهيله عبدالحافظ عمار ياسر سالم</t>
  </si>
  <si>
    <t>شروق عماد عطيه العوضى</t>
  </si>
  <si>
    <t>شروق نجيب سعيد حسين على ابو السعود</t>
  </si>
  <si>
    <t>شهد احمد ابراهيم عبد العال حسين</t>
  </si>
  <si>
    <t>مريم محمد عباس محمد حسنى</t>
  </si>
  <si>
    <t>كلية الصيدلة-صيدلة فارم-الفرقة الثانية</t>
  </si>
  <si>
    <t>شهد محمد مهدى عبدالسميع</t>
  </si>
  <si>
    <t>عبداللطيف محمد عبداللطيف ابراهيم</t>
  </si>
  <si>
    <t>عليا على محمد مصطفى محمد</t>
  </si>
  <si>
    <t>عمرو احمد موسى احمد الالفي</t>
  </si>
  <si>
    <t>أسماء فارس السيد عطيه سليمان</t>
  </si>
  <si>
    <t>تسنيم ياسر محمد موسي</t>
  </si>
  <si>
    <t>بسنت رضا الإمام محمد الإمام</t>
  </si>
  <si>
    <t>محمد حسانين محمد على سلامه</t>
  </si>
  <si>
    <t>الاء ايمن عبد الوهاب</t>
  </si>
  <si>
    <t xml:space="preserve">كلية أسنان
H009  الدور الارضي </t>
  </si>
  <si>
    <t>مريم طارق السيد الشوربجي</t>
  </si>
  <si>
    <t>ابراهيم رمضان عبدالقادر صالح احمد</t>
  </si>
  <si>
    <t>احمد خليل ثروت خليل حسن</t>
  </si>
  <si>
    <t>احمد زكى محمود السعيد حسين</t>
  </si>
  <si>
    <t>ماريا جوزيف عزيز عبد الملاك منقريوس</t>
  </si>
  <si>
    <t>زهراء سامي عبد المنعم</t>
  </si>
  <si>
    <t>محمود عبدالله إبراهيم مصطفى موسى</t>
  </si>
  <si>
    <t>احمد صلاح احمد ابراهيم خطابى</t>
  </si>
  <si>
    <t>احمد محمد احمد حسن والي</t>
  </si>
  <si>
    <t>احمد محمد صلاح محمد ابو العلا</t>
  </si>
  <si>
    <t>احمد محمود احمد محمود زغمور</t>
  </si>
  <si>
    <t>احمد وليد احمد محمد هاشم زيد</t>
  </si>
  <si>
    <t>احمد يونس محمد يونس مصطفى</t>
  </si>
  <si>
    <t>نورهان السلاوى أبو الفرح أبو الفرج السيد</t>
  </si>
  <si>
    <t>اروه ياسر مصطفى حسين منيع</t>
  </si>
  <si>
    <t>اروى احمد على فايد على</t>
  </si>
  <si>
    <t>استشهاد خالد كمال حسن حسين</t>
  </si>
  <si>
    <t>اسراء احمد محمود محمد حسين</t>
  </si>
  <si>
    <t>افنان كمال حسني محمد امين</t>
  </si>
  <si>
    <t>الاء السعدني محمد مصطفي السيد</t>
  </si>
  <si>
    <t>الاء محمد احمد محمد</t>
  </si>
  <si>
    <t>الزهراء علاء الدين عبدالرحمن محمد عبد الرحمن</t>
  </si>
  <si>
    <t>الزهراء محمد السيد محمد عبد الغفار</t>
  </si>
  <si>
    <t>الشيماء على عبد الحميد عبدالله الشحات</t>
  </si>
  <si>
    <t>امانى السيد محمد متولى سلام</t>
  </si>
  <si>
    <t>محمد هشام محمد مرسي مرسى</t>
  </si>
  <si>
    <t>منال احمد السيد ابراهيم لاشين</t>
  </si>
  <si>
    <t>منه الله اشرف محمد عزازى سليم</t>
  </si>
  <si>
    <t>الاء تامر صبحى كمال سيد احمد</t>
  </si>
  <si>
    <t>نور محمود محمد سعيد مصطفى بيومى</t>
  </si>
  <si>
    <t xml:space="preserve">كلية حاسبات ومعلومات
C08 الدور الارضي </t>
  </si>
  <si>
    <t>ايمان اشرف عنتر عبد الحى محمد</t>
  </si>
  <si>
    <t>ايمان امام سعيد امام عيد</t>
  </si>
  <si>
    <t>ايمان محمد سليمان ابراهيم سليمان</t>
  </si>
  <si>
    <t>ايه احمد عبدالسلام علي حسن</t>
  </si>
  <si>
    <t>يوسف محمد السيد على ابراهيم</t>
  </si>
  <si>
    <t>يوسف ايهاب ابراهيم محمد سليمان العزاوى</t>
  </si>
  <si>
    <t>خالد محمد محمود رفاعي محمد</t>
  </si>
  <si>
    <t>يوسف هاني فوزي أحمد</t>
  </si>
  <si>
    <t>يوسف محمد سليمان ابراهيم خضر</t>
  </si>
  <si>
    <t>ياسين عبدالحليم يوسف حسن علي</t>
  </si>
  <si>
    <t>ملك محمود عبدالنبي ابراهيم يوسف</t>
  </si>
  <si>
    <t>محمد احمد محمود حسين سرحان</t>
  </si>
  <si>
    <t>أية ماهر أحمد إبراهيم عطى</t>
  </si>
  <si>
    <t>أية هاني عبدالعزيز السيد عيسوي</t>
  </si>
  <si>
    <t>بسملة إبراهيم علي السيد محمد</t>
  </si>
  <si>
    <t>بسملة مصطفى حسن جمعة محمد</t>
  </si>
  <si>
    <t>بسنت عصام عثمان علي عمر</t>
  </si>
  <si>
    <t>تسنيم هانى حسيب حافظ محمد</t>
  </si>
  <si>
    <t>تقى هانى عبدالمعطى حمد</t>
  </si>
  <si>
    <t>جمانه احمد محمد احمد غريب</t>
  </si>
  <si>
    <t>حبيبه وائل عمار محمد عبدالرحمن</t>
  </si>
  <si>
    <t>حبيبه وليد الشحات سرايا</t>
  </si>
  <si>
    <t>رحمة علاء عبد الحميد احمد ابو العلا</t>
  </si>
  <si>
    <t>رحمه الله محمد قاسم عبد الحميد حسن</t>
  </si>
  <si>
    <t>رحمه وليد يوسف محمودحامد</t>
  </si>
  <si>
    <t xml:space="preserve">كلية حاسبات ومعلومات
C09 الدور الالاضي </t>
  </si>
  <si>
    <t>رقيه السعيد محمد السعيد المرسي عرفات</t>
  </si>
  <si>
    <t>رنا سلامه عبدالحميد سلامه محمود</t>
  </si>
  <si>
    <t>روان غريب فتحي غريب عطيه</t>
  </si>
  <si>
    <t>روزانا محمد السيد احمد السيد صالح</t>
  </si>
  <si>
    <t>روضة محمد احمد مختار احمد</t>
  </si>
  <si>
    <t>رولا الخطيب محمد احمد السيد</t>
  </si>
  <si>
    <t>ريماز وحيد محمد فتحى السيد عطيه</t>
  </si>
  <si>
    <t>زياد على السيد حسين على حسين الباز</t>
  </si>
  <si>
    <t>ساره وليد محمد الحسيني عبده</t>
  </si>
  <si>
    <t>سلمى ايمن عبدالعزيز عمر محمد شاهين</t>
  </si>
  <si>
    <t>سلمى جمعه عبدالمولى صابر السيد</t>
  </si>
  <si>
    <t>امنيه خيري عبد الفتاح حبيب</t>
  </si>
  <si>
    <t>صهيب إبراهيم عمر السيد</t>
  </si>
  <si>
    <t>محمد اسماعيل محمد محمد إسماعيل</t>
  </si>
  <si>
    <t>يوسف محمد السيد عبد الرحمن</t>
  </si>
  <si>
    <t>يوسف محمد شوقي حبيب الشعراوي</t>
  </si>
  <si>
    <t>يوسف محمد حسن حسن احمد حموده</t>
  </si>
  <si>
    <t>يوسف على محمد على احمد عزب</t>
  </si>
  <si>
    <t>سماء السيد ابراهيم مصطفي ابراهيم</t>
  </si>
  <si>
    <t>شذا سعيد عبدالحميد ابراهيم موافي</t>
  </si>
  <si>
    <t>شهد اشرف لطفي السيد عبد ربه</t>
  </si>
  <si>
    <t>شهد بهجت محمد صالح السيد</t>
  </si>
  <si>
    <t>شهد جنيدي عبدالعظيم عبدالسلام</t>
  </si>
  <si>
    <t>شهد محمود محمد حسيني سند</t>
  </si>
  <si>
    <t>ضحى عماد عبدالغني ضهر</t>
  </si>
  <si>
    <t xml:space="preserve">كلية حاسبات ومعلومات
C011 الدور الارضي </t>
  </si>
  <si>
    <t>عبد الرحمن رمضان عبد الهادى محمد ابو سيف</t>
  </si>
  <si>
    <t>فاطمة على عبد العزيز على عبد الجواد</t>
  </si>
  <si>
    <t>فداء محمد عبدالبديع محمد</t>
  </si>
  <si>
    <t>مروه محمد عبد المقصود على</t>
  </si>
  <si>
    <t>مريم خالد علي احمد الصاوي</t>
  </si>
  <si>
    <t>مريم عادل السيد عزب الشترى</t>
  </si>
  <si>
    <t>مريم محمدحسينى عبدالعال احمد</t>
  </si>
  <si>
    <t>رحمه محمود محمد السيد محمد</t>
  </si>
  <si>
    <t>احمد اشرف صابر رجب احمد</t>
  </si>
  <si>
    <t>احمد حسينى عبدالعزيز حسيني تهامى</t>
  </si>
  <si>
    <t>احمد منصور محمد فتحي محمد راشد</t>
  </si>
  <si>
    <t>ادهم محمد متولي اسماعيل محمد</t>
  </si>
  <si>
    <t>اريج محمد السيد محمد بركات</t>
  </si>
  <si>
    <t>ايمان ايمن محمد امين علي فرنيسه</t>
  </si>
  <si>
    <t>ايمان عبد اللطيف احمد رضوان مصطفي</t>
  </si>
  <si>
    <t>ايمان عمرو مصطفي شكري محمد خربوش</t>
  </si>
  <si>
    <t>عبدالرحمن محمد محمد حسن ابو المجد</t>
  </si>
  <si>
    <t>عمر هشام احمد السيد حسن</t>
  </si>
  <si>
    <t>منة الله طارق عبد المحسن</t>
  </si>
  <si>
    <t>ساندي السيد معوض ابراهيم</t>
  </si>
  <si>
    <t>مريم ياسر محمد حلمي عبده عبدالهادي</t>
  </si>
  <si>
    <t>نور احمد ابراهيم عز</t>
  </si>
  <si>
    <t>منه وليد حسن احمد حسن</t>
  </si>
  <si>
    <t>منه حمدي عطيه محمد اسماعيل</t>
  </si>
  <si>
    <t>ياسمين احمد السيد احمد السيد</t>
  </si>
  <si>
    <t xml:space="preserve">كلية حاسبات ومعلومات
C01  الدور الارضي </t>
  </si>
  <si>
    <t>ملك وليد ابراهيم عبد الرحمن محمد</t>
  </si>
  <si>
    <t>فرح محمد السيد ابراهيم عبدالقادر</t>
  </si>
  <si>
    <t>فريده هشام سالم أحمد سالم</t>
  </si>
  <si>
    <t>محمد جمال محمد محمد عيد</t>
  </si>
  <si>
    <t>محمد سليمان محمد ابراهيم محمد جدوع</t>
  </si>
  <si>
    <t>محمد صلاح عبدالحفيظ امام بدوى</t>
  </si>
  <si>
    <t>محمود محمد رمضان محمد سليمان</t>
  </si>
  <si>
    <t>مريم احمد عبدالحميد علي رزق</t>
  </si>
  <si>
    <t>ملك بهاء سالم ابراهيم حماد</t>
  </si>
  <si>
    <t>ملك ماهر فوزى عبدالباقى شعيب</t>
  </si>
  <si>
    <t>منار محمد احمد امام سنهابى</t>
  </si>
  <si>
    <t>منه اشرف محمد زكي ابراهيم</t>
  </si>
  <si>
    <t>منه الله رضا كامل محمد على</t>
  </si>
  <si>
    <t>منه الله محمود فراج محمود عبد الفتاح</t>
  </si>
  <si>
    <t>منه خالد عبد السميع حسين حسن</t>
  </si>
  <si>
    <t>منه سيد محمد علي محمد</t>
  </si>
  <si>
    <t>ميار ايهاب محمد عبدالحليم عبد الوهاب</t>
  </si>
  <si>
    <t>ندي عزمي احمد محمد عوض</t>
  </si>
  <si>
    <t>نعمات ضياء اسماعيل علي بركات</t>
  </si>
  <si>
    <t>نورا يوسف عبد الهادى اسماعيل</t>
  </si>
  <si>
    <t>هدير احمد كمال محمد علي العزب</t>
  </si>
  <si>
    <t>ياسمين هشام على صالح محمد</t>
  </si>
  <si>
    <t>يحي مصري جلال ضيف الله</t>
  </si>
  <si>
    <t>تقي الدين ابراهيم محمد محمد حسين سالم</t>
  </si>
  <si>
    <t>دهب السيد وهبه يوسف احمد</t>
  </si>
  <si>
    <t xml:space="preserve">كلية حاسبات ومعلومات
C02 الدور الارضي </t>
  </si>
  <si>
    <t>احمد السيد محمد محمد شلبي</t>
  </si>
  <si>
    <t>B1</t>
  </si>
  <si>
    <t>حبيبه حامد حسن السيد حسن</t>
  </si>
  <si>
    <t>سلمى مصطفى على محمد سيد احمد</t>
  </si>
  <si>
    <t>شروق تامر يوسف إبراهيم سليمان</t>
  </si>
  <si>
    <t>عمر خالد محمد حسن مسعد</t>
  </si>
  <si>
    <t>ريناد عيد سعد عيد محمد فرج الله</t>
  </si>
  <si>
    <t>مريم السيد إبراهيم السيد محمد</t>
  </si>
  <si>
    <t>زهراء السيد حسن عبدالسلام نصر</t>
  </si>
  <si>
    <t>محمود محمد مرسى محمد اسماعيل</t>
  </si>
  <si>
    <t>هاجر عبد الرحمن محمد عبد الرحمن عبدالنبي</t>
  </si>
  <si>
    <t>هنا علاء محمد على أبو عجور</t>
  </si>
  <si>
    <t>ياسين احمد رفعت عشرى حسن</t>
  </si>
  <si>
    <t>يحيي وائل محمد السيد محمد</t>
  </si>
  <si>
    <t>ندى محمد محمد المؤمن مصطفى محمد</t>
  </si>
  <si>
    <t>مريم محمد رمضان غانم رمضان</t>
  </si>
  <si>
    <t>مريم حمدى محمد سليمان عبد الله</t>
  </si>
  <si>
    <t>ملك وحيد عبدالمنعم محمد</t>
  </si>
  <si>
    <t>ندى السيد زين الدين عبدالحى مرسي</t>
  </si>
  <si>
    <t>ندى وحيد بكرى احمد عبدالله</t>
  </si>
  <si>
    <t>مها سمير محمد كامل السيد سالم</t>
  </si>
  <si>
    <t>موده حمدى احمد على سلامه</t>
  </si>
  <si>
    <t>ندا خالد احمد هيبه</t>
  </si>
  <si>
    <t>شهد سامى السيد محمد الصاوى</t>
  </si>
  <si>
    <t>رحمه وليد محمد احمد مندور</t>
  </si>
  <si>
    <t>رفيده عيد فتحى الفلال</t>
  </si>
  <si>
    <t>منه الله محمد شحاته إبراهيم حسانين</t>
  </si>
  <si>
    <t>شريف عبد العزيز محمد</t>
  </si>
  <si>
    <t xml:space="preserve">كلية حاسبات ومعلومات
C03 الدور الارضي </t>
  </si>
  <si>
    <t>رحمه رمضان سباعى سيف</t>
  </si>
  <si>
    <t>سندس حسام محمد رفعت</t>
  </si>
  <si>
    <t>فرح محمود عبد المنصف عبد الخالق غراب</t>
  </si>
  <si>
    <t>ساره السيد محمد محمد حسن</t>
  </si>
  <si>
    <t>حبيبه رامى رفعت التهامى عبد الدايم</t>
  </si>
  <si>
    <t>بسنت رجب إبراهيم غمرى حميد</t>
  </si>
  <si>
    <t>تسنيم اسامه حسن إبراهيم الدسوقى</t>
  </si>
  <si>
    <t>امال ثروت خاطر إبراهيم عوض</t>
  </si>
  <si>
    <t>عادل محمد عادل محمد الشرقاوى محمد وهبه</t>
  </si>
  <si>
    <t>ايه عبد الرؤف احمد حسين احمد</t>
  </si>
  <si>
    <t>اية مجدى جودة عبدالسلام محمد</t>
  </si>
  <si>
    <t>ندى محمد ابراهيم محمد بندارى</t>
  </si>
  <si>
    <t>انس اسامه محمو حسن احمد</t>
  </si>
  <si>
    <t>ندا عطوه ابراهيم عويس</t>
  </si>
  <si>
    <t>نور احمد عبد الباقى محمد على جبر</t>
  </si>
  <si>
    <t>هاجر حلمى حسن محمد حلمى محمد</t>
  </si>
  <si>
    <t>هند محمد الهادى احمد عبدالرحمن</t>
  </si>
  <si>
    <t>ساره محمد عبد المنعم محمد احمد</t>
  </si>
  <si>
    <t>سحر إسماعيل عزت منتصر سالم عوده</t>
  </si>
  <si>
    <t>محمد السيد جوده احمد عيسي إبراهيم</t>
  </si>
  <si>
    <t>محمود محمد محمود عوض عدلى حسن</t>
  </si>
  <si>
    <t>مريم طارق احمد ماهر سليمان إبراهيم</t>
  </si>
  <si>
    <t>مريم حسام الدين احمد مندور</t>
  </si>
  <si>
    <t>ملك محمد جمال مباشر</t>
  </si>
  <si>
    <t>ندى مصطفى محمد محمد على</t>
  </si>
  <si>
    <t>احمد رضا محمود احمد السيد العدوى</t>
  </si>
  <si>
    <t>ميرنا وحيد عز العرب الشيخ</t>
  </si>
  <si>
    <t>رنا راضى على عبدالمقصود على</t>
  </si>
  <si>
    <t xml:space="preserve">كلية حاسبات ومعلومات
C04 الدور الارضي </t>
  </si>
  <si>
    <t>بسمة عبد العزيز علي ابراهيم محمد</t>
  </si>
  <si>
    <t>اسامه اشرف محمد احمد الكيادى</t>
  </si>
  <si>
    <t>لمياء رمضان حسن عطيه</t>
  </si>
  <si>
    <t>اسراء محمود عبد الواحد إبراهيم</t>
  </si>
  <si>
    <t>نوران محمد حسن بيومى محمد</t>
  </si>
  <si>
    <t>احمد عصام أبو العباس السيد فتح الباب</t>
  </si>
  <si>
    <t>اميره محمد جوده على سالم عطا</t>
  </si>
  <si>
    <t>مؤمن سيد عبد العزيز عبد الرحمن السيد عطيه</t>
  </si>
  <si>
    <t>رحمه خالد علي عبد العال نويرة</t>
  </si>
  <si>
    <t>ندا عصام محمد محمد محمد صقر</t>
  </si>
  <si>
    <t>امانى محمد كامل عبدالمنعم عبدالله</t>
  </si>
  <si>
    <t>عبد الرحمن حسين لطفى عبد الخالق حسنين</t>
  </si>
  <si>
    <t>محمد احمد عبد الهادى سعد</t>
  </si>
  <si>
    <t>محمد حسام السيد إبراهيم فرج</t>
  </si>
  <si>
    <t>هاله السيد الشبراوي محمود خميس</t>
  </si>
  <si>
    <t>دنيا إسماعيل احمد محمد سليمان</t>
  </si>
  <si>
    <t>امنيه عبد الوهاب عبد المولى عبد الوهاب</t>
  </si>
  <si>
    <t>اميره السيد ابراهيم رزيق</t>
  </si>
  <si>
    <t>رؤى هانى محمد السيد محمد</t>
  </si>
  <si>
    <t>اسماعيل احمد صلاح ابراهيم</t>
  </si>
  <si>
    <t>الاء عمران حليم موسي عبد العزيز</t>
  </si>
  <si>
    <t>مازن محمد محمد عبده عبد العال</t>
  </si>
  <si>
    <t>مروه الانور السيد الانور سالم</t>
  </si>
  <si>
    <t>ريهام رضا عبد الحميد عبدالله حسن</t>
  </si>
  <si>
    <t>سلمى محمد خليل خليل</t>
  </si>
  <si>
    <t>احمد علاء اسماعيل احمد الالفى</t>
  </si>
  <si>
    <t>مارينا هانى جورجى جاد بشاره</t>
  </si>
  <si>
    <t>محمد عماد عيد عبد المجيد</t>
  </si>
  <si>
    <t xml:space="preserve">كلية حاسبات ومعلومات
C05  الدور الارضي </t>
  </si>
  <si>
    <t>سماء إسماعيل محمد السيد سليمان</t>
  </si>
  <si>
    <t>سيف محمد ابراهيم ابراهيم الدسوقى</t>
  </si>
  <si>
    <t>شروق فتحى احمد عبد الحميد على</t>
  </si>
  <si>
    <t>شهد محمد السيد محمد السيد صابر</t>
  </si>
  <si>
    <t>هنا علي احمد علي</t>
  </si>
  <si>
    <t>عمر سامى الصادق محمد سلامة</t>
  </si>
  <si>
    <t>سوسن عيد احمد عيد حسين</t>
  </si>
  <si>
    <t>هانى محمد مصطفى احمد عوض</t>
  </si>
  <si>
    <t>ايه عمر محمد طايل محمود</t>
  </si>
  <si>
    <t>احمد ابراهيم فتحى مصطفى عرفات</t>
  </si>
  <si>
    <t>عبدالله يحيي محمد على إبراهيم البحراوى</t>
  </si>
  <si>
    <t>عبد الله محمد حسن محمد</t>
  </si>
  <si>
    <t>عبدالله احمد محمد عبد الحميد احمد</t>
  </si>
  <si>
    <t>عمر محمود عبدالعزيز سليمان احمد</t>
  </si>
  <si>
    <t>عمر سمير طه محمد حسن</t>
  </si>
  <si>
    <t>عمر اسامه مرسي محمد عبد الفتاح</t>
  </si>
  <si>
    <t>عمر رجب عبدالعزيز محمد ابراهيم النجار</t>
  </si>
  <si>
    <t>عمرو محمد عثمان فرج حسن</t>
  </si>
  <si>
    <t>حنين جمال محمد السيد</t>
  </si>
  <si>
    <t>بافلى سامى سعيد ميخائيل جرجس</t>
  </si>
  <si>
    <t>بكر اشرف محمد أبو بكر على سعود</t>
  </si>
  <si>
    <t>ثروت السيد ثروت عبدالقادر إبراهيم</t>
  </si>
  <si>
    <t>خليل عماد خليل عبدالحفيظ عبدالحميد</t>
  </si>
  <si>
    <t>رويدا على عبد العزيز على</t>
  </si>
  <si>
    <t>ريم إبراهيم السيد مصطفى ابراهيم</t>
  </si>
  <si>
    <t>روان سمير عبدالعزيز عبدالمعطي عبدالعزيز</t>
  </si>
  <si>
    <t>هاجر محمد فاروق حسين متولي</t>
  </si>
  <si>
    <t>منه محمود حسن محمد</t>
  </si>
  <si>
    <t xml:space="preserve">كلية حاسبات ومعلومات
C06  الدور الارضي </t>
  </si>
  <si>
    <t>ريم محمد عادل عبدالقادر</t>
  </si>
  <si>
    <t>ساره محمد السيد إسماعيل محمد</t>
  </si>
  <si>
    <t>علياء سمير محمد عوض عوده حسن الشاعر</t>
  </si>
  <si>
    <t>علياء احمد محمد سليمان احمد إبراهيم</t>
  </si>
  <si>
    <t>نرمين إبراهيم إبراهيم على سالم</t>
  </si>
  <si>
    <t>زينب عبدالغفار محمد رزق على سالم</t>
  </si>
  <si>
    <t>ساره عبدالله منصور مجاهد منصور</t>
  </si>
  <si>
    <t>منه احمد محمد عبد البارى عبد الواحد</t>
  </si>
  <si>
    <t>مريم ابراهيم شحاته الصاوي</t>
  </si>
  <si>
    <t>منه عبدالمنعم احمد احمد محمد الليثى</t>
  </si>
  <si>
    <t>منه الله محمود محمد السيد احمد</t>
  </si>
  <si>
    <t>رانيا شريف الهادي محمد عبدالرحمن</t>
  </si>
  <si>
    <t>زينب مصطفى ضياء الدين</t>
  </si>
  <si>
    <t>بسمه حسين محمد الصديق حسين</t>
  </si>
  <si>
    <t>نورهان محمد جاد إبراهيم محمد حماد</t>
  </si>
  <si>
    <t>نورهان فوزى حسين محمد خليفه</t>
  </si>
  <si>
    <t>هنا احمد غازى غازى رخا</t>
  </si>
  <si>
    <t>وسام السعيد حسانين عطيه عبدربه</t>
  </si>
  <si>
    <t>عبد الرحمن إيهاب فتحى على</t>
  </si>
  <si>
    <t>ساميه هيسم عبد الرحمن عبد الحى</t>
  </si>
  <si>
    <t>مارلين ماهر صبرى معوض</t>
  </si>
  <si>
    <t>مؤمن محمود ابراهيم امين</t>
  </si>
  <si>
    <t>محمود السيد السيد عرفات على</t>
  </si>
  <si>
    <t>محمود مدحت محمد انيس عليوه مراد</t>
  </si>
  <si>
    <t>ملك هانى حبيب احمد السيد جابر</t>
  </si>
  <si>
    <t>ايه السيد نبيه احمد نجيده</t>
  </si>
  <si>
    <t>حلا حازم محمد عبد الرحمن محمد</t>
  </si>
  <si>
    <t>محمد الخضرى عبد المنعم على السيد</t>
  </si>
  <si>
    <t xml:space="preserve">كلية حاسبات ومعلومات
C010 الدور الارضي </t>
  </si>
  <si>
    <t>نداء عبدالله عبده عبدالعال</t>
  </si>
  <si>
    <t>اماني رضا عبد الغني</t>
  </si>
  <si>
    <t>الاء شريف إبراهيم عبد الفتاح</t>
  </si>
  <si>
    <t>الاء يوسف شكرى محمد يوسف</t>
  </si>
  <si>
    <t>ايمان سعيد محمد محمد احمد عامر</t>
  </si>
  <si>
    <t>مي علي احمد محمد</t>
  </si>
  <si>
    <t>ايمن محمد السيد حامد عليوه</t>
  </si>
  <si>
    <t>منال اسماعيل محمود حسن الشحات</t>
  </si>
  <si>
    <t>منال محمد داود مشرف عمار</t>
  </si>
  <si>
    <t>منه محمد محمد عثمان أبو المجد</t>
  </si>
  <si>
    <t>منه عبد الباسط السيد إسماعيل</t>
  </si>
  <si>
    <t>مياده حسام محمد بهاء الدين محمد احمد</t>
  </si>
  <si>
    <t xml:space="preserve">فاطمه علاء الدين إبراهيم احمد حسن </t>
  </si>
  <si>
    <t>رفيده السيد محمد علي عطا</t>
  </si>
  <si>
    <t>رناد درويش إبراهيم حسن صالح</t>
  </si>
  <si>
    <t>محمود زينهم عبد العظيم ابراهيم</t>
  </si>
  <si>
    <t>رحمه ياسر محمد سليمان سلمى</t>
  </si>
  <si>
    <t>افنان السيد سعيد عبدالغنى الصاوى</t>
  </si>
  <si>
    <t>سلمى عبدالحكيم عبدالفتاح حسن ابوزيد</t>
  </si>
  <si>
    <t>روان السيد حسن إبراهيم</t>
  </si>
  <si>
    <t>أسماء محمد عبد الحميد نصار</t>
  </si>
  <si>
    <t>بسمله احمد صديق متولى</t>
  </si>
  <si>
    <t>بسمله خيرت جمعه حسن محمد</t>
  </si>
  <si>
    <t>بسمله محمد على الحسينى مسلم</t>
  </si>
  <si>
    <t>بسمله اسماعيل سعد سعد سليمان</t>
  </si>
  <si>
    <t>بسمله محمد مهدى عبد السميع توفيق</t>
  </si>
  <si>
    <t>مريم على احمد محمد محجوب محمد</t>
  </si>
  <si>
    <t>بسمله محمد اسعد حسن احمد حسن</t>
  </si>
  <si>
    <t xml:space="preserve">كلية حاسبات ومعلومات
C07 الدور الارضي </t>
  </si>
  <si>
    <t>اميره صلاح الدين محمد محمد ابراهيم</t>
  </si>
  <si>
    <t>بسمله محمود الشحات محمد الحديدى</t>
  </si>
  <si>
    <t>احمد عبدالله السيد محمد السيد</t>
  </si>
  <si>
    <t>اروى محمد عبدالله عبد ربه عاشور</t>
  </si>
  <si>
    <t>الاء محمد حسينى عبدالله سليم</t>
  </si>
  <si>
    <t>احمد وائل السيد فتحى</t>
  </si>
  <si>
    <t>حبيبه محمد السيد منصور محمد عطوه</t>
  </si>
  <si>
    <t>محمود زكى محمد عبد الحميد مهدى</t>
  </si>
  <si>
    <t>سلذى عبدالعزيز فتحى عبدالعزيز مكاوى</t>
  </si>
  <si>
    <t>شيماء ثروت مرسى عبدالفتاح على</t>
  </si>
  <si>
    <t>سما محمد صلاح محمد الطاهر محمد على</t>
  </si>
  <si>
    <t>حنين مصطفى محمود حسن مصطفى</t>
  </si>
  <si>
    <t>منه الله مصطفى السيد على أيوب</t>
  </si>
  <si>
    <t>تسنيم احمد عبد العظيم احمد العدوى</t>
  </si>
  <si>
    <t>اسلام محمد عطاالله فرحان عياده</t>
  </si>
  <si>
    <t>السيد محمد جمال محمد متولى</t>
  </si>
  <si>
    <t>الاء رياض شكرى احمد الدرس</t>
  </si>
  <si>
    <t>ايه ابرهيم احمد بكرى يوسف</t>
  </si>
  <si>
    <t>ابراهيم محمد ابراهيم عبدالعظيم البخشونجى</t>
  </si>
  <si>
    <t>بسمله محمد مصطفى على مصطفى</t>
  </si>
  <si>
    <t>رواء فرج سليمان محمد سليمان</t>
  </si>
  <si>
    <t>روان سمير عبد النبي عوض السيد غنيم</t>
  </si>
  <si>
    <t>روان رائد مهدى عباس عمر</t>
  </si>
  <si>
    <t>فداء صبري وجيد محمد</t>
  </si>
  <si>
    <t>ساره صلاح السيد حسن المحمودى حسين</t>
  </si>
  <si>
    <t>نور ايمن امام محمد</t>
  </si>
  <si>
    <t>سيمونا ايهاب زكريا قلاده نخنوخ</t>
  </si>
  <si>
    <t>ايه ابراهيم عبدالله ابراهيم المعلاوى</t>
  </si>
  <si>
    <t>كلية حاسبات ومعلومات
C2-16 الدور الثاني / لجنة خاصة</t>
  </si>
  <si>
    <t>محمد ابراهيم علي محمد</t>
  </si>
  <si>
    <t>A1 S 1</t>
  </si>
  <si>
    <t>دنيا ابراهيم علي محمد</t>
  </si>
  <si>
    <t>بسنت محمد الشحات</t>
  </si>
  <si>
    <t>زياد محمد السيد عبده سليمان</t>
  </si>
  <si>
    <t>محمد محمود خليل ابراهيم خليل</t>
  </si>
  <si>
    <t>عبد الرحمن محمد احمد</t>
  </si>
  <si>
    <t>ابرار محمد احمد علي حسن</t>
  </si>
  <si>
    <t>ابراهيم فايد محمد عبد العظيم محمد</t>
  </si>
  <si>
    <t>أحمد إبراهيم سباعي إبراهيم</t>
  </si>
  <si>
    <t>آحمد ابراهيم صلاح الدين عبد الفتاح عطيه</t>
  </si>
  <si>
    <t>احمد صبحي محمود عبدالواحد محمود</t>
  </si>
  <si>
    <t>احمد عبدالفتاح السيد السيد عطيه</t>
  </si>
  <si>
    <t>احمد عبدالله عبده محمد حسن</t>
  </si>
  <si>
    <t>احمد محمد السيد محمد عبدالعزيز</t>
  </si>
  <si>
    <t>احمد محمد امل عابدين محمد</t>
  </si>
  <si>
    <t>احمد محمد محمد حسين محمد سعد</t>
  </si>
  <si>
    <t>احمد محمود احمد شوقي محمود احمد</t>
  </si>
  <si>
    <t>احمد منصور عبدالكريم محمد يونس</t>
  </si>
  <si>
    <t>احمد ولاء محمد السيد مهنى</t>
  </si>
  <si>
    <t>ادم شاكر محمد شاكر محمود محمد</t>
  </si>
  <si>
    <t>اروى ايهاب صالح محمود احمد يوسف</t>
  </si>
  <si>
    <t>اروي باسم السيد عطا دويدار</t>
  </si>
  <si>
    <t>اسراء عبد الجواد هليل عبد العزيز سلامه</t>
  </si>
  <si>
    <t>حسام أحمد محمد عادل عبده السيد</t>
  </si>
  <si>
    <t>اسراء احمد سعيد جبر جبر</t>
  </si>
  <si>
    <t>اسراء احمد عاطف علي حسن</t>
  </si>
  <si>
    <t>اسراء رضا ابراهيم الدسوقي محمود</t>
  </si>
  <si>
    <t>اسراء عماد الدين حسن سليمان طعيمه</t>
  </si>
  <si>
    <t>اسراء محمد علي محمد السيد</t>
  </si>
  <si>
    <t>اسماء احمد محمد مصطفى محمد</t>
  </si>
  <si>
    <t>اسماء السيد ابراهيم يوسف السيد</t>
  </si>
  <si>
    <t>ندى علي محمد السيد يوسف</t>
  </si>
  <si>
    <t>احمد فؤاد عثمان</t>
  </si>
  <si>
    <t>اسماء جمال محمد يوسف جلهوم</t>
  </si>
  <si>
    <t>اسماء محمد محمد ابراهيم علي الزيدى</t>
  </si>
  <si>
    <t>اسيل عصام عبدالمنعم محمد عبدالمنعم</t>
  </si>
  <si>
    <t>اصاله مدحت محمد عبدالموجود درويش</t>
  </si>
  <si>
    <t>الاء اشرف ابراهيم عطيه عبدربه</t>
  </si>
  <si>
    <t>الاء مصباح السيد صالح اسماعيل</t>
  </si>
  <si>
    <t>الحسن على محمد على</t>
  </si>
  <si>
    <t>الزهراء حسين محمود احمد الجندى</t>
  </si>
  <si>
    <t>أمل حسين عبد الماجد ابراهيم محمد</t>
  </si>
  <si>
    <t>محمد حسام محمد علي محدمد الغرباوي</t>
  </si>
  <si>
    <t>عاطف محمد الصابر خليل الصابر</t>
  </si>
  <si>
    <t>محمد احمد عبدالعظيم محمد مصطفي</t>
  </si>
  <si>
    <t>احمد حسام مصطفي</t>
  </si>
  <si>
    <t>همس هاني احمد مصيلحي محمد</t>
  </si>
  <si>
    <t>هنا احمد عبدالمنعم حمزه محمد البهى</t>
  </si>
  <si>
    <t>محمد علاء الدين السيد اسماعيل متولى</t>
  </si>
  <si>
    <t>محمد ابراهيم مصطفي لطفي معوض</t>
  </si>
  <si>
    <t>محمد المتولى مرسى عبدالحميد المرسى</t>
  </si>
  <si>
    <t>نورا وليد رمضان محمد عبدالحميد</t>
  </si>
  <si>
    <t>يوسف احمد محسن عبد القادر</t>
  </si>
  <si>
    <t>محمد ايمن عبد العظيم السيد سالم</t>
  </si>
  <si>
    <t>ندى حسن اسماعيل السيد اسماعيل</t>
  </si>
  <si>
    <t>نغم عبدالحميد عبدالله عبدالحميد الصادق</t>
  </si>
  <si>
    <t>امنيه السيد ابو الفتوح ريحان رزق</t>
  </si>
  <si>
    <t>امنيه السيد محمد حسن فرج الاعصر</t>
  </si>
  <si>
    <t>امنيه صبحي احمد محمد حسونه</t>
  </si>
  <si>
    <t>امير السيد بكرى محمد سلام</t>
  </si>
  <si>
    <t>انجى محمد عبدالعزيز عبدالكريم جمعه</t>
  </si>
  <si>
    <t>اياد احمد محمد سعيد موسي اسماعيل</t>
  </si>
  <si>
    <t>ايمان محمد محمد عطيه متولي</t>
  </si>
  <si>
    <t>ايه محمد علي الديداموني سليمان</t>
  </si>
  <si>
    <t>ايه محمود محمد السيد امام</t>
  </si>
  <si>
    <t>ايه وحيد السيد احمد مخيمر</t>
  </si>
  <si>
    <t>باسنت راضي محمد عبدالرحمن سعيد</t>
  </si>
  <si>
    <t>بثينه نسيم محمد محمد حسونه</t>
  </si>
  <si>
    <t>براء جمال اسماعيل احمد ابراهيم</t>
  </si>
  <si>
    <t>بسملة محمد احمد على</t>
  </si>
  <si>
    <t>بسمله السيد قطب السيد</t>
  </si>
  <si>
    <t>بسمله السيد مكاوى الطنطاوى على</t>
  </si>
  <si>
    <t>بسمله امين عبدالبديع امين</t>
  </si>
  <si>
    <t>بسمله ايهاب احمد فؤاد شحاته محمود</t>
  </si>
  <si>
    <t>بسمله عبدالرحمن ابوزيد احمد</t>
  </si>
  <si>
    <t>شهد محمد احمد فؤاد محمد</t>
  </si>
  <si>
    <t>ريهام بندارى متولي متولى على</t>
  </si>
  <si>
    <t>ايمان سالم سليمان مقبول خضر</t>
  </si>
  <si>
    <t>مارينا سعيد فوزى حبشي تادرس</t>
  </si>
  <si>
    <t>كليه علاج طبيعي تانيه</t>
  </si>
  <si>
    <t>محمد السيد عبد المنعم عبد الرحمن الطحلاوي</t>
  </si>
  <si>
    <t>كلية الصيدلة - فارم دي - الفرقة الثانية</t>
  </si>
  <si>
    <t>بسمله عبدالرحمن محمد عبدالرحمن</t>
  </si>
  <si>
    <t>بسمله محمد سليمان علي عويشيره</t>
  </si>
  <si>
    <t>بسنت طلعت عبد الحميد السيد غنيم</t>
  </si>
  <si>
    <t>تبارك احمد السيد محمد</t>
  </si>
  <si>
    <t>تسنيم احمد عبدالرحمن سليمان محمد</t>
  </si>
  <si>
    <t>جنا ابراهيم محمد مصطفي</t>
  </si>
  <si>
    <t>جنه محمد عبدالباقي احمد عبدالعال</t>
  </si>
  <si>
    <t>جني عمر عبد العزيز احمد فياض</t>
  </si>
  <si>
    <t>حازم صالح سلامه سالم</t>
  </si>
  <si>
    <t>حبيبه محمد عيد عبدالرحمن خليل</t>
  </si>
  <si>
    <t>حسام محمد احمد السيد باز</t>
  </si>
  <si>
    <t>حسام محمد محمد حسين ابراهيم</t>
  </si>
  <si>
    <t>حسناء ممدوح ابراهيم محمد علي</t>
  </si>
  <si>
    <t>حنين وائل محمد عبدالرحمن عبدالعزيز</t>
  </si>
  <si>
    <t>دعاء امين السيد حسينى</t>
  </si>
  <si>
    <t>رؤى محمد عبد الستار محمد اسماعيل</t>
  </si>
  <si>
    <t>راندا شاكر السيد عبدالحميد زيد</t>
  </si>
  <si>
    <t>رحاب هاني احمد عبدالخالق عبدالحليم</t>
  </si>
  <si>
    <t>مالك بليغ محمد محمد عبدالعزيز</t>
  </si>
  <si>
    <t>فؤاد السعيد فؤاد حلبي عبد المقصود</t>
  </si>
  <si>
    <t>رحمه ابوبكر محمد السيد سليمان</t>
  </si>
  <si>
    <t>رحمه اسامه جمال محمد عبدالرحمن</t>
  </si>
  <si>
    <t>رحمه طارق محمود عبدالخالق محمد</t>
  </si>
  <si>
    <t>رحمه مصطفي عبدالسلام عبدالنبي حسن</t>
  </si>
  <si>
    <t>روان احمد سلطان على</t>
  </si>
  <si>
    <t>روان اسامه السيد سالم ابراهيم</t>
  </si>
  <si>
    <t>روان شريف محمد ابراهيم مصطفي</t>
  </si>
  <si>
    <t>ريم محمد زكريا علي احمد عليوه</t>
  </si>
  <si>
    <t>ريهام عيد منصور الحسانين منصور</t>
  </si>
  <si>
    <t>ريهام محمد الصادق محمد البطل</t>
  </si>
  <si>
    <t>زهراء هانى محمد الغريب سليمان</t>
  </si>
  <si>
    <t>زياد المحمدى السيد امين الشحات</t>
  </si>
  <si>
    <t>زينب محمد عبده حسن</t>
  </si>
  <si>
    <t>ساره احمد برهم محمد عوده</t>
  </si>
  <si>
    <t>ساره عصام سامي فرج محمد</t>
  </si>
  <si>
    <t>سحر احمد عبدالمنعم عبدالعال احمد النجدى</t>
  </si>
  <si>
    <t>سحر محمد عبدالقادر ابراهيم علي</t>
  </si>
  <si>
    <t>سعاد خالد عبداللطيف محمد</t>
  </si>
  <si>
    <t>ايه وليد عبدالرحمن محمد مصطفى</t>
  </si>
  <si>
    <t>سلمى احمد دسوقى محمد الهنداوى</t>
  </si>
  <si>
    <t>سما ابراهيم محمد ابراهيم عبدالرازق</t>
  </si>
  <si>
    <t>سما محمد السعدي فاضل سلامه</t>
  </si>
  <si>
    <t>سندس وائل عبدالله حسن هيصم</t>
  </si>
  <si>
    <t>شروق عبدالسميع محسن عبد السميع محمد</t>
  </si>
  <si>
    <t>شريف عصام منير محمد سليمان</t>
  </si>
  <si>
    <t>شهد احمد محمد السيد عبدالعال</t>
  </si>
  <si>
    <t>شهد خالد احمد خليل حسن</t>
  </si>
  <si>
    <t>شهد صابر احمد حسانين محمد</t>
  </si>
  <si>
    <t>شهد عادل عبدالله عبدالله طعمه</t>
  </si>
  <si>
    <t>شهد عبدالحميد محمد السيد ابراهيم قاسم</t>
  </si>
  <si>
    <t>شهد محمد عبدالفتاح محمد</t>
  </si>
  <si>
    <t>شهد هاني عبدالقادر علي محمد</t>
  </si>
  <si>
    <t>شيماء عبدالحميد محمد محمود</t>
  </si>
  <si>
    <t>شيماء محمد محمد محمود سعيد</t>
  </si>
  <si>
    <t>ضحى محمد علي سليمان كبيش</t>
  </si>
  <si>
    <t>عبدالعزيز نبيل عبدالعزيز رضوان عبدالعزيز</t>
  </si>
  <si>
    <t>عبدالله علي عبدالله علي</t>
  </si>
  <si>
    <t>علا احمد الشبراوي عبد الخالق خضير</t>
  </si>
  <si>
    <t>باسم صبحى محمد عبد العال ابراهيم</t>
  </si>
  <si>
    <t>علي سعيد سعيد احمد سليمان</t>
  </si>
  <si>
    <t>عماد السعيد رجب اسماعيل عبدالله</t>
  </si>
  <si>
    <t>عماد محمود عبدالفتاح الطوخى واكد</t>
  </si>
  <si>
    <t>عمار ياسر عادل على وهبه علي الدماصى</t>
  </si>
  <si>
    <t>عمر السيد فتوح محمد علي</t>
  </si>
  <si>
    <t>عمر عادل محمد محمد سليمان</t>
  </si>
  <si>
    <t>عمر عبد العزيز عبد القادر عبد العزيز عبد العال</t>
  </si>
  <si>
    <t>عمر محمد احمد راضى عامر</t>
  </si>
  <si>
    <t>عمرو احمد عثمان محمد عثمان</t>
  </si>
  <si>
    <t>فاتن ابراهيم محمد صالح هنداوي</t>
  </si>
  <si>
    <t>فادى وليد احمد محمد محروس</t>
  </si>
  <si>
    <t>فاديه سالم السيد محمد سالم بدر</t>
  </si>
  <si>
    <t>فاطمه علي الصاوي عبده رمضان</t>
  </si>
  <si>
    <t>فاطمه محمد محمود السيد حسن</t>
  </si>
  <si>
    <t>فاطمه هانى السيد صالح مشعل</t>
  </si>
  <si>
    <t>فراس ابراهيم ابوالنجا عثمان</t>
  </si>
  <si>
    <t>فوزي محمد محمد فوزي عبد الملك أحمد</t>
  </si>
  <si>
    <t>فيروز حلمي الحسيني محمد</t>
  </si>
  <si>
    <t>كريم حسام الدين مصطفي عبد المنعم مصطفي</t>
  </si>
  <si>
    <t>كريمه محمود سيد احمد عبد الحميد سيد احمد</t>
  </si>
  <si>
    <t>ليان صلاح الدين محمد فهمي حسيني علي عسكر</t>
  </si>
  <si>
    <t>لينه سليمان ابو الفتوح احمد محمد</t>
  </si>
  <si>
    <t>مؤمن السيد عبدالمنعم على</t>
  </si>
  <si>
    <t>محمد ابراهيم عبدالفتاح عبدالحميد محمد</t>
  </si>
  <si>
    <t>محمد أحمد علام احمد</t>
  </si>
  <si>
    <t>محمد السيد حسن الهادي محمد</t>
  </si>
  <si>
    <t>محمد ايمن احمد عبداللطيف عبدالرحمن</t>
  </si>
  <si>
    <t>محمد ايمن عبدالحميد محمد سلامه</t>
  </si>
  <si>
    <t>محمد ايمن محمد عبدالله مباشر</t>
  </si>
  <si>
    <t>محمد جابر ابوبكر محمد عبد السميع</t>
  </si>
  <si>
    <t>محمد جلال محمد سعيد ابراهيم</t>
  </si>
  <si>
    <t>محمد حسيني السيد محمد محمد</t>
  </si>
  <si>
    <t>محمد صلاح فتحي محمد عبد السلام</t>
  </si>
  <si>
    <t>محمد طارق حسني السيد مصطفى</t>
  </si>
  <si>
    <t>محمد عبدالله على عبد الحليم على</t>
  </si>
  <si>
    <t>محمد محمود احمد طلعت محمد على</t>
  </si>
  <si>
    <t>عمر محمد شاهين علي</t>
  </si>
  <si>
    <t>احمد محمد السيد عبدالعال حسن</t>
  </si>
  <si>
    <t>جعفر شوقي جعفر عبدالله مهدي</t>
  </si>
  <si>
    <t>محمد محمود عبدالجواد محمود محمد</t>
  </si>
  <si>
    <t>محمد محى الدين عبدالعزيز محمد ابراهيم عمر</t>
  </si>
  <si>
    <t>محمد مصطفي محمد محمد محمد حسين خشبه</t>
  </si>
  <si>
    <t>محمد هدايا حجازى حجازى</t>
  </si>
  <si>
    <t>محمود حسين حسن محمد محمد</t>
  </si>
  <si>
    <t>محمود سليمان حسن سليمان محمد</t>
  </si>
  <si>
    <t>مروه عبدالحكيم محمد خليل</t>
  </si>
  <si>
    <t>مريم ابو طالب عبدالجواد سليمان عبدالله</t>
  </si>
  <si>
    <t>مريم احمد محمد محمد حسونه</t>
  </si>
  <si>
    <t>مريم شريف صابر فياض قاسم</t>
  </si>
  <si>
    <t>مصطفي مجدي محمد امين حسن</t>
  </si>
  <si>
    <t>ملك احمد الجوهري</t>
  </si>
  <si>
    <t>ملك اسامه عبد الرحمن اسماعيل عبد النبي</t>
  </si>
  <si>
    <t>ملك ايمن محمد الجويلي</t>
  </si>
  <si>
    <t>ملك علاء سعد يسن عبد الوهاب</t>
  </si>
  <si>
    <t>منه حسني يوسف خليل سالمان محمد</t>
  </si>
  <si>
    <t>منه محمود احمد على حافظ</t>
  </si>
  <si>
    <t>محمد محمود فتحي ابراهيم</t>
  </si>
  <si>
    <t>ايمان فرج اشلاش علوان</t>
  </si>
  <si>
    <t>مني أيمن شوقي فاضل محمد</t>
  </si>
  <si>
    <t>ميار محمد محمد ابراهيم محمد</t>
  </si>
  <si>
    <t>ندى ابوبكر السيد محمد البدرى</t>
  </si>
  <si>
    <t>ندى احمد سالم يوسف محمد</t>
  </si>
  <si>
    <t>ندي السيد جمال عبدالدايم متولي</t>
  </si>
  <si>
    <t>نهى عبدالستار احمد عبدالرحمن</t>
  </si>
  <si>
    <t>نوال سعد أبو المعارف عبداللطيف</t>
  </si>
  <si>
    <t>نور خالد محمد عبد المعبود محمد</t>
  </si>
  <si>
    <t>نور محمود احمد مصطفي قنديل</t>
  </si>
  <si>
    <t>نورا ثروت محمد إبراهيم إسماعيل</t>
  </si>
  <si>
    <t>نوران عماد منصور ابراهيم علي</t>
  </si>
  <si>
    <t>نورهان عبدالعزيز اسماعيل السيد</t>
  </si>
  <si>
    <t>هاجر عاطف عبد العليم ابراهيم سليم</t>
  </si>
  <si>
    <t>هانى محمود محمد عزت احمد على</t>
  </si>
  <si>
    <t>هايدى ابراهيم جاب الله محمد مطير</t>
  </si>
  <si>
    <t>هبه احمد سعد المرسي على</t>
  </si>
  <si>
    <t>هبه علاء نصر عطيه جمعه</t>
  </si>
  <si>
    <t>الاء مجدى محمد الحسينى على صبح عيد</t>
  </si>
  <si>
    <t>حنان محمد عبد المنعم دسوقي</t>
  </si>
  <si>
    <t>تقى نصر الدين محمد عليوه على</t>
  </si>
  <si>
    <t>ايه عبدالسلام علي مصطفي السيد</t>
  </si>
  <si>
    <t>جنى كمال عبدالحميد احمد حسن</t>
  </si>
  <si>
    <t>تسنيم كامل محمود احمد محمد</t>
  </si>
  <si>
    <t>هلا محمد حسن بدران سليمان</t>
  </si>
  <si>
    <t>هنا صديق عبدالعال عبدالرحيم ابراهيم</t>
  </si>
  <si>
    <t>هنا فؤاد حسين رجب الشويحي</t>
  </si>
  <si>
    <t>هناء اسامه عبدالعظيم أحمد اسماعيل</t>
  </si>
  <si>
    <t>وعد هاني محمد ابراهيم</t>
  </si>
  <si>
    <t>حماده هاني محمد محمد جمعه</t>
  </si>
  <si>
    <t>محمد إبراهيم عبدالعال السيد عبدالعال</t>
  </si>
  <si>
    <t>محمد جمال سمير رزق</t>
  </si>
  <si>
    <t>دينا محمد احمد خليل جاد الحق</t>
  </si>
  <si>
    <t>دولت هشام محمود العزاوى</t>
  </si>
  <si>
    <t>محمد محمود عبد الحميد جاد الله</t>
  </si>
  <si>
    <t>محمد حامد فكري محمد</t>
  </si>
  <si>
    <t>محمد سامي عبداللطيف محمد محمد</t>
  </si>
  <si>
    <t>محمد عبد الرحمن عبدالحميد ابراهيم</t>
  </si>
  <si>
    <t>محمد عصام محمد زكى عطيه</t>
  </si>
  <si>
    <t>محمد محمود حسن محمد حسن</t>
  </si>
  <si>
    <t>محمد وليد محمد شوقى حلمى عزب</t>
  </si>
  <si>
    <t>محمود حازم محمود محمد ندا ابراهيم</t>
  </si>
  <si>
    <t>محمود شريف محمود زكي حسن</t>
  </si>
  <si>
    <t>محمود عاطف رجب محمد مهدي</t>
  </si>
  <si>
    <t>محمود عبد السلام محمد عبد السلام محمد</t>
  </si>
  <si>
    <t>مريم احمد امرالله محمد احمد</t>
  </si>
  <si>
    <t>مريم شادى محمد ذكى محمد</t>
  </si>
  <si>
    <t>مريم محمد شعبان محمد حسن</t>
  </si>
  <si>
    <t>مريم هاني احمد محمد</t>
  </si>
  <si>
    <t>سلمي صلاح سعد محمد علي</t>
  </si>
  <si>
    <t>شيماء عبدالله محمد محمد صالح</t>
  </si>
  <si>
    <t>مصطفى امير السيد احمد الطحلاوى</t>
  </si>
  <si>
    <t>مصطفى عبدالرحمن ابوالفتوح علي السيد الليثي</t>
  </si>
  <si>
    <t>معاذ مجدى عبد النبى محمد مهدى</t>
  </si>
  <si>
    <t>طلعت محمد فتحي ابراهيم منصور</t>
  </si>
  <si>
    <t>ملك احمد محمد السيد صابر</t>
  </si>
  <si>
    <t>ملك اشرف احمد السيد ابراهيم عثمان</t>
  </si>
  <si>
    <t>ملك حامد محمد عبد الرازق محمد</t>
  </si>
  <si>
    <t>ملك خالد عبدالباسط محمد حسين</t>
  </si>
  <si>
    <t>ملك صلاح الشحات محمد خليل</t>
  </si>
  <si>
    <t>عبد الله محمود احمد مصطفى</t>
  </si>
  <si>
    <t>ملك محمد السيد السلاموني السيد الخريبى</t>
  </si>
  <si>
    <t>ملك محمد عبدالوهاب صالح</t>
  </si>
  <si>
    <t>منار خيرى محمد احمد عبدالحميد</t>
  </si>
  <si>
    <t>منار محمد احمد السيد بركات</t>
  </si>
  <si>
    <t>منة الله محمد طه يوسف محمد</t>
  </si>
  <si>
    <t>زياد على حسينى محمد على</t>
  </si>
  <si>
    <t>شهاب محمد موسى عبد الرحمن سليمان</t>
  </si>
  <si>
    <t>عبد الرحمن احمد فتحى على بحيرى القواس</t>
  </si>
  <si>
    <t>منه الله عيسى السيد محمود ابراهيم</t>
  </si>
  <si>
    <t>منه صلاح محمد عبد اللطيف عبد المقصود</t>
  </si>
  <si>
    <t>منه عبد الفتاح محمد الباز سالم محمد</t>
  </si>
  <si>
    <t>مهاب السيد علي محمد عبدالحميد</t>
  </si>
  <si>
    <t>ابراهيم احمد ابراهيم عبد العزيز</t>
  </si>
  <si>
    <t>مى السيد سعيد سليمان محمد</t>
  </si>
  <si>
    <t>ناصر زكريا ناصر ابراهيم محمد غالى</t>
  </si>
  <si>
    <t>حسن محمد السيد عطيه حسن</t>
  </si>
  <si>
    <t>نيره مؤمن سعد باز غندور</t>
  </si>
  <si>
    <t>عاصم السيد عبد العليم</t>
  </si>
  <si>
    <t>محمد احمد محمد زكى محمد</t>
  </si>
  <si>
    <t>محمد شاكر محمد شحاته سليمان</t>
  </si>
  <si>
    <t>نور محمد ادهم محمد سليم</t>
  </si>
  <si>
    <t>نور محمد علي محمد علي</t>
  </si>
  <si>
    <t>نورهان محمد محمد رجب مصطفى</t>
  </si>
  <si>
    <t>نيره ابراهيم محمود احمد صالح</t>
  </si>
  <si>
    <t>هاجر وائل علي الداودي علي فايد</t>
  </si>
  <si>
    <t>احمد ابراهيم الهادي ابراهيم</t>
  </si>
  <si>
    <t>يمنى جمعه احمد محمد احمد</t>
  </si>
  <si>
    <t>يارا ابراهيم محمد محمد احمد</t>
  </si>
  <si>
    <t>محمد رضا حلمي السيد</t>
  </si>
  <si>
    <t>يوسف إبراهيم محمد محدمد القرشي</t>
  </si>
  <si>
    <t>يارا محمد عبدالله محمد عبدالعزيز</t>
  </si>
  <si>
    <t>ياسمين جمال السيد ابراهيم مصطفي</t>
  </si>
  <si>
    <t>يوسف عمرو محمد جمعة</t>
  </si>
  <si>
    <t>يارا عبدالرشيد شوقي عبدالرشيد عبدالرشيد</t>
  </si>
  <si>
    <t>ياسمين مصطفى السيد على دسوقى احمد</t>
  </si>
  <si>
    <t>ياسمينا طارق محمد محسن</t>
  </si>
  <si>
    <t>نور شعبان محمد</t>
  </si>
  <si>
    <t>انس السيد عبد السلام</t>
  </si>
  <si>
    <t>يمنى السيد منصور عبد العال جاب الله</t>
  </si>
  <si>
    <t>يمنى محمد منصور محمد محمد نافع</t>
  </si>
  <si>
    <t>يوسف ابراهيم محمد سليمان</t>
  </si>
  <si>
    <t>يوسف رضا ابراهيم محمود على</t>
  </si>
  <si>
    <t>يوسف طارق سليمان محمد ابراهيم</t>
  </si>
  <si>
    <t>يوسف علي علي محمد شعبان</t>
  </si>
  <si>
    <t>يوسف وائل السيد علي</t>
  </si>
  <si>
    <t>أيه تامر أحمد زكي أحمد</t>
  </si>
  <si>
    <t>رحمه طارق حمدان احمد سعد</t>
  </si>
  <si>
    <t>شهد محمد حمدي حسن عبدالله</t>
  </si>
  <si>
    <t>محمود عماد عبدالنعيم عبدالخالق</t>
  </si>
  <si>
    <t>ندى محمد جوده احمد سليمان</t>
  </si>
  <si>
    <t>الاء عبد الرازق عبد الله</t>
  </si>
  <si>
    <t>يوسف صبحي محمد محمد عبد العال</t>
  </si>
  <si>
    <t>ابانوب مينا ادور عزيز</t>
  </si>
  <si>
    <t>ابراهيم السيد ابراهيم عبد المعطي عبدالعال</t>
  </si>
  <si>
    <t>احمد احمد عبدالعزيز بدوي خليل</t>
  </si>
  <si>
    <t>احمد عصام حامد حامد ابوزيد</t>
  </si>
  <si>
    <t>احمد كامل عبد العال عبدالسلام</t>
  </si>
  <si>
    <t>أحمد مصطفي محمد علي حسن</t>
  </si>
  <si>
    <t>احمد مكاوى محمد محمد مكاوى</t>
  </si>
  <si>
    <t>ادهم هيثم ابراهيم محمد محمد</t>
  </si>
  <si>
    <t>اروى ابراهيم السيد محمد عبدالله</t>
  </si>
  <si>
    <t>اسراء حسنى قطب احمد عبدالله</t>
  </si>
  <si>
    <t>اسماء محمد عبده عبدالمقصود محمد</t>
  </si>
  <si>
    <t>ايه بشير علي محمد علي</t>
  </si>
  <si>
    <t>ايه ثابت محمد فهمى فرحات</t>
  </si>
  <si>
    <t>حبيبه جابر حسن محمد حسن</t>
  </si>
  <si>
    <t>حبيبه رجب سعيد السيد سعيد</t>
  </si>
  <si>
    <t>حنين حازم احمد عبدالحميد علي سيداحمد</t>
  </si>
  <si>
    <t>حنين محمد احمد محمد حسن</t>
  </si>
  <si>
    <t>رحمه محمد حسن إبراهيم محمد</t>
  </si>
  <si>
    <t>وليد محمد فتحى السيد متولى</t>
  </si>
  <si>
    <t>يوسف رضا السيد مهدى متولي</t>
  </si>
  <si>
    <t>يارا احمد عبد الله محمد علي</t>
  </si>
  <si>
    <t>كلية الصيدلة - فارم دي-صيدلة إكلينيكية-الفرقة الأولى</t>
  </si>
  <si>
    <t>احمد السيد محمد عطيه سليم</t>
  </si>
  <si>
    <t>رحمه محمد محمد سعد محمد</t>
  </si>
  <si>
    <t>رضوى لطفي صالح رزق هلال</t>
  </si>
  <si>
    <t>رنا محمد السيد عطيه متولي</t>
  </si>
  <si>
    <t>ريم محمود كامل حسن الكناني</t>
  </si>
  <si>
    <t>سارة محمود عبدالحفيظ ابراهيم سلامه</t>
  </si>
  <si>
    <t>ساره محمود عبدالرحيم بشاره حسن</t>
  </si>
  <si>
    <t>سلمي احمد محمد حسن عامر</t>
  </si>
  <si>
    <t>سما احمد السيد احمد منصور</t>
  </si>
  <si>
    <t>سما خالد على محمد على</t>
  </si>
  <si>
    <t>عايده ابراهيم محمد عبدالقادر محمد</t>
  </si>
  <si>
    <t>علياء بركات خليل بركات محمد</t>
  </si>
  <si>
    <t>محمد السيد على عبد العال عبدالرحمن</t>
  </si>
  <si>
    <t>مروان سامح عبدالهادي محمد علي</t>
  </si>
  <si>
    <t>مريم احمد عبدالعزيز حسين محمد شاهين</t>
  </si>
  <si>
    <t>ملك احمد ثروت احمد علي</t>
  </si>
  <si>
    <t>ملك محمود جمال احمد عبدالرحمن حسين</t>
  </si>
  <si>
    <t>منه احمد محمد حسن عبدالسلام</t>
  </si>
  <si>
    <t>منه الله احمد سعيد ذوالفقار سليمان</t>
  </si>
  <si>
    <t>ايه ابراهيم عطيه ابراهيم سلمي</t>
  </si>
  <si>
    <t>ادهم محمد وهب احمد وهب</t>
  </si>
  <si>
    <t>انجى عبد السلام محمد عبد السلام حسن</t>
  </si>
  <si>
    <t>السيد هشام عيد زكى عوض الله</t>
  </si>
  <si>
    <t>منه الله حسني حسين محمد حسين</t>
  </si>
  <si>
    <t>منه الله علي زكريا مرحوم</t>
  </si>
  <si>
    <t>مهاب يوسف عطيه عبد الرحمن عبد المجيد</t>
  </si>
  <si>
    <t>مهند محمد درويش محمد علي</t>
  </si>
  <si>
    <t>ميار هشام عبدالحميد حسن</t>
  </si>
  <si>
    <t>ندى احمد حسن السيد محمد باز</t>
  </si>
  <si>
    <t>نسيبه باسم محمد سعيد محمد</t>
  </si>
  <si>
    <t>نور عبدالعظيم محمد السيد احمد</t>
  </si>
  <si>
    <t>نوران محمد محمد التهامى على سليمان</t>
  </si>
  <si>
    <t>نورهان سعد احمد محمد صالح</t>
  </si>
  <si>
    <t>هنا الصافى محمد العربى احمد</t>
  </si>
  <si>
    <t>يمني أيمن محمد عبد العال حجاج</t>
  </si>
  <si>
    <t>ابراهيم سامي شريف احمد عطيه</t>
  </si>
  <si>
    <t>اشرقت سعيد احمد محمد محمد</t>
  </si>
  <si>
    <t>امانى احمد السيد ابراهيم دياب</t>
  </si>
  <si>
    <t>عمرو محمد عبدالرؤف منصور على</t>
  </si>
  <si>
    <t>مريم وليد حسن محمد خلاف</t>
  </si>
  <si>
    <t>مياده سمير محمد سليمان محمد</t>
  </si>
  <si>
    <t>هناء وائل احمد مصطفى</t>
  </si>
  <si>
    <t>شهد أحمد فوزي أحمد محمد</t>
  </si>
  <si>
    <t>ملك ياسر محمد فؤاد</t>
  </si>
  <si>
    <t>ياسمين علاء سعد الدين السيد عباس</t>
  </si>
  <si>
    <t>يوسف محمد ابراهيم عبد الغفار محمد</t>
  </si>
  <si>
    <t>احمد محمد السيد احمد ابراهيم</t>
  </si>
  <si>
    <t xml:space="preserve">A2 </t>
  </si>
  <si>
    <t>هنا احمد شعبان عبداللطيف</t>
  </si>
  <si>
    <t>روان اشرف محمد علواني محمد</t>
  </si>
  <si>
    <t>ساره السيد الشبراوى محمد</t>
  </si>
  <si>
    <t>محمود عبد المجيد عبد العزيز بركات</t>
  </si>
  <si>
    <t>كلية الحاسبات والمعلومات الفرقة الثانية</t>
  </si>
  <si>
    <t>ملك عماد اسماعيل علي</t>
  </si>
  <si>
    <t>خالد السيد السعيد احمد محمد</t>
  </si>
  <si>
    <t>رؤي محمد محمد عبدالرحمن احمد</t>
  </si>
  <si>
    <t>ابتسام احمد محمد عيسي</t>
  </si>
  <si>
    <t>احمد مدحت احمد محمد على</t>
  </si>
  <si>
    <t>اروي حاتم سمير محمد عبدالمنعم عبدالرحمن</t>
  </si>
  <si>
    <t>ايه ابراهيم محمود حسيني علي</t>
  </si>
  <si>
    <t>رانيا احمد عبدالوهاب محمود الزيني</t>
  </si>
  <si>
    <t>رحاب ابراهيم الدسوقي عبدالفتاح معروف</t>
  </si>
  <si>
    <t>رنا محمد ابراهيم عطوه احمد العمري</t>
  </si>
  <si>
    <t>رناد رضا محمد محمد مصطفي</t>
  </si>
  <si>
    <t>روان محمد السيد ابراهيم محمد</t>
  </si>
  <si>
    <t>ساره محمد ابراهيم حسن عفصه</t>
  </si>
  <si>
    <t>سلمي السيد السيد محمد علي</t>
  </si>
  <si>
    <t>مصطفي محمد موسي مصطفي عطيه</t>
  </si>
  <si>
    <t>منة الله حسام عبدالعال عبدالرحمن محمد</t>
  </si>
  <si>
    <t>منه رضا محمد الصادق علي</t>
  </si>
  <si>
    <t>منه عليوه محمد اسماعيل حسن</t>
  </si>
  <si>
    <t>إيمان محمد عباس محمد جميل</t>
  </si>
  <si>
    <t>يمنى نيل السيد زكريا كناني</t>
  </si>
  <si>
    <t>مهاب احمد محمد السيد حسن سليمان</t>
  </si>
  <si>
    <t>ياسمين عبدالعزيز على ابراهيم على</t>
  </si>
  <si>
    <t>مني احمد إبراهيم عبدالعزيز إبراهيم</t>
  </si>
  <si>
    <t>مى محمد كمال على على</t>
  </si>
  <si>
    <t>ندي احمد عبدالمنعم إسماعيل عمر</t>
  </si>
  <si>
    <t>نور السيد محمد عبد العال محمد</t>
  </si>
  <si>
    <t>نور سامي حسين محمد حسين جدوع</t>
  </si>
  <si>
    <t>رهف صلاح أحمد عبد الجليل خليفه</t>
  </si>
  <si>
    <t>مريم محمد نصر عمر</t>
  </si>
  <si>
    <t>سحر محمود رأفت عبد الهادي</t>
  </si>
  <si>
    <t>ريتاج تامر الشحات محمد سليم</t>
  </si>
  <si>
    <t>شهد وليد خيري علي سليمان</t>
  </si>
  <si>
    <t>عبدالله محمد محمد رجب</t>
  </si>
  <si>
    <t>منه الله عادل عبدالمنعم محمد الدنديطي</t>
  </si>
  <si>
    <t>ندى هانى على موسى</t>
  </si>
  <si>
    <t>نور عصام عبدالحفيظ سيد احمد</t>
  </si>
  <si>
    <t>أسماء جوده محمد عوض</t>
  </si>
  <si>
    <t>ريم محمد على محمد حسن</t>
  </si>
  <si>
    <t>سلمي رائد عبدالمحسن احمد علي</t>
  </si>
  <si>
    <t>سما عصام عبدالله ابراهيم جمعه</t>
  </si>
  <si>
    <t>سما محمد السيد عبدالسلام ابراهيم</t>
  </si>
  <si>
    <t>شاهندا سيد احمد محمد النجار</t>
  </si>
  <si>
    <t>شروق محمد على على محمد</t>
  </si>
  <si>
    <t>صلاح الدين ابراهيم محمد محمد حسين سالم</t>
  </si>
  <si>
    <t>مروان مرسى سعد جاب الله</t>
  </si>
  <si>
    <t>مريم شحته يحيى مصطفى محمد</t>
  </si>
  <si>
    <t>مريم عبده محمد حمزه عقل</t>
  </si>
  <si>
    <t>نور عمرو محمد عبدالرحيم ابوساطى</t>
  </si>
  <si>
    <t>أروي محمد الدسوقي خليل الدسوقي</t>
  </si>
  <si>
    <t>رهف حسن عمر حسن جبر</t>
  </si>
  <si>
    <t>احمد حسن احمد عبدالمجيد ابراهيم</t>
  </si>
  <si>
    <t>ايناس عبدالعليم محمود عبدالعليم سعد</t>
  </si>
  <si>
    <t>حنين خالد علي عبد العزيز الحبشي</t>
  </si>
  <si>
    <t>رنا محمد متولي غريب علي</t>
  </si>
  <si>
    <t>شذى حسين رمضان فرغلى</t>
  </si>
  <si>
    <t>مونيكا فادى كمال لبيب حنا</t>
  </si>
  <si>
    <t>براء محمد احمد حافظ يوسف</t>
  </si>
  <si>
    <t>عبدالرحمن صالح قرني محمد</t>
  </si>
  <si>
    <t>محمد هاني محمد محمد ابراهيم</t>
  </si>
  <si>
    <t>مريم وسام عبدالعال الهادي عبدالفتاح عبدالعال</t>
  </si>
  <si>
    <t>ابراهيم مجدي ابراهيم عبد الرحمن</t>
  </si>
  <si>
    <t>احمد حسام محمد السعيد خجلي</t>
  </si>
  <si>
    <t>محمد هانى شاكر شرف درويش</t>
  </si>
  <si>
    <t>ريم محمد متولي غريب</t>
  </si>
  <si>
    <t>وسام الهادى محمد محمد خليل</t>
  </si>
  <si>
    <t>سهيله جابر السيد عبدالسلام جابر</t>
  </si>
  <si>
    <t>أية عثمان شحاته محمد خضر</t>
  </si>
  <si>
    <t>جني خالد عبدالله محمد سالم</t>
  </si>
  <si>
    <t>احمد حسن شوقى حسن</t>
  </si>
  <si>
    <t>مي ايمن السيد عبدالفتاح اسماعيل</t>
  </si>
  <si>
    <t>هنا شريف عبدالمعز عبدالمعبود احمد</t>
  </si>
  <si>
    <t>ياسمين حسن رفعت حسن سيداحمد</t>
  </si>
  <si>
    <t>أريج أسامة عبد العزيز</t>
  </si>
  <si>
    <t>شادية حلمي عبد الوهاب محمد</t>
  </si>
  <si>
    <t>مصطفى السيد متولى السيد متولى</t>
  </si>
  <si>
    <t>يوسف مصطفى السيد محمود قناوى</t>
  </si>
  <si>
    <t>مريم ثروت سعد محمد ابراهيم</t>
  </si>
  <si>
    <t>جنى هانى السيد عجمى عبد الفتاح</t>
  </si>
  <si>
    <t>محمد هاشم محمد محمد المنسي</t>
  </si>
  <si>
    <t>محمد طارق احمد لطفي هلال الهجرسي</t>
  </si>
  <si>
    <t>سما احمد محمد العربى احمد خليفة</t>
  </si>
  <si>
    <t>سلمى صلاح ثروت محمد ابراهيم</t>
  </si>
  <si>
    <t>عمر عبدالله محمد محمد امام</t>
  </si>
  <si>
    <t>منار الحسينى محمد عبدالمقصود محمد</t>
  </si>
  <si>
    <t>رحمه حسن احمد محمد حسين</t>
  </si>
  <si>
    <t>روان تامر علي بلال سعيد</t>
  </si>
  <si>
    <t>سيف الدين صلاح فتحي</t>
  </si>
  <si>
    <t>هاجر نصار علي الصادق</t>
  </si>
  <si>
    <t>ياسمينه فتحى احمد محمد عبد الوهاب</t>
  </si>
  <si>
    <t>محمود هشام عبد المعطي</t>
  </si>
  <si>
    <t>مصطفى فوزي ابراهيم احمد</t>
  </si>
  <si>
    <t>ميرنا احمد فتحي البدروي</t>
  </si>
  <si>
    <t>نور سالم توفيق سالم</t>
  </si>
  <si>
    <t>عمر محمود محمد صلاح</t>
  </si>
  <si>
    <t>عبدالرحمن محمد ممدوح السيد احمد العجواني</t>
  </si>
  <si>
    <t>كنزى مدحت جمال الحسينى</t>
  </si>
  <si>
    <t>خلود ماهر ابراهيم</t>
  </si>
  <si>
    <t>سلمى أشرف احمد يوسف سالم</t>
  </si>
  <si>
    <t>شهد شريف حمد عبد الحليم ناصر</t>
  </si>
  <si>
    <t>ندا عبده قنديل عبد العاطي السيد</t>
  </si>
  <si>
    <t>عبدالله ابراهيم محمد ابراهيم</t>
  </si>
  <si>
    <t>محمود ياسر عطيه محمود</t>
  </si>
  <si>
    <t>ايه عاطف عبدالرازق عبدالغفار</t>
  </si>
  <si>
    <t>احمد محمد سليمان حسن مشرف</t>
  </si>
  <si>
    <t>الزهراء علي محمد صالح</t>
  </si>
  <si>
    <t>فارس عبدالمنعم محمد عبدالحميد محمد</t>
  </si>
  <si>
    <t>مريم محمد طلعت السيد الشاذلي</t>
  </si>
  <si>
    <t>B1 1</t>
  </si>
  <si>
    <t>بسنت عز الدين محمد احمد غنايم</t>
  </si>
  <si>
    <t>شيماء محمد السيد محمد غريب</t>
  </si>
  <si>
    <t>صفاء السيد أحمد السيد شحاته</t>
  </si>
  <si>
    <t>مريم محمد إبراهيم عبد الكريم</t>
  </si>
  <si>
    <t>روضه رامي عبدو خليل</t>
  </si>
  <si>
    <t>عمر احمد فؤاد حسنين</t>
  </si>
  <si>
    <t xml:space="preserve">روان رضا متولي أحمد </t>
  </si>
  <si>
    <t>فاطمه حسنين عبد الحميد محمد ابراهيم باشا</t>
  </si>
  <si>
    <t>كليه صيدله فرقه تانيه</t>
  </si>
  <si>
    <t>محمد عبد العاطي محمد ابو العينين</t>
  </si>
  <si>
    <t>عمرو السيد حفنى خليل</t>
  </si>
  <si>
    <t>اروى محمد مصطفى عبد الرحمن</t>
  </si>
  <si>
    <t>A2 1</t>
  </si>
  <si>
    <t>ايمان عمرو عبد الواحد</t>
  </si>
  <si>
    <t>كريم مصطفى امين</t>
  </si>
  <si>
    <t>احمد محمد مصطفى</t>
  </si>
  <si>
    <t>صلاح عمرو محمد وفا</t>
  </si>
  <si>
    <t>محمد شريف محمد</t>
  </si>
  <si>
    <t>السيد سعيد السيد عوده عواد</t>
  </si>
  <si>
    <t>عمر احمد إبراهيم إسماعيل البنا</t>
  </si>
  <si>
    <t>محمد عبد اللطيف سرحان عبد الحميد محمود</t>
  </si>
  <si>
    <t>السيد ياسر السيد فرج</t>
  </si>
  <si>
    <t>احمد فرج فرحان على</t>
  </si>
  <si>
    <t>حنين محمد سعد ناصر</t>
  </si>
  <si>
    <t>محمود احمد عبداللطيف احمد السيد</t>
  </si>
  <si>
    <t>يمنى عبدالعال محمد عبدالعال الفوج</t>
  </si>
  <si>
    <t>محمد علاء تميمي محمد موسى</t>
  </si>
  <si>
    <t>احمد وليد محمد عبد المعبود</t>
  </si>
  <si>
    <t>محمد احمد محمد محمد الملكى</t>
  </si>
  <si>
    <t>شاهنده عادل عبد السلام السيد محمد</t>
  </si>
  <si>
    <t>منه نبوي شحانه محمد النبوي</t>
  </si>
  <si>
    <t>احمد ايهاب كرم عبد العليم</t>
  </si>
  <si>
    <t>شهد شاكر عبدالله</t>
  </si>
  <si>
    <t>الاء رضا جمعة عباس</t>
  </si>
  <si>
    <t>A1 W 1</t>
  </si>
  <si>
    <t>السيد محمد السيد هاشم حسين</t>
  </si>
  <si>
    <t>إبراهيم وائل إبراهيم عبدالمعز إبراهيم</t>
  </si>
  <si>
    <t>محمود عادل محمد محمد محمد سلام</t>
  </si>
  <si>
    <t>محمد ابراهيم عبد الرحمن السيد حسين</t>
  </si>
  <si>
    <t>محمد احمد عبد الرؤف موسي محمد</t>
  </si>
  <si>
    <t>محمد حمدى السيد محمد نصار</t>
  </si>
  <si>
    <t>محمد رضا شحاته على حسن</t>
  </si>
  <si>
    <t>مريم محمد عبد المقصود علي يوسف</t>
  </si>
  <si>
    <t>ملك شاهين عبدالرحمن احمد عبدالرحمن</t>
  </si>
  <si>
    <t>نبيل محمد خليل محمد</t>
  </si>
  <si>
    <t>وصال صابر الشبراوى عبد الصادق احمد</t>
  </si>
  <si>
    <t>ياسر محمود محمد محمود بندارى</t>
  </si>
  <si>
    <t>يوسف احمد محمد طلبه كيلانى محمد</t>
  </si>
  <si>
    <t>يوسف السيد حلمى محمود السيد</t>
  </si>
  <si>
    <t>يوسف محمد السيد سالم جاب الله</t>
  </si>
  <si>
    <t>ولاء وجيه حسيني عبد المطلب</t>
  </si>
  <si>
    <t>ياسمين ايمن اسماعيل صبحي محمد</t>
  </si>
  <si>
    <t>جمال احمد جمال السيد احمد ابراهيم</t>
  </si>
  <si>
    <t>احمد حسن صلاح حسن</t>
  </si>
  <si>
    <t>احمد شكري حامد</t>
  </si>
  <si>
    <t>محمد حسام محمد السعدي علي</t>
  </si>
  <si>
    <t>على اسامه منصور على محمد</t>
  </si>
  <si>
    <t>تقى ايهاب احمد فتحى محمد سالم</t>
  </si>
  <si>
    <t>حنان عطية حمدي عطيه</t>
  </si>
  <si>
    <t xml:space="preserve">نجلاء جمال انور </t>
  </si>
  <si>
    <t>محمد عماد محمد سيد احمد حسنين</t>
  </si>
  <si>
    <t>احمد شحاته فتحي محمد احمد</t>
  </si>
  <si>
    <t>عمر عدنان فؤاد</t>
  </si>
  <si>
    <t>ابراهيم احمد ابراهيم</t>
  </si>
  <si>
    <t>نادر فكرى محمد السيد يوسف</t>
  </si>
  <si>
    <t>انس سمير عوض سعدالله</t>
  </si>
  <si>
    <t>بسمله محمد احمد حنفي محمد</t>
  </si>
  <si>
    <t>احمد يوسف عبد الحميد علي</t>
  </si>
  <si>
    <t>مريم محمد احمد ساليم</t>
  </si>
  <si>
    <t>ريهام ابراهيم محمد الصادق</t>
  </si>
  <si>
    <t>ابراهيم عرفات عبد المنعم عد العال</t>
  </si>
  <si>
    <t>احمد عبد المنعم محمود علي</t>
  </si>
  <si>
    <t>ابراهيم وائل محمد ابراهيم بدرى</t>
  </si>
  <si>
    <t>ناردين ملاك لويس</t>
  </si>
  <si>
    <t>سلمي ياسر عبد السلام الهادي سليمان</t>
  </si>
  <si>
    <t>عزت محمود عبدالله السيد</t>
  </si>
  <si>
    <t>مايسون هاني محمد ابراهيم</t>
  </si>
  <si>
    <t>كليه علاج طبيعي اولي</t>
  </si>
  <si>
    <t>فارس اشرف محمد غريب السيد</t>
  </si>
  <si>
    <t>إبراهيم محمد إبراهيم الشحات</t>
  </si>
  <si>
    <t>حسن حسن محمد محمد سليمان</t>
  </si>
  <si>
    <t>حمدى صلاح محمد الصاوى عيسوى</t>
  </si>
  <si>
    <t>ذياد رأفت سمير محمد بدران</t>
  </si>
  <si>
    <t>رشا محمود السيد محمودي محمودي</t>
  </si>
  <si>
    <t>عبد الرحمن محمد محمود عبد السلام</t>
  </si>
  <si>
    <t>ابراهيم محمد احمد ابراهيم</t>
  </si>
  <si>
    <t>محمد ايمن سيد مهدي</t>
  </si>
  <si>
    <t>صلاح وحيد لطفي السيد</t>
  </si>
  <si>
    <t>محمود محمد عامر عويضي</t>
  </si>
  <si>
    <t>ساره حسن احمد ابراهيم</t>
  </si>
  <si>
    <t>وليد عطية أحمد الوصيف</t>
  </si>
  <si>
    <t>رزان محمد احمد محمد محمد</t>
  </si>
  <si>
    <t>نورسين عابدين محمد عبد ربه</t>
  </si>
  <si>
    <t>مريم علي أمين عبد ربه</t>
  </si>
  <si>
    <t>بسملة وائل محمد</t>
  </si>
  <si>
    <t>سارة سامي عبد العال محمد اسماعيل</t>
  </si>
  <si>
    <t>لوجين ياسر محمد حماد</t>
  </si>
  <si>
    <t>فرح صلاح عبد العال</t>
  </si>
  <si>
    <t>تسنيم حسام الدين احمد محمد</t>
  </si>
  <si>
    <t>عمرو خالد محمد سلامه احمد</t>
  </si>
  <si>
    <t>عبير هشام إبراهيم عبد الله محمد</t>
  </si>
  <si>
    <t>عبد المومن حفظي عبد المومن</t>
  </si>
  <si>
    <t>ايه السيد غريب السيد حسن</t>
  </si>
  <si>
    <t>ايه السيد قناوى احمد محمد</t>
  </si>
  <si>
    <t>إبراهيم سليمان محمد بركه ابريك</t>
  </si>
  <si>
    <t>هاجر رمضان اسماعيل</t>
  </si>
  <si>
    <t>امين السيد محمد محمد</t>
  </si>
  <si>
    <t>ايمان وجيه السيد سيداحمد على</t>
  </si>
  <si>
    <t>ايمان سالم احمد احمد إبراهيم سالم</t>
  </si>
  <si>
    <t>تقى عاشور عبدالخالق عوض عزازى</t>
  </si>
  <si>
    <t>حنين ممدوح محمد على احمد قابيل</t>
  </si>
  <si>
    <t>داليا على فاروق على حسن ابراهيم</t>
  </si>
  <si>
    <t>منار عبدالحميد عبد الفتاح حسن</t>
  </si>
  <si>
    <t>الاء محمد احمد احمد مصطفى</t>
  </si>
  <si>
    <t>محمود محمد محمود السيد ابراهيم العوضي</t>
  </si>
  <si>
    <t>عبد الفتاح اشرف عبد الفتاح على كلوب</t>
  </si>
  <si>
    <t>فارس السيد ابراهيم محمد محمد</t>
  </si>
  <si>
    <t>هايدى احمد محمود محمد سلامة</t>
  </si>
  <si>
    <t>رميساء السيد محمد عبدالله نجم</t>
  </si>
  <si>
    <t>سلمي امين ابراهيم امين محمد</t>
  </si>
  <si>
    <t>فرح احمد السيد احمد سليم</t>
  </si>
  <si>
    <t>إسراء نصر سليمان سالم</t>
  </si>
  <si>
    <t>عبد الحي اسماعيل عبد الحميد</t>
  </si>
  <si>
    <t>كنزي أحمد يوسف محمد محروس</t>
  </si>
  <si>
    <t>سالي عمرو محمد علي</t>
  </si>
  <si>
    <t>عبدالرحمن محمد فاروق زكي مصطفى</t>
  </si>
  <si>
    <t>فرح اشرف احمد فواد مرسي خليل</t>
  </si>
  <si>
    <t>نورين محمد عبدالفتاح محمد عبدالنبي</t>
  </si>
  <si>
    <t>روان علوى عبد الحميد احمد السيد</t>
  </si>
  <si>
    <t>عبد الرحمن محمد شحاته محمد</t>
  </si>
  <si>
    <t>ريهام ابراهيم محمد ابراهيم السيد</t>
  </si>
  <si>
    <t>يمنى السيد حسين ابراهيم حسين</t>
  </si>
  <si>
    <t>ياسمين حماده محمد سالم</t>
  </si>
  <si>
    <t>وسام اسامه احمد عمر</t>
  </si>
  <si>
    <t>محمد اسامه مرسي محمد عبد الفتاح خليل</t>
  </si>
  <si>
    <t>محمد محمود محمد إسماعيل موسى</t>
  </si>
  <si>
    <t>محمد سامح على محمد محمد</t>
  </si>
  <si>
    <t>منه الله احمد عبد العظيم مصطفى</t>
  </si>
  <si>
    <t>الزهراء عزت محمد عبد القادر عبد الجليل</t>
  </si>
  <si>
    <t>أمنية محمد محمد علي</t>
  </si>
  <si>
    <t>مهاب محمد محمد عامر مصطفي</t>
  </si>
  <si>
    <t>بسمله عادل عبدالله محمد رشاد عبد الله</t>
  </si>
  <si>
    <t>شهد على سويلم محمود على</t>
  </si>
  <si>
    <t>محمد إبراهيم عبدالله عبدالعال ابراهيم</t>
  </si>
  <si>
    <t>ايه احمد رضوان على سليمان</t>
  </si>
  <si>
    <t>بسمله محمد عبد الكريم حسين سالم</t>
  </si>
  <si>
    <t>احمد عبد الفتاح سعيد عبد الفتاح</t>
  </si>
  <si>
    <t>عمر محمود عبد الرحمن</t>
  </si>
  <si>
    <t>كيرلس ملاك صالح جرس يونان</t>
  </si>
  <si>
    <t>محمد حسن محمود زين الدين عبدالعال</t>
  </si>
  <si>
    <t>محمد حسين عبدالفتاح محمود محمد</t>
  </si>
  <si>
    <t>محمد سعيد سليم عطيه</t>
  </si>
  <si>
    <t>مصطفي اسامه محمد ذكي ابوشنب</t>
  </si>
  <si>
    <t>احمد اشرف عطية احمد عطية</t>
  </si>
  <si>
    <t>محمد بدوي محمد عبد الحميد</t>
  </si>
  <si>
    <t>احمد سليم محمد سليم ابراهيم</t>
  </si>
  <si>
    <t>احمد مصطفى محمد سالم</t>
  </si>
  <si>
    <t>محمد الهادي محمد محمد حسن</t>
  </si>
  <si>
    <t>محمود عزمي عبد العزيز</t>
  </si>
  <si>
    <t>احمد محمود السيد محمد</t>
  </si>
  <si>
    <t>طارق عمر وهبه</t>
  </si>
  <si>
    <t>سعيد محمد السعيد عبدالله احمد</t>
  </si>
  <si>
    <t>محمد اشرف حسانين</t>
  </si>
  <si>
    <t>A1 W1</t>
  </si>
  <si>
    <t>محمد ايمن عبدالفتاح محمد هيبه</t>
  </si>
  <si>
    <t>صلاح عماد الدين حسن عبدالرحمن مقيبل</t>
  </si>
  <si>
    <t>ساره أبو العنين احمد عبد الخالق احمد</t>
  </si>
  <si>
    <t>B1+</t>
  </si>
  <si>
    <t>ساره خالد السيد احمد على جبر النقيب</t>
  </si>
  <si>
    <t>سلفيا انسي عبد الملك سليمان عبد السيد</t>
  </si>
  <si>
    <t>سلمى السيد محمد عطيه الجعفري</t>
  </si>
  <si>
    <t>شذى وليد محمد عبد الرؤوف محمد</t>
  </si>
  <si>
    <t>شهد السيد محمد عباده</t>
  </si>
  <si>
    <t>شهد محمد ابو الفتوح ابراهيم الحورى</t>
  </si>
  <si>
    <t>شهد عادل احمد سيف</t>
  </si>
  <si>
    <t>خالد احمد محمد عامر</t>
  </si>
  <si>
    <t>اسراء إبراهيم متولى متولى</t>
  </si>
  <si>
    <t>اسراء ايمن حسن محمد موافى</t>
  </si>
  <si>
    <t>رؤى محمد حسين اسماعيل على</t>
  </si>
  <si>
    <t>ساره حسن السيد إبراهيم عبده</t>
  </si>
  <si>
    <t>سجود ابراهيم محمد ابراهيم عساكر</t>
  </si>
  <si>
    <t>اروى إبراهيم فاروق إبراهيم احمد</t>
  </si>
  <si>
    <t>دينا رجب محمد علوان احمد</t>
  </si>
  <si>
    <t>حنين حسام السيد عبد العال سليمان</t>
  </si>
  <si>
    <t>احمد وليد دياب عبدالله يونس</t>
  </si>
  <si>
    <t>امير محمد صالح عبد الكريم محمد</t>
  </si>
  <si>
    <t>هبه احمد رفعت محمد</t>
  </si>
  <si>
    <t>احمد محمد فؤاد عبد الخالق</t>
  </si>
  <si>
    <t>احمد محمد عنتر كامل بيومى</t>
  </si>
  <si>
    <t>روان حافظ عبد المنعم عبد الحفيظ حافظ</t>
  </si>
  <si>
    <t>ساره محمد سالم سعيد عرفات</t>
  </si>
  <si>
    <t>دعاء سالم عوض عبدالكريم يونس</t>
  </si>
  <si>
    <t>ايه احمد محمد على حسن</t>
  </si>
  <si>
    <t>عبد الرحمن وائل عبد الرحمن عبدالغنى عبدالرازق</t>
  </si>
  <si>
    <t>مريم حامد احمد حامد دوبان</t>
  </si>
  <si>
    <t>منى عبد العال إبراهيم عيد</t>
  </si>
  <si>
    <t>ندي محمد إبراهيم عباس السيد</t>
  </si>
  <si>
    <t>نسمه محمد على محمد عبد الكريم</t>
  </si>
  <si>
    <t>نور هشام محمد حسيب جمعه</t>
  </si>
  <si>
    <t>نوران مجدى إبراهيم محمد حسين</t>
  </si>
  <si>
    <t>نورهان عاطف عبدالسلام مرسى على</t>
  </si>
  <si>
    <t>وفاء محمد عوض براوى</t>
  </si>
  <si>
    <t>عمر عبدالمنعم فتحى محمود</t>
  </si>
  <si>
    <t>ياسمين عادل احمد سيف</t>
  </si>
  <si>
    <t>مينا جرجس زكرى عياد</t>
  </si>
  <si>
    <t>احمد إبراهيم السيد احمد إسماعيل</t>
  </si>
  <si>
    <t>احمد اشرف فتحى احمد</t>
  </si>
  <si>
    <t>الاء احمد الشبراوى مرسي احمد</t>
  </si>
  <si>
    <t>حنين خالد محمد السيد رضوان</t>
  </si>
  <si>
    <t>انس جمال محمد يحيي</t>
  </si>
  <si>
    <t>سيد يسري السيد أحمد</t>
  </si>
  <si>
    <t>احمد صلاح احمد محمد سمره</t>
  </si>
  <si>
    <t>حبيبه محمد على حسين مصطفى</t>
  </si>
  <si>
    <t>هدى هانى حامد على جبر ابوالسعود</t>
  </si>
  <si>
    <t>محمد عبد المجيد عبد الحميد علي الجارحي</t>
  </si>
  <si>
    <t>يوسف شريف محمود عبدالمقصود</t>
  </si>
  <si>
    <t>يارا علاء الدين فكرى منصور</t>
  </si>
  <si>
    <t>منى السيد محمد فتح الله حسن سالم</t>
  </si>
  <si>
    <t>محمد نادر أحمد محمد أحمد</t>
  </si>
  <si>
    <t>شهد احمد عبد الهادي سيد احمد عثمان</t>
  </si>
  <si>
    <t>رويدا ياسر السيد محمد إبراهيم غنيم</t>
  </si>
  <si>
    <t>سماح وليد حلمى احمد ليمونه</t>
  </si>
  <si>
    <t>احمد ممدوح احمد حسن حسن</t>
  </si>
  <si>
    <t>عبده حسينى عبدالعزيز محمد عوض الله</t>
  </si>
  <si>
    <t>نادين عماد بلاسى مازن عطيه</t>
  </si>
  <si>
    <t>رؤى ياسر محمود محمد</t>
  </si>
  <si>
    <t>أسماء حاتم محمد حسين المنسى</t>
  </si>
  <si>
    <t>احمد اشرف عبد المنعم عبد المجيد</t>
  </si>
  <si>
    <t>رحمه محمد سالم محمد رحاب</t>
  </si>
  <si>
    <t>امنيه فتح لله شحاته محمد شحاته</t>
  </si>
  <si>
    <t>احمد محمد عبدالنبى محمد</t>
  </si>
  <si>
    <t>احمد محمد محمود عز العرب عبد العزيز عسكوره</t>
  </si>
  <si>
    <t>ابراهيم محمد ابراهيم محمد محمد</t>
  </si>
  <si>
    <t>فرح اشرف حسين محمد حسين</t>
  </si>
  <si>
    <t>ندا حمدى محمد عبدالعزيز منصور</t>
  </si>
  <si>
    <t>بسمله حسنى محمد محمد عبد لرحمن</t>
  </si>
  <si>
    <t>تسنيم جمال الحسيني السيد على</t>
  </si>
  <si>
    <t>حبيبه إسماعيل احمد إسماعيل</t>
  </si>
  <si>
    <t>امنيه محمد نجاح مصطفى منصور</t>
  </si>
  <si>
    <t>الاء عبد السلام احمد محمد</t>
  </si>
  <si>
    <t>سلمى احمد محمد حسن على</t>
  </si>
  <si>
    <t>شهد هانى محمد زكى سيد احمد</t>
  </si>
  <si>
    <t>ايه جلال محمد احمد محمد</t>
  </si>
  <si>
    <t>ندي محمد عبدالعزيز محمد محرم</t>
  </si>
  <si>
    <t>نور سيد عبد المجيد علي عياد</t>
  </si>
  <si>
    <t>اروى السيد محمد ثابت</t>
  </si>
  <si>
    <t>رؤى محمد سعد زكى إسماعيل</t>
  </si>
  <si>
    <t>ريناد حمدى عبد السميع حسن على</t>
  </si>
  <si>
    <t>امنيه صالح عبدالحميد محمد حسين</t>
  </si>
  <si>
    <t>انوار محمد محمد احمد</t>
  </si>
  <si>
    <t>محمد السيد محمد عبد الرحمن</t>
  </si>
  <si>
    <t>احمد الشحات السيد موسي حسين</t>
  </si>
  <si>
    <t>محمد عبدالله احمد محمود منصور</t>
  </si>
  <si>
    <t>السيد ياسر عبد السلام عبدالله السيد عشرى</t>
  </si>
  <si>
    <t>خلود عيسي السيد عيسي</t>
  </si>
  <si>
    <t>هدي جمال محمد محمد سالم</t>
  </si>
  <si>
    <t>ايمن محمد احمد موسي شرف الدين</t>
  </si>
  <si>
    <t>محمد شعبان عبدالقادر سيد احمد عطيه</t>
  </si>
  <si>
    <t>همسه طه إبراهيم محمد إبراهيم اسماعيل</t>
  </si>
  <si>
    <t>احمد علاء محمد بكرى معالى</t>
  </si>
  <si>
    <t>لميه هانى شعبان محمد سيد احمد</t>
  </si>
  <si>
    <t>علاء حسن محمد محمد شلبي</t>
  </si>
  <si>
    <t>ريحانه اسماعيل حسن اسماعيل</t>
  </si>
  <si>
    <t>محمود محمد صابر محمد حسن</t>
  </si>
  <si>
    <t>عبد الرحمن علي أحمد محمد</t>
  </si>
  <si>
    <t>احمد سمير حسين محمود حسين</t>
  </si>
  <si>
    <t>مريم محمود عبدالرحمن صالح الحاوى</t>
  </si>
  <si>
    <t>زهراء علاء عبد العزيز عقل محمد</t>
  </si>
  <si>
    <t>ليلى نصر محمود محمود حسين</t>
  </si>
  <si>
    <t>اسامه السيد عبدالرحمن ضيف الله منصور</t>
  </si>
  <si>
    <t>مريم راضى جاد السيد عبد العال</t>
  </si>
  <si>
    <t>ندى هشام على محمود محمد</t>
  </si>
  <si>
    <t>منه الله حسام محمد طلبه محمد</t>
  </si>
  <si>
    <t>عبد الرحمن محمد الشوادفى سلامه القنتيري</t>
  </si>
  <si>
    <t>شهد السيد حسين محمد السيد</t>
  </si>
  <si>
    <t>فايزه على السيد على مصطفى جمام</t>
  </si>
  <si>
    <t>معاذ اشرف عبد الفتاح محمد سليمان</t>
  </si>
  <si>
    <t>محمد هانى اسماعيل على محمد</t>
  </si>
  <si>
    <t>ملك محمد السيد محمد السيد يوسف</t>
  </si>
  <si>
    <t>يوسف محمد شعبان على متولى</t>
  </si>
  <si>
    <t>منه عصام محمد محمد كمال</t>
  </si>
  <si>
    <t>حسين اشرف منير عبد الحميد محمود</t>
  </si>
  <si>
    <t>محمود عزت محمود عامر مصطفى</t>
  </si>
  <si>
    <t>محمد عصام محمد محمد مصطفى مسلم</t>
  </si>
  <si>
    <t>احمد ايمن عطيه عبد المجيد إبراهيم</t>
  </si>
  <si>
    <t>عمر السيد السيد سيداحمد السيد</t>
  </si>
  <si>
    <t>مازن السيد محمد السيد عبد العال</t>
  </si>
  <si>
    <t>هادى السيد عبدالهادى محمود ابراهيم</t>
  </si>
  <si>
    <t>يوسف محمود محمود محمد إبراهيم</t>
  </si>
  <si>
    <t>منه إبراهيم محمد محمد عبدالرحمن</t>
  </si>
  <si>
    <t>دنيا محمود شعبان عبدالمعطي العزب</t>
  </si>
  <si>
    <t>محمد عبد الناصر إسماعيل حسن يونس</t>
  </si>
  <si>
    <t>احمد ايهاب احمد عبدالفتاح محمد</t>
  </si>
  <si>
    <t>هبه محمد حامد متولى أبو زيد</t>
  </si>
  <si>
    <t>مريم عماد لويز كامل ثابت</t>
  </si>
  <si>
    <t>أسماء إسماعيل عبده عوض الله</t>
  </si>
  <si>
    <t>ملك عبدالرحمن السيد على جابر</t>
  </si>
  <si>
    <t>محمد احمد محمد طه حسن عطيه</t>
  </si>
  <si>
    <t>محمد احمد اسماعيل حسن محمد السهيلى</t>
  </si>
  <si>
    <t>يمنى اشرف خيرى محمد سلمى</t>
  </si>
  <si>
    <t>افنان إبراهيم عبد المعز سالم احمد</t>
  </si>
  <si>
    <t>منه الله احمد عبد المعز احمد منصور</t>
  </si>
  <si>
    <t>عبدالرحمن احمد السيد احمد الهادى عبدالجليل</t>
  </si>
  <si>
    <t>حسام سامى محمد يوسف</t>
  </si>
  <si>
    <t>زياد محمد السيد محمد محمد</t>
  </si>
  <si>
    <t>منه الله حامد عبدالبديع موسى</t>
  </si>
  <si>
    <t>أسماء إبراهيم محمود محمد محمود</t>
  </si>
  <si>
    <t>منه الله محسن احمد احمد عباس السيد</t>
  </si>
  <si>
    <t>عمر محمد محمود محمد إبراهيم</t>
  </si>
  <si>
    <t>عمرو ماهر السيد محمد</t>
  </si>
  <si>
    <t>غاده إسماعيل السيد إسماعيل محمد</t>
  </si>
  <si>
    <t>فرح رضوان عبد الحميد رضوان السيد</t>
  </si>
  <si>
    <t>مروه اشتيه محمد عبدالمعطى اشتيه</t>
  </si>
  <si>
    <t>كريم فكرى جمعة السعيد</t>
  </si>
  <si>
    <t>محمد ايمن محمد ابراهيم ابراهيم غزال</t>
  </si>
  <si>
    <t>مى احمد احمد محمد السيد</t>
  </si>
  <si>
    <t>عمر خالد السيد عبد الفتاح محمد سليم</t>
  </si>
  <si>
    <t>مازن احمد صلاح الدين سلامه احمد</t>
  </si>
  <si>
    <t>محمد محمود احمد السيد احمد</t>
  </si>
  <si>
    <t>على على على صابر على</t>
  </si>
  <si>
    <t>واصل وليد محمد عبد الرحمن</t>
  </si>
  <si>
    <t>احمد محمد السيد فرج فرج</t>
  </si>
  <si>
    <t>هاجر محمد يوسف على محمد</t>
  </si>
  <si>
    <t>محمد الحسين محمد محمد خليل</t>
  </si>
  <si>
    <t>امير صلاح عبدالغنى عبدالحميد عبدالغنى</t>
  </si>
  <si>
    <t>مريم عبد الكريم محمد مبروك</t>
  </si>
  <si>
    <t>الاء عبدالهادى محمد عبدالهادى محمد</t>
  </si>
  <si>
    <t>مجدى محمد القطب رزق</t>
  </si>
  <si>
    <t>جيهان سلامه احمد سلامه سلمى</t>
  </si>
  <si>
    <t>محمود صالح محمود إبراهيم حسن</t>
  </si>
  <si>
    <t>مريم شريف فاروق محمد مباشر</t>
  </si>
  <si>
    <t>مريم سمير صديق نصار سليمان</t>
  </si>
  <si>
    <t>ورده محمود كامل محمد السيد</t>
  </si>
  <si>
    <t>وفاء عماد زكي علي محمد</t>
  </si>
  <si>
    <t>مصطفى السيد عبدالرحمن ضيف الله منصور</t>
  </si>
  <si>
    <t>منه محمد محمود السيد نجم</t>
  </si>
  <si>
    <t>منه هانى عبدالرزاق السيد حسن</t>
  </si>
  <si>
    <t>منه محمد محمد عطيه احمد</t>
  </si>
  <si>
    <t>سحر محمد عبدالعزيز عقل محمد</t>
  </si>
  <si>
    <t>ملك سعد محمد على سعد</t>
  </si>
  <si>
    <t>نسيبه محمد إبراهيم امام عبدالله</t>
  </si>
  <si>
    <t>نورا محمد فتحى حسين حسن بهنساوي</t>
  </si>
  <si>
    <t>نورهان إبراهيم محمد إبراهيم</t>
  </si>
  <si>
    <t>نورهان ابراهيم فؤاد محمد</t>
  </si>
  <si>
    <t>مريم محمد احمد عاطف السيد احمد</t>
  </si>
  <si>
    <t>اسراء إبراهيم عبد المعز سالم احمد</t>
  </si>
  <si>
    <t>منه الله عبد المنعم احمد احمد</t>
  </si>
  <si>
    <t>الزهراء عبد الحميد محمد عبد الحميد احمد</t>
  </si>
  <si>
    <t>مريم محمد مصطفى عوض ابراهيم</t>
  </si>
  <si>
    <t>B2</t>
  </si>
  <si>
    <t>اروى محمد شحاته محمد بندارى</t>
  </si>
  <si>
    <t>احمد علاء محمد فاروق عبدالعزيز محى</t>
  </si>
  <si>
    <t>احمد محمد عبد العليم قناوى محمد</t>
  </si>
  <si>
    <t>اسراء هانى احمد محمد على كحيله</t>
  </si>
  <si>
    <t>احمد سعيد محمد احمد سلامه</t>
  </si>
  <si>
    <t>اسراء هانى مصبح عبداللطيف حلمى</t>
  </si>
  <si>
    <t>احمد ابراهيم عطيه ابراهيم محمد الساعى</t>
  </si>
  <si>
    <t>خالد السيد احمد محمد محمد علوان</t>
  </si>
  <si>
    <t>رودينة محمد داود محمد منصور</t>
  </si>
  <si>
    <t>سلمى عبد الفتاح عبد العليم عبد الفتاح محمد</t>
  </si>
  <si>
    <t>شهد خالد عبدالله محمد سالم</t>
  </si>
  <si>
    <t>على هشام محمد عبد العزيز عبد العال</t>
  </si>
  <si>
    <t>عرفه طه عبدالهادى زاهر شراقى</t>
  </si>
  <si>
    <t>منه الله ايمن عثمان احمد عسكر</t>
  </si>
  <si>
    <t>عبدالله عادل إبراهيم إبراهيم إسماعيل</t>
  </si>
  <si>
    <t>صوفيا مصطفى الهامى إبراهيم مغيث</t>
  </si>
  <si>
    <t>عمر حسين ابراهيم ابوزيد</t>
  </si>
  <si>
    <t>احمد عماد السيد إسماعيل</t>
  </si>
  <si>
    <t>محمد يسرى عبدالفتاح الشبراوى مصطفى</t>
  </si>
  <si>
    <t>وليد احمد محمد امين محمد الصغير</t>
  </si>
  <si>
    <t>نغم محمد سمير عليوه محمد</t>
  </si>
  <si>
    <t>راندا ثروت الشبراوى مجاهد</t>
  </si>
  <si>
    <t>هند وليد عثمان دسوقى عثمان</t>
  </si>
  <si>
    <t>ريناد احمد صالح محمد ناجى</t>
  </si>
  <si>
    <t>مريم ماجد وردانى عبدالله مسلم</t>
  </si>
  <si>
    <t>رؤى ياسر عبد الحليم عبدالرحمن محمد قاسم</t>
  </si>
  <si>
    <t>صفا محمد عبد الكريم عرفات عطيه</t>
  </si>
  <si>
    <t>اشرف عبد الحى إبراهيم سعد شديد</t>
  </si>
  <si>
    <t>سها عبدالله جلال السيد</t>
  </si>
  <si>
    <t>فاطمه مدحت الشافعى محمد محيي الدين</t>
  </si>
  <si>
    <t>عبدالله احمد عبدالله احمد عبد الرحمن</t>
  </si>
  <si>
    <t>يوسف تامر عبد الحميد محمد احمد عبيد</t>
  </si>
  <si>
    <t>سلمى محمود إسماعيل عبد الحميد</t>
  </si>
  <si>
    <t>على شلبي على شلبى على</t>
  </si>
  <si>
    <t>عمر احمد إبراهيم محمد النجار</t>
  </si>
  <si>
    <t>نورهان قدرى سعد على عطيه</t>
  </si>
  <si>
    <t>إبراهيم شعبان فتحى الاعسر</t>
  </si>
  <si>
    <t>عبد الله محمد عبد الله حسن</t>
  </si>
  <si>
    <t>محمود مجدي مأمون احمد</t>
  </si>
  <si>
    <t>محمد أحمد منير عبد الفتاح</t>
  </si>
  <si>
    <t>كلية طب اسنان</t>
  </si>
  <si>
    <t>لجنة الاختبار النهائي لكورس اللغة الإنجليزية - الفصل الدراسي الثاني للعام الدراسي2025-2026
يوم الأحد - الموافق 10 مايو 2026</t>
  </si>
  <si>
    <t>كود الطالب</t>
  </si>
  <si>
    <t>ابراهيم عبدالحميد عبدالعاطي ابراهيم عوض الله</t>
  </si>
  <si>
    <t>احمد زكريا سعيد محمد الزنفلي</t>
  </si>
  <si>
    <t>احمد عبدالعال عزت محمد ابراهيم</t>
  </si>
  <si>
    <t>احمد وائل عبدالمحسن صبحي ابو حامد</t>
  </si>
  <si>
    <t>السيد عادل السيد حسن بكر</t>
  </si>
  <si>
    <t>جنة ماهر محمد الهادى الدبيكى</t>
  </si>
  <si>
    <t>جوزيف صالح نجيب جرجس</t>
  </si>
  <si>
    <t>حازم محمد عيد عبد الرحمن خليل</t>
  </si>
  <si>
    <t>حامد محمد محمد محي الدين حامد عطيه ابراهيم</t>
  </si>
  <si>
    <t>حبيبه حامد عبدالله حامد</t>
  </si>
  <si>
    <t>حسام عماد فاروق محمد امين</t>
  </si>
  <si>
    <t>حسام محمد ابو الفتوح محمد محمد</t>
  </si>
  <si>
    <t>حسناء السيد محمد جمعه محمد</t>
  </si>
  <si>
    <t>خلود يوسف احمد يوسف</t>
  </si>
  <si>
    <t>يارا محمد عبده محمد علي</t>
  </si>
  <si>
    <t>بسمة محمد عمر عبد الكريم الاخرص</t>
  </si>
  <si>
    <t>عادل هاني عادل محمد السيد</t>
  </si>
  <si>
    <t>مصطفي عماد كامل عبد الشافي</t>
  </si>
  <si>
    <t>محمد ايمن عبد الفتاح محمد</t>
  </si>
  <si>
    <t>يوسف عياد احمد ابراهيم</t>
  </si>
  <si>
    <t>منة عبد العزيز صلاح الدين</t>
  </si>
  <si>
    <t>ندي محمد عبدالعزيز محمد</t>
  </si>
  <si>
    <t>احمد حمدي محمد السعيد</t>
  </si>
  <si>
    <t>ابراهيم احمد محمد محمد بسيوني</t>
  </si>
  <si>
    <t>إبراهيم عبده عبدالله عبده</t>
  </si>
  <si>
    <t xml:space="preserve">كلية الصيدلة
0-011  الدور الارضي </t>
  </si>
  <si>
    <t>فاطمه احمد السيد عبد العزيز</t>
  </si>
  <si>
    <t>ابراهيم محمد ابراهيم عبد البديع محمد نجم</t>
  </si>
  <si>
    <t>رحمة ايهاب حسن احمد شعلان</t>
  </si>
  <si>
    <t>رشا محمد خالد عبدالعزيز سالم عيد</t>
  </si>
  <si>
    <t>رنا عوض الله انور محمد الصادق</t>
  </si>
  <si>
    <t>رنا محمد عبدالوهاب احمد محمد</t>
  </si>
  <si>
    <t>روان اشرف احمد محمد غنيم</t>
  </si>
  <si>
    <t>ريم جلال محمد رجائي احمد العزازي</t>
  </si>
  <si>
    <t>زياد أحمد عبدالحميد أحمد محمود</t>
  </si>
  <si>
    <t>زياد أمين السعيد عطوه أحمد</t>
  </si>
  <si>
    <t>زياد سمير شحتو مهدي شحتو</t>
  </si>
  <si>
    <t>زياد عمر سعيد ابراهيم علي</t>
  </si>
  <si>
    <t>زياد محمد صبحي فوزي غانم</t>
  </si>
  <si>
    <t>زياد محمد محمد مسلم سيد احمد</t>
  </si>
  <si>
    <t>ساره هشام حسين علي حسبن</t>
  </si>
  <si>
    <t>سجده سعيد محمد محمد ابراهيم</t>
  </si>
  <si>
    <t>سديم جمال فتحي سويلم</t>
  </si>
  <si>
    <t>سلمي احمد محمد محمود حسن</t>
  </si>
  <si>
    <t>سيف اسامة محمد السيد</t>
  </si>
  <si>
    <t>سيف حسين احمد السيد</t>
  </si>
  <si>
    <t>سارة فتحي عبد الرحمن بيومي</t>
  </si>
  <si>
    <t>مروه علاء الدين فتحي</t>
  </si>
  <si>
    <t>محمود خالد امين محمد</t>
  </si>
  <si>
    <t>محمد شحتة محمد منصور عبد الحليم</t>
  </si>
  <si>
    <t>سارة السيد صالح</t>
  </si>
  <si>
    <t xml:space="preserve">كلية الصيدلة
0-012  الدور الارضي </t>
  </si>
  <si>
    <t>كريم فرحات السيد عبدالله</t>
  </si>
  <si>
    <t>احمد مصطفى السيد عبد المنعم</t>
  </si>
  <si>
    <t>ياسمين وائل احمد عبدالدايم</t>
  </si>
  <si>
    <t>احمد مجدى محمد حسن السيد</t>
  </si>
  <si>
    <t>أحمد فتحى عبدالعال الشبراوى</t>
  </si>
  <si>
    <t>احمد رضا محمد بسيوني</t>
  </si>
  <si>
    <t>احمد محمد ابوزيد محمد</t>
  </si>
  <si>
    <t>أحمد رمضان عبدالله ابراهيم</t>
  </si>
  <si>
    <t>شيرين الشبراوى احمد الشبراوي عبدالستار</t>
  </si>
  <si>
    <t>عبدالرحمن رمضان سالم محمد</t>
  </si>
  <si>
    <t>زينة محمد عد اللطيف</t>
  </si>
  <si>
    <t>محمد جاسر محمود محمد</t>
  </si>
  <si>
    <t>منى عبد الله السيد عبد الله</t>
  </si>
  <si>
    <t>وفاء كمال حسين</t>
  </si>
  <si>
    <t>عبدالرحمن خالد السيد منصور العتال</t>
  </si>
  <si>
    <t>محمد وليد محمد السيد</t>
  </si>
  <si>
    <t>رويدا ابراهيم شكري محمد ابراهيم</t>
  </si>
  <si>
    <t>ياسمين احمد سعيد عطيه محمد</t>
  </si>
  <si>
    <t>احمد محمد السيد ابوهاشم</t>
  </si>
  <si>
    <t>احمد محمد عبدالقادر حسانين حسونه</t>
  </si>
  <si>
    <t>احمد محمد عبدالرازق نصر</t>
  </si>
  <si>
    <t>احمد محمد السيد نصر</t>
  </si>
  <si>
    <t>أحمد محمد صالح محمد صالح عبدالرحمن</t>
  </si>
  <si>
    <t>احمد محمد صبح خليل محمد</t>
  </si>
  <si>
    <t>اسماء مرزوق أحمد قطب عيسي</t>
  </si>
  <si>
    <t xml:space="preserve">كلية الصيدلة
0-020   الدور الارضي </t>
  </si>
  <si>
    <t>الزهراء جميل محمد محمد</t>
  </si>
  <si>
    <t>الزهراء عصام محمد عبدالخالق</t>
  </si>
  <si>
    <t>امل السيد ممدوح حسن متولى</t>
  </si>
  <si>
    <t>اميره رمزى عبدالحميد احمد</t>
  </si>
  <si>
    <t>كريم سمير عبدالكريم مهدي محمد</t>
  </si>
  <si>
    <t>أحمد محمد موسى أحمد محمد</t>
  </si>
  <si>
    <t>طارق محمد احمد عبدالله</t>
  </si>
  <si>
    <t>احمد اشرف فهمي ابوجبل</t>
  </si>
  <si>
    <t>عبدالرحمن محمود إبراهيم خضر</t>
  </si>
  <si>
    <t>عبدالرحمن محمود محمد علي النجار</t>
  </si>
  <si>
    <t>عمر احمد محمد عبدالعال سالم</t>
  </si>
  <si>
    <t>عمر اشرف عبد العزيز محمد محمد</t>
  </si>
  <si>
    <t>أنس السيد أحمد سليمان</t>
  </si>
  <si>
    <t>يس عشور فتحي عبد الغفار</t>
  </si>
  <si>
    <t>يوسف سليمان محمد سليمان</t>
  </si>
  <si>
    <t>محمود محمد محمد محمد</t>
  </si>
  <si>
    <t>عبد الرحمن هشام عبد الستار</t>
  </si>
  <si>
    <t>محمود عطا شيرعي حسين</t>
  </si>
  <si>
    <t>محمود محمد محمود السيد علي</t>
  </si>
  <si>
    <t>عمر محمود فتحي متولي</t>
  </si>
  <si>
    <t>عمرو محمد محمد خليل خطاب</t>
  </si>
  <si>
    <t>اسلام احمد جمال محمود محمد</t>
  </si>
  <si>
    <t>اروي اسامه سعيد عبدالله احمد علي</t>
  </si>
  <si>
    <t>اسراء محمود حامد عبد العزيز خير الله</t>
  </si>
  <si>
    <t>يوسف محمد رضا محمد</t>
  </si>
  <si>
    <t xml:space="preserve">كلية الصيدلة
0-021   الدور الارضي </t>
  </si>
  <si>
    <t>اسماء السيد عبد السلام السيد محمد</t>
  </si>
  <si>
    <t>اسماء حسين محمد حسين العربى</t>
  </si>
  <si>
    <t>عمر محمد عبد اللطيف محمد حسين عمران</t>
  </si>
  <si>
    <t>محمد عصام عبدالرازق احمد اسماعيل</t>
  </si>
  <si>
    <t>أحمد محمود السيد رجب</t>
  </si>
  <si>
    <t>أحمد محمد محمد الغفافره</t>
  </si>
  <si>
    <t>اسماء تامر محمد حسن لاشين</t>
  </si>
  <si>
    <t>الاء احمد ابو سليمان</t>
  </si>
  <si>
    <t>الاء سمير محمد محمد سالم</t>
  </si>
  <si>
    <t>أمنيه احمد فرغلي محمد علي</t>
  </si>
  <si>
    <t>نورا السيد سليمان</t>
  </si>
  <si>
    <t>ياسمين محمد ابراهيم اسماعيل سالم</t>
  </si>
  <si>
    <t>مريم صبري مرسي حسن مباشر</t>
  </si>
  <si>
    <t>مريم منصور السيد حسن عبدالعال</t>
  </si>
  <si>
    <t>مصطفى اشرف مصطفى علي عبدالرحيم</t>
  </si>
  <si>
    <t>مصطفى محمد طلعت محمد الباز</t>
  </si>
  <si>
    <t>مصطفي عبد الرحمن محمد عبد الرحمن محمد السواح</t>
  </si>
  <si>
    <t>مصطفي عبدالله ابوهاشم مصطفي علي</t>
  </si>
  <si>
    <t>مصطفي عمر مصطفي السيد جادالحق</t>
  </si>
  <si>
    <t>مصطفي محمد ابراهيم محمد عطية</t>
  </si>
  <si>
    <t>معاذ محمد ابراهيم اسماعيل</t>
  </si>
  <si>
    <t>معاذ موسى محمود زعرب</t>
  </si>
  <si>
    <t>معتز صابر مبروك عبدالرازق</t>
  </si>
  <si>
    <t>ملك محسن محمود محمد آماره</t>
  </si>
  <si>
    <t>ممدوح ابراهيم ممدوح عبدالله ابوزيد</t>
  </si>
  <si>
    <t xml:space="preserve">كلية الصيدلة
0-022  الدور الارضي </t>
  </si>
  <si>
    <t>منة اللّٰه محمد فهمي محمد رجب</t>
  </si>
  <si>
    <t>منةالله تامر عبدالمجيد مهدلى سعد</t>
  </si>
  <si>
    <t>منه الله سليمان محمد محمد سليمان</t>
  </si>
  <si>
    <t>سلوان محمود الشحات محمد الحديدي</t>
  </si>
  <si>
    <t>حبيبة بهاء توفيق محمد المنسي</t>
  </si>
  <si>
    <t>ايمان ايمن خضر عبد الرحمن</t>
  </si>
  <si>
    <t>ايمان عماد عبد القادر</t>
  </si>
  <si>
    <t>ايه محمد يوسف محمود على</t>
  </si>
  <si>
    <t>براء ياسر محمد محمد كمال السيد</t>
  </si>
  <si>
    <t>ياره محمد حسن علي</t>
  </si>
  <si>
    <t>آلاء إسماعيل إبراهيم سليمان البشلاوي</t>
  </si>
  <si>
    <t>اسلام محمد فوزي غراب</t>
  </si>
  <si>
    <t>الحسن محمد محمد عيسى عبدالرحمن</t>
  </si>
  <si>
    <t>الحسين محمد محمد عيسى عبدالرحمن</t>
  </si>
  <si>
    <t>منه مصطفى منصور حسين احمد</t>
  </si>
  <si>
    <t>مني محمد عبد العزيز محمد عبد النبي</t>
  </si>
  <si>
    <t>مهند محمد عبد السلام السيد</t>
  </si>
  <si>
    <t>مي صابر محمد احمد ابراهيم</t>
  </si>
  <si>
    <t>مي علي محمد احمد</t>
  </si>
  <si>
    <t>مي كمال امام العوضي</t>
  </si>
  <si>
    <t>مي محمد احمد محمد</t>
  </si>
  <si>
    <t>مي مسعود كمال ديغم</t>
  </si>
  <si>
    <t>ميار عيداللاه عبدالواحد عبداللاه</t>
  </si>
  <si>
    <t>نجلاء عابر عبدالله حسين أحمد</t>
  </si>
  <si>
    <t>نجوان سامى مختار احمد بيومى</t>
  </si>
  <si>
    <t>نداء محمود عبيد السيد حسين</t>
  </si>
  <si>
    <t>ندى عادل عبدالرحمن محمد</t>
  </si>
  <si>
    <t>نسمه محسن محمد احمد بندق</t>
  </si>
  <si>
    <t>نور الدين عمرو إبراهيم العقيلي</t>
  </si>
  <si>
    <t>نور السيد محمد السيد عبدربه</t>
  </si>
  <si>
    <t>نور صلاح ابراهيم عبدالحق ابراهيم</t>
  </si>
  <si>
    <t>نورا علاء الدين محمد عبدالغني</t>
  </si>
  <si>
    <t>نورالدين محمد عبدالمعز محمد مصطفى</t>
  </si>
  <si>
    <t>نورهان اسامه محمد محمد ابوزيد</t>
  </si>
  <si>
    <t>نورهان سامح محمد محمد يوسف</t>
  </si>
  <si>
    <t>نورهان محمد شوقي الجزار</t>
  </si>
  <si>
    <t>نيجار محمد محمد نصر منصور</t>
  </si>
  <si>
    <t>هاجر الليثي محمود الليثي حسن</t>
  </si>
  <si>
    <t>بسملة جاد محمد سليمان سعاده</t>
  </si>
  <si>
    <t>جنا مدحت احمد محمد عبدالسلام</t>
  </si>
  <si>
    <t>جنه عبدالرازق محمد محمد اسماعيل</t>
  </si>
  <si>
    <t>خالد محمد عطيه عبدالهادى</t>
  </si>
  <si>
    <t>هبه عادل عطيه السيد منصور</t>
  </si>
  <si>
    <t>آيه صلاح عبدالله آيه صلاح</t>
  </si>
  <si>
    <t>انس أبراهيم محمد الأشقر</t>
  </si>
  <si>
    <t>انس ابراهيم احمد محمد مصطفي</t>
  </si>
  <si>
    <t>هبه صلاح عبدالسلام منصور عطيه</t>
  </si>
  <si>
    <t>هنا عمرو احمد عبد الفتاح علم</t>
  </si>
  <si>
    <t>هنا محمود أحمد فؤاد عبدالعزيز الدسوقي</t>
  </si>
  <si>
    <t>ياره هاني أحمد السيد خليل</t>
  </si>
  <si>
    <t>ياسمين اشرف عبد الرحمن عبد الرحمن محمد</t>
  </si>
  <si>
    <t>ياسمين ناصر احمد مجاهد حسين</t>
  </si>
  <si>
    <t>يوسف ابراهيم ابومسلم محمد ابراهيم السيد</t>
  </si>
  <si>
    <t>يوسف ابراهيم عبدالفتاح أبوالفتوح عمر</t>
  </si>
  <si>
    <t>يوسف احمد رياض احمد الشافعي</t>
  </si>
  <si>
    <t>يوسف احمد محمد احمد محمد خير الدين</t>
  </si>
  <si>
    <t>يوسف احمد محمد امين</t>
  </si>
  <si>
    <t>يوسف اشرف سليمان عبدالرحمن النايب</t>
  </si>
  <si>
    <t>ابرار رضا عبد العزيز حسين</t>
  </si>
  <si>
    <t>ابراهيم احمد عبد الخير اسماعيل على قنديل</t>
  </si>
  <si>
    <t>احمد محمود السيد محمود متولى</t>
  </si>
  <si>
    <t>احمد وليد حسينى عبد الصمد</t>
  </si>
  <si>
    <t>احمد يحيي محمد ابراهيم</t>
  </si>
  <si>
    <t>ادم محمد على عبد المقصود</t>
  </si>
  <si>
    <t>أميرة السيد أحمد ابراهيم محمود</t>
  </si>
  <si>
    <t>خلود محمد السيد احمد محمد خليل</t>
  </si>
  <si>
    <t>دعاء ماجد محمد بندارى محمد</t>
  </si>
  <si>
    <t>رانيا عبد العظيم محمد احمد محمد</t>
  </si>
  <si>
    <t>رضوى عبد العزيز بكرى السيد عبد العزيز</t>
  </si>
  <si>
    <t>يارا عبدلله فؤاد عبدلله</t>
  </si>
  <si>
    <t>بسنت عبدلله محمد عبدلله</t>
  </si>
  <si>
    <t>محمد ايمن محمد ابراهيم هنداوى</t>
  </si>
  <si>
    <t>تدرس رؤوف فايز ابراهيم جرجس</t>
  </si>
  <si>
    <t>تسبيح ياسر محمد عرفات حمد يوسف</t>
  </si>
  <si>
    <t>اسماء احمد سعد بدران بشاره البعلي</t>
  </si>
  <si>
    <t>اسماء احمد عثمان ابراهيم عبد الرازق شمس</t>
  </si>
  <si>
    <t>الاء محمد السيد عامر</t>
  </si>
  <si>
    <t>امينه محمد عبدالعزيز محمد حسين</t>
  </si>
  <si>
    <t>ايمان محمد السيد علي محمد</t>
  </si>
  <si>
    <t>ايمان مصطفى فرحات ابو الغيط فرحات</t>
  </si>
  <si>
    <t>ايناس السيد عبد الغنى جمعه محمد</t>
  </si>
  <si>
    <t>ايه حسام الدين ابراهيم ابراهيم</t>
  </si>
  <si>
    <t>ايه حسام الدين محمد محمد</t>
  </si>
  <si>
    <t>ايه على سليمان محمد محمد عريف</t>
  </si>
  <si>
    <t>ايه فتحى محمد امين بغدادى</t>
  </si>
  <si>
    <t>بسملة خيرى محمد فوزى محمد خيرى محمد على</t>
  </si>
  <si>
    <t>بسمله محمد حسين عبدالله خليل مباشر</t>
  </si>
  <si>
    <t>تسنيم خضري محمد فتحي عبد الحميد عاشور</t>
  </si>
  <si>
    <t>جنا عبد الفتاح السيد محمد ابراهيم</t>
  </si>
  <si>
    <t>جنى احمد سعيد عبدالله</t>
  </si>
  <si>
    <t>دينا محمد كمال الهادى الشوبكى</t>
  </si>
  <si>
    <t>رويدا جمال العربي قطب مصطفي</t>
  </si>
  <si>
    <t>ريم احمد محمد محمود بنداري</t>
  </si>
  <si>
    <t>ريهام شعبان محمد السيد محمد</t>
  </si>
  <si>
    <t>سما السيد محمد ابراهيم محمد</t>
  </si>
  <si>
    <t>ندا على عبد الستار حسين</t>
  </si>
  <si>
    <t>روان عبد الفتاح عبد العاطي</t>
  </si>
  <si>
    <t>جهاد محمد محمد محمد</t>
  </si>
  <si>
    <t>زينب محمد عبد الرحيم أبو الوفا</t>
  </si>
  <si>
    <t>منة الله متولي عبد الكريم راضي</t>
  </si>
  <si>
    <t xml:space="preserve">كلية الصيدلة
1019  الدور الاول </t>
  </si>
  <si>
    <t>سمر زيادي عبد اللطيف أيوب</t>
  </si>
  <si>
    <t>سلمى التهامى ابراهيم التهامى على</t>
  </si>
  <si>
    <t>هاجر خالد السيد السيد عبدالحافظ</t>
  </si>
  <si>
    <t>احمد كامل محمد احمد كامل</t>
  </si>
  <si>
    <t>احمد ماهر رمضان البنا</t>
  </si>
  <si>
    <t>محمد صبري سالم عبد السلام</t>
  </si>
  <si>
    <t>محمود عيسى جميل عيسى على</t>
  </si>
  <si>
    <t>مريم ابراهيم عبدالعال ابراهيم محمد</t>
  </si>
  <si>
    <t>مريم رضا عبدالعاطي علي عمرو</t>
  </si>
  <si>
    <t>مريم صبرى يوسف عبود عبد السيد</t>
  </si>
  <si>
    <t>مصطفي محمد السيد عبدالقادر</t>
  </si>
  <si>
    <t>ملك ابوزيد عثمان محمد محمد</t>
  </si>
  <si>
    <t>ملك عيد السيد عبد الفتاح ابراهيم</t>
  </si>
  <si>
    <t>ملك هانى محمود متولى يوسف عطوة</t>
  </si>
  <si>
    <t>منه ابراهيم احمد سالم محمد</t>
  </si>
  <si>
    <t>مهرائيل موريد ثابت موريد شكري</t>
  </si>
  <si>
    <t>ميرنا اشرف عبدالعزيز سيد احمد عبدالمطلب</t>
  </si>
  <si>
    <t>مينا سلامه صبحى سلامه عوض</t>
  </si>
  <si>
    <t>نعمه محمد محمد السيد سليم</t>
  </si>
  <si>
    <t>نيرة أشرف جابر علي عبدالعاطي</t>
  </si>
  <si>
    <t>هاجر محمد حسن علي محمد</t>
  </si>
  <si>
    <t>هايدى نبيل السعيد محمود الرجال</t>
  </si>
  <si>
    <t>يارة وليد محمد الاحمدى ابراهيم</t>
  </si>
  <si>
    <t>أبرار أشرف إبراهيم حسين</t>
  </si>
  <si>
    <t>وعد رائد خالد حجازي</t>
  </si>
  <si>
    <t xml:space="preserve">كلية الصيدلة
1020  الدور الاول </t>
  </si>
  <si>
    <t>بسملة عنتر محمد علي</t>
  </si>
  <si>
    <t>محمد محمود عبدلله محمد</t>
  </si>
  <si>
    <t>سماء بهجت عبد الكريم محمد يوسف</t>
  </si>
  <si>
    <t>شهد وائل حسين السيد</t>
  </si>
  <si>
    <t>شيرين علاء محمد سعيد عبد الحميد</t>
  </si>
  <si>
    <t>شيماء سمير اسماعيل علي الشيخ خليل</t>
  </si>
  <si>
    <t>صالح اسعد محمد احمد ابراهيم</t>
  </si>
  <si>
    <t>عبد الرحمن عصام عبد الرحمن عبد الستار حسن</t>
  </si>
  <si>
    <t>محمد حسن السيد إبراهيم علي</t>
  </si>
  <si>
    <t>نورا علاء سيد صالح</t>
  </si>
  <si>
    <t>احمد هاشم سالم ابراهيم عامر</t>
  </si>
  <si>
    <t>ايهاب جمال السيد الهنداوي</t>
  </si>
  <si>
    <t>امير محمد خليل ابرهيم</t>
  </si>
  <si>
    <t>ياسمين هاني عبدالعزيز محمد عبدالرازق</t>
  </si>
  <si>
    <t>يوسف احمد عليان عبدالله على</t>
  </si>
  <si>
    <t>ابراهيم حسيني السيد عطيه عبدالله</t>
  </si>
  <si>
    <t>ابوعرام سليم فهمي سليم اسماعيل</t>
  </si>
  <si>
    <t>احمد اسامه عبدالمنعم سليمان وادى</t>
  </si>
  <si>
    <t>احمد الحسيني ابراهيم اسماعيل ابراهيم</t>
  </si>
  <si>
    <t>احمد السيد صبري درويش حسين</t>
  </si>
  <si>
    <t>احمد سمير محمد حسن يوسف</t>
  </si>
  <si>
    <t>احمد على عبد الخالق على العباسى</t>
  </si>
  <si>
    <t>احمد محمد السعيد عبد العزيز</t>
  </si>
  <si>
    <t>احمد محمد الشافعى محمد ابراهيم</t>
  </si>
  <si>
    <t>احمد محمد حميد حسين</t>
  </si>
  <si>
    <t xml:space="preserve">كلية الصيدلة
2011  الدور الثاني </t>
  </si>
  <si>
    <t>احمد محمد سليمان على المغازى</t>
  </si>
  <si>
    <t>احمد هشام حسين على</t>
  </si>
  <si>
    <t>احمد وائل عبد ربه عبد العاطى</t>
  </si>
  <si>
    <t>اسماء السيد عبد الرحمن محمد عبد الرحمن</t>
  </si>
  <si>
    <t>اسماء سعيد احمد محمد عبد القادر</t>
  </si>
  <si>
    <t>اسماء سعيد محمد جمعه</t>
  </si>
  <si>
    <t>اسماء محمد السيد محمد احمد</t>
  </si>
  <si>
    <t>اسماء محمد السيد محمد حسن</t>
  </si>
  <si>
    <t>اسماء محمد محمد احمد عوض الله</t>
  </si>
  <si>
    <t>الاء احمد سعيد بلاسى عبدالعال</t>
  </si>
  <si>
    <t>يوسف صبري حسن سليمان</t>
  </si>
  <si>
    <t>مروان محمد عبد اللطيف محمد</t>
  </si>
  <si>
    <t>فاطمة حسام محمد محمد عبد السلام</t>
  </si>
  <si>
    <t>الاء رضا أحمد محمد حسين بوجة</t>
  </si>
  <si>
    <t>اسامة رضا عبد الحفيظ</t>
  </si>
  <si>
    <t>محمود بليغ حمدي</t>
  </si>
  <si>
    <t>نور عبدالله محسوب غريب</t>
  </si>
  <si>
    <t>ساره عصام عبدالمنعم</t>
  </si>
  <si>
    <t>إيمان السيد عبدالعظيم محمد النجدى</t>
  </si>
  <si>
    <t>أميره إبراهيم محمد عبد العزيز الحفناوي</t>
  </si>
  <si>
    <t>محمود محمد عبده مسعود محمد</t>
  </si>
  <si>
    <t>عبد الله محمد متولى محمد السيد</t>
  </si>
  <si>
    <t>عبد الله محمود عبد الله محمد</t>
  </si>
  <si>
    <t>عبدالرحمن السيد محمد علي حسن</t>
  </si>
  <si>
    <t>عبدالعزيز سليمان صبح محمود محمد</t>
  </si>
  <si>
    <t xml:space="preserve">كلية الصيدلة
2012  الدور الثاني </t>
  </si>
  <si>
    <t>علي محمد علي ابراهيم نصرالله</t>
  </si>
  <si>
    <t>علياء باسم محمد ربيع عبدالمنعم حسن</t>
  </si>
  <si>
    <t>عمار محمد صبحي سليم ضويحي</t>
  </si>
  <si>
    <t>عمر محمد بدر محمد متولي</t>
  </si>
  <si>
    <t>فاطمه احمد عبدالرحمن ابو زيد عبد الرحمن</t>
  </si>
  <si>
    <t>كريم السيد عوض الله حسن احمد</t>
  </si>
  <si>
    <t>محمد ابراهيم محمد محمد السيد</t>
  </si>
  <si>
    <t>محمد احمد حسينى محمد حفنى الفورانى</t>
  </si>
  <si>
    <t>محمد احمد حسيني عسر احمد</t>
  </si>
  <si>
    <t>محمد احمد محمد محمد</t>
  </si>
  <si>
    <t>محمد اسامه محمد علي احمد</t>
  </si>
  <si>
    <t>محمد اشرف سامي احمد عويس</t>
  </si>
  <si>
    <t>محمد اشرف محمد موسى</t>
  </si>
  <si>
    <t>محمد رضا محمد مسعود بقوشي</t>
  </si>
  <si>
    <t>شمس محمد إمام غريب</t>
  </si>
  <si>
    <t>أحمد طارق يوسف خطاب</t>
  </si>
  <si>
    <t>علي عصام عبد السلام</t>
  </si>
  <si>
    <t>عبد الله ياسر عبد النبي صادق</t>
  </si>
  <si>
    <t>فاطمة احمد توفيق محمد توفيق</t>
  </si>
  <si>
    <t>فاطمه عبد السلام عطا محمد عبد المجيد</t>
  </si>
  <si>
    <t>فايزه احمد ابراهيم محمد اسماعيل</t>
  </si>
  <si>
    <t>فرح السيد على خليل بقرى</t>
  </si>
  <si>
    <t>فرح على احمد محمد مصيلحى</t>
  </si>
  <si>
    <t>نور عبدالله السيد عبدالله امام</t>
  </si>
  <si>
    <t>شيماء محمد ممدوح الشبراوي</t>
  </si>
  <si>
    <t xml:space="preserve">كلية الصيدلة
2017  الدور الثاني </t>
  </si>
  <si>
    <t>احمد محمد السيد محمد السيد</t>
  </si>
  <si>
    <t>محمد السيد احمد محمد نصار</t>
  </si>
  <si>
    <t>محمد تامر محمد عبد العزيز ابراهيم جبر</t>
  </si>
  <si>
    <t>محمد عبد السميع محمد علي احمد سويلم</t>
  </si>
  <si>
    <t>محمد عبد العزيز عبده حسن</t>
  </si>
  <si>
    <t>محمد على محمد سيوطى</t>
  </si>
  <si>
    <t>محمد نمر كليب عبدالمهدي</t>
  </si>
  <si>
    <t>محمود علاء الدين احمد محمد</t>
  </si>
  <si>
    <t>محمود عيد محمود سليم عطا</t>
  </si>
  <si>
    <t>مروة ابراهيم محمد ابراهيم بركات</t>
  </si>
  <si>
    <t>مروة عبدالله عطيه سويل عريق</t>
  </si>
  <si>
    <t>مروه محمد عبدالعزيز عيسي علي</t>
  </si>
  <si>
    <t>مريم رأفت على محمد سلامه</t>
  </si>
  <si>
    <t>مصطفى محمد ابراهيم عبد الله حفنى جلال</t>
  </si>
  <si>
    <t>مصطفي محمد مصطفي محمد</t>
  </si>
  <si>
    <t>معاذ مصطفي مصطفي علي الشرقاوي</t>
  </si>
  <si>
    <t>ملك عبدالسلام عبدالفتاح ابراهيم عطيه</t>
  </si>
  <si>
    <t>منةالله جاسر الحسينى عبدالحميد احمد</t>
  </si>
  <si>
    <t>منه احمد محمد السيد محمد</t>
  </si>
  <si>
    <t>منه الله نبيه فوزى عبدالعظيم سلامه</t>
  </si>
  <si>
    <t>منه محمد نزيه السيد ابراهيم</t>
  </si>
  <si>
    <t>مى محسن محمد عبد السلام عبد الله</t>
  </si>
  <si>
    <t>حسام صلاح محمد مسعود</t>
  </si>
  <si>
    <t>بسمة محمد علي عودة</t>
  </si>
  <si>
    <t>رحمة محمود محمد صالح</t>
  </si>
  <si>
    <t xml:space="preserve">كلية الصيدلة
2018  الدور الثاني </t>
  </si>
  <si>
    <t>عبد الرحمن سعيد احمد عبد الحسيب</t>
  </si>
  <si>
    <t>عبد الله اشرف موسى سيد احمد</t>
  </si>
  <si>
    <t>عبدالله سعد السيد محمد سليمان المهدى</t>
  </si>
  <si>
    <t>عبدالله محمد عبدالله عيسى نعمه الله</t>
  </si>
  <si>
    <t>مى هشام سليمان هاشم ابراهيم</t>
  </si>
  <si>
    <t>يوسف محمود يوسف عبد الوهاب</t>
  </si>
  <si>
    <t>هبه ياسر عبد الرحمن متولى السيد سليم</t>
  </si>
  <si>
    <t>نوران عصام كامل محمد فرج</t>
  </si>
  <si>
    <t>اسراء عثمان منصور</t>
  </si>
  <si>
    <t>سعيد رجب حسن حسين محمود</t>
  </si>
  <si>
    <t>ياسين رمضان حلمي موسي</t>
  </si>
  <si>
    <t>مريم خضري محمد عبد المنعم غانم</t>
  </si>
  <si>
    <t>باسم أنيس منصور</t>
  </si>
  <si>
    <t>المعتصم عبد الرحمن السيد محمد</t>
  </si>
  <si>
    <t>ياسمين عصام مصطفى عبد المعطي</t>
  </si>
  <si>
    <t>احمد محمد السيد السيد</t>
  </si>
  <si>
    <t>دبنا رياض علي محمد</t>
  </si>
  <si>
    <t>مؤمن محمود محمد عكاشة محمد</t>
  </si>
  <si>
    <t>هنا أحمد سليمان العززاي</t>
  </si>
  <si>
    <t>محمد السيد نشأت فاروق</t>
  </si>
  <si>
    <t>همسة محمد السعيد حسن</t>
  </si>
  <si>
    <t>أبرار السيد محمد سليم</t>
  </si>
  <si>
    <t>حازم علاء محمد لطفي فتح الله الشيخ</t>
  </si>
  <si>
    <t>اسامة شريف محمود الدعوشه</t>
  </si>
  <si>
    <t>زينب عبد الحليم محمد ابراهيم</t>
  </si>
  <si>
    <t xml:space="preserve">كلية الصيدلة
2019   الدور الثاني </t>
  </si>
  <si>
    <t>يوسف نجيب عبد العظيم عبد الله محمد</t>
  </si>
  <si>
    <t>يوسف امين محمد سلامه منصور</t>
  </si>
  <si>
    <t>يوسف إيهاب محمد عبدالمحسن سليمان محمد</t>
  </si>
  <si>
    <t>يوسف علي يوسف السيد</t>
  </si>
  <si>
    <t>يوسف محمد امام محمد</t>
  </si>
  <si>
    <t>يوسف محمد خالد محمود ابراهيم</t>
  </si>
  <si>
    <t>يوسف محمد عبدالرحمن غزالة</t>
  </si>
  <si>
    <t>يوسف محمد محمد عبد الفتاح عبد العال</t>
  </si>
  <si>
    <t>يوسف محمود عاطف الزنفلي</t>
  </si>
  <si>
    <t>يوسف محمود محمد احمد عطيه</t>
  </si>
  <si>
    <t>يوسف ممدوح السيد اسماعيل محمد</t>
  </si>
  <si>
    <t>يوسف وائل مرزوق علي</t>
  </si>
  <si>
    <t>جنا أشرف حمد الباسل الخناني</t>
  </si>
  <si>
    <t>جنات علاء حسني حسين عفيفي</t>
  </si>
  <si>
    <t>حنين راضي محمد سعيد</t>
  </si>
  <si>
    <t>خالد أحمد عبد الرازق أحمد</t>
  </si>
  <si>
    <t>خالد محمد خليل خليل</t>
  </si>
  <si>
    <t>خالد هشام السيد سليم محمد</t>
  </si>
  <si>
    <t>رحمة محمد سعيد عبدالله محمد</t>
  </si>
  <si>
    <t>سارة رمضان عبد الوهاب إبراهيم حسانين</t>
  </si>
  <si>
    <t>حسن محمد حسن زعرب</t>
  </si>
  <si>
    <t>باهر عبد الحكيم عبد الوهاب محمد محمد</t>
  </si>
  <si>
    <t>ثريا هاني محمد سيد أحمد</t>
  </si>
  <si>
    <t>السيد محمد السيد خليل</t>
  </si>
  <si>
    <t>إيمان عبد العزيز فرج السيد</t>
  </si>
  <si>
    <t>تقي مصطفي السيد مصطفي السيد</t>
  </si>
  <si>
    <t>رولا علاءالدين ابوزيد ابراهيم</t>
  </si>
  <si>
    <t>رويدا محمد السيد عبد الحميد احمد</t>
  </si>
  <si>
    <t>ريم احمد سعيد عبد الحميد</t>
  </si>
  <si>
    <t>ريهام محمد مسعد عثمان</t>
  </si>
  <si>
    <t>زي السيد عبد الحميد محمد السيد</t>
  </si>
  <si>
    <t>زياد محمد سعيد عبد العال احمد</t>
  </si>
  <si>
    <t>ساره احمد محمد محمد محمد ابراهيم</t>
  </si>
  <si>
    <t>سامح البدوي السيد سليمان</t>
  </si>
  <si>
    <t>سلمى محمود ربيع محمود</t>
  </si>
  <si>
    <t>سليمان العربي سليمان الصادق محمد محمد</t>
  </si>
  <si>
    <t>شهد أحمد إسماعيل أمين إسماعيل</t>
  </si>
  <si>
    <t>عبد السلام أحمد محمد أحمد</t>
  </si>
  <si>
    <t>ايمان هيثم عبدالبديع امين حسن</t>
  </si>
  <si>
    <t>اسلام عبدالخالق عبدالمجيد عبدالعزيز</t>
  </si>
  <si>
    <t>احمد ايهاب السعيد عبد الغني رمضان</t>
  </si>
  <si>
    <t>موزة حسين محمود الباز</t>
  </si>
  <si>
    <t>هاجر حاتم لطفي علي</t>
  </si>
  <si>
    <t>هنا كرم سعيد مهران</t>
  </si>
  <si>
    <t>يارا صلاح محمد علي</t>
  </si>
  <si>
    <t>ياسمين ياسر محمد الشامى</t>
  </si>
  <si>
    <t>يمنى ربيع محمد داؤود</t>
  </si>
  <si>
    <t>يوسف محمد عبد اللطيف سيف</t>
  </si>
  <si>
    <t>يوسف محمد عبده عيد محمد</t>
  </si>
  <si>
    <t>يوسف هاني محمد حسب النبي حسن</t>
  </si>
  <si>
    <t xml:space="preserve">كلية أسنان
H027   الدور الارضي </t>
  </si>
  <si>
    <t>اروه وليد عادل عبدالفتاح احمد</t>
  </si>
  <si>
    <t>ايهاب سعدون محمد زكريا عباس</t>
  </si>
  <si>
    <t>ايهاب محمد السيد ابراهيم</t>
  </si>
  <si>
    <t>دينا محمد فتحي الصاوي محمد</t>
  </si>
  <si>
    <t>رحمه عمر عبدالحليم عبدالحميد سالم غنيم</t>
  </si>
  <si>
    <t>رماس عطية على احمد زعرب</t>
  </si>
  <si>
    <t>احمد نادر عبد المعطى محمد عبد المعطى</t>
  </si>
  <si>
    <t>احمد رمضان عبد المحسن مجاهد موسي</t>
  </si>
  <si>
    <t>ابراهيم احمد لطفي خليفه</t>
  </si>
  <si>
    <t>روان محمد احمد محى محمد الشيخ</t>
  </si>
  <si>
    <t>زياد احمد محمد ابراهيم ابراهيم</t>
  </si>
  <si>
    <t>سلمي محسن محمد عبدالعزيز المرسي</t>
  </si>
  <si>
    <t>شهد السيد فتحي ابراهيم السيد</t>
  </si>
  <si>
    <t>عبد الرحمن اسلام على السيد</t>
  </si>
  <si>
    <t>عمر خالد شعبان عبدالغني مرزوق</t>
  </si>
  <si>
    <t>فاطمة محمد ابو العلا على عيد</t>
  </si>
  <si>
    <t>فرح محمود ابراهيم الدسوقي اسماعيل</t>
  </si>
  <si>
    <t>مريم رضا اسماعيل غريب اسماعيل</t>
  </si>
  <si>
    <t>مصطفي محمد السيد محمد ابراهيم</t>
  </si>
  <si>
    <t>معتز احمد فهمي مصطفي</t>
  </si>
  <si>
    <t>منه اشرف عبدالعزيز سيداحمد عبدالمطلب</t>
  </si>
  <si>
    <t>منه محمد رمضان عطيه حسانين</t>
  </si>
  <si>
    <t>ندى احمد محمد فرج ابراهيم</t>
  </si>
  <si>
    <t>ندي علاء محمد عبد العاطي مهينه</t>
  </si>
  <si>
    <t>نسمه وجيه محمود صفوت حسن</t>
  </si>
  <si>
    <t xml:space="preserve">كلية أسنان
H025   الدور الارضي </t>
  </si>
  <si>
    <t>نور حماده علي صابر السيد</t>
  </si>
  <si>
    <t>وسام وائل سيد احمد محمد</t>
  </si>
  <si>
    <t>رودينا هاني امين محمد امين</t>
  </si>
  <si>
    <t>سهير محمود بكري عمر</t>
  </si>
  <si>
    <t>شهد كمال منصور محمد داؤد</t>
  </si>
  <si>
    <t>شيراز عوده رمضان محمد</t>
  </si>
  <si>
    <t>مصطفى حسام مصطفى حسن محمد</t>
  </si>
  <si>
    <t>هاجر محمد عبدالفتاح محمد</t>
  </si>
  <si>
    <t>محمد عرفة محمد فهمي علام</t>
  </si>
  <si>
    <t>اياد احمد ابراهيم حسن</t>
  </si>
  <si>
    <t>ياسمين حمدي محمد السيد هلال</t>
  </si>
  <si>
    <t>محمد يوسف عبد الله زعرب</t>
  </si>
  <si>
    <t>احمد سامح حسن عبد الله</t>
  </si>
  <si>
    <t>شهد احمد فتحى احمد</t>
  </si>
  <si>
    <t>امل حسانين سالم علي</t>
  </si>
  <si>
    <t>بسنت محمد عثمان ابراهيم محمد</t>
  </si>
  <si>
    <t>فهمي عبد الحميد عبد الرحمن أحمد</t>
  </si>
  <si>
    <t>نور محمد محمد السيد</t>
  </si>
  <si>
    <t>أحمد إيهاب السيد</t>
  </si>
  <si>
    <t>خالد مصطفى عبد الله</t>
  </si>
  <si>
    <t>نور محمد محمد حسن سالم</t>
  </si>
  <si>
    <t>مريم اشرف محيي ابو النجا</t>
  </si>
  <si>
    <t>محمد علي محمد السيد محمد عقله</t>
  </si>
  <si>
    <t>بسمله محمد حمدي عبدالحميد محمد</t>
  </si>
  <si>
    <t xml:space="preserve">كلية أسنان
H024   الدور الارضي </t>
  </si>
  <si>
    <t>الشيماء سعيد عبدالحميد عبدالعال محمد</t>
  </si>
  <si>
    <t>حسن هاني حسن امبابي</t>
  </si>
  <si>
    <t>حنين عبدالكريم محمد زين الدين عبد الكريم علي</t>
  </si>
  <si>
    <t>روان محمد مصطفى حسن مصطفى</t>
  </si>
  <si>
    <t>ريتاج عزت محمد عبدالسميع السيد</t>
  </si>
  <si>
    <t>رباب عبدالهادي السيد محمد</t>
  </si>
  <si>
    <t>شهد تامر السيد محمد السيد</t>
  </si>
  <si>
    <t>عمر حسن مصطفى شحاته</t>
  </si>
  <si>
    <t>معاذ ماهر عبدالله البسيوني</t>
  </si>
  <si>
    <t>ملك حسام جمعه عوض احمد</t>
  </si>
  <si>
    <t>ملك وليد عبدالفتاح رياض</t>
  </si>
  <si>
    <t>منة عطية محمد عطية</t>
  </si>
  <si>
    <t>منه محمد احمد السيد محمد</t>
  </si>
  <si>
    <t>مى محمود موسى محمد حميده</t>
  </si>
  <si>
    <t>سيف الدين محمد ورد</t>
  </si>
  <si>
    <t>اسلام عصام عبد الظاهر بحيري</t>
  </si>
  <si>
    <t>إياد تامر حلمي فرغلي</t>
  </si>
  <si>
    <t>أحمد أشرف علي حسن</t>
  </si>
  <si>
    <t>سحر فتحى عوض فتحى</t>
  </si>
  <si>
    <t>احمد عبدالفتاح كامل عبدالفتاح</t>
  </si>
  <si>
    <t>محمد اسماعيل رجب علي</t>
  </si>
  <si>
    <t>سليم طلعت فوده جبر احمد عبدالبر</t>
  </si>
  <si>
    <t>ابراهيم محمد ابراهيم الجيزاوي</t>
  </si>
  <si>
    <t>مريم محمد أحمد مريم</t>
  </si>
  <si>
    <t>ميرنا يوسف د محمود شلبى محمود</t>
  </si>
  <si>
    <t xml:space="preserve">كلية أسنان
H022   الدور الارضي </t>
  </si>
  <si>
    <t>نجلاء أمير محمد سلامه سليمان</t>
  </si>
  <si>
    <t>نهى أحمد عبده الفيشاوى</t>
  </si>
  <si>
    <t>نور عزمي السيد الشبراوي</t>
  </si>
  <si>
    <t>نور محمد محمود الجندي</t>
  </si>
  <si>
    <t>هاجر علاء بركات محمد</t>
  </si>
  <si>
    <t>ياسمين طه السيد عبد الرحمن</t>
  </si>
  <si>
    <t>ياسمين محمد فتحى ابراهيم عبدالعال</t>
  </si>
  <si>
    <t>جمانه محمد عبدالقادر محمد</t>
  </si>
  <si>
    <t>خديجة هانى محمد حسين محمد</t>
  </si>
  <si>
    <t>ملك مجدي محمد احمد ذكى</t>
  </si>
  <si>
    <t>منى محمود صالح محمود صالح</t>
  </si>
  <si>
    <t>نورهان رضا مصطفي محمد موسي</t>
  </si>
  <si>
    <t>بسمله ايمن محمد احمد محمد</t>
  </si>
  <si>
    <t>بسنت عاطف منصور عطيه محمد</t>
  </si>
  <si>
    <t>جني رضا محمد عطيه عيسي</t>
  </si>
  <si>
    <t>حنين رضا احمد على الشافعى</t>
  </si>
  <si>
    <t>دنيا محمد علي محمد علي</t>
  </si>
  <si>
    <t>رضوي محمد السيد محمد</t>
  </si>
  <si>
    <t>سارة عبد العزيز محمد</t>
  </si>
  <si>
    <t>أميره أحمد عثمان السيد عبدالعال</t>
  </si>
  <si>
    <t>اميرة ياسر محمد محمد</t>
  </si>
  <si>
    <t>محمود وائل عيد مرسى محمد</t>
  </si>
  <si>
    <t>عزه ابراهيم احمد محمد على</t>
  </si>
  <si>
    <t>روان عبد الرحمن السيد سليمان نجم</t>
  </si>
  <si>
    <t>روان عصام عبد العال احمد محمد</t>
  </si>
  <si>
    <t xml:space="preserve">كلية أسنان
H006   الدور الارضي </t>
  </si>
  <si>
    <t>روان هانى عبد الله محمد عبد الله</t>
  </si>
  <si>
    <t>سعد عطيه فرج عطيه مدكور</t>
  </si>
  <si>
    <t>شهد احمد محمد علي محمد عيسوي</t>
  </si>
  <si>
    <t>فاطمه محمد عرفه عبده الدوحى</t>
  </si>
  <si>
    <t>فيرونيكا نادى سعد رزق</t>
  </si>
  <si>
    <t>محمد جوده عبد الرحيم عبد الجواد محمد</t>
  </si>
  <si>
    <t>محمد سلامة محمد السيد</t>
  </si>
  <si>
    <t>مرام على احمد على ابراهيم</t>
  </si>
  <si>
    <t>مروان شريف محمد عبدالله محمد</t>
  </si>
  <si>
    <t>مريم اسماعيل احمد احمد على</t>
  </si>
  <si>
    <t>منه عبد الحميد حامد عبد الحميد عرفه</t>
  </si>
  <si>
    <t>ميرولا مايكل مجدي ماهر صديق</t>
  </si>
  <si>
    <t>هايدى شريف تاج الدين عبد العظيم</t>
  </si>
  <si>
    <t>همسه سامح محمد احمد عيطه</t>
  </si>
  <si>
    <t>هنا سامح احمد ابراهيم السيد حسن</t>
  </si>
  <si>
    <t>دعاء انور ابراهيم عبد الهادى</t>
  </si>
  <si>
    <t>ياسمين محمد محمد بكري عبد العال</t>
  </si>
  <si>
    <t>سحر حمدى الهادى عبد المعطى محمد</t>
  </si>
  <si>
    <t>سهيله محمد ابراهيم بيومي جاويش</t>
  </si>
  <si>
    <t>شمس نبيل عوض عبد الهادى</t>
  </si>
  <si>
    <t>شهد محمد السيد محمد</t>
  </si>
  <si>
    <t>عبدالرحمن محمد السيد على محمد</t>
  </si>
  <si>
    <t>نور عبد العليم محمد عبد الهادي</t>
  </si>
  <si>
    <t>سلمى احمد محمد فارس عيسى</t>
  </si>
  <si>
    <t>مروان هاني محمد زكي يوسف البنا</t>
  </si>
  <si>
    <t xml:space="preserve">كلية أسنان
H007   الدور الارضي </t>
  </si>
  <si>
    <t>روضه محمد فتحي محمد علي</t>
  </si>
  <si>
    <t>منه نادر السيد محمد عبد العاطي</t>
  </si>
  <si>
    <t>مهند عماد محي الدين مهند عماد محي الدين حسن عبدالله</t>
  </si>
  <si>
    <t>نادين محمود سعد عبد النعيم</t>
  </si>
  <si>
    <t>ندى احمد السيد محمد أبو زيد</t>
  </si>
  <si>
    <t>ندي اسامة بيومي محمود</t>
  </si>
  <si>
    <t>هايدى عيسى طلبه على ابراهيم</t>
  </si>
  <si>
    <t>يوسف محمد عبد الرازق يوسف</t>
  </si>
  <si>
    <t>يوسف محمد فؤاد محمد عثمان</t>
  </si>
  <si>
    <t>روضة حمادة صالح عبد الحميد احمد</t>
  </si>
  <si>
    <t>ريم رامي على موسي حسن</t>
  </si>
  <si>
    <t>منى احمد محمود احمد نجم</t>
  </si>
  <si>
    <t>ملك السيد عبداللطيف السيد عبدالغفار</t>
  </si>
  <si>
    <t>ياسمين محمود ابراهيم الدسوقي اسماعيل</t>
  </si>
  <si>
    <t>ملك وليد علي ابراهيم</t>
  </si>
  <si>
    <t>عبدالله محمود محمد الشوادفي</t>
  </si>
  <si>
    <t>إسلام محمد سعيد إسلام</t>
  </si>
  <si>
    <t>الاء محمد ابراهيم محمد</t>
  </si>
  <si>
    <t>اسلام الشحات سالم السيد</t>
  </si>
  <si>
    <t>اشرف ابراهيم ابراهيم حافظ خليل</t>
  </si>
  <si>
    <t>انس عبد الله محمد ابراهيم حيده</t>
  </si>
  <si>
    <t>إيمان عبدالحليم منصور عبدالحليم مصطفى</t>
  </si>
  <si>
    <t>احمد صلاح محمود حسن ابو شعيشع</t>
  </si>
  <si>
    <t>ايه سامح خليل محمد</t>
  </si>
  <si>
    <t xml:space="preserve">كلية أسنان
H009   الدور الارضي </t>
  </si>
  <si>
    <t>إسراء محمد غنيم يوسف غنيم</t>
  </si>
  <si>
    <t>عمر أيمن محمد عبد العزيز</t>
  </si>
  <si>
    <t>محمد عبد الحميد عبد الله</t>
  </si>
  <si>
    <t>مي رضا عبدالوهاب محمود</t>
  </si>
  <si>
    <t>ميرنا عصام عبدالحميد محمد ابراهيم</t>
  </si>
  <si>
    <t>ناديه احمد عبد النبي محمد حسين</t>
  </si>
  <si>
    <t>ندا فرج عبدالرؤف محمد عوض الله</t>
  </si>
  <si>
    <t>ندى مصطفى السعيد انور الامام البيه</t>
  </si>
  <si>
    <t>يمنى محمود محمد محمود</t>
  </si>
  <si>
    <t>مريم عمر محمد النمر</t>
  </si>
  <si>
    <t>عبدالفتاح احمد ابراهيم العزازي</t>
  </si>
  <si>
    <t>محمود ياسر محمود عطيه منصور</t>
  </si>
  <si>
    <t>رغد حسام مصطفى حسن محمد</t>
  </si>
  <si>
    <t>رغداء محمد علي نايل جبر</t>
  </si>
  <si>
    <t>روان بلال صبحى محمد محمد</t>
  </si>
  <si>
    <t>رويده محمد نبيل فؤاد ابراهيم</t>
  </si>
  <si>
    <t>رؤي احمد انور عيسي علي</t>
  </si>
  <si>
    <t>ريناد محمد احمد عبدالعال المصري</t>
  </si>
  <si>
    <t>زياد احمد السيد محمد ابراهيم</t>
  </si>
  <si>
    <t>زياد احمد محمد عبدالله صوار</t>
  </si>
  <si>
    <t>زياد حسن عثمان الشبراوي حسن محمد</t>
  </si>
  <si>
    <t>سلمى محمد محمدالسيد حامد</t>
  </si>
  <si>
    <t>سلمي سامح حسن محمد حسن</t>
  </si>
  <si>
    <t>سهيله حسن مصطفي حسن مصطفي</t>
  </si>
  <si>
    <t>شهد ماهر محمد محمد احمد</t>
  </si>
  <si>
    <t xml:space="preserve">كلية حاسبات ومعلومات
C07   الدور الارضي </t>
  </si>
  <si>
    <t>صلاح تامر صلاح</t>
  </si>
  <si>
    <t>مريم محمود احمد عبده متولي</t>
  </si>
  <si>
    <t>مهدى اشرف مهدى احمد مهدى</t>
  </si>
  <si>
    <t>نور الدين هيثم على عبدالفتاح محمد</t>
  </si>
  <si>
    <t>احمد ايمن عطيه محمد عطيه</t>
  </si>
  <si>
    <t>احمد رضا عوض عبدالفتاح مهدى</t>
  </si>
  <si>
    <t>امنيه جابر محمد مصطفى سيد احمد</t>
  </si>
  <si>
    <t>انس محمد عبدالمنعم ابراهيم محمد</t>
  </si>
  <si>
    <t>احمد السيد كمال السيد</t>
  </si>
  <si>
    <t>احمد ابرهيم عبد الحميد صابر</t>
  </si>
  <si>
    <t>محمود محمد محمود عطية</t>
  </si>
  <si>
    <t>محمد كريم السيد متولي</t>
  </si>
  <si>
    <t>احمد مشرف محمد محمد</t>
  </si>
  <si>
    <t>محمود أحمد محمود أحمد بغدادي</t>
  </si>
  <si>
    <t>مؤمن أنور احمد محمد سليمان</t>
  </si>
  <si>
    <t>السيد ابراهيم السيد يوسف محمد</t>
  </si>
  <si>
    <t>ثريا السيد احمد قاسم ابراهيم</t>
  </si>
  <si>
    <t>حازم عبد العزيز الشربيني محمد</t>
  </si>
  <si>
    <t>حنان خضر سالم خضر محمد</t>
  </si>
  <si>
    <t>ريهام احمد محمد سعيد ابو السعود</t>
  </si>
  <si>
    <t>طلال احمد منتصر محمد الحفناوى</t>
  </si>
  <si>
    <t>عبد الرحمن ابراهيم احمد محمد عبد الله</t>
  </si>
  <si>
    <t>عبدالرحمن محمد محمود محمد قطب</t>
  </si>
  <si>
    <t>محمد عصام رياض محمود</t>
  </si>
  <si>
    <t>محمد طلعت محمد فؤاد</t>
  </si>
  <si>
    <t>احمد السيد عبدالمجيد العرابي</t>
  </si>
  <si>
    <t>احمد السيد محمد علي صالح</t>
  </si>
  <si>
    <t>احمد ايمن فكري محمد المرسي</t>
  </si>
  <si>
    <t>احمد ثروت رشاد أحمد رمضان</t>
  </si>
  <si>
    <t>احمد حسين عطيه حسين موسي</t>
  </si>
  <si>
    <t>محمود مجدي الجمال</t>
  </si>
  <si>
    <t>احمد محمد عبد الرشيد عبد العزيز</t>
  </si>
  <si>
    <t>حبيبة احمد عدلى احمد شاهين</t>
  </si>
  <si>
    <t>عماد ياسر حسين سيف عبدالوهاب</t>
  </si>
  <si>
    <t>أحمد أيمن مرسي خليفه</t>
  </si>
  <si>
    <t>احمد سمير مشحوت فايد</t>
  </si>
  <si>
    <t>احمد صبري حسن احمد عبدالحميد النجار</t>
  </si>
  <si>
    <t>احمد عاطف قطب احمد</t>
  </si>
  <si>
    <t>احمد عبد العزيز احمد محمد محمد</t>
  </si>
  <si>
    <t>احمد علي كمال احمد علي</t>
  </si>
  <si>
    <t>احمد علي محمد علي محمد</t>
  </si>
  <si>
    <t>احمد عيد السيد امبابى سليمان</t>
  </si>
  <si>
    <t>احمد قطب محمد علي إبراهيم</t>
  </si>
  <si>
    <t>ذاد رشاد عبدالرشيد حافظ نجم</t>
  </si>
  <si>
    <t>سهيلة عبدالستار محمد عبدالهادي</t>
  </si>
  <si>
    <t>سلمي صبحي محمود احمد</t>
  </si>
  <si>
    <t>احمد طه يوسف علي السيد</t>
  </si>
  <si>
    <t>احمد محمد احمد عبدالمعطي عثمان</t>
  </si>
  <si>
    <t>احمد محمد ثروت سعد هلال</t>
  </si>
  <si>
    <t>احمد محمد صلاح محمد محمد</t>
  </si>
  <si>
    <t>أحمد محمد عبد المجيد بغدادي مصطفى</t>
  </si>
  <si>
    <t>احمد محمد عثمان اسماعيل</t>
  </si>
  <si>
    <t>محمد هشام محمد الجمال</t>
  </si>
  <si>
    <t>شيماء خضر هارون بقيعي</t>
  </si>
  <si>
    <t>شهد خالد سليم عبد الحميد سليم</t>
  </si>
  <si>
    <t>شهد على جمعه على على جبر</t>
  </si>
  <si>
    <t>عبد الرحمن عبد النبي عبد الغفار عبد العزيز</t>
  </si>
  <si>
    <t>عاطف محمد عاطف ابو الفتوح</t>
  </si>
  <si>
    <t>عبدالرحمن عبدالله حامد عبدالرحمن</t>
  </si>
  <si>
    <t>عبدالرحمن احمد فتحي احمد الزيات</t>
  </si>
  <si>
    <t>عبد الرحمن احمد محمد احمد بندارى</t>
  </si>
  <si>
    <t>عبدالرحمن خالد انور الجابري</t>
  </si>
  <si>
    <t>عبدالرحمن محمد عبدالرحمن أحمد عبدالرحيم هواري</t>
  </si>
  <si>
    <t>عبدالرحمن احمد احمد البطوط</t>
  </si>
  <si>
    <t>صبا ايهاب ابراهيم عبدالرازق</t>
  </si>
  <si>
    <t>شهد السيد احمد السيد</t>
  </si>
  <si>
    <t>صالح بهاء صالح عبدالرحيم</t>
  </si>
  <si>
    <t>شادي محمد عبدلله علي</t>
  </si>
  <si>
    <t>عبدالرحمن محمد احمد محمد احمد خشبه</t>
  </si>
  <si>
    <t>عبدالرحمن احمد عادل احمد</t>
  </si>
  <si>
    <t>شهد محمد إبراهيم شنهاب</t>
  </si>
  <si>
    <t>احمد مصطفي عبدالوهاب محمد</t>
  </si>
  <si>
    <t>احمد ناصر صلاح الدين محمد</t>
  </si>
  <si>
    <t>احمد هاني ابراهيم السيد على</t>
  </si>
  <si>
    <t>احمد ياسر مرعي عبدالحكيم توفيق</t>
  </si>
  <si>
    <t>يوسف ممدوح خليل يونس</t>
  </si>
  <si>
    <t>عمر اسماعيل على عمر اسماعيل على</t>
  </si>
  <si>
    <t>عبدالله محمد علي القرشي</t>
  </si>
  <si>
    <t>عبدالغفار عاطف عبدالغفار لقمه</t>
  </si>
  <si>
    <t>ندى فتحي عبد السميع</t>
  </si>
  <si>
    <t>روان ايمن محمود غريب حسن</t>
  </si>
  <si>
    <t>علي صلاح علي صلاح ايوب</t>
  </si>
  <si>
    <t>عبدالله ايمن عبدالرحمن غنيم سليم</t>
  </si>
  <si>
    <t>عمار عمرو عيد حجاج عبدالغنى</t>
  </si>
  <si>
    <t>علي محمد علي محمد مرسي علي</t>
  </si>
  <si>
    <t>عبدالفتاح محمد عبدالفتاح محمد</t>
  </si>
  <si>
    <t>عبدالله اسامه عبدالله سالم إبراهيم</t>
  </si>
  <si>
    <t>عبدالله احمد شعبان عبدالله</t>
  </si>
  <si>
    <t>عمار ياسر لطفي محمد سليم</t>
  </si>
  <si>
    <t>عمر ياسر محمد عباس الزنكلوني</t>
  </si>
  <si>
    <t>اسلام محمد محمد عكاشه حسن</t>
  </si>
  <si>
    <t>السيد سامح السيد عبد القادر</t>
  </si>
  <si>
    <t>امال احمد محمد الطيب زين العابدين</t>
  </si>
  <si>
    <t>إسراء محمد محمد نصر حميد</t>
  </si>
  <si>
    <t>عمر محمد فرج عمر ابو فرج</t>
  </si>
  <si>
    <t>عمرو احمد ابراهيم السيد ابراهيم</t>
  </si>
  <si>
    <t>منة الله محمد محمد السيد الجندي</t>
  </si>
  <si>
    <t>اميره محمد محمد هاشم الماظ</t>
  </si>
  <si>
    <t>انس عبدلله عبدالعزيز محمد</t>
  </si>
  <si>
    <t>باسم على محمد على محمد</t>
  </si>
  <si>
    <t>بدران عبدالمنعم أبوحامد محمدأبوالعنين</t>
  </si>
  <si>
    <t>براء احمد كامل السيد</t>
  </si>
  <si>
    <t>بسمله ايمن السيد ابراهيم</t>
  </si>
  <si>
    <t>مينا فادي سمير سمير عزمي</t>
  </si>
  <si>
    <t>بلال السيد محمد محمد</t>
  </si>
  <si>
    <t>تامر محمد حلمي حسيني</t>
  </si>
  <si>
    <t>غريب مصطفي غريب عبدالرحيم</t>
  </si>
  <si>
    <t>غيداء عاطف سامى ابراهيم نظير</t>
  </si>
  <si>
    <t>فارس احمد محمد سراج</t>
  </si>
  <si>
    <t>فاطمه بهاء محمد متولى محمد</t>
  </si>
  <si>
    <t>فاطمه رحيم عبداللطيف رحيم عبد الرحمن</t>
  </si>
  <si>
    <t>فاطمه سامح ابراهيم محمد</t>
  </si>
  <si>
    <t>فرح اشرف سعود غالب فرح اشرف سعود غالب</t>
  </si>
  <si>
    <t>فرح ناجي محمد كمال السيد</t>
  </si>
  <si>
    <t>فريال محمد على محمد سعيد البطريق</t>
  </si>
  <si>
    <t>قاسم غيضان طلبه غيضان احمد موسي</t>
  </si>
  <si>
    <t>هبه مدحت الشافعى هبه مدحت</t>
  </si>
  <si>
    <t>يحى السيد الصادق الكامل</t>
  </si>
  <si>
    <t>يحيى ايمن قطب محمد</t>
  </si>
  <si>
    <t>يارا صبري عبد العال سيد احمد</t>
  </si>
  <si>
    <t>كريم مصطفي احمد علي احمد</t>
  </si>
  <si>
    <t>مؤمنه محمد عبدالعليم محمد</t>
  </si>
  <si>
    <t>مالك محمد السيد ابوسالم</t>
  </si>
  <si>
    <t>محمد ابراهيم سعد ابراهيم راغب سعد</t>
  </si>
  <si>
    <t>محمد ابو الخير السيد محمد متولى</t>
  </si>
  <si>
    <t>محمد احمد ابرهيم علي الصادق</t>
  </si>
  <si>
    <t>محمد السيد حموده السيد</t>
  </si>
  <si>
    <t>محمد السيد عبدالسميع عبداللطيف احمد</t>
  </si>
  <si>
    <t>محمد السيد متولى رشوان ابراهيم</t>
  </si>
  <si>
    <t>محمد السيد محمد عمران على</t>
  </si>
  <si>
    <t>محمد السيد محمد محمد</t>
  </si>
  <si>
    <t>محمد ايمن محمد العزازي محمد ايمن</t>
  </si>
  <si>
    <t>محمد بهاء الدين عبد ربه احمدرمضان</t>
  </si>
  <si>
    <t>محمد جمال الدين محمد احمد</t>
  </si>
  <si>
    <t>محمد حسن محمد محمد الشحات</t>
  </si>
  <si>
    <t>محمد زين العابدين عبدالحميد الحبيشي</t>
  </si>
  <si>
    <t>محمد سامح عزت محمد</t>
  </si>
  <si>
    <t>محمد سعيد طه محمد</t>
  </si>
  <si>
    <t>محمد سعيد عمران عطيه</t>
  </si>
  <si>
    <t>محمد سعيد محمد عبدالمنعم محمد المنياوي</t>
  </si>
  <si>
    <t>محمد صبري السيد احمد السيد</t>
  </si>
  <si>
    <t>مؤمن اسماعيل السيد محمد</t>
  </si>
  <si>
    <t>محمد عبد الله على احمد محمد</t>
  </si>
  <si>
    <t>محمد عبدالرحمن محمد الهادي</t>
  </si>
  <si>
    <t>محمد عبدربه عبدالوهاب عبدربه</t>
  </si>
  <si>
    <t>محمد عزت عبدالفتاح عبدالعزيز</t>
  </si>
  <si>
    <t>محمد عصام محمد محمد عصام محمد</t>
  </si>
  <si>
    <t>محمد علاء على محمد على مسعود</t>
  </si>
  <si>
    <t>محمد عمرو عيد غانم عبدالرحمن</t>
  </si>
  <si>
    <t>محمد فوزي فرج الخراشي</t>
  </si>
  <si>
    <t>محمد متولي السيد ابو العلا</t>
  </si>
  <si>
    <t>محمد محمد صبحى حسين الطنب</t>
  </si>
  <si>
    <t>محمد محمود الشحات محمد الشحات</t>
  </si>
  <si>
    <t>محمد محمود حفني محمد النجار</t>
  </si>
  <si>
    <t>محمد محمود محمد متولي</t>
  </si>
  <si>
    <t>محمد منصور محمد مصطفى</t>
  </si>
  <si>
    <t>محمد ياسر محمد عبد الرازق</t>
  </si>
  <si>
    <t>محمود احمد محمد مامون طلبه</t>
  </si>
  <si>
    <t>محمود احمد محمد مصطفى</t>
  </si>
  <si>
    <t>محمود انور عبدالعظيم السيد محمد</t>
  </si>
  <si>
    <t>محمود تهامى توفيق حسينى حسونه</t>
  </si>
  <si>
    <t>محمود جمال محمد متولى</t>
  </si>
  <si>
    <t>محمود رمضان الشحات صدقه</t>
  </si>
  <si>
    <t>محمود عباس محمد الزيني</t>
  </si>
  <si>
    <t>محمود عبدالرحمن محمود محمد عبدالواحد</t>
  </si>
  <si>
    <t>يوسف تامر علي احمد وصفي اسماعيل</t>
  </si>
  <si>
    <t>احمد السيد ابو هاشم محمد</t>
  </si>
  <si>
    <t>محمود محمد عبدالحق السيد</t>
  </si>
  <si>
    <t>محمود محمد عبدالحميد عبده المناوى</t>
  </si>
  <si>
    <t>محمود محمد محمد خليفة</t>
  </si>
  <si>
    <t>محمود محمد محمود عبد الله خليل</t>
  </si>
  <si>
    <t>محمود محمد محمود عبدالحميد علي</t>
  </si>
  <si>
    <t>محمود هشام محمود سليمان حسين</t>
  </si>
  <si>
    <t>محيي محمد محيي الدين ابراهيم حسن</t>
  </si>
  <si>
    <t>مريم محمود السيد سرحان</t>
  </si>
  <si>
    <t>عبدالرحمن احمد محمد هلال ابراهيم</t>
  </si>
  <si>
    <t>كلية الإدارة والاقتصاد الدولي الفرقة الثانية</t>
  </si>
  <si>
    <t>احمد محمد عبدالسلام محمد حسن عبدالعال</t>
  </si>
  <si>
    <t>احمد ثروت حسن عبد العال</t>
  </si>
  <si>
    <t>ادهم حسين عيدراوس محمد</t>
  </si>
  <si>
    <t>علي محمد عبد القادر</t>
  </si>
  <si>
    <t>معاذ عبده حسن عوض الله</t>
  </si>
  <si>
    <t>عمر محمد عبدالحليم حسن علي</t>
  </si>
  <si>
    <t>مريم حماده علي حسن</t>
  </si>
  <si>
    <t>شوقى محمد السيد حسن محمد انور اسماعيل</t>
  </si>
  <si>
    <t>شيرين السيد موسى</t>
  </si>
  <si>
    <t>شيماء علي ابوبكر عبدالحليم محمد</t>
  </si>
  <si>
    <t>شيماء محمد محمد السيد احمد</t>
  </si>
  <si>
    <t>عائشه عبد العزيز سالم حسن سلامه</t>
  </si>
  <si>
    <t>مريم أحمد محمد إبراهيم</t>
  </si>
  <si>
    <t>معاذ السيد عبد العظيم علي</t>
  </si>
  <si>
    <t>جنى ايمن محمد عبد الله محمد الحريري</t>
  </si>
  <si>
    <t>عليوة أيمن عبدالمنعم احمد عبدالمجيد</t>
  </si>
  <si>
    <t>عمر مصطفي صلاح محمد احمد بركات</t>
  </si>
  <si>
    <t>عمرو صلاح احمد ضياء الدين صالح ابراهيم</t>
  </si>
  <si>
    <t>مازن الحسين حامد مصيلحي عبدالفتاح</t>
  </si>
  <si>
    <t>محمد ابراهيم محمد السيد</t>
  </si>
  <si>
    <t>محمد اشرف عبد المعز احمد مطاوع</t>
  </si>
  <si>
    <t>محمد السعيد محمد قمر غنيم</t>
  </si>
  <si>
    <t>محمد الصادق محمد حسن سالم</t>
  </si>
  <si>
    <t>محمد منصور متولى منصور متولى</t>
  </si>
  <si>
    <t>الزهراء ايمن السيد عيد احمد</t>
  </si>
  <si>
    <t>روان ابراهيم محمد احمد</t>
  </si>
  <si>
    <t>كلية الصيدلة- صيدلة فارم- الفرقة الثانية</t>
  </si>
  <si>
    <t>ريم بشير فتحي متولي</t>
  </si>
  <si>
    <t>علي عبدالرحمن عثمان الحرايري</t>
  </si>
  <si>
    <t>ياسر محمد سوفي محمد</t>
  </si>
  <si>
    <t>محمود صافي محمد الديداموني</t>
  </si>
  <si>
    <t>أمانى محمود إبراهيم محمود</t>
  </si>
  <si>
    <t>سلمى عبد الحكم على محمد على</t>
  </si>
  <si>
    <t>محمد محمود سمير عبدالفتاح عامر</t>
  </si>
  <si>
    <t>سلمى احمد محمد عبدالعزيز السيد</t>
  </si>
  <si>
    <t>فاتن السيد أحمد عبدالعال حسين</t>
  </si>
  <si>
    <t>فاتن عمرو فخري إمام عطيه السناوي</t>
  </si>
  <si>
    <t>فاطمة أحمد محمد سالم نصار</t>
  </si>
  <si>
    <t>فاطمة الزهراء محمد مصطفي</t>
  </si>
  <si>
    <t>كريم خالد فوزى حسيب</t>
  </si>
  <si>
    <t>كريم عادل عبدالمنعم ابوالمجد عطيه</t>
  </si>
  <si>
    <t>كريم عبد الفتاح احمد عبدالغفار محمد</t>
  </si>
  <si>
    <t>لوقا اكرم موريس عبده عبدالسيد</t>
  </si>
  <si>
    <t>مازن باسم محمد حرب عرابى</t>
  </si>
  <si>
    <t>مازن ياسر محمد ابراهيم محمد</t>
  </si>
  <si>
    <t>مالك محمد عبد المنعم محمد عطية</t>
  </si>
  <si>
    <t>عادل شادي محمد عادل حسني عبدالحي</t>
  </si>
  <si>
    <t>وليد وليد فتحي السيد متولي</t>
  </si>
  <si>
    <t>عبدالله سامي عبدالله عبده علي</t>
  </si>
  <si>
    <t>عمر ابراهيم عبدالله محمد</t>
  </si>
  <si>
    <t>يوسف علاء السيد علي السيد</t>
  </si>
  <si>
    <t>رحمه علي سالم علي</t>
  </si>
  <si>
    <t>شمس أيمن السيد أحمد سلام</t>
  </si>
  <si>
    <t>محمد ابراهيم عبدالظاهر الصباغ</t>
  </si>
  <si>
    <t>محمد ابراهيم عطية محمد احمد</t>
  </si>
  <si>
    <t>محمد احمد السعيد محمد احمد</t>
  </si>
  <si>
    <t>محمد احمد الشبراوي محمد</t>
  </si>
  <si>
    <t>محمد احمد محمد زكي محمد</t>
  </si>
  <si>
    <t>محمد احمد محمود ابراهيم خليل</t>
  </si>
  <si>
    <t>محمد اشرف عبده محمد اشرف</t>
  </si>
  <si>
    <t>محمد السيد محمد السيد</t>
  </si>
  <si>
    <t>محمد الصاوى حامد الصاوى محمد</t>
  </si>
  <si>
    <t>محمد ايهاب محمد عبدالله محمد</t>
  </si>
  <si>
    <t>محمد ثروت عبد القادر العشري</t>
  </si>
  <si>
    <t>محمد جلال موسي محمود عبدالباقي</t>
  </si>
  <si>
    <t>محمد حسن رفعت حسن سيداحمد</t>
  </si>
  <si>
    <t>محمد حسن عبدالعزيز سلامه سعدالله</t>
  </si>
  <si>
    <t>محمد رضا ابراهيم علي ابراهيم</t>
  </si>
  <si>
    <t>محمد رضا محمد على محمد</t>
  </si>
  <si>
    <t>محمد سعيد عبدالله محمد سيف الدين</t>
  </si>
  <si>
    <t>محمد سمير محمد محمد احمد</t>
  </si>
  <si>
    <t>محمود السيد محمود احمد ابراهيم</t>
  </si>
  <si>
    <t>روان محمد فوزي إبراهيم الدجوي</t>
  </si>
  <si>
    <t>سما سعيد محمد صقر</t>
  </si>
  <si>
    <t>ساره محمد راضي عبداللطيف راضي</t>
  </si>
  <si>
    <t>عبد الله محمد المنسى منسي</t>
  </si>
  <si>
    <t>نيجار موسي جميل خالد</t>
  </si>
  <si>
    <t>طه احمد محمد احمد عبدالوهاب</t>
  </si>
  <si>
    <t>محمد طارق محمد رجب عباس</t>
  </si>
  <si>
    <t>محمد عبد الستار عبد اللطيف السباعي</t>
  </si>
  <si>
    <t>محمد عوض عبدلله عوض</t>
  </si>
  <si>
    <t>محمد محمود امين محمود مسعود</t>
  </si>
  <si>
    <t>محمد محمود كمال محمد المنسي</t>
  </si>
  <si>
    <t>محمد محي سعد محمد</t>
  </si>
  <si>
    <t>محمد ناصر سليمان محمد ناصر</t>
  </si>
  <si>
    <t>محمد ناصر محمد ابو السعود منصور</t>
  </si>
  <si>
    <t>محمد هاني محمد يسري عباس فرج</t>
  </si>
  <si>
    <t>محمد وائل محمود عبدالحميد</t>
  </si>
  <si>
    <t>محمود تامر العوضي اسماعيل</t>
  </si>
  <si>
    <t>محمود حسن رجب حسن عثمان</t>
  </si>
  <si>
    <t>ايمان حسن حسينى سليمان احمد</t>
  </si>
  <si>
    <t>علياء السيد احمد السيد احمد</t>
  </si>
  <si>
    <t>شهد احمد اسماعيل محمد</t>
  </si>
  <si>
    <t>عاطف اسماعيل عاطف احمد</t>
  </si>
  <si>
    <t>بسمله عبدالوهاب عبدالوهاب حسن عبد الهادى</t>
  </si>
  <si>
    <t>علي ابراهيم علي السيد شاهين</t>
  </si>
  <si>
    <t>سلمى ممدوح توفيق محمد سليمان</t>
  </si>
  <si>
    <t>سجدة نور محمد عبده سليم</t>
  </si>
  <si>
    <t>سلمي منير عبدالفتاح عبدالسميع مطر</t>
  </si>
  <si>
    <t>صفاء السيد عبدالجواد محمد باز</t>
  </si>
  <si>
    <t>حبيبه ممدوح السيد عطيه</t>
  </si>
  <si>
    <t>يوسف سليمان عبدالله سليمان</t>
  </si>
  <si>
    <t>أمل سالم السيد محمد</t>
  </si>
  <si>
    <t>نورهان احمد محمد حامد فهمي</t>
  </si>
  <si>
    <t>يوسف عبدالناصر احمد ابراهيم السيد</t>
  </si>
  <si>
    <t>منة محمد عبد العزيز محمد</t>
  </si>
  <si>
    <t>ريم صلاح الدين عباس</t>
  </si>
  <si>
    <t>ايه السيد صبري السيد</t>
  </si>
  <si>
    <t>ندى أيمن إسماعيل أحمد إسماعيل</t>
  </si>
  <si>
    <t>رنا اشرف عبدالقادر عبداللطيف عبدالعزيز</t>
  </si>
  <si>
    <t>روان صلاح عبدالمنعم محمد عبدالله</t>
  </si>
  <si>
    <t>هاجر احمد محمد محمود</t>
  </si>
  <si>
    <t>احمد محمود احمد الشويمي</t>
  </si>
  <si>
    <t>رغد رافت الشبراوي متولي علي</t>
  </si>
  <si>
    <t>احمد ساهر ابو الفتوح محمد عجلان</t>
  </si>
  <si>
    <t>احمد جمال الدين محمد حسن محمد</t>
  </si>
  <si>
    <t>أحمد سليمان عبدالحميد سليمان</t>
  </si>
  <si>
    <t>إياد علي عبدالعزيز علي عبدالعزيز</t>
  </si>
  <si>
    <t>أحمد صبحي سعيد محمد</t>
  </si>
  <si>
    <t>كريم سيد احمد احمد سيد احمد</t>
  </si>
  <si>
    <t>مازن عبد العزيز محمد عبد العزيز امين احمد</t>
  </si>
  <si>
    <t>محمد خالد عبد الحميد امين مصطفي</t>
  </si>
  <si>
    <t>محمد ناصر محمد محمد</t>
  </si>
  <si>
    <t>محمد هاني عثمان طلبه متولي</t>
  </si>
  <si>
    <t>محمود جمعه محمود محمد الجمال</t>
  </si>
  <si>
    <t>محمود صلاح احمد السيد احمد</t>
  </si>
  <si>
    <t>محمد حمادة محمد السعدي</t>
  </si>
  <si>
    <t>ريناد حموده محمد طلبه</t>
  </si>
  <si>
    <t>عبدالله محمود احمد عبدالحليم</t>
  </si>
  <si>
    <t>عبداللة اشرف ابراهيم محمد ابراهيم</t>
  </si>
  <si>
    <t>عمر احمد عبدالله محمد</t>
  </si>
  <si>
    <t>طارق امين محمد علي سالم</t>
  </si>
  <si>
    <t>العربى احمد محمد الهادى محمد</t>
  </si>
  <si>
    <t>ساره احمد علي صباح معالي</t>
  </si>
  <si>
    <t>مصطفى احمد عبد الحميد محمد</t>
  </si>
  <si>
    <t>اسماء عادل علي جابر علي</t>
  </si>
  <si>
    <t>أحمد ايهاب محمد الصغير حسن سليمان</t>
  </si>
  <si>
    <t>اسلام الامير عبد العزيز بيومي محمد</t>
  </si>
  <si>
    <t>اشرقت محمود يوسف عبد الحليم بزان</t>
  </si>
  <si>
    <t>غادة ابراهيم صالح بدوي</t>
  </si>
  <si>
    <t>احمد حسن عبد الله محمد</t>
  </si>
  <si>
    <t>يمنه ايمن محمد عبد الحي</t>
  </si>
  <si>
    <t>زياد محمد حسين محمد ابو النصر</t>
  </si>
  <si>
    <t>فارس محمد حسن رفاعي</t>
  </si>
  <si>
    <t>اسماء صبحي ابراهيم سويلم</t>
  </si>
  <si>
    <t>أحمد أشرف محمد علي</t>
  </si>
  <si>
    <t>منه عزت محمد سعداوي خلف</t>
  </si>
  <si>
    <t>حبيبه ابراهيم احمد حسني محمد توفيق</t>
  </si>
  <si>
    <t>اسلام احمد محمد احمد</t>
  </si>
  <si>
    <t>ارسانيا جابر نجيب</t>
  </si>
  <si>
    <t>محمد ابراهيم محمد ابراهيم</t>
  </si>
  <si>
    <t>منه الله مصطفى محمد عبد العال الطاروطي</t>
  </si>
  <si>
    <t>نورهان محمود دسوقي محمد</t>
  </si>
  <si>
    <t>دنيا محمد علي السيد عبد العال</t>
  </si>
  <si>
    <t>مروه محمد عبد القادر حسانين الشايب</t>
  </si>
  <si>
    <t>شاهيناز عبد العظيم محمد محمود النجار</t>
  </si>
  <si>
    <t>محمود جمال عبدالعزيز عبدالمعطي ابراهيم</t>
  </si>
  <si>
    <t>اَيه مصطفى سليمان محمد نظيم</t>
  </si>
  <si>
    <t>عمر عثمان احمد علي موسي</t>
  </si>
  <si>
    <t>محمود احمد محمد رضوان السيد</t>
  </si>
  <si>
    <t>ريم محمد عبد المطلب عبد السلام عبد الرزاق سرحان</t>
  </si>
  <si>
    <t>ساره عبد المولي منصور عبد الجليل ابوقرين</t>
  </si>
  <si>
    <t>يوسف احمد علي محمد علي عجمي</t>
  </si>
  <si>
    <t>مارتين داود جمال كامل</t>
  </si>
  <si>
    <t>هبه محمد حسانين حسن حسين سعفان</t>
  </si>
  <si>
    <t>هاله محمد السيد محمد حسن</t>
  </si>
  <si>
    <t>عمر ناجح علي سالم</t>
  </si>
  <si>
    <t>مريم مصطفي علي عبد الحميد محمد</t>
  </si>
  <si>
    <t>نهي محمد احمد محمد دسوقي</t>
  </si>
  <si>
    <t>ندى السيد محمد د عبدالهادي عبدالحميد</t>
  </si>
  <si>
    <t>هايدى تامر سليمان سلامه سليمان</t>
  </si>
  <si>
    <t>ياسين احمد عطيه محمد سالم سعد</t>
  </si>
  <si>
    <t>رحمة عبدالسلام عبدالعزيز محمد السيد</t>
  </si>
  <si>
    <t>رقيه محمد حسن عبيد*</t>
  </si>
  <si>
    <t>مصطفى اسلام محمد علي عمارة</t>
  </si>
  <si>
    <t>محمد عدلان سعيد محمد</t>
  </si>
  <si>
    <t>هنا صلاح حسن احمد</t>
  </si>
  <si>
    <t>شنودة فرج غالي جرجس</t>
  </si>
  <si>
    <t>محمود سيد محمود عبد العال</t>
  </si>
  <si>
    <t>محمد احمد السيد نجاتي</t>
  </si>
  <si>
    <t>كريم مصطفي محمد محمود</t>
  </si>
  <si>
    <t>ابراهيم طارق السيد سيف</t>
  </si>
  <si>
    <t>احمد عماد محمد حازم اليماني</t>
  </si>
  <si>
    <t>ابراهيم احمد ابراهيم علي الشاطر</t>
  </si>
  <si>
    <t>ساره محمود محمد عطيه محمد</t>
  </si>
  <si>
    <t>بافلى ميلاد كامل عوض الله رزق الله</t>
  </si>
  <si>
    <t>محمد سالم عميره محسن</t>
  </si>
  <si>
    <t>مريم محمد رفاعى محمد اسماعيل</t>
  </si>
  <si>
    <t>رحمه عمرو لطفي علي اسماعيل</t>
  </si>
  <si>
    <t>شهد يوسف عبد الرحمن محمد يوسف</t>
  </si>
  <si>
    <t>روان رأفت عبدالوهاب احمد عوض</t>
  </si>
  <si>
    <t>مريم وائل عطوه عبداللطيف محمد</t>
  </si>
  <si>
    <t>ندى صبحى حسين عبد السلام حسين</t>
  </si>
  <si>
    <t>مريم خالد محمد حامد حريز</t>
  </si>
  <si>
    <t>جنه محمد فاروق السيد عبد الموجود</t>
  </si>
  <si>
    <t>محمود صبحي احمد علاوي</t>
  </si>
  <si>
    <t>هدير حسين أحمد سكران اسماعيل</t>
  </si>
  <si>
    <t>عفاف عصام السيد احمد</t>
  </si>
  <si>
    <t>يسر بدير محمد حنيدق محمد يوسف</t>
  </si>
  <si>
    <t>سمير ياسر تحسين عفيفي</t>
  </si>
  <si>
    <t>سيف الدين سعد احمد المرسي</t>
  </si>
  <si>
    <t>احمد محمد سعد حسن</t>
  </si>
  <si>
    <t>كنزي عمرو محمد اسماعيل</t>
  </si>
  <si>
    <t>أحمد فرج شفيق كامل</t>
  </si>
  <si>
    <t>يارا السيد رضوان عليوه علي</t>
  </si>
  <si>
    <t>روان ايهاب كمال</t>
  </si>
  <si>
    <t>رويس رضا نجيب نجيب حبيب</t>
  </si>
  <si>
    <t>هنا رمضان رجب رمضان محمد</t>
  </si>
  <si>
    <t>رحمه محمد سالم حسن سالم</t>
  </si>
  <si>
    <t>ايمان حسن كمال الهادي</t>
  </si>
  <si>
    <t>شهد هيثم محمد ابراهيم</t>
  </si>
  <si>
    <t>منة الله جمال عبدالله محمد علي</t>
  </si>
  <si>
    <t>فاطمه طارق احمد حسين</t>
  </si>
  <si>
    <t>بسمه احمد سعيد محمد ابراهيم</t>
  </si>
  <si>
    <t>سيف الله محمد محمد صبري عبدالرحمن نوار</t>
  </si>
  <si>
    <t>اسماء السيد احمد السيد الدراوي</t>
  </si>
  <si>
    <t>بكر احمد بكر</t>
  </si>
  <si>
    <t>روان محمد عبدالفتاح جنيدى</t>
  </si>
  <si>
    <t>احمد السيد احمد ابراهيم دسوقى</t>
  </si>
  <si>
    <t>احمد سلامة محمد سلامه</t>
  </si>
  <si>
    <t>احمد عيد محمد العجمي</t>
  </si>
  <si>
    <t>احمد ناصر محمد عبد الرحيم</t>
  </si>
  <si>
    <t>احمد نجيحى محمد يوسف</t>
  </si>
  <si>
    <t>احمد وجيه محمد السيد متولى</t>
  </si>
  <si>
    <t>احمد وليد احمد عثمان على ثابت</t>
  </si>
  <si>
    <t>اكرم السيد محمد حميده</t>
  </si>
  <si>
    <t>آلاء صابر محمد عطا محمد</t>
  </si>
  <si>
    <t>باسل محمد عبدالبديع</t>
  </si>
  <si>
    <t>عمر جودة حسن الشربيني</t>
  </si>
  <si>
    <t>محمد أحمد حسن مهدي</t>
  </si>
  <si>
    <t>محمود السيد موسى السيد فوده</t>
  </si>
  <si>
    <t>محمود احمد محمود</t>
  </si>
  <si>
    <t>كريم عبدالسلام محمد العطار</t>
  </si>
  <si>
    <t>كريم محمد بكر السيد عبد الرحيم</t>
  </si>
  <si>
    <t>محمد ضياء محمد عبد المعز عبد الحميد</t>
  </si>
  <si>
    <t>محمد مجدي نصر محمد محمد</t>
  </si>
  <si>
    <t>محمد نهاد حسن احمد عبدالحميد النجار</t>
  </si>
  <si>
    <t>محمود محمد محمود حسن محمد</t>
  </si>
  <si>
    <t>محمود يحى احمد محمود فرج</t>
  </si>
  <si>
    <t>احمد محمد فتحي عوض الله</t>
  </si>
  <si>
    <t>محمد ياسر محمد احمد</t>
  </si>
  <si>
    <t>على محمد على محمد علي</t>
  </si>
  <si>
    <t>خلود منصور ابراهيم منصور</t>
  </si>
  <si>
    <t>حسين الرفاعي السيد السعيد</t>
  </si>
  <si>
    <t>علي حسن الباز علي</t>
  </si>
  <si>
    <t>عمار ياسر ابراهيم ابراهيم الغمري</t>
  </si>
  <si>
    <t>منة الله محمد السيد</t>
  </si>
  <si>
    <t>مصطفى عماد الدين عبد الجواد مصطفى</t>
  </si>
  <si>
    <t>اشرف محمد محمد صابر عبداللطيف</t>
  </si>
  <si>
    <t>محمد احمد ابراهيم</t>
  </si>
  <si>
    <t>عبد الرحمن السيد محمد علي الابيض</t>
  </si>
  <si>
    <t>محمد احمد عبد الرازق احمد</t>
  </si>
  <si>
    <t>عادل سيد عيد محمد شاكر</t>
  </si>
  <si>
    <t>محمد احمد عبدالرحمن محمد عبدالرحمن</t>
  </si>
  <si>
    <t>محمد ابراهيم السيد</t>
  </si>
  <si>
    <t>محمد عبدو السيد يونس محمد</t>
  </si>
  <si>
    <t>كليه الاداره و الاقتصاد  اولي</t>
  </si>
  <si>
    <t>محمد عمرو محمد ابو الفتوح محمد على</t>
  </si>
  <si>
    <t>خالد انور احمد</t>
  </si>
  <si>
    <t>الامير محمد حسن محمد خزيم</t>
  </si>
  <si>
    <t>طارق ياسر سمير فرج</t>
  </si>
  <si>
    <t>بسمه عبدالنبى عبدالرحمن على منصور</t>
  </si>
  <si>
    <t>محمد شريف عبدالفتاح عوض</t>
  </si>
  <si>
    <t>كريم وليد السيد حسن</t>
  </si>
  <si>
    <t>محمد عبد الرحمن حلمي عبد الرحمن</t>
  </si>
  <si>
    <t>منه أسامه السيد أحمد عبدالله بندارى</t>
  </si>
  <si>
    <t>كلية الصيدلة - فارم دي-صيدلة إكلينيكية- الفرقة الثانية</t>
  </si>
  <si>
    <t>محمد سامي محمد سامي</t>
  </si>
  <si>
    <t>هولي هاني عيد</t>
  </si>
  <si>
    <t>بسمه مبروك عبد التواب</t>
  </si>
  <si>
    <t>علاء عادل طه</t>
  </si>
  <si>
    <t>عبد الرحمن محمد عبد الرحمن</t>
  </si>
  <si>
    <t>محمد ماهر رشاد محمد ماهر</t>
  </si>
  <si>
    <t>محمد عبد الفتاح احمد عبد الفتاح</t>
  </si>
  <si>
    <t>اسامه علاء حماده محمد ابوزيد</t>
  </si>
  <si>
    <t>احمد حامد عمر محمد</t>
  </si>
  <si>
    <t>يوسف ابراهيم ابراهيم احمد محمد</t>
  </si>
  <si>
    <t>محمد علاء فتحي عبد الرحمن عثمان</t>
  </si>
  <si>
    <t>محمد ناصر عبد الحليم السيد عبد المعطي</t>
  </si>
  <si>
    <t>منه محمد احمد فواد محمد ابراهيم</t>
  </si>
  <si>
    <t>نورا ايمن احمد ابراهيم</t>
  </si>
  <si>
    <t>مصطفى امين جمال امين حبيب</t>
  </si>
  <si>
    <t>عمار إبراهيم فاروق الجبري</t>
  </si>
  <si>
    <t>روي محمد</t>
  </si>
  <si>
    <t>محمد عبد الحق محمد</t>
  </si>
  <si>
    <t>محمد السيد محمد النزيلي</t>
  </si>
  <si>
    <t>أحمد سعيد سلمان سلامة</t>
  </si>
  <si>
    <t>نورهان محمد السيد ابو هاشم</t>
  </si>
  <si>
    <t>احمد محمد السيد ابراهيم السماحي</t>
  </si>
  <si>
    <t>مصطفى جمال محمد محمد على موافى</t>
  </si>
  <si>
    <t>لجنة الاختبار النهائي لكورس اللغة الإنجليزية - الفصل الدراسي الثاني للعام الدراسي2025-2026
يوم الاثنين - الموافق 11 مايو 2026</t>
  </si>
  <si>
    <t>امينه محمود محمد محمود</t>
  </si>
  <si>
    <t>عبدالرحمن سعيد على غريب عمر</t>
  </si>
  <si>
    <t>كريم حسن السيد حسن عبدالعال</t>
  </si>
  <si>
    <t>محمد محمود محمد محمد سراج</t>
  </si>
  <si>
    <t>محمد سعيد مصطفى احمد حجازى</t>
  </si>
  <si>
    <t>افنان صلاح حسن سليم</t>
  </si>
  <si>
    <t>ايمن عادل محمد رفعت سالم</t>
  </si>
  <si>
    <t>محمد عبده عبدالله محمد ابراهيم</t>
  </si>
  <si>
    <t>منه الله محمد صلاح الصادق محمد</t>
  </si>
  <si>
    <t>منه حازم عبدالرحمن عبدالسلام</t>
  </si>
  <si>
    <t>دنيا محمد السيد محمد رزق</t>
  </si>
  <si>
    <t>هاله احمد محمد عبد الواحد</t>
  </si>
  <si>
    <t>عادل عمرو عادل عبد القادر</t>
  </si>
  <si>
    <t>عمر عثمان منسي طه</t>
  </si>
  <si>
    <t>كليه طب اسنان</t>
  </si>
  <si>
    <t>روان أحمد فرحان مرحوم</t>
  </si>
  <si>
    <t>روان مصطفى ابراهيم محمد ابراهيم</t>
  </si>
  <si>
    <t>روان عبدالله عبد الرحمن نجم عبدالله</t>
  </si>
  <si>
    <t>روان اسماعيل محمود ابراهيم محمد</t>
  </si>
  <si>
    <t>ريم رضا محمد البغدادي توفيق</t>
  </si>
  <si>
    <t>زياد عبدالعليم عبدالعزيز محسوب</t>
  </si>
  <si>
    <t>ساره عبدالمجيد عبدالرحمن محمد سليمان</t>
  </si>
  <si>
    <t>ساره محمد عبدالعزيز سليمان عبدالعزيز</t>
  </si>
  <si>
    <t>ساره رضا ابو بكر محمد محمد سليم</t>
  </si>
  <si>
    <t>ساره اكرم حسين محمد قابل</t>
  </si>
  <si>
    <t>سلمي امام احمد اسماعيل احمد جمعان</t>
  </si>
  <si>
    <t>امل محمود عبدالرحمن احمد ابراهيم</t>
  </si>
  <si>
    <t>ايه عبد الحميد عبد الفتاح عبد الله متولي</t>
  </si>
  <si>
    <t>حبيبه محمد عبده نصر محمد</t>
  </si>
  <si>
    <t>ندى محمد حسن عبد الرحمن عبد الرحمن</t>
  </si>
  <si>
    <t>ياسمين محمد علي حسن عطيه فياض</t>
  </si>
  <si>
    <t>ايمان محمد سيد احمد حسانين عثمان</t>
  </si>
  <si>
    <t>ايمان احمد وليد عثمان محمد عبدالسلام</t>
  </si>
  <si>
    <t>ايمان شحاته ابراهيم علوان</t>
  </si>
  <si>
    <t>ايه راضي احمد محمد السيد</t>
  </si>
  <si>
    <t>يوسف محمد محمد الهادي</t>
  </si>
  <si>
    <t>بسمله محمد السيد احمد ابراهيم</t>
  </si>
  <si>
    <t>بسنت محمد محمود محمد يوسف</t>
  </si>
  <si>
    <t>بسنت السيد محمد السيد سليمان</t>
  </si>
  <si>
    <t>بيشوي نادي ظريف شفيق يوسف</t>
  </si>
  <si>
    <t>محمود شحته عبدالكريم جوده</t>
  </si>
  <si>
    <t>احمد محمد محمد عبد العظيم</t>
  </si>
  <si>
    <t>جنه احمد محمد السعدي عبد العال سليم</t>
  </si>
  <si>
    <t>حبيبه محمد السيد سليمان السيد</t>
  </si>
  <si>
    <t>حنين اشرف محمد كامل خليل</t>
  </si>
  <si>
    <t>حنين حسين محمد عبدالحافظ فراج</t>
  </si>
  <si>
    <t>حنين محمد فتحى ايوب النقيب</t>
  </si>
  <si>
    <t>دعاء محمود طلب علي حسين</t>
  </si>
  <si>
    <t>رحمه وائل ابراهيم عبد العال</t>
  </si>
  <si>
    <t>رزان محمد فايز محمد حسن</t>
  </si>
  <si>
    <t>نورهان محمد عبد الرحمن محمد</t>
  </si>
  <si>
    <t>منه على احمد السيد السيد</t>
  </si>
  <si>
    <t>انجي ايمن احمد رجاء عبدالمنعم</t>
  </si>
  <si>
    <t>ايمان وليد محمد ابراهيم عطار</t>
  </si>
  <si>
    <t>سلمى محمد عبد الرحمن امام عبد الهادي</t>
  </si>
  <si>
    <t>عبدالرحمن سليمان محمد ابراهيم</t>
  </si>
  <si>
    <t>عبد الرحمن تامر محمد شراره السيد محمد متولي</t>
  </si>
  <si>
    <t>عبد الرحمن عبد المنعم ابراهيم عبد العال</t>
  </si>
  <si>
    <t>عربي محمد السيد العربي حنفي</t>
  </si>
  <si>
    <t>انجي ايمن عزيز لوندي</t>
  </si>
  <si>
    <t>علا حمدي عبدالباقي محمد السيد</t>
  </si>
  <si>
    <t>علي محمد ابوبكر عبدالعزيز محمد</t>
  </si>
  <si>
    <t>علياء مصباح محمد جوده عطيه ابراهيم</t>
  </si>
  <si>
    <t>عمار ابوزيد رزق محمود عبد الحميد</t>
  </si>
  <si>
    <t>عمر حسن سليمان اسماعيل</t>
  </si>
  <si>
    <t xml:space="preserve">كلية الصيدلة
0-020  الدور الارضي </t>
  </si>
  <si>
    <t>فايزه محمد جمال محمد سلامه</t>
  </si>
  <si>
    <t>لقاء حسام على عمار حسين</t>
  </si>
  <si>
    <t>أحمد عصام كامل محمد فرج</t>
  </si>
  <si>
    <t xml:space="preserve">رحمة جمعة السيد يوسف	</t>
  </si>
  <si>
    <t>طارق احمد محمد محمد زين الدين</t>
  </si>
  <si>
    <t>نادية نادر عبدالعظيم زكي</t>
  </si>
  <si>
    <t>امال علي علي حسن احمد</t>
  </si>
  <si>
    <t>اماني عقل عبد الرحيم خليل سليمان</t>
  </si>
  <si>
    <t>امير بدر محمد سباعي محمد</t>
  </si>
  <si>
    <t>اسماعيل علي اسماعيل علي حسن</t>
  </si>
  <si>
    <t>احمد محمد جمعه عزب ابراهيم</t>
  </si>
  <si>
    <t>احمد عصام منير محمد سليمان</t>
  </si>
  <si>
    <t>عبدالرحيم صلاح عبدالرحيم احمد سالم</t>
  </si>
  <si>
    <t>عبدالله شريف محمد عبدالعزيز بدران</t>
  </si>
  <si>
    <t>عمر علي سليمان علي احمد</t>
  </si>
  <si>
    <t>فاطمه محمد حسن دهشان</t>
  </si>
  <si>
    <t>كامل حسين كامل حسين محمد عربان</t>
  </si>
  <si>
    <t>محمد حسين محمد مصطفي حسين</t>
  </si>
  <si>
    <t>محمد عماد محمد مصيلحى سلطان</t>
  </si>
  <si>
    <t>محمد وائل رزق ابوزيد ابراهيم</t>
  </si>
  <si>
    <t>محمد محمود محمد الطنطاوي</t>
  </si>
  <si>
    <t>محمد نبيل محمد محمد رشاد</t>
  </si>
  <si>
    <t>محمد حسن محمد محمد ابراهيم</t>
  </si>
  <si>
    <t>محمد حسن محمد عبدالعال علي حماد</t>
  </si>
  <si>
    <t>محمد حسام عبدالرحمن ذكي</t>
  </si>
  <si>
    <t xml:space="preserve">كلية الصيدلة
0-021  الدور الارضي </t>
  </si>
  <si>
    <t>محمد عاطف محمد احمد عبدالقادر</t>
  </si>
  <si>
    <t>محمد عبده ابراهيم محمد علي</t>
  </si>
  <si>
    <t>محمد وليد حسن اسماعيل</t>
  </si>
  <si>
    <t>منار صبري عبدالمنعم السيد محمد</t>
  </si>
  <si>
    <t>مروه السيد امين امام اسماعيل</t>
  </si>
  <si>
    <t>الاء محمد علي زكي احمد شحاته</t>
  </si>
  <si>
    <t>ايه محمد محمد علي محمد</t>
  </si>
  <si>
    <t>بسمه الناجي عبدالرحمن احمد محمد</t>
  </si>
  <si>
    <t>حبيبه حلمي محمد محمد عز الدين</t>
  </si>
  <si>
    <t>دينا ناصر عبدالرحمن عبدالرحمن محمد</t>
  </si>
  <si>
    <t>دينا عبدالرحمن السيد عبدالسلام</t>
  </si>
  <si>
    <t>روان هشام عبدالمجيد عبدالرحمن ابراهيم</t>
  </si>
  <si>
    <t>ياسمين سعيد عبدالعظيم مرسى السيد شلال</t>
  </si>
  <si>
    <t>تسنيم ابراهيم رفعت ابراهيم الجمل</t>
  </si>
  <si>
    <t>ميار ايهاب عبدالرحمن حسين محمد</t>
  </si>
  <si>
    <t>مارينا عماد عجايبي بشاره</t>
  </si>
  <si>
    <t>محمد عاطف عبد الحليم أحمد عبد الحليم</t>
  </si>
  <si>
    <t>اماني عبدالله ابراهيم علي</t>
  </si>
  <si>
    <t>امنيه محمد سالم عرفه سالم</t>
  </si>
  <si>
    <t>ميار عزت فرحات عبدالحميد عبدالحميد</t>
  </si>
  <si>
    <t>مريم اسامه لطفي ابراهيم</t>
  </si>
  <si>
    <t>حنين صلاح السيد علي نمر</t>
  </si>
  <si>
    <t>سلمى تامر صلاح السيد صابر</t>
  </si>
  <si>
    <t>فاطمة صبري ابراهيم عبده</t>
  </si>
  <si>
    <t>محمد رمضان عيسى رمضان عبدالنبى</t>
  </si>
  <si>
    <t>محمد محمد امام محمد امام</t>
  </si>
  <si>
    <t>هاله محمود عبد الونيس عطوه</t>
  </si>
  <si>
    <t>محمد ابراهيم عبد الغني عبد الله محمد</t>
  </si>
  <si>
    <t>محمد علاء الدين فتحي محروس شبايك</t>
  </si>
  <si>
    <t>محمد جمعه محمد على</t>
  </si>
  <si>
    <t>مريم محمد عبدالبصير متولي عطيه</t>
  </si>
  <si>
    <t>مريم مصطفي حسن احمد</t>
  </si>
  <si>
    <t>مريم احمد عبد العزيز عبد العال</t>
  </si>
  <si>
    <t>مريم عطيه سعيد سند عطية</t>
  </si>
  <si>
    <t>مصطفى السيد علي السيد</t>
  </si>
  <si>
    <t>ملك محمد عبدالمنعم عبدالله مصطفى</t>
  </si>
  <si>
    <t>ملك ابراهيم سيد حسن منصور</t>
  </si>
  <si>
    <t>منه حسين هاشم حسين علي</t>
  </si>
  <si>
    <t>منه محمد سعيد عبدالحميد احمد صيام</t>
  </si>
  <si>
    <t>منة الله صبحي حامد عطية</t>
  </si>
  <si>
    <t>منه الله ياسر احمد رمضان السيد بدوي</t>
  </si>
  <si>
    <t>منه الله السيد ابراهيم الشوادفى سليم</t>
  </si>
  <si>
    <t>محمود عادل محمود عبد الباري عبد القادر</t>
  </si>
  <si>
    <t>مريم ايمن محمد على على</t>
  </si>
  <si>
    <t>هاجر السيد حسن محمد</t>
  </si>
  <si>
    <t>مريم احمد عبدالمفيد عبدالملك يوسف</t>
  </si>
  <si>
    <t>اشرف ايمن حسن عيسى</t>
  </si>
  <si>
    <t>اشرقت سالم احمد محمد</t>
  </si>
  <si>
    <t>الاء محمد جرير محمد حويطى</t>
  </si>
  <si>
    <t>مريم ابراهيم عبدالحميد عبدالمقصود قناوى</t>
  </si>
  <si>
    <t>كلية الصيدلة
1011  الدور الاول</t>
  </si>
  <si>
    <t>يمنى عبد اللطيف عبد الرحمن محمد سليم</t>
  </si>
  <si>
    <t>هدى محمد سعد سيد</t>
  </si>
  <si>
    <t>هنا السيد عبد النبي محمد</t>
  </si>
  <si>
    <t>نبيل توفيق كمال توفيق صالح رزق</t>
  </si>
  <si>
    <t>مي محمد عبد الرحمن على</t>
  </si>
  <si>
    <t>ندي حسين لطفي احمد مرسى العطار</t>
  </si>
  <si>
    <t>ندي ايمن السيد عبدالعال</t>
  </si>
  <si>
    <t>احمد حسن عبد الله متولى</t>
  </si>
  <si>
    <t>اسامه احمد عبدالرحمن اسماعيل سيد احمد</t>
  </si>
  <si>
    <t>اسراء هاني محمد حسين محمد</t>
  </si>
  <si>
    <t>بسنت صبري حسن مهدى برعى</t>
  </si>
  <si>
    <t>زهراء محمد ابراهيم مصطفى</t>
  </si>
  <si>
    <t>اسلام السيد مصطفى متولى محمد</t>
  </si>
  <si>
    <t>اسلام عبدالكريم محمد الامام عبدالفتاح</t>
  </si>
  <si>
    <t>اسماء عدلي عبدالرحيم محمد جندل</t>
  </si>
  <si>
    <t>اشرقت وائل عبد الحميد شوقي عبد الحميد</t>
  </si>
  <si>
    <t>الزهراء محمد علي عبدالرحمن جاب الله</t>
  </si>
  <si>
    <t>الشيماء السيد السيد عبد الله عبد الهادي</t>
  </si>
  <si>
    <t>احمد اسامه محمد زكى السقي</t>
  </si>
  <si>
    <t>أمنيه ثابت الصاوى احمد مصطفى</t>
  </si>
  <si>
    <t>باسنت محمد محمد عبدالحميد محمد</t>
  </si>
  <si>
    <t>حبيبه مصطفي علي برس</t>
  </si>
  <si>
    <t>رغد محمود محمد خميس سالم</t>
  </si>
  <si>
    <t>سلمى اسلام محمد عبد الله احمد</t>
  </si>
  <si>
    <t>هايدي احمد عوده خميس سالم</t>
  </si>
  <si>
    <t>شهد خالد صابر مسعود زعرب</t>
  </si>
  <si>
    <t>سماح عمرو محمد قطب عطية</t>
  </si>
  <si>
    <t>سوزان محمد عبدالحميد ابوالعنين محمد</t>
  </si>
  <si>
    <t>شروق موسى محمد محمد الرملى</t>
  </si>
  <si>
    <t>شهد محمد عيد عبد القادر محمد</t>
  </si>
  <si>
    <t>شهد السيد متولي غريب متولي</t>
  </si>
  <si>
    <t>شهد السعدي عبد المنعم علوانى</t>
  </si>
  <si>
    <t>شهد حامد احمد حامد دوبان</t>
  </si>
  <si>
    <t>شيماء العربي رشاد محمد السيد</t>
  </si>
  <si>
    <t>صفاء اشرف محمد محمد بيومي</t>
  </si>
  <si>
    <t>جودى سامح رجب ابراهيم عبدالبر</t>
  </si>
  <si>
    <t>مريم ناصر شحته السيد محمد</t>
  </si>
  <si>
    <t>سلمي علي محمد حسين سليمان</t>
  </si>
  <si>
    <t>سلمى سامى عبد المنعم سليم عبدالجبار</t>
  </si>
  <si>
    <t>ندى محمد محمد السيد سليمان</t>
  </si>
  <si>
    <t>نفين سميرعبدالجواد محمد سيد احمد</t>
  </si>
  <si>
    <t>نور وليد جمعه محمد محمد</t>
  </si>
  <si>
    <t>نور رائد محمد عبد المجيد محجوب</t>
  </si>
  <si>
    <t>نورا اشرف منصور عثمان السيد</t>
  </si>
  <si>
    <t>هاجرمحمد محمد علي حسن</t>
  </si>
  <si>
    <t>يوسف محمد عبدالعزيز محمد سليم</t>
  </si>
  <si>
    <t>بسنت محسن عيسى عطيه</t>
  </si>
  <si>
    <t>فادية السيد محمد سليمان منصور</t>
  </si>
  <si>
    <t>محمود عيداروس محمود سليمان</t>
  </si>
  <si>
    <t xml:space="preserve">كلية الصيدلة
1018 الدور الاول </t>
  </si>
  <si>
    <t>ندى مسعد ابراهيم مسعد عبدالخالق</t>
  </si>
  <si>
    <t>هايدي حمدي اسماعيل حسين عبدالحميد</t>
  </si>
  <si>
    <t>ثريا بلال صبحي عباس فرج</t>
  </si>
  <si>
    <t>نورهان السيد علي عبدالحميد محمد باشا</t>
  </si>
  <si>
    <t>جاد نادر جاد جرجس</t>
  </si>
  <si>
    <t>يوسف مدحت محمد عطيه على</t>
  </si>
  <si>
    <t>محمد فتوح محمد السيد غانم</t>
  </si>
  <si>
    <t>كنزي احمد محمد المهدي</t>
  </si>
  <si>
    <t>شهد محمد عبدالسلام محمد حمد قاسم</t>
  </si>
  <si>
    <t>طارق ممدوح اسماعيل ابراهيم منصور</t>
  </si>
  <si>
    <t>عبد الحميد سيد محمد علي</t>
  </si>
  <si>
    <t>عبد الرحمن نبيل محمد اسماعيل</t>
  </si>
  <si>
    <t>عبد الرحمن سعودي عيد عبد الحي</t>
  </si>
  <si>
    <t>محمد فوزي محمد امين</t>
  </si>
  <si>
    <t>ريتال محمد علي علي حسين</t>
  </si>
  <si>
    <t>ريم محمد سليمان محمد على</t>
  </si>
  <si>
    <t>ريم فارس محمد محمد عطيه</t>
  </si>
  <si>
    <t>زهراء احمد اسماعيل محمد احمد العباس</t>
  </si>
  <si>
    <t>زياد محمد السيد محمد متولي</t>
  </si>
  <si>
    <t>زياد سلمي رزق مبارك</t>
  </si>
  <si>
    <t>ذياد عماد عبدالحميد عبدالمجيد</t>
  </si>
  <si>
    <t>زينب بركات عبدالعزيز سالم سليم</t>
  </si>
  <si>
    <t>زينه وائل محمد حسن امام</t>
  </si>
  <si>
    <t>ساره السيد محمد جنيدى محمد</t>
  </si>
  <si>
    <t>سارة السيد الدسوقي سليمان علي</t>
  </si>
  <si>
    <t>ابتهال اسماعيل محمد على محمد سعد</t>
  </si>
  <si>
    <t>ابتهال ناجي محمد الشهيدى محمد</t>
  </si>
  <si>
    <t>امنية مجدي محمد على السيد</t>
  </si>
  <si>
    <t>تسنيم زكي الصاوي الهادي الصاوي محمد</t>
  </si>
  <si>
    <t>جنى احمد سعيد محمد شحاته العزوني</t>
  </si>
  <si>
    <t>مى عبده عثمان محمد شلبى المتبولى</t>
  </si>
  <si>
    <t>نوران محمد عبد الله عبد العزيز عبد الله</t>
  </si>
  <si>
    <t>نوران خالد راغب شمس الدين عبدالرحمن</t>
  </si>
  <si>
    <t>هنا خالد عبد الرحمن محمد شحاته</t>
  </si>
  <si>
    <t>منار محمود عبدالهادى دويدار</t>
  </si>
  <si>
    <t>منه الله سيف ابراهيم على عبدالله</t>
  </si>
  <si>
    <t>منة الله ماهر رياض ابراهيم</t>
  </si>
  <si>
    <t>منة الله محمد احمد محمد اسماعيل</t>
  </si>
  <si>
    <t>منه ايمن احمد مصطفي احمد</t>
  </si>
  <si>
    <t>منه حمدي ابوزيد محمد السيد</t>
  </si>
  <si>
    <t>منه عبد الله محمود حسين حسين</t>
  </si>
  <si>
    <t>منه احمد السيد محمد سعيد</t>
  </si>
  <si>
    <t>منه صبيح صباح صبيح محمد</t>
  </si>
  <si>
    <t>منه محمد على سليمان محمد</t>
  </si>
  <si>
    <t>منة الله عبدالعظيم منصور محمد وافي</t>
  </si>
  <si>
    <t>منى محمد رمضان احمد</t>
  </si>
  <si>
    <t>مهيتاب فكري عبد العظيم محمد التهامي</t>
  </si>
  <si>
    <t>موده السيد فاروق عبدالسميع مرواد</t>
  </si>
  <si>
    <t>مي كمال احمد علي زيدان</t>
  </si>
  <si>
    <t>نادين السيد على مصطفي ابراهيم</t>
  </si>
  <si>
    <t>هدى ذكري الاحمدي احمد السيد</t>
  </si>
  <si>
    <t xml:space="preserve">كلية الصيدلة
1020 الدور الاول </t>
  </si>
  <si>
    <t>احمد علي محمد محمد عوض</t>
  </si>
  <si>
    <t>احمد مصطفى السيد متولى محمد</t>
  </si>
  <si>
    <t>يوسف ابراهيم عمر محمد بيومى</t>
  </si>
  <si>
    <t>احمد محمد عبد الله</t>
  </si>
  <si>
    <t>محمد صلاح محمد أمين</t>
  </si>
  <si>
    <t>يوسف احمد حسن احمد علي عبدالعال</t>
  </si>
  <si>
    <t>يوسف احمد يوسف على حسين عمران</t>
  </si>
  <si>
    <t>محمد أحمد محمد محمود خاطر</t>
  </si>
  <si>
    <t>زياد صبري عبدالسميع محمد منصور</t>
  </si>
  <si>
    <t>محمد زين عوض احمد</t>
  </si>
  <si>
    <t>ايمان محمود احمد محمد</t>
  </si>
  <si>
    <t>احمد مسلم طلبه احمد</t>
  </si>
  <si>
    <t>خيري السيد خيري</t>
  </si>
  <si>
    <t>نادر محمد محمد عبد الغني</t>
  </si>
  <si>
    <t>يوسف مجدي يوسف</t>
  </si>
  <si>
    <t>سيفالله اسامه عابد عبدالغفار الجزيري</t>
  </si>
  <si>
    <t>معتز عصام محمد صلاح</t>
  </si>
  <si>
    <t xml:space="preserve">كليه طب اسنان </t>
  </si>
  <si>
    <t>شذا احمد احمد موسى الامير</t>
  </si>
  <si>
    <t>مصطفى صفوت مصطفى عباده خليل</t>
  </si>
  <si>
    <t>محمود ناصر محمد علي</t>
  </si>
  <si>
    <t xml:space="preserve">كلية الصيدلة
2011 الدور الثاني </t>
  </si>
  <si>
    <t>ميار رضا عبدالحليم طه محمد</t>
  </si>
  <si>
    <t>نجلاء خالد محمد على يوسف</t>
  </si>
  <si>
    <t>ندى ايمن محمد عبدالحميد</t>
  </si>
  <si>
    <t>احمد عبدالسلام السيد محمد حسن</t>
  </si>
  <si>
    <t>حسينى محمد حسينى السيد عبد الرحمن</t>
  </si>
  <si>
    <t>دنيا السيد ابراهيم احمد سعد</t>
  </si>
  <si>
    <t>رشا السيد محمد شحاته</t>
  </si>
  <si>
    <t>رغد محمد السيد الشحات محمد غمري</t>
  </si>
  <si>
    <t>سارة عادل محمد محمود السيد</t>
  </si>
  <si>
    <t>عبد الرحمن احمد محمد محمد حسنين</t>
  </si>
  <si>
    <t>نسرين ثروت محمد على غانم</t>
  </si>
  <si>
    <t>عطيه رضا عطية السيد</t>
  </si>
  <si>
    <t>احمد محمد حسن احمد اسماعيل</t>
  </si>
  <si>
    <t>احمد عماد الدين احمد عبدالرازق</t>
  </si>
  <si>
    <t>محمد عليوه شاهين</t>
  </si>
  <si>
    <t>أميرة صابر محمد صابر</t>
  </si>
  <si>
    <t>شهد رمضان صبحي</t>
  </si>
  <si>
    <t>زياد محمد فاروق محمود عبدالحميد</t>
  </si>
  <si>
    <t>كلية الصيدلة-فارم دي-صيدلة إكلينيكية-الفرقة الثانية</t>
  </si>
  <si>
    <t>عمر سليمان ابو المجد</t>
  </si>
  <si>
    <t>صبري محمد علاء</t>
  </si>
  <si>
    <t>علي محمد علي محمد غانم</t>
  </si>
  <si>
    <t>بسمة أحمد أحمد عبد الغني يونس</t>
  </si>
  <si>
    <t xml:space="preserve">حبيبة خالد محمد </t>
  </si>
  <si>
    <t xml:space="preserve">كلية الصيدلة
2017 الدور الثاني </t>
  </si>
  <si>
    <t>امل محمد حامد عبداللطيف حسن</t>
  </si>
  <si>
    <t>حنان ابراهيم محمد السيد غانم</t>
  </si>
  <si>
    <t>حنين السيد ابراهيم السيد عبد الله</t>
  </si>
  <si>
    <t>روضه رفيق عبدالمنعم احمد مرسي</t>
  </si>
  <si>
    <t>محمد ضياء الدين محمد سليم محمد برعى</t>
  </si>
  <si>
    <t>محمد ناصر عيسي ابراهيم عيسي</t>
  </si>
  <si>
    <t>السيد يوسف اسماعيل حسين</t>
  </si>
  <si>
    <t>رنا تامر حسين السيد متولي</t>
  </si>
  <si>
    <t>نجيب تامر نجيب محمد عبدالرحمن</t>
  </si>
  <si>
    <t>احمد ايمن عبدالحق محمد محمد بنديرى</t>
  </si>
  <si>
    <t>ريناد رزق محمد سالم سليم</t>
  </si>
  <si>
    <t>احمد عبد الله احمد عبد الله محمد العجله</t>
  </si>
  <si>
    <t xml:space="preserve">كلية الصيدلة
2019 الدور الثاني </t>
  </si>
  <si>
    <t>اروي صالح شعبان السيداحمد</t>
  </si>
  <si>
    <t>امال ابراهيم علي محمد</t>
  </si>
  <si>
    <t>منه أيمن السيد منصور محمد حسن</t>
  </si>
  <si>
    <t>ياسمين رضا علي عبد العال</t>
  </si>
  <si>
    <t>احمد على محمد احمد</t>
  </si>
  <si>
    <t>ايه محمد محمود عبد السميع</t>
  </si>
  <si>
    <t>محمد عبد العزيز محمد عبد الباري عبد القادر</t>
  </si>
  <si>
    <t>خلود اشرف محمد محمد بيومي</t>
  </si>
  <si>
    <t>محمد السيد محمد صوابي</t>
  </si>
  <si>
    <t>حسين محمد حسين احمد ابراهيم محمد</t>
  </si>
  <si>
    <t>محمد ممدوح احمد عبد القادر</t>
  </si>
  <si>
    <t>محمد صبحي فهمي عبدالرحمن محمد</t>
  </si>
  <si>
    <t xml:space="preserve">خالد عبدالجواد عبدالحميد عبدالحميد </t>
  </si>
  <si>
    <t>عمر صلاح ابراهيم</t>
  </si>
  <si>
    <t xml:space="preserve">كلية أسنان
H028 الدور الارضي </t>
  </si>
  <si>
    <t>بلال فؤاد ابراهيم محمد</t>
  </si>
  <si>
    <t>بسنت عبدالستار الشبراوي محمد عبد الدايم</t>
  </si>
  <si>
    <t>تسنيم راضى فرحان ابراهيم سليمان</t>
  </si>
  <si>
    <t>جنه عنتر احمد محمد حسين زارع</t>
  </si>
  <si>
    <t>جني محمد مختار السيد مسعد</t>
  </si>
  <si>
    <t>جورجت صليب فؤاد فهيم</t>
  </si>
  <si>
    <t>حازم عصام عبد القادر احمد ابراهيم</t>
  </si>
  <si>
    <t>حبيبه اسماعيل حسان خضير محمد</t>
  </si>
  <si>
    <t>حسن الوليد حسن محمد حسن</t>
  </si>
  <si>
    <t>حسني محمد عطيه عبدالعال</t>
  </si>
  <si>
    <t>سهير عبدالرحمن محمد عبدالرحمن حسن</t>
  </si>
  <si>
    <t>محمد طارق محمود احمد السيد</t>
  </si>
  <si>
    <t>محمد سالم محمد سالم</t>
  </si>
  <si>
    <t>وسام فوزى عبدالله ابراهيم حسانين</t>
  </si>
  <si>
    <t>يارا عبدالسلام السيد احمد علي</t>
  </si>
  <si>
    <t>ياسمين محمد عبدالرؤف محمد علي</t>
  </si>
  <si>
    <t>ياسمين طارق احمد خليفه سليمان</t>
  </si>
  <si>
    <t>احمد محمد اسماعيل محمد السيد</t>
  </si>
  <si>
    <t>احمد اسامه عبدالعال محمود عبدالعزيز</t>
  </si>
  <si>
    <t>احمد اسماعيل ابراهيم ابراهيم حسن السيد</t>
  </si>
  <si>
    <t>اروه حسام الدين عبدالرؤف عبدالقادر خطاب</t>
  </si>
  <si>
    <t>اية الوليد حامد عبدالعال زرقه</t>
  </si>
  <si>
    <t>ايمان زكي خيري حسين محمد</t>
  </si>
  <si>
    <t>اثير محمد عبد المجيد محمد ابراهيم</t>
  </si>
  <si>
    <t>احمد شكري محمد ابراهيم عبدالخالق</t>
  </si>
  <si>
    <t>كلية أسنان
H027 الدور الارضي</t>
  </si>
  <si>
    <t>احمد موسي محمد موسي محمد</t>
  </si>
  <si>
    <t>ايثار محمد السيد حسن احمد منصور</t>
  </si>
  <si>
    <t>ايمان مصطفى عبدالله مصطفى درويش</t>
  </si>
  <si>
    <t>نورهان منصور محمد الصادق عطيه على</t>
  </si>
  <si>
    <t>ايمان عثمان البكري ابراهيم عبدالله لاشين</t>
  </si>
  <si>
    <t>آيه جاب الله عبد المنعم سالم السيد</t>
  </si>
  <si>
    <t>ايه ابراهيم عطيه عبداللطيف</t>
  </si>
  <si>
    <t>آيه النادى اسماعيل محمد اسماعيل</t>
  </si>
  <si>
    <t>بسمله علاء محمود محمد حسانين</t>
  </si>
  <si>
    <t>بسمه احمد مصطفي مصطفي عبدالعال</t>
  </si>
  <si>
    <t>حسن محمد حسن السيد حسن</t>
  </si>
  <si>
    <t>محمود عبدالمنعم عبدالله ابراهيم سليم</t>
  </si>
  <si>
    <t>بسمله محمود السيد حسين</t>
  </si>
  <si>
    <t>هدير السيد فؤاد توفيق</t>
  </si>
  <si>
    <t>هنا احمد محمد سالم عبدالرحمن</t>
  </si>
  <si>
    <t>وسام حمدي السيد احمد محمد</t>
  </si>
  <si>
    <t>ملك محمد السيد محمد السيد موسي</t>
  </si>
  <si>
    <t>منار سعيد محمد محمد عبدالله</t>
  </si>
  <si>
    <t>اسماء اشرف صالح عبدالرحمن اسماعيل</t>
  </si>
  <si>
    <t>محمد وليد محمد على شحاته</t>
  </si>
  <si>
    <t>محمد سليمان مصبح محمد على</t>
  </si>
  <si>
    <t>هاجر غريب محمد غريب جمعه</t>
  </si>
  <si>
    <t>هاجر السيد الباز السيد شحاته</t>
  </si>
  <si>
    <t>هاجر على اسماعيل على</t>
  </si>
  <si>
    <t>نرمين جمال محمد عطا الله</t>
  </si>
  <si>
    <t>بسمله عبدالرحمن على محمد صالح</t>
  </si>
  <si>
    <t>نورالدين اسلام احمد</t>
  </si>
  <si>
    <t xml:space="preserve">كلية أسنان
H024 الدور الارضي </t>
  </si>
  <si>
    <t>ساره ابراهيم محمد علي</t>
  </si>
  <si>
    <t>ساره احمد عادل محمد الصادق مرسي</t>
  </si>
  <si>
    <t>ساره محمد صالح عيد سالم</t>
  </si>
  <si>
    <t>ساره ربيع احمد محمد فرج</t>
  </si>
  <si>
    <t>ساره مرشد محمد احمد على</t>
  </si>
  <si>
    <t>سلفانا انطونيوس ناجح ناشد جرجس</t>
  </si>
  <si>
    <t>سلمى محمود محمد عثمان السيد</t>
  </si>
  <si>
    <t>يوسف السباعي عبد الصبور سباعي</t>
  </si>
  <si>
    <t>روان عبد الفتاح ابو الفتوح علي الليثي</t>
  </si>
  <si>
    <t>احمد محمود عبد العظيم حسن محمود</t>
  </si>
  <si>
    <t>احمد اسامه اسماعيل مصطفى</t>
  </si>
  <si>
    <t>احمد رائد احمد ماهر ذكي السيد</t>
  </si>
  <si>
    <t>احمد عاطف سعيد عبدالقادر احمد</t>
  </si>
  <si>
    <t>احمد مقيبل اسماعيل مقيبل</t>
  </si>
  <si>
    <t>اروى خالد محمد احمد محمد</t>
  </si>
  <si>
    <t>اروى ايهاب السيد محمد حسن</t>
  </si>
  <si>
    <t>اسلام محمد وجيه عطيه</t>
  </si>
  <si>
    <t>اسماء ياسر رشاد عبد المقصود</t>
  </si>
  <si>
    <t>اسماء احمد علي السيد احمد</t>
  </si>
  <si>
    <t>اسماء محمد احمد حجازى سلامه</t>
  </si>
  <si>
    <t>اسماء ابراهيم عطيه محمد عطيه شاهين</t>
  </si>
  <si>
    <t>اسماء محمد السيد محمد محمود</t>
  </si>
  <si>
    <t>اسماء ابراهيم محمد محمد حسنين</t>
  </si>
  <si>
    <t>اسماء محمد محمد حسين على بحري</t>
  </si>
  <si>
    <t>اسماء ابراهيم مصطفى كمال ابراهيم حسن</t>
  </si>
  <si>
    <t>محمد سعد عبدالجواد محمد عشري</t>
  </si>
  <si>
    <t>محمد رمضان محمد محمود محمد</t>
  </si>
  <si>
    <t>محمد هانى عبد الرحمن ابراهيم</t>
  </si>
  <si>
    <t>محمد صلاح عبد االرازق عبد الله عبدالله</t>
  </si>
  <si>
    <t>محمد رشدي شحاته محمد</t>
  </si>
  <si>
    <t>محمد احمد محمد احمد اسماعيل عجاج</t>
  </si>
  <si>
    <t>مرنا وليد عبدالعظيم السيد شبانه</t>
  </si>
  <si>
    <t>مروه علي السيد السيد الشامي</t>
  </si>
  <si>
    <t>مروه عبدالعزيز محمد عبدالعزيز قريش</t>
  </si>
  <si>
    <t>مريم عادل شعبان عيد دعبس</t>
  </si>
  <si>
    <t>مريم ميلاد عبدالملاك رزق الله</t>
  </si>
  <si>
    <t>مريم عبدالحميد عبدالعال حسن</t>
  </si>
  <si>
    <t>يوسف محمد عصام شنهاب السباعى</t>
  </si>
  <si>
    <t>مصطفى محمود الناجى عبدالكريم</t>
  </si>
  <si>
    <t>نوره محمود محمد غمري خاطر</t>
  </si>
  <si>
    <t>نورهان محمد احمد عبداللطيف عرفه</t>
  </si>
  <si>
    <t>نورهان محمد عبد العزيز ابراهيم حمد</t>
  </si>
  <si>
    <t>نيره حسن عبد القادر على</t>
  </si>
  <si>
    <t>اسيل الشبراوي عبد الحفيظ احمد عمران</t>
  </si>
  <si>
    <t>افنان عادل احمد ابراهيم السيد الجيزاوى</t>
  </si>
  <si>
    <t>الاء اسامه عبدالفتاح ابراهيم احمد</t>
  </si>
  <si>
    <t>رغد شعبان عبدالسلام اسماعيل</t>
  </si>
  <si>
    <t>عمرو ابراهيم مصطفى تعلب</t>
  </si>
  <si>
    <t>عمرو سعد احمد يوسف عطية</t>
  </si>
  <si>
    <t>عمرو امير محمد عبدالرحمن عرابي</t>
  </si>
  <si>
    <t>غدير محمد عبدالبديع محمد حسين</t>
  </si>
  <si>
    <t>فداء عبدالمنعم محمد على محمود عجينه</t>
  </si>
  <si>
    <t>الاء طارق شكرى امين عبدالله</t>
  </si>
  <si>
    <t>الاء عبد المنعم احمد محمد غانم</t>
  </si>
  <si>
    <t>محمود فوزي علي السيد حلاوه</t>
  </si>
  <si>
    <t>ياسمين السيد شوقي سلامه على</t>
  </si>
  <si>
    <t>سما محمد احمد السيد سالم</t>
  </si>
  <si>
    <t>سميه علاء منصور عبدالعال ابراهيم</t>
  </si>
  <si>
    <t>شاهنده محمد السيد محمد محمد</t>
  </si>
  <si>
    <t>شذا ابراهيم احمد محمد متولى عماره</t>
  </si>
  <si>
    <t>شذى سيد محمد علي محمد</t>
  </si>
  <si>
    <t>شريهان ابراهيم عبدالستار ابراهيم عبدالعزيز</t>
  </si>
  <si>
    <t>شفاء علي سليم خليل شتيوي</t>
  </si>
  <si>
    <t>شهد محمد منصور علي حسن</t>
  </si>
  <si>
    <t>شهد ياسر محمود علي</t>
  </si>
  <si>
    <t>شهد محمود السيد محمود موسى</t>
  </si>
  <si>
    <t>شهد عماد السيد على محمد</t>
  </si>
  <si>
    <t>شهد وجيه علي السيد منصور</t>
  </si>
  <si>
    <t>صفاء عماد السيد محمد عبدالمغنى</t>
  </si>
  <si>
    <t>صفيه حسن محمد طريف</t>
  </si>
  <si>
    <t>رنا محمود علي محمود علي</t>
  </si>
  <si>
    <t>حنين الشبراوي محمد السيد سرحان</t>
  </si>
  <si>
    <t>حنين احمد عبده احمد سلامه</t>
  </si>
  <si>
    <t>داليا شريف ابراهيم السيد ابراهيم</t>
  </si>
  <si>
    <t>دعاء محمد عوض عبدالجليل عبدالقادر</t>
  </si>
  <si>
    <t>دنيا وجيه محمد فتحى محمد محمد علي</t>
  </si>
  <si>
    <t>شروق سالم مرزق ضيف الله</t>
  </si>
  <si>
    <t>كريم محمد رمضان محمد فريد</t>
  </si>
  <si>
    <t>كنزي السيد سعد حسين حسن</t>
  </si>
  <si>
    <t>مايكل ماجد ابراهيم فرج</t>
  </si>
  <si>
    <t>محمد احمد محمد عبدالسلام عبدالمنعم</t>
  </si>
  <si>
    <t>محمد على محمد السيد التابعي</t>
  </si>
  <si>
    <t>محمد احمد محمد حامد سليم</t>
  </si>
  <si>
    <t>محمد عبدالغفار محمد عبدالغفار الفقى</t>
  </si>
  <si>
    <t>محمد ياسر محمد عبدالعزيز محمد</t>
  </si>
  <si>
    <t>اميره حسنى شعبان محمد مرسي العجوز</t>
  </si>
  <si>
    <t xml:space="preserve">كلية أسنان
H009 الدور الارضي </t>
  </si>
  <si>
    <t>حنان حسن منصور علي ابراهيم</t>
  </si>
  <si>
    <t>رافت شاهي علي محمد احمد</t>
  </si>
  <si>
    <t>روان مجدي عبدالعاطي عبدالعال حسن</t>
  </si>
  <si>
    <t>روان خالد يوسف عبد العاطي ابراهيم</t>
  </si>
  <si>
    <t>نهى محمد محمد عبدالعال ابراهيم</t>
  </si>
  <si>
    <t>مريم محمد ابراهيم محمد محمد المسيري</t>
  </si>
  <si>
    <t>محمد عيسي محمد عيسي خضر</t>
  </si>
  <si>
    <t>علي جمال سيد احمد محمد</t>
  </si>
  <si>
    <t>على علاء على عبدالمعطي السيد</t>
  </si>
  <si>
    <t>علي محمد علي احمد السقا</t>
  </si>
  <si>
    <t>علي رمضان علي موسى</t>
  </si>
  <si>
    <t>علياء محمود علي السيد</t>
  </si>
  <si>
    <t>عمر محمود حبيب سالم حبيب</t>
  </si>
  <si>
    <t>عمر يسري محمد محمود</t>
  </si>
  <si>
    <t>الحسن عبد الناصر حسن عبد العزيز</t>
  </si>
  <si>
    <t>اميره بليغ السيد محمد السيد</t>
  </si>
  <si>
    <t>عبدالرحمن شعبان بهجت شعبان عبد المطلب</t>
  </si>
  <si>
    <t>عليه عبدالرحمن احمد السيد</t>
  </si>
  <si>
    <t>محمد اسامه محمد عبدالرحمن علي</t>
  </si>
  <si>
    <t>حازم ابراهيم امين ابراهيم</t>
  </si>
  <si>
    <t>معتز ميسره يوسف عد المعصوم</t>
  </si>
  <si>
    <t>يوسف أحمد عبدالفتاح حافظ</t>
  </si>
  <si>
    <t>كريم مصطفى محمد سالمان</t>
  </si>
  <si>
    <t>محمد زهران عبدالخالق عبدالحليم حجازي</t>
  </si>
  <si>
    <t>محمد وائل عبدالحي</t>
  </si>
  <si>
    <t>عمار ياسر جاد</t>
  </si>
  <si>
    <t>محمد مكاوي محمد محمد</t>
  </si>
  <si>
    <t>عبد الله محمد محمد الشاعر</t>
  </si>
  <si>
    <t>زياد احمد علي محمد إبراهيم</t>
  </si>
  <si>
    <t>يوسف محمد بدري علي عرقوب</t>
  </si>
  <si>
    <t>لجنة الاختبار النهائي لكورس اللغة الإنجليزية - الفصل الدراسي الثاني للعام الدراسي2025-2026
يوم الثلاثاء - الموافق 12 مايو 2026</t>
  </si>
  <si>
    <t>كلية الصيدلة
0-010  الدور الارضي</t>
  </si>
  <si>
    <t>احمد حماده عباس محمد متولي</t>
  </si>
  <si>
    <t>على احمد محمد مصطفى متولى الصياد</t>
  </si>
  <si>
    <t>آيه علي عبدالفتاح محمد</t>
  </si>
  <si>
    <t>أحمد خالد محمد أحمد حسن</t>
  </si>
  <si>
    <t>أحمد حسام صلاح محمد</t>
  </si>
  <si>
    <t>أحمد حسن أحمد إبراهيم محمد العدل</t>
  </si>
  <si>
    <t>أحمد طارق أحمد محمد محمود كامل</t>
  </si>
  <si>
    <t>أحمد لطفى السيد سيدأحمد محمد</t>
  </si>
  <si>
    <t>أحمد محمد علي علي نصر</t>
  </si>
  <si>
    <t>أحمد أيمن أحمد إسماعيل فرج</t>
  </si>
  <si>
    <t>أدهم شريف علي موسي</t>
  </si>
  <si>
    <t>ألاء عثمان متولي اسماعيل</t>
  </si>
  <si>
    <t>أميره محمد سعد فؤاد ابراهيم</t>
  </si>
  <si>
    <t>أميره محمد محمد يوسف</t>
  </si>
  <si>
    <t>أيمن جمال محمد ابو عوض الله</t>
  </si>
  <si>
    <t>إبراهيم محمد عبد السميع محمد عبد السميع</t>
  </si>
  <si>
    <t>ابراهيم السيد محمد احمد عيسوي</t>
  </si>
  <si>
    <t>احمد محمد الباز علي محمود</t>
  </si>
  <si>
    <t>احمد نور محمد عبده محمود طلبه</t>
  </si>
  <si>
    <t>محمد احمد ابوهاشم حسن بدران</t>
  </si>
  <si>
    <t>محمد الباز محمد محمد علي نوفل</t>
  </si>
  <si>
    <t>محمد عبدالعظيم محمد محمد نوفل</t>
  </si>
  <si>
    <t>محمد ابراهيم السيد ابراهيم هلال</t>
  </si>
  <si>
    <t>محمد علاء ماهر ابراهيم</t>
  </si>
  <si>
    <t>محمد مصطفي السيد اسماعيل</t>
  </si>
  <si>
    <t>عبد الرحمن هاني شوفي محمود زيدان</t>
  </si>
  <si>
    <t>عبدلله محمود حامد صالح</t>
  </si>
  <si>
    <t>محمد مصطفي سعد مصطفي</t>
  </si>
  <si>
    <t>محمد مصطفي مصطفي محمد اسماعيل</t>
  </si>
  <si>
    <t>محمد سمير فرج عباس معوض</t>
  </si>
  <si>
    <t>أحمد محمد فوزى عبد العزيز اسماعيل</t>
  </si>
  <si>
    <t>احمد خيري السيد محمد صالح</t>
  </si>
  <si>
    <t>احمد حسين احمد حسن</t>
  </si>
  <si>
    <t>احمد اسامه سامى قنديل</t>
  </si>
  <si>
    <t>احمد الديدامونى سامى عبدالله عليوة</t>
  </si>
  <si>
    <t>احمد العربي احمد ثابت متولي</t>
  </si>
  <si>
    <t>احمد حسن السيد عبدالله</t>
  </si>
  <si>
    <t>احمد مصطفي محمد عادل ابراهيم السعدني</t>
  </si>
  <si>
    <t>احمد السيد احمد ابوبكر سيداحمد</t>
  </si>
  <si>
    <t>احمد خالد محمد عباس يوسف</t>
  </si>
  <si>
    <t>ادهم هشام السيد احمد شاهين</t>
  </si>
  <si>
    <t>اسلام سعيد سيد بيومي</t>
  </si>
  <si>
    <t>محمد حسيني عبد الوهاب ابراهيم</t>
  </si>
  <si>
    <t>السيد محمد السيد عبدالحميد السيد</t>
  </si>
  <si>
    <t>ندي ناجي عبدالعزيز مصطفي محمد</t>
  </si>
  <si>
    <t>منه جمعه ابراهيم محمد ابراهيم</t>
  </si>
  <si>
    <t>يوسف عمرو السيد محمد السيد</t>
  </si>
  <si>
    <t>عبد الرحمن هشام محمود عبد الحاليم محمد</t>
  </si>
  <si>
    <t>محمد عبدالله عبدالعزيز سليمان السفاعي</t>
  </si>
  <si>
    <t>مهند ربيع فتحى السيد متولى</t>
  </si>
  <si>
    <t>نادرة ثروت احمد محمد عبدالرحمن</t>
  </si>
  <si>
    <t>منة الله حامد عبدالفتاح حامد احمد</t>
  </si>
  <si>
    <t>ندا سعد عبدالرؤوف عبدالجواد محيي الدين</t>
  </si>
  <si>
    <t>نسرين ماهر احمد محمد صبيح</t>
  </si>
  <si>
    <t>محمد حامد عبدالفتاح محمد خليل</t>
  </si>
  <si>
    <t>ميرال محمد سالم عبدالله اسماعيل</t>
  </si>
  <si>
    <t>منصور انيس منصور عبد القوى</t>
  </si>
  <si>
    <t>منى فوزي على السيد حلاوه</t>
  </si>
  <si>
    <t>منه الله محمد محمود سليمان</t>
  </si>
  <si>
    <t>محمود هاشم محمد محمود بنداري</t>
  </si>
  <si>
    <t>عبد الرحمن ابراهيم الحسييني</t>
  </si>
  <si>
    <t>منة الله صلاح امين المسلمي</t>
  </si>
  <si>
    <t>محمد حسن محمد غنيم محمد</t>
  </si>
  <si>
    <t>محمد تامر محمد عبدو مصطفى</t>
  </si>
  <si>
    <t>اسماء داؤد احمد داؤد احمد</t>
  </si>
  <si>
    <t>اشرف محمد محمد محمد عبده حجازي</t>
  </si>
  <si>
    <t>الاء انور احمد علي سالم</t>
  </si>
  <si>
    <t>محمد نزيه فيزان الطحاوي</t>
  </si>
  <si>
    <t>الاء محمد سيداحمد حسنين عثمان</t>
  </si>
  <si>
    <t>السيد احمد السيد احمد نجيده</t>
  </si>
  <si>
    <t>السيد محمد السيد محمد علي</t>
  </si>
  <si>
    <t>السيد تامر السيد محمد محمد ابو طالب</t>
  </si>
  <si>
    <t>السيد محمد كمال سليم محمد</t>
  </si>
  <si>
    <t>السيد احمد السيد موسي</t>
  </si>
  <si>
    <t>امنية بركات احمد نورالدين</t>
  </si>
  <si>
    <t>اميرة احمد محمود الباز حسين</t>
  </si>
  <si>
    <t>اميرة احمد فتحي عبدالحميد امام</t>
  </si>
  <si>
    <t>انس مصطفي محمد انس</t>
  </si>
  <si>
    <t>ايمان جمال حسن محمد سالم</t>
  </si>
  <si>
    <t>ايمان عبده محمد كمال احمد الهادي</t>
  </si>
  <si>
    <t>ايه مدحت ابراهيم الفقي</t>
  </si>
  <si>
    <t>محمد الشريني احمد حجازي</t>
  </si>
  <si>
    <t>أسماء عثمان عبدالعزيز رياض</t>
  </si>
  <si>
    <t>فرح محمد احمد محمد هاشم</t>
  </si>
  <si>
    <t>ولاء عبدالعزيز البسيوني عبدالعزيز عماره</t>
  </si>
  <si>
    <t>هبه محمد عبد السميع حسانين علي</t>
  </si>
  <si>
    <t>يوسف عبد العظيم ابراهيم البابلي</t>
  </si>
  <si>
    <t>رنا ماهر رشاد حسن محمد الشاطر</t>
  </si>
  <si>
    <t>يارا محمد حسن عبد المنعم</t>
  </si>
  <si>
    <t>زهراء محمد عبد الحميد سليمان</t>
  </si>
  <si>
    <t>زياد حسن محمد زياد حسن</t>
  </si>
  <si>
    <t>ريهام حامد محمد احمد سالم</t>
  </si>
  <si>
    <t>زياد عزت السيد احمد حسانين الغرباوي</t>
  </si>
  <si>
    <t>ايه ابراهيم احمد ابو هاشم خليل</t>
  </si>
  <si>
    <t>نورهان حمدي صلاح أمين</t>
  </si>
  <si>
    <t>بسمله عبدالرسول السيد نصر عبدالله</t>
  </si>
  <si>
    <t>بسنت ايمن احمد يونس</t>
  </si>
  <si>
    <t>بيتر عيد مبارك ناشد</t>
  </si>
  <si>
    <t>تامر احمد حمادة تامر احمد</t>
  </si>
  <si>
    <t>ثروت محمود محمد ثروت محمود</t>
  </si>
  <si>
    <t>جمال محمود فكري محمود عبدالفتاح</t>
  </si>
  <si>
    <t>حسن رضا عطيه عبدالحليم سليم</t>
  </si>
  <si>
    <t>حلا شوقي محمد محمد عطيه</t>
  </si>
  <si>
    <t>حنين ولاء محمد عياد عبدالمقصود</t>
  </si>
  <si>
    <t>حنين ايمن فتحى السيد ابراهيم</t>
  </si>
  <si>
    <t>حنين احمد الرفاعي العزازي</t>
  </si>
  <si>
    <t>خالد محمد محمد عبدالعزيز السيد</t>
  </si>
  <si>
    <t>خالد حماده حمدان محمد السيد</t>
  </si>
  <si>
    <t>خالد خميس كليب السعيد عبدالله مدكور</t>
  </si>
  <si>
    <t>خيرى وائل خيرى محمد</t>
  </si>
  <si>
    <t>دعاء احمد حمزه محمد علي</t>
  </si>
  <si>
    <t>عايدة صبري</t>
  </si>
  <si>
    <t>اريج ابراهيم محمد احمد</t>
  </si>
  <si>
    <t>عبد الرحمن عباس عباس سليمان</t>
  </si>
  <si>
    <t>زياد عبده فكرى محمد منصور</t>
  </si>
  <si>
    <t>زياد حصافي محمد مصطفى</t>
  </si>
  <si>
    <t>عبد العزيز محمد عبد العزيز علي مصطفى</t>
  </si>
  <si>
    <t>سميه احمد ابراهيم عطيه الجمل</t>
  </si>
  <si>
    <t>سلمي محمد الشوادفي عبدالحميد عبدالرحمن</t>
  </si>
  <si>
    <t>سمر ايمن حسن سمر ايمن</t>
  </si>
  <si>
    <t>سعاد خليل مصطفى خليل حسانين بلال</t>
  </si>
  <si>
    <t>سارة محمد ناجى محمد سلامه</t>
  </si>
  <si>
    <t>شهد اشرف محمود عبدالعزيز</t>
  </si>
  <si>
    <t>سلمي علوي محمد احمد علي</t>
  </si>
  <si>
    <t>شهد محمد السيد محمد عبدالسلام</t>
  </si>
  <si>
    <t>شرين محمد ثروت عربان</t>
  </si>
  <si>
    <t>سلمى محمد السيد النجار</t>
  </si>
  <si>
    <t>سلمي السيد ابراهيم محمد ابراهيم</t>
  </si>
  <si>
    <t>سحر مقبول ابراهيم ضيف</t>
  </si>
  <si>
    <t>راما طلعت عطيه الكومي</t>
  </si>
  <si>
    <t>رامي رجب رمضان محمد عبدالحميد</t>
  </si>
  <si>
    <t>رامي حلمي عبدالله رشدي</t>
  </si>
  <si>
    <t>رحمه محمد عبد المنعم على ابراهيم</t>
  </si>
  <si>
    <t>رحمه محمد فاروق ابراهيم عليوه</t>
  </si>
  <si>
    <t>رحمه قاسم سليمان حسين مطر</t>
  </si>
  <si>
    <t>رحيم هشام عبدالبديع ناصف محمد فهيم ابراهيم</t>
  </si>
  <si>
    <t>فداء شحاته سعيد جادالله ياسين</t>
  </si>
  <si>
    <t>عماد فوزي علي محمود</t>
  </si>
  <si>
    <t>عمار محمد عبدالخالق عبدالعزيز الدمس</t>
  </si>
  <si>
    <t>عمر علي عبدالله علي</t>
  </si>
  <si>
    <t>عمر جمال فتحي بشر حسين</t>
  </si>
  <si>
    <t>محمد أشرف لطفي عطية أبومسلم</t>
  </si>
  <si>
    <t>عمر امين شوقي احمد عبدالله</t>
  </si>
  <si>
    <t>فارس محمد عبدالرحمن احمد سلامه</t>
  </si>
  <si>
    <t>محمد عاطف عبدلله عاطف مصطفي</t>
  </si>
  <si>
    <t>خالد وليد ابراهيم محمد نصر</t>
  </si>
  <si>
    <t>محمود محمد عبده عزت</t>
  </si>
  <si>
    <t>علاء محمد علي محمد</t>
  </si>
  <si>
    <t xml:space="preserve">كلية الصيدلة
1011 الدور الاول </t>
  </si>
  <si>
    <t>مالك محمود محمد حامد</t>
  </si>
  <si>
    <t>ملك محمود بلال دياب مصطفي شاهين</t>
  </si>
  <si>
    <t>شهد احمد حسن احمد محمد</t>
  </si>
  <si>
    <t>عاصم سعيد احمد محمد</t>
  </si>
  <si>
    <t>خالد ابراهيم محمود زغلول</t>
  </si>
  <si>
    <t>شهد السيد عبدالباقي محمد حسين</t>
  </si>
  <si>
    <t>بسنت وائل عيد عبدالحميد</t>
  </si>
  <si>
    <t>مروان عبدالوهاب عبدالحليم حجازي</t>
  </si>
  <si>
    <t>علاء أحمد محمد حسانين</t>
  </si>
  <si>
    <t>علي محمد علي علي</t>
  </si>
  <si>
    <t>محمد احمد ابراهيم احمد الوشاحي</t>
  </si>
  <si>
    <t>فاطمه السيد امحد محمد احمد حسين خشبه</t>
  </si>
  <si>
    <t>فتحي عاطف فتحي محمد</t>
  </si>
  <si>
    <t>كريم محمد صالح صالح</t>
  </si>
  <si>
    <t>كريم دسوقى ابراهيم سلامة</t>
  </si>
  <si>
    <t>كريم ابراهيم السيد محمد ابراهيم</t>
  </si>
  <si>
    <t>كريم اشرف محمد سالمان</t>
  </si>
  <si>
    <t>كريم محمد يوسف علي حسين عمران</t>
  </si>
  <si>
    <t>كمال يسري عبدالكريم عبدالغفار احمد</t>
  </si>
  <si>
    <t>لبني محمد عبدالبديع محمد احمد</t>
  </si>
  <si>
    <t>مؤمن جابر حلمي مؤمن</t>
  </si>
  <si>
    <t>مؤمن عبده محمد عبدالجواد سالم</t>
  </si>
  <si>
    <t>مؤمن علي الشوادفي علي السيد</t>
  </si>
  <si>
    <t>مؤمن محمد محمد موسي محمد</t>
  </si>
  <si>
    <t>مؤمن وحيد عبدالجليل ابراهيم حسانين</t>
  </si>
  <si>
    <t xml:space="preserve">كلية الصيدلة
1013 الدور الاول </t>
  </si>
  <si>
    <t>مؤمن محمد عبدالسلام عطية</t>
  </si>
  <si>
    <t>مازن حسن محمد حسن عثمان</t>
  </si>
  <si>
    <t>مجد الدين رأفت أبو المجد محمد عزوز</t>
  </si>
  <si>
    <t>محمد عزت شوقي عبدالحميد</t>
  </si>
  <si>
    <t>محمد احمد محمد محمد احمد محمد شحاته</t>
  </si>
  <si>
    <t>محمد صبري متولي ابوحسين</t>
  </si>
  <si>
    <t>محمد السيد عبدالنبي موسي عطيه</t>
  </si>
  <si>
    <t>السيد محمد السيد السيد اسماعيل</t>
  </si>
  <si>
    <t>رودينه عبدالله السيد عبدالله محمد</t>
  </si>
  <si>
    <t>عبد الحكيم أحمد محمد أمن</t>
  </si>
  <si>
    <t>منه صبري يسري احمد ابراهيم</t>
  </si>
  <si>
    <t>محمد عوض الشحات مصطفى على</t>
  </si>
  <si>
    <t>مازن نبيل محمد السيد الزاوي</t>
  </si>
  <si>
    <t>منه الله عطيه اسماعيل عطيه</t>
  </si>
  <si>
    <t>محمد وائل صفوت معروف ابراهيم خليل</t>
  </si>
  <si>
    <t>محمد ثروت محمد الديب</t>
  </si>
  <si>
    <t>محمد محمد اسماعيل مصطفى شنب</t>
  </si>
  <si>
    <t>محمد سليمان احمد عبدالقادر احمد هنداوي</t>
  </si>
  <si>
    <t>محمد حسن محمد احمد الامير</t>
  </si>
  <si>
    <t>محمد احمد هيبه محمد ابو هيبه</t>
  </si>
  <si>
    <t>محمد علي محمد محمد ابو دياب</t>
  </si>
  <si>
    <t>محمد عادل محمد سليمان سالم</t>
  </si>
  <si>
    <t>محمد صبري محمد حامد</t>
  </si>
  <si>
    <t>محمد سالم سليمان منصور</t>
  </si>
  <si>
    <t>محمد خليل السيد محمد السيد</t>
  </si>
  <si>
    <t>أمنية عاطف محمد احمد</t>
  </si>
  <si>
    <t>أنس عمر محمد محمود</t>
  </si>
  <si>
    <t>أية عباس كمال علي ابوزيد</t>
  </si>
  <si>
    <t>إيمان محمد محمد امبابي أحمد</t>
  </si>
  <si>
    <t>ابراهيم بركات ابراهيم عبدالمولي</t>
  </si>
  <si>
    <t>ابوبكر رافت عبدالعال محمد اسماعيل</t>
  </si>
  <si>
    <t>احمد شعبان عاشور عبدالعظيم محمد</t>
  </si>
  <si>
    <t>احمد خالد عوض المليجي ابراهيم</t>
  </si>
  <si>
    <t>احمد اشرف عمر احمد عبدالعال</t>
  </si>
  <si>
    <t>احمد ممدوح محمد محمد احمد</t>
  </si>
  <si>
    <t>احمد معروف محمد محمد عبدالرحمن</t>
  </si>
  <si>
    <t>احمد الحسينى محمد عبد الهادى</t>
  </si>
  <si>
    <t>احمد محمد جمعه احمد</t>
  </si>
  <si>
    <t>احمد محمد محمود احمد كمال</t>
  </si>
  <si>
    <t>احمد عماد فؤاد احمد محمد</t>
  </si>
  <si>
    <t>احمد محمد عبدالمنعم محمد عبدالقادر</t>
  </si>
  <si>
    <t>احمد محمد احمد علي حسن الكاشف</t>
  </si>
  <si>
    <t>احمد يوسف محمد يوسف سالم</t>
  </si>
  <si>
    <t>احمد محمد احمد عبده عبده</t>
  </si>
  <si>
    <t>احمد محمد عماد ابراهيم</t>
  </si>
  <si>
    <t>احمد عبدالعظيم عبدالعظيم احمد مصطفى</t>
  </si>
  <si>
    <t>احمد وائل سعيد حسن</t>
  </si>
  <si>
    <t>محمد حاتم محمد عزازي</t>
  </si>
  <si>
    <t>الزهراء عزت عبدالوهاب عزت نعيم الوزير</t>
  </si>
  <si>
    <t>السيد سامى عبدالغنى حسن إبراهيم الغرباوى</t>
  </si>
  <si>
    <t xml:space="preserve">كلية الصيدلة
1019 الدور الاول </t>
  </si>
  <si>
    <t>عبد الرحمن محمد محروس محمد الفضالي</t>
  </si>
  <si>
    <t>نور محمد احمد حسني</t>
  </si>
  <si>
    <t>يمنى محمد عطية علي ابراهيم</t>
  </si>
  <si>
    <t>ندى جمال الدين سعيد عبد الغنى</t>
  </si>
  <si>
    <t>ميرام صلاح محمد عباس</t>
  </si>
  <si>
    <t>مصطفى هانى مصطفى عطيه محمد</t>
  </si>
  <si>
    <t>نور ضياء عصمت عبدالقادر علي</t>
  </si>
  <si>
    <t>محمد صلاح السيد ابو العنين</t>
  </si>
  <si>
    <t>مصطفي اسامه فتحي عبدالحميد محمد</t>
  </si>
  <si>
    <t>عبد الفتاح أسامة عبد الفتاح عبد العال هدية</t>
  </si>
  <si>
    <t>امل ابراهيم توفيق محمد ابراهيم</t>
  </si>
  <si>
    <t>امل اشرف داهش بسيوني مهينه</t>
  </si>
  <si>
    <t>اميره احمد رجب اسماعيل</t>
  </si>
  <si>
    <t>انس محمد محمد اسماعيل حسين</t>
  </si>
  <si>
    <t>ايمان ايمن حسن محمد شبور</t>
  </si>
  <si>
    <t>ايمان ممدوح احمد مختار محمد</t>
  </si>
  <si>
    <t>ايه عبدالهادي غريب علي الليموني</t>
  </si>
  <si>
    <t>بدر نضال شحتوت بدر</t>
  </si>
  <si>
    <t>بسمله هاني محمد صالح إسماعيل</t>
  </si>
  <si>
    <t>تسنيم عباس محمد عباس علي درويش</t>
  </si>
  <si>
    <t>حبيبه محمد عبدالعزيز الجمال</t>
  </si>
  <si>
    <t>حنين محمد بكر الصديق معوض</t>
  </si>
  <si>
    <t>حنين أحمد محمد جاد</t>
  </si>
  <si>
    <t>حنين أشرف السيد ابراهيم السيد</t>
  </si>
  <si>
    <t>خلود محمد احمد محمد احمد عبدالرسول</t>
  </si>
  <si>
    <t>دعاء الشافعى محمد احمد الشافعى</t>
  </si>
  <si>
    <t>محمد عبد الله محمد عبد الشافي محمد</t>
  </si>
  <si>
    <t>رفيق أشرف رفيق عزام</t>
  </si>
  <si>
    <t>عمر احمد محمد احمد</t>
  </si>
  <si>
    <t>عمر خالد حسين أحمد محمود</t>
  </si>
  <si>
    <t>فارس عبدالرؤف محمد السيد محمد</t>
  </si>
  <si>
    <t>فارس السيد محمود إبراهيم</t>
  </si>
  <si>
    <t>فتحي محمد فتحي محمد</t>
  </si>
  <si>
    <t>كريم علي محمد ابراهيم</t>
  </si>
  <si>
    <t>كريم ابراهيم عبدالغفار ابراهيم جبر</t>
  </si>
  <si>
    <t>نسيبه أحمد عبدالله على جمعة</t>
  </si>
  <si>
    <t>عبد العزيزمحمد عبد العزيز</t>
  </si>
  <si>
    <t>منة الله عمار حسن عبدالحليم محمد</t>
  </si>
  <si>
    <t>سلمي محمود عبدالعزيز محمد سرور</t>
  </si>
  <si>
    <t>روزان هاني سليمان سجيع عبدالله</t>
  </si>
  <si>
    <t>محمد رضا سالم عبد الحليم محمد</t>
  </si>
  <si>
    <t>زياد ماجد عبدالرازق علي عيد</t>
  </si>
  <si>
    <t>لؤى شاكر محمد شحاته سليمان</t>
  </si>
  <si>
    <t>لارين وليد فؤاد حسين موسي</t>
  </si>
  <si>
    <t>محمد رضا كمال سعد</t>
  </si>
  <si>
    <t>محمد السيد محمد صالح خليل</t>
  </si>
  <si>
    <t>محمد احمد فاروق السيد عقل</t>
  </si>
  <si>
    <t>محمد عربى محمود محمد عربى محمود</t>
  </si>
  <si>
    <t>محمد حسن سامي حسن</t>
  </si>
  <si>
    <t>سيف مجدى فتحى عبدالسلام</t>
  </si>
  <si>
    <t>احمد محمد حمد عبدالحميد</t>
  </si>
  <si>
    <t>يوسف احمد حسن احمد حسن مطاوع</t>
  </si>
  <si>
    <t>يوسف عبدالعزيز محمد عبدالحميد نمر</t>
  </si>
  <si>
    <t>نيره رضا احمد توفيق ابوالعنين</t>
  </si>
  <si>
    <t>اسماء متولى عبدالعزيز متولى</t>
  </si>
  <si>
    <t>احمد وصفى محمد وصفى الخردان</t>
  </si>
  <si>
    <t>احمد الشحات احمد على</t>
  </si>
  <si>
    <t>عبد الرحمن سمير عبد الله</t>
  </si>
  <si>
    <t>محمد احمد محمد حلمي</t>
  </si>
  <si>
    <t>اسلام محمود نصار ابراهيم</t>
  </si>
  <si>
    <t>مريم عطيه إسماعيل عطيه</t>
  </si>
  <si>
    <t>هاني عبدالله محمود حابوه</t>
  </si>
  <si>
    <t>مريم عادل السيد عبد الجواد</t>
  </si>
  <si>
    <t>صلاح الدين خالد شوقى محمد رمضان</t>
  </si>
  <si>
    <t>نسمة سعيد سلامة سلامة</t>
  </si>
  <si>
    <t>نجم محمد السيد السيد محمد</t>
  </si>
  <si>
    <t>هاني محمد صابر عامر حبسه</t>
  </si>
  <si>
    <t>عبد الرحمن أشرف فتحي عبد الرحمن</t>
  </si>
  <si>
    <t>مريم محمد محمد محمد جاد</t>
  </si>
  <si>
    <t>سماء السيد محمد امام</t>
  </si>
  <si>
    <t>محمد ياسر محمد عبد الهادي</t>
  </si>
  <si>
    <t xml:space="preserve">كلية الصيدلة
2012 الدور الثاني </t>
  </si>
  <si>
    <t>آية أحمد العزازي ابراهيم مراد</t>
  </si>
  <si>
    <t>أحمد خالد حامد حسن محمود عمر</t>
  </si>
  <si>
    <t>أحمد السيد عبدالحميد علي محمد صالح</t>
  </si>
  <si>
    <t>ابراهيم سعيد ابراهيم ابراهيم عبدالله</t>
  </si>
  <si>
    <t>احمد مروان صابر السيد مطر</t>
  </si>
  <si>
    <t>احمد الحسيني عبدالحميد عبدالرحمن السباعي</t>
  </si>
  <si>
    <t>احمد محمد محمد كامل السيد</t>
  </si>
  <si>
    <t>احمد مصطفي عبدالحميد محمد</t>
  </si>
  <si>
    <t>ادهم محمد عزت عبدالرازق محمد</t>
  </si>
  <si>
    <t>اروي السيد محمد فتحي سليمان</t>
  </si>
  <si>
    <t>اسماء احمد بسيوني محمد</t>
  </si>
  <si>
    <t>اسماء احمد سعيد عطيه محمد</t>
  </si>
  <si>
    <t>اسماء ابراهيم حسن محمد حسن</t>
  </si>
  <si>
    <t>اشرف السيد احمد كيلاني</t>
  </si>
  <si>
    <t>اصاله صابر احمد عبدالعزيز احمد</t>
  </si>
  <si>
    <t>الاء صبرى سالم الاحمدى احمد</t>
  </si>
  <si>
    <t>البراء ضياء عصمت عبدالقادر علي</t>
  </si>
  <si>
    <t>الزهراء فوزي سعد سعد علي الجوهري</t>
  </si>
  <si>
    <t>العلياء عادل محمد الليثي</t>
  </si>
  <si>
    <t>ايمان خالد عدلي مدكور مدكور</t>
  </si>
  <si>
    <t>ايمان ابراهيم محمد ابراهيم الجزار</t>
  </si>
  <si>
    <t>مارين هاني صبحي رزق سلامه</t>
  </si>
  <si>
    <t>ايمن محمد رجب حافظ حسن</t>
  </si>
  <si>
    <t>محمود أشرف عبد الباقي محمود أشرف</t>
  </si>
  <si>
    <t>محمد احمد محمد عبد القادر احمد</t>
  </si>
  <si>
    <t>شهد ابراهيم محمد هلال بهنساوي</t>
  </si>
  <si>
    <t>روان محمد السيد حسونة</t>
  </si>
  <si>
    <t>مصطفى امين جودة مصطفى امين الديب</t>
  </si>
  <si>
    <t>ولاء هانى عبدالله محمد إبراهيم</t>
  </si>
  <si>
    <t>سليمان حسن عبدالفتاح سليمان عبادي</t>
  </si>
  <si>
    <t>محمد ابراهيم محمد جمعه حسن</t>
  </si>
  <si>
    <t>ايمان محمد باز محمد حسن</t>
  </si>
  <si>
    <t>زهراء ابراهيم السيد عطوه ابوزيد</t>
  </si>
  <si>
    <t>شهد علاء محمد مصطفي عبد اللطيف</t>
  </si>
  <si>
    <t>ابراهيم ناصر عبدالقادر موسى السعدنى</t>
  </si>
  <si>
    <t>بسملة تامر احمد جمال سالم خريبة</t>
  </si>
  <si>
    <t>بسمله محمد مهدى محمد شحاته</t>
  </si>
  <si>
    <t>بلال فوزي عطوه اسماعيل مشرف</t>
  </si>
  <si>
    <t>تسنيم علي سلامه قطب منصور</t>
  </si>
  <si>
    <t>تغريد وليد سليم محمد الحسني</t>
  </si>
  <si>
    <t>جنه علاء الدين عبد القادر عبد المطلب</t>
  </si>
  <si>
    <t>جنى اسامه مختار سلامه</t>
  </si>
  <si>
    <t>حازم محمد سيدأحمد محمد سيدأحمد</t>
  </si>
  <si>
    <t>حسن عبدالكريم حسن عبدالكريم خطاب</t>
  </si>
  <si>
    <t>عمر جمال الدين محمد عرنوس</t>
  </si>
  <si>
    <t>عمرو صلاح عبد الحكيم ابراهيم حسن</t>
  </si>
  <si>
    <t>عهد محمد جابالله محمد</t>
  </si>
  <si>
    <t>فيولا نصيف عزيز اندراوس رزق</t>
  </si>
  <si>
    <t xml:space="preserve">كلية الصيدلة
2018 الدور الثاني </t>
  </si>
  <si>
    <t>كريم وليد محمد طلعت محمد وهدان</t>
  </si>
  <si>
    <t>محمد حسين الصادق محمد حسين</t>
  </si>
  <si>
    <t>محمد عبد الفتاح راشد عبد الفتاح علوان</t>
  </si>
  <si>
    <t>أحمد ربيع عبدالله ادريس</t>
  </si>
  <si>
    <t>عبدالله ابراهيم عبدالمالك ابراهيم</t>
  </si>
  <si>
    <t>ساره رمضان دسوقى عبدالسلام</t>
  </si>
  <si>
    <t>منى محمد محمود محمد بنوى</t>
  </si>
  <si>
    <t>مصطفى محمود سعد الدين احمد</t>
  </si>
  <si>
    <t>منار محمد احمد غياتي</t>
  </si>
  <si>
    <t>ندي تحسين حسن ندي تحسين</t>
  </si>
  <si>
    <t>عبد الرحمن رضا أحمد خضير</t>
  </si>
  <si>
    <t>يارا ابراهيم السيد عامر</t>
  </si>
  <si>
    <t>همس عبد العظيم أحمد النجار</t>
  </si>
  <si>
    <t>محمد محمود السيد احمد الشيخ</t>
  </si>
  <si>
    <t>محمود سليمان عبدالحميد السيد</t>
  </si>
  <si>
    <t>محمد نصر الدين فتحي حامد</t>
  </si>
  <si>
    <t>مريم موسى محمد بهنس</t>
  </si>
  <si>
    <t>محمد اسماعيل منصور اسماعيل</t>
  </si>
  <si>
    <t>مي محمد فتحي حسان</t>
  </si>
  <si>
    <t>محمود محمد عبدالرحمن السيد عبد الدايم</t>
  </si>
  <si>
    <t>ساره أبو عامر صابر أبو عامر</t>
  </si>
  <si>
    <t>سامح جمعه خليل درويش</t>
  </si>
  <si>
    <t>ساندى تامر عبده محمود</t>
  </si>
  <si>
    <t>سحر اسماعيل محمد نجيب</t>
  </si>
  <si>
    <t>سلام احمد عمر سليمان</t>
  </si>
  <si>
    <t>سلمي سيد حسن حسين</t>
  </si>
  <si>
    <t>سيف وليد محمد صالح</t>
  </si>
  <si>
    <t>سيف الإسلام محمد عبد الله</t>
  </si>
  <si>
    <t>صبرى منصور جلال عبدالرؤف</t>
  </si>
  <si>
    <t>صلاح احمد السعيد صلاح الدين</t>
  </si>
  <si>
    <t>ضحي ربيع محمد السيد سالم</t>
  </si>
  <si>
    <t>عادل صلاح عبدالجواد السيد</t>
  </si>
  <si>
    <t>عبدالرحمن عبدالباسط صلاح محمد</t>
  </si>
  <si>
    <t>عبدالرحمن محمد احمد ابوهاشم على</t>
  </si>
  <si>
    <t>عبد الله حسن عبد الكريم سالم</t>
  </si>
  <si>
    <t>عبدالحميد صبرى عبدالحميد البيومى</t>
  </si>
  <si>
    <t>عبد الرحمن إيهاب محمد منصور</t>
  </si>
  <si>
    <t>عبد الرحمن امين عبد الرحمن</t>
  </si>
  <si>
    <t>شفاء حسن محمد احمد</t>
  </si>
  <si>
    <t>منه سامى محمد فتحى</t>
  </si>
  <si>
    <t>منه خالد عبدالرحمن عبدالسلام حسن</t>
  </si>
  <si>
    <t>منه الله سليمان محمد سليمان</t>
  </si>
  <si>
    <t>منه الله رمضان السيد على حسن</t>
  </si>
  <si>
    <t xml:space="preserve">محمد على السيد على </t>
  </si>
  <si>
    <t>مريم على محمد على عليان</t>
  </si>
  <si>
    <t>مي محمد عبد القادر مي محمد</t>
  </si>
  <si>
    <t>عبد الرحمن خالد ابراهيم علي</t>
  </si>
  <si>
    <t>مروان محمد سليمان محمد صالح</t>
  </si>
  <si>
    <t>نوران خالد عبدالمعطي محمد علي</t>
  </si>
  <si>
    <t>محمود اشرف محمد محمد</t>
  </si>
  <si>
    <t>رنا وائل محمدي عبد المنعم</t>
  </si>
  <si>
    <t>منة الله عايدي محمد طلعت محمود النجار</t>
  </si>
  <si>
    <t>محمود أيمن علي علي الشربيني</t>
  </si>
  <si>
    <t>ميرنا محمود احمد ابراهيم السيد</t>
  </si>
  <si>
    <t>ميسون الشبراوى الناجى محمد محمد</t>
  </si>
  <si>
    <t>ندى يسرى محمد ذكى</t>
  </si>
  <si>
    <t>نورهان حسام عبده سلامه</t>
  </si>
  <si>
    <t>هاجر احمد عبدالمنعم احمد</t>
  </si>
  <si>
    <t>منه محمود احمد محمد</t>
  </si>
  <si>
    <t>يوسف ملاك سعيد مسعود سعد</t>
  </si>
  <si>
    <t>يوسف عبد الحميد ابوسريع ابراهيم</t>
  </si>
  <si>
    <t>يوسف محمد حماد دمرداش محمد</t>
  </si>
  <si>
    <t>يوسف خالد سمير السيد</t>
  </si>
  <si>
    <t>يوسف رضا محمود عوض الله حسن</t>
  </si>
  <si>
    <t>منة الله مدحت محمد السعيد محمد أحمد سليمان</t>
  </si>
  <si>
    <t>ميار السيد السيد ياسين الشحات</t>
  </si>
  <si>
    <t>هاجر أحمد توفيق السيد عبدالعال</t>
  </si>
  <si>
    <t>وليد خالد صباح مسلم سلامه</t>
  </si>
  <si>
    <t>منة الله رمضان احمد سيداحمد حسن</t>
  </si>
  <si>
    <t xml:space="preserve">كلية أسنان
H027 الدور الالاضي </t>
  </si>
  <si>
    <t>مريم جمال محمد محمد العجمي</t>
  </si>
  <si>
    <t>هنا محمد السيد احمد ابراهيم</t>
  </si>
  <si>
    <t>مريم محمد فتحي عبد الصادق عوض</t>
  </si>
  <si>
    <t>مريم هيثم مختار حسانين على</t>
  </si>
  <si>
    <t>نورهان جمعه محمد نورهان جمعه</t>
  </si>
  <si>
    <t>شذا محمد حسن عبدالعال سيداحمد</t>
  </si>
  <si>
    <t>ملك حسن حسن تمراز</t>
  </si>
  <si>
    <t>مريم رمضان عبدالخالق مصطفي علوش</t>
  </si>
  <si>
    <t>منار كرم محمد الشحات حسين الشريف</t>
  </si>
  <si>
    <t>ملك محمد أحمد إسماعيل</t>
  </si>
  <si>
    <t>ياسمين السيد السيد فرحات</t>
  </si>
  <si>
    <t>روان السيد جبر عبد الرحمن</t>
  </si>
  <si>
    <t>ايمن محمد سليمان ابراهيم</t>
  </si>
  <si>
    <t>دنيا عبده محمد عبده</t>
  </si>
  <si>
    <t>محمود عثمان ابراهيم محمود</t>
  </si>
  <si>
    <t>سهيلة احمد السيد المهداوي</t>
  </si>
  <si>
    <t>اسراء ابراهيم عبد العليم علي</t>
  </si>
  <si>
    <t>ايمان عادل امين محمد</t>
  </si>
  <si>
    <t>خالد نبيل مصطفى تومه</t>
  </si>
  <si>
    <t>دعاء السيد محمد سليمان زيدان</t>
  </si>
  <si>
    <t>رمضان السيد رمضان اصلان</t>
  </si>
  <si>
    <t>رنا خالد كامل عبدالسيد ابراهيم</t>
  </si>
  <si>
    <t>رنا فاروق مصطفي محمد مصطفي</t>
  </si>
  <si>
    <t>روان عطيه محمد ربيع عطيه</t>
  </si>
  <si>
    <t xml:space="preserve">كلية أسنان
H025 الدور الالاضي </t>
  </si>
  <si>
    <t>روان صبرى خليل حسينى محمد</t>
  </si>
  <si>
    <t>زياد طارق محمد رضا عبد المنعم</t>
  </si>
  <si>
    <t>زياد ياسر محمد على محمد نار</t>
  </si>
  <si>
    <t>زياد مصطفى يوسف علي</t>
  </si>
  <si>
    <t>ساره ايمن سعد حسنين عمريه</t>
  </si>
  <si>
    <t>عبد الرحمن محمد صابر عطيه محمود</t>
  </si>
  <si>
    <t>عبدالعزيز عبدالسلام عطا محمد</t>
  </si>
  <si>
    <t>عبدالله محمد رمضان حسن</t>
  </si>
  <si>
    <t>عبد الله احمد عباس إبراهيم</t>
  </si>
  <si>
    <t>عبد الله محمد السيد شحاته</t>
  </si>
  <si>
    <t>علاء محمد صابر عبداللطيف</t>
  </si>
  <si>
    <t>السعيد السعيد عبد العظيم عبد الله سليمان</t>
  </si>
  <si>
    <t>محمد مسعد عبد المتجلي خيري</t>
  </si>
  <si>
    <t>فرح ايمن فتحي حسن</t>
  </si>
  <si>
    <t>محمد احمد عبد السميع محمد</t>
  </si>
  <si>
    <t>ندي ناصر رجب عياد</t>
  </si>
  <si>
    <t>روضه دسوقي محمد دسوقي هاشم</t>
  </si>
  <si>
    <t>منه يحيى أحمد ابراهيم علي</t>
  </si>
  <si>
    <t>ماريه سامح محمد الصغير معاذ</t>
  </si>
  <si>
    <t>محمد اشرف محمد عبدالعظيم الشيخ</t>
  </si>
  <si>
    <t>احمد تامر السيد حسنى</t>
  </si>
  <si>
    <t>محمد احمد جمعه ابراهيم عبدالفتاح</t>
  </si>
  <si>
    <t>خالد سليمان عواد سليمان</t>
  </si>
  <si>
    <t>احمد نادر السيد موسى عبدالله</t>
  </si>
  <si>
    <t>علي محمد علي محمد</t>
  </si>
  <si>
    <t>علي اسماعيل علي السيد</t>
  </si>
  <si>
    <t>عماد علاء محمد اسماعيل</t>
  </si>
  <si>
    <t>عمار شريف عبدالله محمد محمد</t>
  </si>
  <si>
    <t>عمر وائل عبد المنجي مصطفي</t>
  </si>
  <si>
    <t>عمر محمد السيد صالح</t>
  </si>
  <si>
    <t>عمر ضيف احمد مصباح</t>
  </si>
  <si>
    <t>عمرو محمد محمد زيدان</t>
  </si>
  <si>
    <t>عمروالسيد حافظ إبراهيم محمد</t>
  </si>
  <si>
    <t>فؤاد محمد فؤاد محمد</t>
  </si>
  <si>
    <t>فاتن سامح عبدالحليم على محمد سالم</t>
  </si>
  <si>
    <t>فارس السيد احمد محمود</t>
  </si>
  <si>
    <t>فارس نبيل مختار احمد الحلو</t>
  </si>
  <si>
    <t>فاطمه محمود محمد جميل محمد</t>
  </si>
  <si>
    <t>فاطمه رافت مصطفى محمد محمد</t>
  </si>
  <si>
    <t>منه احمد السيد اسماعيل حسن</t>
  </si>
  <si>
    <t>حمزه ابراهيم عبدالمولى عثمان</t>
  </si>
  <si>
    <t>صفاء السيد عثمان محمد</t>
  </si>
  <si>
    <t>عبدالله السيد محمد السيد ابراهيم</t>
  </si>
  <si>
    <t>رياض محمود رياض يوسف</t>
  </si>
  <si>
    <t>محمد محمود مهدى ايوب</t>
  </si>
  <si>
    <t>عبد الرحمن هاني محمد محمد</t>
  </si>
  <si>
    <t>ايه احمد سيد علي</t>
  </si>
  <si>
    <t>منه الله محمد عبدالعال متولي محمد</t>
  </si>
  <si>
    <t>اروي عماد سليمان احمد</t>
  </si>
  <si>
    <t>اسماء محمد عبدالمجيد السيد محمد</t>
  </si>
  <si>
    <t>افنان محمد فالح عبيط فالح</t>
  </si>
  <si>
    <t>الاء سليم اسماعيل محمد خليل</t>
  </si>
  <si>
    <t>اسراء محمود محمد العزازى</t>
  </si>
  <si>
    <t>عمرو انور احمد محمد ابراهيم</t>
  </si>
  <si>
    <t>فاطمة الزهراء حاتم مصطفى مصطفى عجيز</t>
  </si>
  <si>
    <t>فرح يحيى حسين سليم الصاوي</t>
  </si>
  <si>
    <t>زياد محمد احمد محمد الحريرى</t>
  </si>
  <si>
    <t>عبدالله زكريا الشافعى زكريا</t>
  </si>
  <si>
    <t>يحي مدحت ذكريا حسن</t>
  </si>
  <si>
    <t>يوسف محمد علي احمد علي</t>
  </si>
  <si>
    <t>يوسف عبد الفضيل فوزي أبو عيسي</t>
  </si>
  <si>
    <t>يوسف ماهر محمد سعد محمود</t>
  </si>
  <si>
    <t>امتنان احمد عبد المقصود السيد حامد</t>
  </si>
  <si>
    <t>حبيبه بهاء صابر ابراهيم عطيه</t>
  </si>
  <si>
    <t>منه عطيه ابراهيم يوسف</t>
  </si>
  <si>
    <t>شهد احمد حسنى عبدالمعز</t>
  </si>
  <si>
    <t>احمد حمدي محمود السيد محمد</t>
  </si>
  <si>
    <t>محمد علي محمد حسن مفتاح</t>
  </si>
  <si>
    <t>منه وليد احمد محمد</t>
  </si>
  <si>
    <t>حنين ممدوح سعد محمد حسن</t>
  </si>
  <si>
    <t>روان السيد محمد سليمان سالم</t>
  </si>
  <si>
    <t>روان محمد موسي جاب الله</t>
  </si>
  <si>
    <t>محمد عبد الخالق ادريس محمود</t>
  </si>
  <si>
    <t>كريم محمد ابراهيم محمد امين</t>
  </si>
  <si>
    <t>محمود احمد ابو المجد منصور</t>
  </si>
  <si>
    <t>لينا السيد ابراهيم السعيد</t>
  </si>
  <si>
    <t>احمد عيد احمد فرج حسين</t>
  </si>
  <si>
    <t>دنيا عصام محمد عبدالله الزيات</t>
  </si>
  <si>
    <t>ريم محمود محمد منير كمال</t>
  </si>
  <si>
    <t>زياد عبد المنعم عطيه حسن</t>
  </si>
  <si>
    <t>زياد سامح محمود محمد إبراهيم</t>
  </si>
  <si>
    <t>ساره هاني محمد محمد</t>
  </si>
  <si>
    <t>شروق حسام عبد العزيز محمد ابراهيم العراقي</t>
  </si>
  <si>
    <t>شروق يوسف عبدالعاطى سالم عواد</t>
  </si>
  <si>
    <t>شمس محمد حسن إبراهيم</t>
  </si>
  <si>
    <t>شهدعبدالبديع محمد ماضى</t>
  </si>
  <si>
    <t>شهد سعيد ابراهيم عبد الحميد منسي</t>
  </si>
  <si>
    <t>شيماء السيد محمد سالم</t>
  </si>
  <si>
    <t>عبد الرحمن احمد عبد الهادي سيد</t>
  </si>
  <si>
    <t>عبدالرحمن شعبان محمد حسن</t>
  </si>
  <si>
    <t>محمد عبد الشكور عبد الحافظ</t>
  </si>
  <si>
    <t>دارين محمد عبد الحليم ابراهيم نصر الدين</t>
  </si>
  <si>
    <t>زياد امين محمد على سالم</t>
  </si>
  <si>
    <t>زياد بلال إبراهيم علي حسن عبد الرحمن</t>
  </si>
  <si>
    <t xml:space="preserve">زياد محمد محمد عيسوي </t>
  </si>
  <si>
    <t xml:space="preserve">سلمي إيهاب محمد الديداموني محمد </t>
  </si>
  <si>
    <t>شمس خالد محمد السيد احمد</t>
  </si>
  <si>
    <t xml:space="preserve">شهد صبرى محمد عبدالعزيز ابراهيم </t>
  </si>
  <si>
    <t xml:space="preserve">عبد الله محمد عبد الله سالم </t>
  </si>
  <si>
    <t xml:space="preserve">عبد الرحمن محمد عبد الرحمن عليوة </t>
  </si>
  <si>
    <t>عبد الرحمن احمد امير احمد</t>
  </si>
  <si>
    <t xml:space="preserve">عبد الرحمن محمود ادريس فرج </t>
  </si>
  <si>
    <t xml:space="preserve">عبدالعزيز امجد سعيد محمد منير </t>
  </si>
  <si>
    <t>عبدالله احمد فهمى عبدالغنى السيد</t>
  </si>
  <si>
    <t>عبد الله احمد عبد الرحمن عبد العظيم</t>
  </si>
  <si>
    <t>عبدالوهاب إبراهيم عبدالوهاب محمد</t>
  </si>
  <si>
    <t xml:space="preserve">عفاف محمد السيد محمد إبراهيم </t>
  </si>
  <si>
    <t xml:space="preserve">علا محمد السيد محمد إبراهيم </t>
  </si>
  <si>
    <t>عمر محمود محمد شوقى فرحات</t>
  </si>
  <si>
    <t xml:space="preserve">شهد عبدالله احمد محمد </t>
  </si>
  <si>
    <t xml:space="preserve">عمرو ممدوح محمد زكي السيد </t>
  </si>
  <si>
    <t xml:space="preserve">فارس جمال على ابراهيم على </t>
  </si>
  <si>
    <t>كريم ايمن عبد الستار النجار</t>
  </si>
  <si>
    <t xml:space="preserve">محمد ياسر محمد محمود </t>
  </si>
  <si>
    <t>محمد علاء محمد صلاح الدين</t>
  </si>
  <si>
    <t>احمد رفعت احمد ابراهيم محمد</t>
  </si>
  <si>
    <t>احمد محمد ابوسمره السيد احمد</t>
  </si>
  <si>
    <t>احمد السيد محمد عبدالحفيظ خداش</t>
  </si>
  <si>
    <t>احمد محمد احمد احمد احمد</t>
  </si>
  <si>
    <t>احمد وليد مكاوي بيلي الجوهري</t>
  </si>
  <si>
    <t>اسامه عيد توفيق محمد علي</t>
  </si>
  <si>
    <t>اسلام حامد كيشار ابو اليذيد</t>
  </si>
  <si>
    <t>السيد محمد محمد جمعة علي</t>
  </si>
  <si>
    <t>حازم محمد محمود شحاته محمد</t>
  </si>
  <si>
    <t>حازم إمام محمود السيد امين</t>
  </si>
  <si>
    <t>ابراهيم محمود سعيد شبل ابراهيم ابو الروس</t>
  </si>
  <si>
    <t>حسن عثمان باز رضوان محمد</t>
  </si>
  <si>
    <t>علي عبدالله علي محمد محمد جويفل</t>
  </si>
  <si>
    <t>عمار علاء محمود احمد شمعه</t>
  </si>
  <si>
    <t>عمرو خالد على احمد مرسى</t>
  </si>
  <si>
    <t>محمد رجب عبدالكريم ابراهيم محمد</t>
  </si>
  <si>
    <t>عاصم صفوت محمد محمد</t>
  </si>
  <si>
    <t>زياد محمد صبحي هاشم عتباني</t>
  </si>
  <si>
    <t>أحمد حسن علي سليمان</t>
  </si>
  <si>
    <t>ساره كرم عدلان محمد محمود</t>
  </si>
  <si>
    <t>محمد إبراهيم جمعة جمعان</t>
  </si>
  <si>
    <t>بدريه سالم ابراهيم محمد سالم</t>
  </si>
  <si>
    <t>اسماء محمد محمد عبد الرحمن العيدي</t>
  </si>
  <si>
    <t>علي احمد علي مصطفي</t>
  </si>
  <si>
    <t>السيد علي السيد</t>
  </si>
  <si>
    <t>محمد على صبح على الغمرى</t>
  </si>
  <si>
    <t>B1+ 1</t>
  </si>
  <si>
    <t>عزة ابراهيم رفعت السيد البلاصى</t>
  </si>
  <si>
    <t>محمد عمر محمد يوسف</t>
  </si>
  <si>
    <t>زياد محمد صلاح عبد السميع</t>
  </si>
  <si>
    <t>محمد عبدالرحمن عبدالحميد محمد محمد عمارة</t>
  </si>
  <si>
    <t>محمد الاحمدي عوض ابراهيم شلبي</t>
  </si>
  <si>
    <t>محمد عبدالحميد محمد حسين حمام</t>
  </si>
  <si>
    <t>محمد ايمن عبدالرحمن السيد عبدالحميد</t>
  </si>
  <si>
    <t>محمد عثمان احمد السيد احمد</t>
  </si>
  <si>
    <t>محمد رضا السيد محمد عطيه خليل</t>
  </si>
  <si>
    <t>محمود عمر علي</t>
  </si>
  <si>
    <t>محمد نشأت نشأت خليل عطوه</t>
  </si>
  <si>
    <t>يوسف سامح ابراهيم ابو زيد عبدالعال</t>
  </si>
  <si>
    <t>محمد احمد عنتر عبدالسلام</t>
  </si>
  <si>
    <t>محمود عيد السيد محمد عوض</t>
  </si>
  <si>
    <t>مروان سعيد احمد محمد سعد</t>
  </si>
  <si>
    <t>مصطفى محمود عبدالرءوف محمد الفقي</t>
  </si>
  <si>
    <t>مصطفى علاء رمضان على السيد</t>
  </si>
  <si>
    <t>مصطفي ابراهيم السيد ابراهيم محمد</t>
  </si>
  <si>
    <t>مي حسن عبدالغني محمد محمد شمس الدين</t>
  </si>
  <si>
    <t>نبيل اشرف نبيل حسين حسانين</t>
  </si>
  <si>
    <t>ندي محمود علي حسن عبدالعال</t>
  </si>
  <si>
    <t>محمد ابراهيم عبد الفتاح ابو السعد</t>
  </si>
  <si>
    <t>نور احمد عبدالحليم محمد مهنا</t>
  </si>
  <si>
    <t>يوسف محمد عبدالمنعم يوسف محمد يوسف</t>
  </si>
  <si>
    <t>يوسف تامر علي عبدالرحمن علي</t>
  </si>
  <si>
    <t>يوسف تامر يوسف السيد أحمد ابو زيد</t>
  </si>
  <si>
    <t>رقيه حسن محمد نجيب حسن عبدالفتاح</t>
  </si>
  <si>
    <t>زياد محمد عبدالرازق عطيه علي الحارون</t>
  </si>
  <si>
    <t>يوسف وليد السيد متولي</t>
  </si>
  <si>
    <t>مروه سلام سالم سلام سالم</t>
  </si>
  <si>
    <t>ابراهيم سعيد ابراهيم الصادق بيومى</t>
  </si>
  <si>
    <t>احمد محمد ابراهيم عبدالله احمد</t>
  </si>
  <si>
    <t>أحمد ايمن عبدالقادر السيد عبدالجواد</t>
  </si>
  <si>
    <t>يوسف عماد صلاح عطيه حسن</t>
  </si>
  <si>
    <t>الحسين محمد ابرراهيم يوسف باز</t>
  </si>
  <si>
    <t>امام عادل امام حسن امام</t>
  </si>
  <si>
    <t>السيد محمد السيد السيد عبد المعطي</t>
  </si>
  <si>
    <t>السيد محمد السيد عبدالله حماد</t>
  </si>
  <si>
    <t>زياد محمود النادي محمد</t>
  </si>
  <si>
    <t>زياد احمد المتولي علي محمد فلاح</t>
  </si>
  <si>
    <t>زياده فرج زياده حنفي زياده</t>
  </si>
  <si>
    <t>سامح وليد صبري احمد مؤمن</t>
  </si>
  <si>
    <t>صابر محمد صابر الصادق حسن</t>
  </si>
  <si>
    <t>زينب احمد سلامه عبد الحميد سلامه</t>
  </si>
  <si>
    <t>حسن رضا حسن عبدالرحمن محمد</t>
  </si>
  <si>
    <t>أحمد محمد عبد العزيز على اسماعيل</t>
  </si>
  <si>
    <t>حسام احمد عبداللطيف محمد حميد</t>
  </si>
  <si>
    <t>احمد صلاح وديع مصطفى</t>
  </si>
  <si>
    <t>محمد احمد محمد فياض</t>
  </si>
  <si>
    <t>محمود فخري رسلان عثمان</t>
  </si>
  <si>
    <t>محمود رضا عبدالعزيز حسن احمد</t>
  </si>
  <si>
    <t>مصطفى احمد عبد المنعم</t>
  </si>
  <si>
    <t>عبد الله جمعه عبدلله</t>
  </si>
  <si>
    <t>منه الله احمد عزمي طوسون</t>
  </si>
  <si>
    <t>بولا ميلاد اسعد يوسف</t>
  </si>
  <si>
    <t>اسراء سامي محمد</t>
  </si>
  <si>
    <t>عبد الرحمن هشام عبدلله</t>
  </si>
  <si>
    <t>عمر رضا محمود العدوى</t>
  </si>
  <si>
    <t>محمد محمد السيد محمد عبد المقصود</t>
  </si>
  <si>
    <t>آلاء وائل صبري فؤاد محمد عفيفي</t>
  </si>
  <si>
    <t>آلاء أسامه سعد السيد صالح</t>
  </si>
  <si>
    <t>أحمد ماهر عبده خليل</t>
  </si>
  <si>
    <t>أمانى عماد محمد على</t>
  </si>
  <si>
    <t>عصام محمد عطيه</t>
  </si>
  <si>
    <t>وحيد عبدالله أحمد رزق</t>
  </si>
  <si>
    <t>وفيق عادل عمر عطيه علي</t>
  </si>
  <si>
    <t>عمار ياسر اسماعيل علي شنهاب</t>
  </si>
  <si>
    <t>احمد شحات مبارك محمد</t>
  </si>
  <si>
    <t>حذيفه محمد علي محمد السيد ابوزيد</t>
  </si>
  <si>
    <t>حسن محمد شعبان احمد ابراهيم</t>
  </si>
  <si>
    <t>سامى ابراهيم عبدالله احمد محمد</t>
  </si>
  <si>
    <t>سارة محمد سليمان السيد عبدالخالق</t>
  </si>
  <si>
    <t>مروان احمد محمد محمد</t>
  </si>
  <si>
    <t>مصطفى عزاز عبدالعظيم محمد عزازي</t>
  </si>
  <si>
    <t>مصطفي السيد متولي السيد</t>
  </si>
  <si>
    <t>نادين محى الدين حلمى حامد الدسوقى</t>
  </si>
  <si>
    <t>نجلاء رضا شعبان عطية</t>
  </si>
  <si>
    <t>ندى سمير عبده محمد محمد ابراهيم</t>
  </si>
  <si>
    <t>ندى أبو فراج أحمد محمد</t>
  </si>
  <si>
    <t>ندى على جودة على</t>
  </si>
  <si>
    <t>نورهان محمود محمد السيد حسن</t>
  </si>
  <si>
    <t>هند ناصر خليل محمد</t>
  </si>
  <si>
    <t>محمد السيد محمد عبد المقصود</t>
  </si>
  <si>
    <t>مصطفى احمد الحسينى احمد محمد</t>
  </si>
  <si>
    <t>ياسمين صلاح محمد السيد عطيه</t>
  </si>
  <si>
    <t>يمني حماده محمد عبدالحليم عبدالعزيز</t>
  </si>
  <si>
    <t>يوسف يحيى احمد يوسف يحيى</t>
  </si>
  <si>
    <t>يوسف محمد محمد سالم</t>
  </si>
  <si>
    <t>يوسف هانى سليم فتحى اسماعيل</t>
  </si>
  <si>
    <t>جنى عبدالله حافظ السيد محمد</t>
  </si>
  <si>
    <t>زياد هشام السيد احمد شاهين</t>
  </si>
  <si>
    <t>سما محمود محمد حدوه</t>
  </si>
  <si>
    <t>شهد علاء محمد احمد السيد</t>
  </si>
  <si>
    <t>عبد الرحمن حسن عبد النبي غمري</t>
  </si>
  <si>
    <t>محمد احمد بهاء محمد نور فاضل خليل</t>
  </si>
  <si>
    <t>عبدالرحمن محمود السيد محمد</t>
  </si>
  <si>
    <t>احمد اسماعيل حسن اسماعيل حسن</t>
  </si>
  <si>
    <t>نوران علاء سليمان يوسف</t>
  </si>
  <si>
    <t>محمد احمد صدقي اسماعيل سالم</t>
  </si>
  <si>
    <t>اسلام اسامه عبدالسلام عبدالغفار</t>
  </si>
  <si>
    <t>فتحيه محمد ابراهيم عبدالستار ابراهيم</t>
  </si>
  <si>
    <t>محمد اشرف عبد الرحمن احمد احمد</t>
  </si>
  <si>
    <t>أحمد ضياء الدين محمد مصيلحى محمد</t>
  </si>
  <si>
    <t>ابراهيم على اسماعيل محمد سيداحمد</t>
  </si>
  <si>
    <t>زياد احمد محمد عبد الفتاح</t>
  </si>
  <si>
    <t>احمد هانى احمد محمد</t>
  </si>
  <si>
    <t>تقى محمد محمود احمد</t>
  </si>
  <si>
    <t>اسماء امين السيد محمد على</t>
  </si>
  <si>
    <t>ملك عبدالله كامل محمد محمد احمد نعيم</t>
  </si>
  <si>
    <t>ندى محمد فتحي حسن</t>
  </si>
  <si>
    <t>عمر اشرف ابراهيم علي</t>
  </si>
  <si>
    <t>احمد شريف هلال السيد</t>
  </si>
  <si>
    <t>احمد اشرف سعد</t>
  </si>
  <si>
    <t>حبيبة علي محمد</t>
  </si>
  <si>
    <t>عبد الله وليد حسن محمد أحمد غنيم</t>
  </si>
  <si>
    <t>عبد الرحمن محمد عبد الرحمن عبد الجواد</t>
  </si>
  <si>
    <t>محمد عطيه ابراهيم السيد محمد</t>
  </si>
  <si>
    <t>عبد الله سامح عبد الهادى محمد على</t>
  </si>
  <si>
    <t>محمد صلاح احمد محمد ابراهيم</t>
  </si>
  <si>
    <t>محمود محمد عبدالعاطي ابراهيم</t>
  </si>
  <si>
    <t>منار عزيز محمد السيد صبح</t>
  </si>
  <si>
    <t>منة محمد محمود عبد الحميد يونس</t>
  </si>
  <si>
    <t>عبد الرحمن شريف محمد عوض</t>
  </si>
  <si>
    <t>الاء صلاح السيد علي</t>
  </si>
  <si>
    <t>منه عزت فرج العقباوي</t>
  </si>
  <si>
    <t>مياده سعيد محمد مرسي السيد</t>
  </si>
  <si>
    <t>ميار اشرف احمد عابدين</t>
  </si>
  <si>
    <t>نوره موسى حسين احمد</t>
  </si>
  <si>
    <t>وليد عماد الدين السيد محمد هلال</t>
  </si>
  <si>
    <t>وليد حشمت عبدالهادي سالم سعيد</t>
  </si>
  <si>
    <t>ياسين احمد جودة سعيد دقينش مطرود</t>
  </si>
  <si>
    <t>يوسف محمد صالح محمد</t>
  </si>
  <si>
    <t>يوسف محمد يوسف حسين</t>
  </si>
  <si>
    <t>ساره محمد سعيد علي علي</t>
  </si>
  <si>
    <t>شهد طارق محمد محمد الصادق</t>
  </si>
  <si>
    <t>عبد الرحمن محمد محمد محمد ابراهيم مدين</t>
  </si>
  <si>
    <t>محمد ابراهيم حسين عبد السلام</t>
  </si>
  <si>
    <t>ابراهيم احمد ابراهيم محمد عبدالنبى</t>
  </si>
  <si>
    <t>احمد محمود محمد صبري حسن نجم</t>
  </si>
  <si>
    <t>محمد خالد أحمد عبد السلام</t>
  </si>
  <si>
    <t>عبد الله سامي محمد أحمد عليوة</t>
  </si>
  <si>
    <t>وليد ياسر عبدالفتاح محمد</t>
  </si>
  <si>
    <t>محمود احمد عبدالرحمن احمد عثمان</t>
  </si>
  <si>
    <t>محمد مصطفى السيد السيد على</t>
  </si>
  <si>
    <t>احمد سعيد عبدالعليم سعيد</t>
  </si>
  <si>
    <t>احمد محمد جلال السيد يوسف</t>
  </si>
  <si>
    <t>احمد برعى عبد السلام جاب الله</t>
  </si>
  <si>
    <t>اسراء محمد ماهر عطيه</t>
  </si>
  <si>
    <t>اسلام محمد السيد امين</t>
  </si>
  <si>
    <t>احمد محمد فايز محمود حسانين</t>
  </si>
  <si>
    <t>محمد عصام على عبده متولى</t>
  </si>
  <si>
    <t>تقى الدين احمد جمال بدر</t>
  </si>
  <si>
    <t>ابراهيم سعيد ابراهيم السيد محمد</t>
  </si>
  <si>
    <t>محمد السيد عبدالحكم عبده يوسف</t>
  </si>
  <si>
    <t>محمد احمد صلاح محمد</t>
  </si>
  <si>
    <t>محمد مصطفى محمد سعيد</t>
  </si>
  <si>
    <t>محمد السيد محمد الحفنى</t>
  </si>
  <si>
    <t>محمد عبدالجواد موحد ابوشاهين</t>
  </si>
  <si>
    <t>محمود السيد ابراهيم ابراهيم</t>
  </si>
  <si>
    <t>محمود عبدالعزيز عبدالسلام غيضان</t>
  </si>
  <si>
    <t>محمود السيد محمود السيد على</t>
  </si>
  <si>
    <t>مريم باسم حسين عبد الحميد عراقي</t>
  </si>
  <si>
    <t>مريم محمد صبري عبد الرحمن الشاعر</t>
  </si>
  <si>
    <t>مريم سلامه محمد عبدالله حسن</t>
  </si>
  <si>
    <t>مصطفى شبانه مصطفى احمد</t>
  </si>
  <si>
    <t>مصطفي وائل إبراهيم احمد</t>
  </si>
  <si>
    <t>مصطفى رضا صلاح مصطفى محمد</t>
  </si>
  <si>
    <t>مصطفي محمد محمد سليمان علي</t>
  </si>
  <si>
    <t>مصطفى السيد لطفى عبدالقادر</t>
  </si>
  <si>
    <t>عصام أمين أحمد أمن</t>
  </si>
  <si>
    <t>منه ابراهيم نبيل ابراهيم احمد</t>
  </si>
  <si>
    <t>مصطفى محمد مصطفى رجب ابوزيد</t>
  </si>
  <si>
    <t>اسماء السيد احمد عبد الرحمن</t>
  </si>
  <si>
    <t>الشافعى محمد منصور احمد نصير</t>
  </si>
  <si>
    <t>الياسمين محمد ابراهيم عبدالله</t>
  </si>
  <si>
    <t>اماني السيد عبد النبي محمد</t>
  </si>
  <si>
    <t>امنيه سليمان محمد عبد الكريم</t>
  </si>
  <si>
    <t>ايثار محمد احمد محمد ابراهيم</t>
  </si>
  <si>
    <t>ايمان اسماعيل طه اسماعيل محمد</t>
  </si>
  <si>
    <t>ايمان احمد احمد شحاته</t>
  </si>
  <si>
    <t>ايمان محمد لطفي إبراهيم</t>
  </si>
  <si>
    <t>ايناس عصام حسين فريد سلطان</t>
  </si>
  <si>
    <t>ايه صلاح الدين متولى حسن العدوى</t>
  </si>
  <si>
    <t>بدوى احمد بدوى احمد</t>
  </si>
  <si>
    <t>اروى محمد ابراهيم امام على</t>
  </si>
  <si>
    <t>اكرم محمود فهمي عبد الرحمن</t>
  </si>
  <si>
    <t>احمد محمود منصور ديب</t>
  </si>
  <si>
    <t>احمد عاطف فتحي منصور</t>
  </si>
  <si>
    <t>جنه شريف سليمان محمد صالح</t>
  </si>
  <si>
    <t>حازم صلاح محمد على الحنفى</t>
  </si>
  <si>
    <t>عبد العزيزمحمد عبد العزيز يوسف</t>
  </si>
  <si>
    <t>ريم إمبابي زكي ريم محمد</t>
  </si>
  <si>
    <t>نور محمد عبد الرحيم محمد</t>
  </si>
  <si>
    <t>نورهان احمد يوسف على شراقى</t>
  </si>
  <si>
    <t>نهي جمال سعد احمد عبد ربه</t>
  </si>
  <si>
    <t>ندي احمد محمد السيد</t>
  </si>
  <si>
    <t>هند محمد حسن محمد حسن طعيمه</t>
  </si>
  <si>
    <t>ميرنا معتصم السيد ابراهيم</t>
  </si>
  <si>
    <t>وفاء محمد عبدالمنعم حسن</t>
  </si>
  <si>
    <t>ولاء شعبان إبراهيم أبو هاشم</t>
  </si>
  <si>
    <t>يمني محمد عطالله محمد</t>
  </si>
  <si>
    <t>ميار ايمن محمد البيومى السايح</t>
  </si>
  <si>
    <t>يوسف سامح عجيب خليل</t>
  </si>
  <si>
    <t>حبيبه رمضان محمد محمد ديب</t>
  </si>
  <si>
    <t>حبيبه وليد محمد السيد</t>
  </si>
  <si>
    <t>حسام السيد إبراهيم محمد العوضي</t>
  </si>
  <si>
    <t>حسن وليد حسن محمد</t>
  </si>
  <si>
    <t>حسن السيد حسن احمد</t>
  </si>
  <si>
    <t>حسين ممدوح محمد ابراهيم</t>
  </si>
  <si>
    <t>حسين ياسر حسين عبد العزيز جاويش</t>
  </si>
  <si>
    <t>انس ايمن صابر إبراهيم</t>
  </si>
  <si>
    <t>ابراهيم محمد ابراهيم كمال رزق</t>
  </si>
  <si>
    <t>محمد احمد عبد الفتاح عبد السلام</t>
  </si>
  <si>
    <t>إبراهيم محمد حسين فرج إبراهيم</t>
  </si>
  <si>
    <t>حسن محمد حسن محمدي السواح</t>
  </si>
  <si>
    <t>احمد محمد عبد السلام علي</t>
  </si>
  <si>
    <t>معتز احمد عبدالمقصود حسين</t>
  </si>
  <si>
    <t>لبني عماد محمد الهادي محمود</t>
  </si>
  <si>
    <t>محمد كامل صلاح الدين محمد</t>
  </si>
  <si>
    <t>محمد عزت ناجي طعيمه</t>
  </si>
  <si>
    <t>جويده فرج طاهر عثمان موسى</t>
  </si>
  <si>
    <t>وائل محمد عبداللطيف السيد على</t>
  </si>
  <si>
    <t>خالد محمود فاروق محمد العشري</t>
  </si>
  <si>
    <t>حمزة مازن جاد ياسين جاد</t>
  </si>
  <si>
    <t>ندى محمد الهامى محمد الرفاعى</t>
  </si>
  <si>
    <t>محمد عبد الرحمن حسن محمد</t>
  </si>
  <si>
    <t>منه صباح السيد سليمان</t>
  </si>
  <si>
    <t>منه الله مجدي ادريس عبد الحميد مجاهد</t>
  </si>
  <si>
    <t>محمد حامد احمد عرابى</t>
  </si>
  <si>
    <t>محمد محمود احمد عبدالخالق</t>
  </si>
  <si>
    <t>محمد السيد محمد السيد حسين</t>
  </si>
  <si>
    <t>محمد محمد حسيني محمد فرغلي</t>
  </si>
  <si>
    <t>محمد احمد السيد محمد محمد</t>
  </si>
  <si>
    <t>محمد احمد الشحات عبده علي</t>
  </si>
  <si>
    <t>محمد عاطف دسوقى حامد عماره</t>
  </si>
  <si>
    <t>محمد وليد عنتر احمد</t>
  </si>
  <si>
    <t>ابراهيم على محمد على</t>
  </si>
  <si>
    <t>عاصم حسن عبد النبي</t>
  </si>
  <si>
    <t>هاله محمد السيد على</t>
  </si>
  <si>
    <t>نرمين محمد عبد الفتاح</t>
  </si>
  <si>
    <t>فاطمه ياسر محمد عبدالعاطى عبدالعزيز</t>
  </si>
  <si>
    <t>احمد محمد محمد دمرداش سيد</t>
  </si>
  <si>
    <t>محمد عبد الحميد علي محمد</t>
  </si>
  <si>
    <t>محمد علي محمد قاسم علي</t>
  </si>
  <si>
    <t>محمد احمد محمد محمود</t>
  </si>
  <si>
    <t>محمد ياسر محمد عبد العزيز الصادق</t>
  </si>
  <si>
    <t>محمد خالد احمد عبد الوهاب</t>
  </si>
  <si>
    <t>عمر حسين محمد خميس جمعه</t>
  </si>
  <si>
    <t>محمد على ابراهيم بسيونى هنه</t>
  </si>
  <si>
    <t>عبد الرحمن مسعد فرج زغلول</t>
  </si>
  <si>
    <t>عبد الباسط ناصر عبد الباسط ربيع</t>
  </si>
  <si>
    <t>رنا جمال عبد العظيم عبد الغني</t>
  </si>
  <si>
    <t>لؤي محمد طه حسين حبيب</t>
  </si>
  <si>
    <t>عبدالرحمن هشام محمد السيد</t>
  </si>
  <si>
    <t>محمد ثروت محمد محمد مصطفى</t>
  </si>
  <si>
    <t>ملك محمد منصور محمود عبدالسلام الطحاوي</t>
  </si>
  <si>
    <t>شمس محمود فريد عبدالوهاب حسن</t>
  </si>
  <si>
    <t>احمد ابراهيم على صلاح السعيد</t>
  </si>
  <si>
    <t>احمد محمد علي محمد</t>
  </si>
  <si>
    <t>احمد طارق حمدى محمد احمد على</t>
  </si>
  <si>
    <t>احمد حسن منصور السيد</t>
  </si>
  <si>
    <t>احمد فؤاد عبد الرازق الدمرداش</t>
  </si>
  <si>
    <t>اروى محمد على محمد جمال على عبدالرحمن</t>
  </si>
  <si>
    <t>اسلام السيد موسي محمد</t>
  </si>
  <si>
    <t>اسماء محسن عبدالمجيد قناوى</t>
  </si>
  <si>
    <t>اكرم حسيني محمد حسيني محمد</t>
  </si>
  <si>
    <t>الاء احمد علي السيد علي</t>
  </si>
  <si>
    <t>الاء مصطفي إبراهيم محمد محمد</t>
  </si>
  <si>
    <t>الاء صبرى ابوالعلا ابراهيم</t>
  </si>
  <si>
    <t>الاء محمد خيري محمد ابراهيم</t>
  </si>
  <si>
    <t>الظهراء محمد فاروق محمد احمد</t>
  </si>
  <si>
    <t>اميرة ابراهيم محمد عبد الرحمن</t>
  </si>
  <si>
    <t>اميره اسلام عبد الشافي عبد الخالق</t>
  </si>
  <si>
    <t>باسم خطاب مبروك خطاب</t>
  </si>
  <si>
    <t>بسمله محمود عبد العظيم احمد</t>
  </si>
  <si>
    <t>حسام احمد عجمى ابراهيم</t>
  </si>
  <si>
    <t xml:space="preserve">B1 </t>
  </si>
  <si>
    <t>مريم عبدالحميد اسماعيل ابراهيم</t>
  </si>
  <si>
    <t>سلمى سعيد أبوساطي برعي إبراهيم</t>
  </si>
  <si>
    <t>مريم احمد احمد مصطفي حشكيل</t>
  </si>
  <si>
    <t>هايدي وليد فتحي احمد</t>
  </si>
  <si>
    <t>منه عبدالناصر محمد احمد</t>
  </si>
  <si>
    <t>محمد إبراهيم محمد احمد</t>
  </si>
  <si>
    <t>محمد رضا السيد سلامة خاطر</t>
  </si>
  <si>
    <t>يوسف احمد عبد العاطي دهشان</t>
  </si>
  <si>
    <t>عبدالله محمد عبدالصادق محمد</t>
  </si>
  <si>
    <t>هنا محمود صبحى محمد سعد</t>
  </si>
  <si>
    <t>نور سامي محمد سليمان</t>
  </si>
  <si>
    <t>رحمة ضياء عبدالفتاح عبدالمعطي</t>
  </si>
  <si>
    <t>منه الله محى الدين شهاب الدين فرحات</t>
  </si>
  <si>
    <t>محمد حسين السيد حسين</t>
  </si>
  <si>
    <t>محمد صالح سليمان اسماعيل</t>
  </si>
  <si>
    <t>محمد ناصر محمد ابراهيم</t>
  </si>
  <si>
    <t>محمد عبد الرحمن عبد العزيز عبد الرحمن</t>
  </si>
  <si>
    <t>محمود محمد وديع ابراهيم</t>
  </si>
  <si>
    <t>مروان السيد محمد السيد</t>
  </si>
  <si>
    <t>مصطفى محمود محمد محمد زهران</t>
  </si>
  <si>
    <t>معاذ محمد جزولى محمد</t>
  </si>
  <si>
    <t>منة الله عصام عبد الفتاح محمد</t>
  </si>
  <si>
    <t>معتز هانى عبدالمنعم كامل بديوى</t>
  </si>
  <si>
    <t>منه ياسر حمدي سيف النصر</t>
  </si>
  <si>
    <t>جنا السيد محمد إبراهيم صالح</t>
  </si>
  <si>
    <t>جومانه محمد عبد الحميد السيد</t>
  </si>
  <si>
    <t>بسمه محمد شعبان محمد</t>
  </si>
  <si>
    <t>بسنت مشرف خيري محمد</t>
  </si>
  <si>
    <t>احمد محمد فرج محمد</t>
  </si>
  <si>
    <t>احمد حماده بكر فتوح البرماوى</t>
  </si>
  <si>
    <t>احمد اسامه مصطفي إبراهيم مصطفي</t>
  </si>
  <si>
    <t>احمد صبرى محمد متولى محمد</t>
  </si>
  <si>
    <t>الاء ثروت يوسف محمد عطيه</t>
  </si>
  <si>
    <t>امير محمد شحاته محمد حسن</t>
  </si>
  <si>
    <t>ابراهيم اشرف محمد عوض الله</t>
  </si>
  <si>
    <t>إبراهيم نور الدين عوض عمر</t>
  </si>
  <si>
    <t>احترام محمد عبد الرحيم خليل</t>
  </si>
  <si>
    <t>احمد حسن عبد العال محمد</t>
  </si>
  <si>
    <t>احمد عبد الغني حسن عبد الغني سليمان</t>
  </si>
  <si>
    <t>احمد إبراهيم دسوقي عبد النبي</t>
  </si>
  <si>
    <t>احمد السيد السيد مصطفي أبو المجد</t>
  </si>
  <si>
    <t>احمد عبد الخالق احمد عبد الخالق</t>
  </si>
  <si>
    <t>احمد محمد ابراهيم يوسف</t>
  </si>
  <si>
    <t>امين تامر امين ابراهيم</t>
  </si>
  <si>
    <t>ايمان محمد علي علي زويل</t>
  </si>
  <si>
    <t>ايه احمد مرغنى دياب ناصر</t>
  </si>
  <si>
    <t>محمد حسني محمد احمد حسن</t>
  </si>
  <si>
    <t>محمد ممدوح عبدالعزيز سالم على</t>
  </si>
  <si>
    <t>عمر سامي يوسف يونس سليمان</t>
  </si>
  <si>
    <t>امنيه محمود طلبه احمد عمر</t>
  </si>
  <si>
    <t>كريم محمد عبد العال محمد</t>
  </si>
  <si>
    <t>احمد احمد الشبراوي محمود القاضي</t>
  </si>
  <si>
    <t>احمد رضا جلال عبد الفتاح</t>
  </si>
  <si>
    <t>بسمله محمد محمد وصفى الصاوى</t>
  </si>
  <si>
    <t>معتز محمود نبيه محمد محمد</t>
  </si>
  <si>
    <t>عبد الله محمد فتحي</t>
  </si>
  <si>
    <t>نور محمد محمد علي محمد</t>
  </si>
  <si>
    <t>يوسف محمود محمد محمد</t>
  </si>
  <si>
    <t>محمود عبد العليم عبد العزيز غانم</t>
  </si>
  <si>
    <t>ميار عمرو محمود الشوادفي فهمي</t>
  </si>
  <si>
    <t>نسيبه محمد عبد العظيم خليفه</t>
  </si>
  <si>
    <t>اروى محمود سليم محمد</t>
  </si>
  <si>
    <t>خالد محمد أحمد السيد حسين</t>
  </si>
  <si>
    <t>يوسف السيد حامد عبدالجواد ضيف</t>
  </si>
  <si>
    <t>يوسف محمد مصطفي محمد</t>
  </si>
  <si>
    <t>حنان محمد احمد محمد رشاد</t>
  </si>
  <si>
    <t>رؤى وجيه الشحات نبوى النجدى</t>
  </si>
  <si>
    <t>كريم محمد عبد النبي محمد</t>
  </si>
  <si>
    <t>اميره عبد الحميد السعيد احمد عبيد</t>
  </si>
  <si>
    <t>عبد الله محمود عوض محمود</t>
  </si>
  <si>
    <t>عفاف ايمن محمد احمد محمد الرفاعي</t>
  </si>
  <si>
    <t xml:space="preserve">معتز محمود سالم سعيد عرفات </t>
  </si>
  <si>
    <t>ملك محمد عبدالحميد عبده ابراهيم</t>
  </si>
  <si>
    <t xml:space="preserve">حسناء محمد عبد القادر محمد عبد الكريم </t>
  </si>
  <si>
    <t xml:space="preserve">مريم محمد سعد زغلول محمد </t>
  </si>
  <si>
    <t>مريم ساني السعيد حسن</t>
  </si>
  <si>
    <t xml:space="preserve">مريم محمد محمد سعيد </t>
  </si>
  <si>
    <t xml:space="preserve">مصطفى اسماعيل على مصيلحى </t>
  </si>
  <si>
    <t xml:space="preserve">ملك ايمن محمد أبو الميله </t>
  </si>
  <si>
    <t xml:space="preserve">منه هانى إبراهيم متولى </t>
  </si>
  <si>
    <t>ياسمين صلاح احمد زكي احمد</t>
  </si>
  <si>
    <t xml:space="preserve">يوسف احمد عبد الجواد عطيه البسيوني </t>
  </si>
  <si>
    <t>لميس محمد اسماعيل على اسماعيل عدوى</t>
  </si>
  <si>
    <t>محمد احمد رشيد عبد اللطيف</t>
  </si>
  <si>
    <t>محمد عبداللاه احمد احمد</t>
  </si>
  <si>
    <t>محمد أحمد الشافعي زكريا</t>
  </si>
  <si>
    <t>مريم السيد محمد عبدالرحمن</t>
  </si>
  <si>
    <t>محمود حسام الدين حمدان عبد الله</t>
  </si>
  <si>
    <t>محمد سامح محمود عبدالرازق عبدالرحيم</t>
  </si>
  <si>
    <t>محمد تامر محمد احمد سالم</t>
  </si>
  <si>
    <t>كارم محمد حسن محمد</t>
  </si>
  <si>
    <t>ريوان ابراهيم أحمد الطميلي</t>
  </si>
  <si>
    <t>صلاح احمد صلاح العميرى</t>
  </si>
  <si>
    <t>محمد ناجي عطا حسن على</t>
  </si>
  <si>
    <t>محمد اشرف ابراهيم محمد</t>
  </si>
  <si>
    <t>سيد عادل السيد محمد</t>
  </si>
  <si>
    <t>ضياء ايمن محمد ابراهيم عبدالعال</t>
  </si>
  <si>
    <t>حسام محمد محمد النجدي</t>
  </si>
  <si>
    <t>محمود عبدالخالق عبدالكريم الصورى</t>
  </si>
  <si>
    <t>شهد مصطفى احمد شهد</t>
  </si>
  <si>
    <t>ثروت محمد عبدالقادر محمد</t>
  </si>
  <si>
    <t>السيد ابراهيم السيد منصور جبريل</t>
  </si>
  <si>
    <t>محمود سيد فرج متولي عويمر</t>
  </si>
  <si>
    <t>محمود يسري علي محمد</t>
  </si>
  <si>
    <t>عبدالله محمد فاروق يوسف</t>
  </si>
  <si>
    <t>علي عبدالمنعم كامل حسين</t>
  </si>
  <si>
    <t>عمار محمد ابراهيم محمد السيد</t>
  </si>
  <si>
    <t>ياسين اسامه احمد عبدالله سليم</t>
  </si>
  <si>
    <t>معاذ حسن محمد اسماعيل</t>
  </si>
  <si>
    <t>امال  معوض عبد الرحمن</t>
  </si>
  <si>
    <t>عزازى بدوى عزازى احمد محمد</t>
  </si>
  <si>
    <t>عبدالرحمن شحاته باز عبدالعزيز ابراهيم</t>
  </si>
  <si>
    <t>يوسف طارق حاتم فريد عليوه</t>
  </si>
  <si>
    <t>محمود السيد محمود عبد اللطيف</t>
  </si>
  <si>
    <t>محمد عبدالعاطي محمد عبدالعال</t>
  </si>
  <si>
    <t>روان جمال انس الوجود</t>
  </si>
  <si>
    <t>هدى عبد العزيز علي علي</t>
  </si>
  <si>
    <t>حبيبة حسن عبد الرحمن</t>
  </si>
  <si>
    <t>نوفير توماس عاطف</t>
  </si>
  <si>
    <t>معاذ محمد عبد السلام</t>
  </si>
  <si>
    <t>روان محمد احمد</t>
  </si>
  <si>
    <t>محمد صلاح احمد على سالم</t>
  </si>
  <si>
    <t>خالد عبده محمد عبدالقادر محمد</t>
  </si>
  <si>
    <t>رحمه حسين احمد حسين</t>
  </si>
  <si>
    <t>محمد السيد محمد أحمد</t>
  </si>
  <si>
    <t>السيد محمد السيد احمد</t>
  </si>
  <si>
    <t>ايه محمد سعيد</t>
  </si>
  <si>
    <t>منى محمد عبد العزيز</t>
  </si>
  <si>
    <t>يوسف احمد محمد عبد الحميد</t>
  </si>
  <si>
    <t>حبيبة محمد احمد احمد فخري</t>
  </si>
  <si>
    <t>كريم احمد السيد احمد</t>
  </si>
  <si>
    <t>احمد السيد امين احمد</t>
  </si>
  <si>
    <t>عبد المعطي محمد عبد المعطي محمد او السعود</t>
  </si>
  <si>
    <t>الحسن هيثم ابو بكر عبد الكريم محمد</t>
  </si>
  <si>
    <t>محمد اشرف محمد محمد</t>
  </si>
  <si>
    <t>محمد اشرف بكر ابراهيم مصطفى</t>
  </si>
  <si>
    <t>عمرو محمد حسن علي</t>
  </si>
  <si>
    <t>محمد حازم محمد عطية سليم</t>
  </si>
  <si>
    <t>محمد احمد محمد محمد يوسف</t>
  </si>
  <si>
    <t>محمود احمد عبدالمالك ابراهيم خليل</t>
  </si>
  <si>
    <t>مصطفى عبدالرحمن السيد عبدالرحمن محمد</t>
  </si>
  <si>
    <t>محمد خالد محمد السيد عبد العزيز</t>
  </si>
  <si>
    <t>احمد محمد عبدالغنى ابراهيم</t>
  </si>
  <si>
    <t>احمد السيد صديق احمد</t>
  </si>
  <si>
    <t>احمد صلاح محمود حسن على شلبى</t>
  </si>
  <si>
    <t>احمد ابراهيم جمعه ابراهيم</t>
  </si>
  <si>
    <t>احمد عبد العزيز جمعه عبد العزيز</t>
  </si>
  <si>
    <t>احلام سالم سليمان محمد سالم</t>
  </si>
  <si>
    <t>محمد عبد العزيز عبد الله حسن</t>
  </si>
  <si>
    <t>محمد فؤاد عبد العال محمد</t>
  </si>
  <si>
    <t>محمد عبده فاروق محمد</t>
  </si>
  <si>
    <t>عبد الرحمن محمد فتحي</t>
  </si>
  <si>
    <t>ابوبكر عوض السيد عوض السيد</t>
  </si>
  <si>
    <t>اسلام خالد ابراهيم محمد سليمان</t>
  </si>
  <si>
    <t>دينا ابراهيم محمد محمد مصطفى</t>
  </si>
  <si>
    <t>علي علي سلامه عبد العال حسن</t>
  </si>
  <si>
    <t>عمر يوسف عمر يوسف محمد</t>
  </si>
  <si>
    <t>عمر عبدالعزيز مالك على ابراهيم المالكى</t>
  </si>
  <si>
    <t>طارق عزب السيد احمد محمد زكي</t>
  </si>
  <si>
    <t>فارس مصطفى مرسى العوضى</t>
  </si>
  <si>
    <t>سيف مجدي فرج اسماعيل</t>
  </si>
  <si>
    <t>محمد حاتم محمد حجازي علي</t>
  </si>
  <si>
    <t>احمد محمد حمزه عبدالقادر</t>
  </si>
  <si>
    <t>اسلام إيهاب سعودي عبد الحميد</t>
  </si>
  <si>
    <t>احمد ابراهيم السباعي محمد رفاعي</t>
  </si>
  <si>
    <t>فوزى عبدالحميد فهيم فهمى</t>
  </si>
  <si>
    <t>يوسف وحيد محمد محمد حمايل</t>
  </si>
  <si>
    <t>يوسف ياسر سعيد عبد السلام الشرقاوى</t>
  </si>
  <si>
    <t>محمد نجم غيطاني نجم عبد الفتاح</t>
  </si>
  <si>
    <t>عبدالرحمن السيد محمد السيد ابراهيم</t>
  </si>
  <si>
    <t>جنا احمد محمود شوقي</t>
  </si>
  <si>
    <t>عبد الله حسام عبد الله</t>
  </si>
  <si>
    <t>مؤمن احميد احمد محمد</t>
  </si>
  <si>
    <t>احمد ناصر الديب مصطفى الديب</t>
  </si>
  <si>
    <t>احمد حمدون عبدالالاه</t>
  </si>
  <si>
    <t>حاسبات و معلومات اولي</t>
  </si>
  <si>
    <t>احمد محمد صلاح عبد السميع</t>
  </si>
  <si>
    <t>عمر إسماعيل علي إسماعيل</t>
  </si>
  <si>
    <t>شروق محمد رضا عبد السلام محمد النمر</t>
  </si>
  <si>
    <t>عمر على احمد السيد محمد</t>
  </si>
  <si>
    <t>عمرو منير احمدي عبد الحميد</t>
  </si>
  <si>
    <t>عمرو ابراهيم شلبى محمود حسن</t>
  </si>
  <si>
    <t>محمد عادل احمد احمد</t>
  </si>
  <si>
    <t>السيد محمود السيد إبراهيم</t>
  </si>
  <si>
    <t>محمود احمد محمود بندارى</t>
  </si>
  <si>
    <t>ادهم محسن محمد</t>
  </si>
  <si>
    <t>محمد وليد عطاالله محمد</t>
  </si>
  <si>
    <t>صلاح الدين محمد محمد ابو النجا</t>
  </si>
  <si>
    <t>ياسمين وليد موسى</t>
  </si>
  <si>
    <t>حنين محمد العزازي</t>
  </si>
  <si>
    <t>محمد عمر مصطفي</t>
  </si>
  <si>
    <t>علي حسيني علي</t>
  </si>
  <si>
    <t>انس عبد السلام محمد</t>
  </si>
  <si>
    <t>عادل محمود محمد محمد المحلاوى</t>
  </si>
  <si>
    <t>احمد عبد الكريم علي</t>
  </si>
  <si>
    <t>موده حسن عبد السلام حسن</t>
  </si>
  <si>
    <t>محمد عبد العزيز عبدالله</t>
  </si>
  <si>
    <t>بسملة سامي محمود احمد</t>
  </si>
  <si>
    <t>عبدالمنعم السيد عبدالمنعم صبره</t>
  </si>
  <si>
    <t>اسلام جمال محمد رفاعي</t>
  </si>
  <si>
    <t>حمزه علي عطيه علي</t>
  </si>
  <si>
    <t>عبد الرحمن محمد سليمان السيد</t>
  </si>
  <si>
    <t>مؤمن محمد محمد احمد علي</t>
  </si>
  <si>
    <t>عمر محمد حسن محمود</t>
  </si>
  <si>
    <t>سلمي محمد عبد المنعم</t>
  </si>
  <si>
    <t>محمد طارق علي</t>
  </si>
  <si>
    <t>ربيع محمد ربيع محمد</t>
  </si>
  <si>
    <t>محمد سليمان كمال زيدان</t>
  </si>
  <si>
    <t>محمد اسماعيل عبدالرحمن محمد</t>
  </si>
  <si>
    <t>احمد عثمان عبد الرؤف السيد</t>
  </si>
  <si>
    <t>بلال عادل عبد المجيد السيد محمد</t>
  </si>
  <si>
    <t>مروه رضا عطاالله</t>
  </si>
  <si>
    <t>احمد هيكل عبدالرؤف يوسف يوسف</t>
  </si>
  <si>
    <t>على محمد على يوسف درهيمى</t>
  </si>
  <si>
    <t>احمد عبدالمنعم عبدالرحمن محمد</t>
  </si>
  <si>
    <t>احمد رضا ابراهيم عبدالعزيز محمد</t>
  </si>
  <si>
    <t>احمد توفيق يسرى توفيق</t>
  </si>
  <si>
    <t>محمد فريد عبد الحميد</t>
  </si>
  <si>
    <t xml:space="preserve">الممنوعين من الامتحان </t>
  </si>
  <si>
    <t>الكلية</t>
  </si>
  <si>
    <t>شهد احمد فتحي احمد رزق</t>
  </si>
  <si>
    <t>اسامه خليل علي خليل علي</t>
  </si>
  <si>
    <t>محمد صبري محمد حسن فوده</t>
  </si>
  <si>
    <t>احمد محمد احمد محمد ابراهيم منيع</t>
  </si>
  <si>
    <t>روفان شريف صالح عبد الرحمن اسماعيل</t>
  </si>
  <si>
    <t>ادهم رضا حسين منصور حسين</t>
  </si>
  <si>
    <t>امام عادل حسن منصور محمد</t>
  </si>
  <si>
    <t>خالد عصام احمد محمود احمد</t>
  </si>
  <si>
    <t>ابراهيم السيد محمد السعيد</t>
  </si>
  <si>
    <t>شهد مشير احمد حسين مغنم</t>
  </si>
  <si>
    <t>عبد الرحمن حسن محمد على حجاج</t>
  </si>
  <si>
    <t>عمر محمد عبد المنعم عبد السلام</t>
  </si>
  <si>
    <t>عمرو ياسر عوض محمد محمد</t>
  </si>
  <si>
    <t>ماهر ابراهيم شوطح</t>
  </si>
  <si>
    <t>عبد الرحمن خالد السيد باز عبد ربه</t>
  </si>
  <si>
    <t>محمد سامي احمد عبد العزيز</t>
  </si>
  <si>
    <t>ايمن ماجد محمد ابراهيم احمد</t>
  </si>
  <si>
    <t>عبد العزيز حسن عبد العزيز</t>
  </si>
  <si>
    <t>عبد االرحمن رضا الشبراوي سيد احمد</t>
  </si>
  <si>
    <t>محمد عادل توفبق ابراهيم احمد</t>
  </si>
  <si>
    <t>محمد عبدالناصر عبدالرحمن حسن</t>
  </si>
  <si>
    <t>احمد محمد احمد الباز جنديه</t>
  </si>
  <si>
    <t>احمد على رمضان وردانى محجوب</t>
  </si>
  <si>
    <t>احمد محمد السيد ابراهيم حسن</t>
  </si>
  <si>
    <t>محمد نبيل السيد محمد محمد</t>
  </si>
  <si>
    <t>رفعت احمد محمد رفعت</t>
  </si>
  <si>
    <t>احمد عماد ابراهيم زيد محمود</t>
  </si>
  <si>
    <t>اسامه السيد محمد الدسوقي السيد</t>
  </si>
  <si>
    <t>عاطف كمال يوسف برهومه صالح</t>
  </si>
  <si>
    <t>ممدوح عبدالمعطي عبدالعزيز أحمد محمد</t>
  </si>
  <si>
    <t>محمد حاتم سعد سالم</t>
  </si>
  <si>
    <t>محمد سليمان عبد الرحمن السيد</t>
  </si>
  <si>
    <t>محمد طارق محمد ابراهيم حسن</t>
  </si>
  <si>
    <t>عبدالرحمن عصام محمد محمد على</t>
  </si>
  <si>
    <t>مى اشرف سمير عبدالحميد ابراهيم</t>
  </si>
  <si>
    <t>محمد اسامه توفيق يوسف</t>
  </si>
  <si>
    <t>إسراء عثمان احمد عبد الغني يونس</t>
  </si>
  <si>
    <t>امل نزيه برعى حسين</t>
  </si>
  <si>
    <t>براء حماده محمد محمود حسن زعرب</t>
  </si>
  <si>
    <t>محمد ايمن احمد على يوسف</t>
  </si>
  <si>
    <t>محمد وائل محمد توفيق محمد</t>
  </si>
  <si>
    <t>شهد احمد محمد صلاح</t>
  </si>
  <si>
    <t>روان محمود عبدالفتاح محمد</t>
  </si>
  <si>
    <t>زياد علاء السيد عبد السميع</t>
  </si>
  <si>
    <t>تسنيم سيد سالم سلامه</t>
  </si>
  <si>
    <t>عاصم محمد محمود الحصين</t>
  </si>
  <si>
    <t>اسماء رضا ابراهيم الدسوقي محمود</t>
  </si>
  <si>
    <t>محمد حسيني احمد إبراهيم سمرى</t>
  </si>
  <si>
    <t>محمد عوض مصطفى مصطفى محمد</t>
  </si>
  <si>
    <t>محمد محمود محمد سعد عبدالله</t>
  </si>
  <si>
    <t>محمود يوسف محمود محمد حجازي</t>
  </si>
  <si>
    <t>يمنى ايمن عبد الفتاح</t>
  </si>
  <si>
    <t>خالد ابراهيم احمد عبد المعطي</t>
  </si>
  <si>
    <t>مرام عبد الوديع محمد</t>
  </si>
  <si>
    <t>حذيفة عاطف محمد علي يوسف</t>
  </si>
  <si>
    <t>معاذ فتحي شبل مجاهد</t>
  </si>
  <si>
    <t>سعيد محمد سعيد محمد ديب</t>
  </si>
  <si>
    <t>نهي عبدالقادر ابراهيم سيد ابراهيم</t>
  </si>
  <si>
    <t>علي شريف علي عبدالحميد</t>
  </si>
  <si>
    <t>مجدي ناصر بسيوني</t>
  </si>
  <si>
    <t>محمد أشرف سيد أحمد</t>
  </si>
  <si>
    <t>علاء مصطفي زكي عبد العاطي محمد</t>
  </si>
  <si>
    <t>ابراهيم علي احمد ابراهيم</t>
  </si>
  <si>
    <t>احمد حمدى السيد محمد السيد</t>
  </si>
  <si>
    <t>احمد محمد احمد عوده</t>
  </si>
  <si>
    <t>احمد محمود محمد محمد ذكى حفناوي</t>
  </si>
  <si>
    <t>اسامه محمد السيد صالح على البنان</t>
  </si>
  <si>
    <t>محمد خالد عبد الحميد صبري محمود العسكري</t>
  </si>
  <si>
    <t>محمود طلعت هاشم احمد العسكرى</t>
  </si>
  <si>
    <t>محمودر حلمي عبدالمنعم عرابي النجا</t>
  </si>
  <si>
    <t>ريم حسن فهمي صابر عبدالهادي</t>
  </si>
  <si>
    <t>عبدالرحمن رضا مصطفى محمد موسى</t>
  </si>
  <si>
    <t>نور حسن فهمي صابر عبدالهادي</t>
  </si>
  <si>
    <t>احمد حسام السيد عبدالحليم ابوالعنين</t>
  </si>
  <si>
    <t>محمد حمدي احمد محمد عطيه</t>
  </si>
  <si>
    <t>احمد محمد احمد ابراهيم محمد</t>
  </si>
  <si>
    <t>بلال محمد ابراهيم برهوم</t>
  </si>
  <si>
    <t>عمر عبدالله ابراهيم</t>
  </si>
  <si>
    <t>شهد انور محمد الانور</t>
  </si>
  <si>
    <t>صلاح شعبان صلاح الدين محمد منسي</t>
  </si>
  <si>
    <t>محمد محسن ميكائيل رحومه</t>
  </si>
  <si>
    <t>فارس ابراهيم عبداللطيف صالح</t>
  </si>
  <si>
    <t>كريم محمد رمضان علي يوسف</t>
  </si>
  <si>
    <t>هاجر عبد الحميد محمود</t>
  </si>
  <si>
    <t>خالد هاني محمد عبد الفتاح</t>
  </si>
  <si>
    <t>مارك مايكل صموئيل</t>
  </si>
  <si>
    <t>النادي فتحي النادي</t>
  </si>
  <si>
    <t>فاروق ابراهيم فاروق محمد جويفل</t>
  </si>
  <si>
    <t>كريم اسماعيل عبد الحميد عبد النبي</t>
  </si>
  <si>
    <t>كريم الحسيني عبد العزيز سالم علي</t>
  </si>
  <si>
    <t>مازن سالم سليم محمد سليم</t>
  </si>
  <si>
    <t>محمد حسن محمد حسن معتوق</t>
  </si>
  <si>
    <t>محمد صلاح احمد موسي محمد</t>
  </si>
  <si>
    <t>محمد صلاح محمد محمد ابوالعلا</t>
  </si>
  <si>
    <t>محمد محمود حماد ابراهيم سلامه</t>
  </si>
  <si>
    <t>محمد محمود فتحي محمود السيد</t>
  </si>
  <si>
    <t>مروان سامى محمد موسى حسن البغدادي</t>
  </si>
  <si>
    <t>احمد امين عبدالعزيز علي العطاري</t>
  </si>
  <si>
    <t>يوسف احمد محمد عبد الحميد عبد الوهاب</t>
  </si>
  <si>
    <t>يوسف حسام حامد محمد هليل</t>
  </si>
  <si>
    <t>محمود السيد عبدالله محمد عبدالله</t>
  </si>
  <si>
    <t>محمد ابراهيم عبد الفتاح حسانين</t>
  </si>
  <si>
    <t>كامل احمد كامل عبدالحميد</t>
  </si>
  <si>
    <t>كريم محمد عبد المنعم حسن</t>
  </si>
  <si>
    <t>خالد عمرو عبد المعطي زيدان سعد</t>
  </si>
  <si>
    <t>نورهان هشام عبد الرحمن محمد</t>
  </si>
  <si>
    <t>اسلام محمد وجيه</t>
  </si>
  <si>
    <t>بلال عدلي ابراهيم</t>
  </si>
  <si>
    <t>عبدالرحمن محمد محمود محمد على</t>
  </si>
  <si>
    <t>عبدالرحيم جمال عبدالرحيم عبدالقادر</t>
  </si>
  <si>
    <t>محمد عادل السيد الشحات متولى</t>
  </si>
  <si>
    <t>ساره صلاح محمد سعيد محمد السيد</t>
  </si>
  <si>
    <t>بسمله ناصر عبدالعزيز مشرف</t>
  </si>
  <si>
    <t>نظير نظير يوسف احمد محمود فرحات</t>
  </si>
  <si>
    <t>حسن حسيني محمد حسن راشد</t>
  </si>
  <si>
    <t>احمد وائل السعيد السيد عبده</t>
  </si>
  <si>
    <t>عمر محمد السيد احمد ابراهيم</t>
  </si>
  <si>
    <t>عمر محمد عبدالعزيز محمد محمد</t>
  </si>
  <si>
    <t>بسنت ابراهيم محمد عبد الحليم</t>
  </si>
  <si>
    <t>فارس محمد محمد عبدلله عبدلله</t>
  </si>
  <si>
    <t>زياد عبدالحكيم عبدالفتاح محمود على</t>
  </si>
  <si>
    <t>مريم السيد عطية</t>
  </si>
  <si>
    <t>ايمن احمد كمال محمد</t>
  </si>
  <si>
    <t>احمد هاني احمد سويلم</t>
  </si>
  <si>
    <t>محمود عطية محمد علي حسن</t>
  </si>
  <si>
    <t>محمد على محمد محمد ابراهيم</t>
  </si>
  <si>
    <t>احمد جمال ناصر حسن</t>
  </si>
  <si>
    <t>علي احمد محمد علي</t>
  </si>
  <si>
    <t>احمد هيثم محمد هاشم على</t>
  </si>
  <si>
    <t>محمد احمد اسماعيل محمد يوسف</t>
  </si>
  <si>
    <t>السيد صلاح السيد عبد السلام</t>
  </si>
  <si>
    <t>احمد محمد عوض اسماعيل</t>
  </si>
  <si>
    <t>رحمه السيد فرج اسماعيل حسن</t>
  </si>
  <si>
    <t>يوسف سمير حافظ احمد سويلم</t>
  </si>
  <si>
    <t>عمرو خالد عبد المنعم علي احمد</t>
  </si>
  <si>
    <t>احمد محمد ثروت محمد محمد</t>
  </si>
  <si>
    <t>انس محمد السيد عبد السلام اسماعيل</t>
  </si>
  <si>
    <t>كريم عبدالسلام على عبدالله يوسف</t>
  </si>
  <si>
    <t>احمد وليد عيد عبد السلام موسي</t>
  </si>
  <si>
    <t>يوسف سامح عبدالحسيب يونس</t>
  </si>
  <si>
    <t>محمد سمير عبده السيد احمد شداد</t>
  </si>
  <si>
    <t>احمد صلاح علي محمد</t>
  </si>
  <si>
    <t>محمد عماد ابراهيم</t>
  </si>
  <si>
    <t>كريم محمود ابراهيم</t>
  </si>
  <si>
    <t>احمد محمد محمد مصباح السيد عطيه</t>
  </si>
  <si>
    <t>محمود ابراهيم محمود ابراهيم</t>
  </si>
  <si>
    <t>محمد رضا السيد</t>
  </si>
  <si>
    <t>محمد باسم عبد اللطيف</t>
  </si>
  <si>
    <t>اسلام صلاح محمد السيد</t>
  </si>
  <si>
    <t>منه متولى حسينى السيد ابوالعاص</t>
  </si>
  <si>
    <t>احمد السيد عبدالسلام عبد الله</t>
  </si>
  <si>
    <t>احمد علاء محمد عبدالرحمن الصادى</t>
  </si>
  <si>
    <t>محمد محمود أبو الفتوح</t>
  </si>
  <si>
    <t>احمد صلاح فتحي السيد</t>
  </si>
  <si>
    <t>علي محمد</t>
  </si>
  <si>
    <t>انجي علي سليمان علي</t>
  </si>
  <si>
    <t>اسراء ابراهيم عبدالحميد عبدالحى</t>
  </si>
  <si>
    <t>منار محمد احمد اسماعيل</t>
  </si>
  <si>
    <t>رنا سامي محمد سليمان سلمي</t>
  </si>
  <si>
    <t>كريم هشام فتحى محمد محمود عباس</t>
  </si>
  <si>
    <t>عمر حسام عيد عطوه</t>
  </si>
  <si>
    <t>ابراهيم جميل عبدالجواد احمد ابراهيم</t>
  </si>
  <si>
    <t>محمد وائل عبدالمعز عزب</t>
  </si>
  <si>
    <t>يوسف محمد خيري سليم شاهين</t>
  </si>
  <si>
    <t>محمود محمد يوسف محمد المنشاوي</t>
  </si>
  <si>
    <t>حسن عبد الهادي حسن اسبيتان حسن</t>
  </si>
  <si>
    <t>حسن عبد الهادي حسن</t>
  </si>
  <si>
    <t>محمود عارف عبد المجيد</t>
  </si>
  <si>
    <t>زياد محمد عبدالرحمن محمد على</t>
  </si>
  <si>
    <t>محمد ناصر مصطفى عبدالحميد مرسي</t>
  </si>
  <si>
    <t>عبده عبد العزيز الهادى إبراهيم</t>
  </si>
  <si>
    <t>أحمد اكرامى سعيد متولى محمد</t>
  </si>
  <si>
    <t>ياسين احمد السيد مقيبل</t>
  </si>
  <si>
    <t>احمد السيد عبدالوهاب السيد</t>
  </si>
  <si>
    <t>متولي محمد متولي</t>
  </si>
  <si>
    <t>بانسية عبدالحميد ابراهيم احمد</t>
  </si>
  <si>
    <t>دعاء محمود أنور أحمد سيد أحمد</t>
  </si>
  <si>
    <t>احمد صبحي شاكر شرف درويش</t>
  </si>
  <si>
    <t>على السيد على محمد الجمل</t>
  </si>
  <si>
    <t>أسامه حماد محمد نويجع</t>
  </si>
  <si>
    <t>احمد محمود احمد محمد سعد</t>
  </si>
  <si>
    <t>جمال عبدالدايم محمد عبدالدايم</t>
  </si>
  <si>
    <t>حسن عبدالله عبدالعزيز اسماعيل السيد</t>
  </si>
  <si>
    <t>علاء الدين احمد محمود علاء ابو صمد</t>
  </si>
  <si>
    <t>عمر يسري محمود محمد عبده</t>
  </si>
  <si>
    <t>عمر محمد محمد فتوح اسماعيل</t>
  </si>
  <si>
    <t>محمد علاء عبدالعال محمد ابراهيم البسيوني</t>
  </si>
  <si>
    <t>محمد عمرو عبد الحميد أحمد</t>
  </si>
  <si>
    <t>نبيل اشرف نبيل عبدالرحمن محمد</t>
  </si>
  <si>
    <t>محمد عزت محمود طه عبدالرحمن</t>
  </si>
  <si>
    <t>ندى مصطفى علي مسعد</t>
  </si>
  <si>
    <t>مصطفى عبد المعين ابراهيم</t>
  </si>
  <si>
    <t>يوسف شافعي عابد عبده خليل</t>
  </si>
  <si>
    <t>سليمان محمد احميدان محمد</t>
  </si>
  <si>
    <t>سلمي احمد محمد احمد</t>
  </si>
  <si>
    <t>عبد المنعم السيد عبد المنعم</t>
  </si>
  <si>
    <t>اياد حماده هلين محمد</t>
  </si>
  <si>
    <t>زياد عبدالحميد امين عبدالحميد محمد</t>
  </si>
  <si>
    <t>هيبه عثمان هيبه محمد</t>
  </si>
  <si>
    <t>احمد عاطف عبدالكامل امين</t>
  </si>
  <si>
    <t>عبدالله محمد عبدالله محمد سليمان</t>
  </si>
  <si>
    <t>شريف عبدالمجيد السيد عبدالله على</t>
  </si>
  <si>
    <t>فارس عبد المولى عبد البصير</t>
  </si>
  <si>
    <t>محمود احمد محمد ابراهيم</t>
  </si>
  <si>
    <t>خالد جمال ذكي محمد</t>
  </si>
  <si>
    <t>محمد اسامه محمد احمد محمد المنياوى</t>
  </si>
  <si>
    <t>محمد عبدلله السيد علي</t>
  </si>
  <si>
    <t>كريم محمد عبد المنعم</t>
  </si>
  <si>
    <t>اروى عماد السيد نجم</t>
  </si>
  <si>
    <t>السيد محمد احمدى السيد عمار</t>
  </si>
  <si>
    <t>عبد الرحمن احمد عبد الحي محمد</t>
  </si>
  <si>
    <t>عبد الله مختار محمد الطنطاوي</t>
  </si>
  <si>
    <t>محمد حسام محمد صلاح الدين حسن احمد القنيشي</t>
  </si>
  <si>
    <t>محمد محمد عبد العظيم محمد حسنين</t>
  </si>
  <si>
    <t>محمد عيد محمد المرسي حسن عيد محمد المرسي حسن محمد المرسي حسن المرسي</t>
  </si>
  <si>
    <t>يوسف حسين محمد اسماعيل حسين</t>
  </si>
  <si>
    <t>احمد عبد الله محمد عبد الله اسماعيل</t>
  </si>
  <si>
    <t>سلمي سعيد عبد المعطي منصور خليل</t>
  </si>
  <si>
    <t>محمد يوسف السيد أبو المعاطي عبدالمقصود</t>
  </si>
  <si>
    <t>أحمد أيمن سامى فرج محمد</t>
  </si>
  <si>
    <t>عبد الرحمن عبدوعبد الرحمن</t>
  </si>
  <si>
    <t>السيد محمد متولي عمران</t>
  </si>
  <si>
    <t>محمد عربي محمد محمد هلال</t>
  </si>
  <si>
    <t>محمود محمد ثروت محمود علي</t>
  </si>
  <si>
    <t>محموداحمد مهران احمد</t>
  </si>
  <si>
    <t>نور الدين محمد محمود جوده</t>
  </si>
  <si>
    <t>عادل علوي جوهري مازن عطيه</t>
  </si>
  <si>
    <t>عمر محمد محمود عبد القادر</t>
  </si>
  <si>
    <t>احمد محمد محمد السيد محمد</t>
  </si>
  <si>
    <t>شيرين اشرف سعيد محمود</t>
  </si>
  <si>
    <t>محمد رمضان عبد الفتاح علي ابراهيم</t>
  </si>
  <si>
    <t>محمد الهادي عبد الرحمن إسماعيل سيد احمد</t>
  </si>
  <si>
    <t>محمد محمود عبدالسلام على عبدالعال</t>
  </si>
  <si>
    <t>محمد عجيب محمد محمد</t>
  </si>
  <si>
    <t>محمود احمد محمود توفيق سليمان</t>
  </si>
  <si>
    <t>على ايهاب محمد السيد</t>
  </si>
  <si>
    <t>محمد نبيل سليم سيد احمد</t>
  </si>
  <si>
    <t>ابراهيم محمد على محمد محمد كبيش</t>
  </si>
  <si>
    <t>احمد قطب محمد قطب ابراهيم</t>
  </si>
  <si>
    <t>زينب احمد علي علي حسن</t>
  </si>
  <si>
    <t>محمد رضوان محمد رضوان غياتى</t>
  </si>
  <si>
    <t>عبد الرحمن علاء الجين السيد</t>
  </si>
  <si>
    <t>عبدالرحمن خالد محمد سليمان علي</t>
  </si>
  <si>
    <t>ابراهيم عماد احمد متولي</t>
  </si>
  <si>
    <t>كليه صيدله فرقه اولي</t>
  </si>
  <si>
    <t>اسلام سمير سالم</t>
  </si>
  <si>
    <t>احمد سالم امين محمود ابوالنور</t>
  </si>
  <si>
    <t>محمود وجيه عيسى محمد احمد</t>
  </si>
  <si>
    <t>محمد ياسر صباح نوفل محمود</t>
  </si>
  <si>
    <t>احمد ماجد محمد عبدالحميد عبدالفتاح</t>
  </si>
  <si>
    <t>احمد محمد احمد على صقر</t>
  </si>
  <si>
    <t>شذي علاء محمد مصطفي</t>
  </si>
  <si>
    <t>two people - same name</t>
  </si>
  <si>
    <t>عبد الرحمن خالد السيد</t>
  </si>
  <si>
    <t>Student numbers</t>
  </si>
  <si>
    <t>B1.1</t>
  </si>
  <si>
    <t>B1+.1</t>
  </si>
  <si>
    <t>Total</t>
  </si>
  <si>
    <t>SAT</t>
  </si>
  <si>
    <t>SUN</t>
  </si>
  <si>
    <t xml:space="preserve">MON </t>
  </si>
  <si>
    <t xml:space="preserve">TUE </t>
  </si>
  <si>
    <t xml:space="preserve">Total number of students </t>
  </si>
  <si>
    <t>Tue 
24/2</t>
  </si>
  <si>
    <t>Tue 
3/3</t>
  </si>
  <si>
    <t>Tue 
10/3</t>
  </si>
  <si>
    <t>Tue 
17/3</t>
  </si>
  <si>
    <t>Tue 
31/3</t>
  </si>
  <si>
    <t>Tue 
7/4</t>
  </si>
  <si>
    <t>Tue 
14/4</t>
  </si>
  <si>
    <t>Tue 
21/4</t>
  </si>
  <si>
    <t xml:space="preserve">D-L1(48)-(0-010)-Tues-9:00- Huda Muhammad
قاعة رقم (0-010) الدور الأرضي بكلية صيدلة                                                  </t>
  </si>
  <si>
    <t>كلية طب أسنان مجموعة A1</t>
  </si>
  <si>
    <t xml:space="preserve">Session Content </t>
  </si>
  <si>
    <t>Date</t>
  </si>
  <si>
    <t>Session completed</t>
  </si>
  <si>
    <t>Missed Content: 
"Slide No. / Page  No. / Comments.."</t>
  </si>
  <si>
    <t>Unit 7: finished until slide 27/page 52 on the book (53 PDF).</t>
  </si>
  <si>
    <t xml:space="preserve">all slides are covered </t>
  </si>
  <si>
    <t>كلية طب أسنان مجموعة A2</t>
  </si>
  <si>
    <t>كلية طب اسنانen</t>
  </si>
  <si>
    <t>كلية طب أسنان مجموعة C1</t>
  </si>
  <si>
    <t>طب أسنان</t>
  </si>
  <si>
    <t>اسنان</t>
  </si>
  <si>
    <t>نسبة الحضور</t>
  </si>
  <si>
    <t xml:space="preserve">" D-L1(49)-(0-011)-Tues-9:00-Aly Magdy
قاعة رقم (0-011) الدور الأرضي بكلية صيدلة                                                      </t>
  </si>
  <si>
    <t>-almost no one came  
-Mr.ibrahim in (0-010) covered my 2 students (Mr. mostafa instuctions)</t>
  </si>
  <si>
    <t>كلية طب أسنان مجموعة A3</t>
  </si>
  <si>
    <t>كليه اسنان</t>
  </si>
  <si>
    <t>كلية طب أسنان مجموعة C4</t>
  </si>
  <si>
    <t xml:space="preserve"> "D-L1(50)-(0-012)-Tues-9:00 Rofayda Ashraf
قاعة رقم (0-012) الدور الأرضي بكلية صيدلة </t>
  </si>
  <si>
    <t>كلية طب أسنان مجموعة A4</t>
  </si>
  <si>
    <t>كلية طب أسنان مجموعة B6</t>
  </si>
  <si>
    <t xml:space="preserve">Done </t>
  </si>
  <si>
    <t>كلية طب أسنان مجموعة A5</t>
  </si>
  <si>
    <t>كلية طب أسنان مجموعة</t>
  </si>
  <si>
    <t>كلية طب أسنان مجموعة B1</t>
  </si>
  <si>
    <t>كلية طب أسنان مجموعة C5</t>
  </si>
  <si>
    <t>كلية طب أسنان مجموعة C6</t>
  </si>
  <si>
    <t xml:space="preserve"> "D-L1(51)-(0-020)-Tues-9:00- Asmaa Osman
 قاعة رقم (0-020) الدور الأرضي بكلية صيدلة" </t>
  </si>
  <si>
    <t>Unit 8 until slide 10.</t>
  </si>
  <si>
    <t>كلية طب أسنان مجموعة A6</t>
  </si>
  <si>
    <t>كلية طب أسنان مجموعة A7</t>
  </si>
  <si>
    <t>كلية طب أسنان مجموعة B2</t>
  </si>
  <si>
    <t xml:space="preserve">"D-L1(52)-(0-021)-Tues-9:00- Sarah Naser Ahmed
قاعة رقم (0-021) الدور الأرضي بكلية صيدلة                                                      </t>
  </si>
  <si>
    <t>I couldn’t complete all the lecture content because the audio files weren’t working. The IT department told me the issue would require reinstalling the Office program. As a result, I wasn’t able to do the listening activities.</t>
  </si>
  <si>
    <t xml:space="preserve">page 68 </t>
  </si>
  <si>
    <t>كلية طب أسنان مجموعة B4</t>
  </si>
  <si>
    <t>حاسبات</t>
  </si>
  <si>
    <t>كلية طب أسنان مجموعة C2</t>
  </si>
  <si>
    <t>كلية طب أسنان مجموعة B3</t>
  </si>
  <si>
    <t>طب الاسنان</t>
  </si>
  <si>
    <t>كلية طب أسنان مجموعة C3</t>
  </si>
  <si>
    <t xml:space="preserve">"D-L1(53)-(0-022)-Tues-9:00-Azza Hamada
قاعة رقم (0-022) الدور الأرضي بكلية صيدلة                                                     </t>
  </si>
  <si>
    <t>كلية طب أسنان مجموعة B5</t>
  </si>
  <si>
    <t>كلية الحاسبات ةو المعلومات</t>
  </si>
  <si>
    <t>D-L1(54)-(1011)-Tues-9:00-Osama Elsayed
 قاعة رقم (1011) الدور الأول بكلية صيدلة</t>
  </si>
  <si>
    <t xml:space="preserve"> - D-L1**(12)-(1013)-Tues-9:00Aya Soliman
 قاعة رقم (1013) الدور الأول بكلية صيدلة</t>
  </si>
  <si>
    <t xml:space="preserve">  "D-L1**(13)-(1018)-Tues-9:00- Samah Ahmed
قاعة رقم (1018) الدور الأول بكلية صيدلة                                         </t>
  </si>
  <si>
    <t>No attendence</t>
  </si>
  <si>
    <t>كلية الحاسبات والمعلومات C</t>
  </si>
  <si>
    <t>CS-L1**(14)-(1019)-Tues-9:00-Naira Saber
 قاعة رقم (1019) الدور الأول بكلية صيدلة</t>
  </si>
  <si>
    <t>No one attended the session تعارض</t>
  </si>
  <si>
    <t>No leftovers ✅</t>
  </si>
  <si>
    <t>All done except a very short grammatical part in slides 23, 24 &amp;25. will be covered in the revision session.</t>
  </si>
  <si>
    <t>كلية الحاسبات والمعلومات B</t>
  </si>
  <si>
    <t>كلية الحاسبات والمعلومات D</t>
  </si>
  <si>
    <t>كلية الصيدلة - فارم دي</t>
  </si>
  <si>
    <t>كلية الحاسبات والمعلومات A</t>
  </si>
  <si>
    <t>كلية الحاسبات و المعلوماتen</t>
  </si>
  <si>
    <t>كلية العلاج الطبيعي A&amp;B</t>
  </si>
  <si>
    <t>D-L2(31)-(1020)-Tues-9:00-Mariam Sherief
 قاعة رقم (1020) الدور الأول بكلية صيدلة</t>
  </si>
  <si>
    <t xml:space="preserve">D-L2(32)-(2011)-Tues-9:00- Mai Abdo Shehata
 قاعة رقم (2011) الدور الثاني بكلية صيدلة </t>
  </si>
  <si>
    <t xml:space="preserve">nobody attended </t>
  </si>
  <si>
    <t>روان محمود عبدالصادق محمد ابراهيم</t>
  </si>
  <si>
    <t>علاج طبيعي الفرقة 2</t>
  </si>
  <si>
    <t>كليه طب الاسنان</t>
  </si>
  <si>
    <t>CS-L2(33)-(2012)-Tues-9:00- Reem Ashraf
 قاعة رقم (2012) الدور الثاني بكلية صيدلة</t>
  </si>
  <si>
    <t>محمد على السيد على طرطر</t>
  </si>
  <si>
    <t>CS-L2(34)-(2017)-Tues-9:00-Mariam Morsy
 قاعة رقم (2017) الدور الثاني بكلية صيدلة</t>
  </si>
  <si>
    <t>CS-L2(35)-(2018)-Tues-9:00-Sara Mohamed
 قاعة رقم (2018) الدور الثاني بكلية صيدلة</t>
  </si>
  <si>
    <t>Only finished the vocabs and grammer parts because of the schedule problems</t>
  </si>
  <si>
    <t>CS-L2(36)-(2019)-Tues-9:00-Sarah Safaa
 قاعة رقم (2019) الدور الثاني بكلية صيدلة</t>
  </si>
  <si>
    <t>slide 34</t>
  </si>
  <si>
    <t>كلية الحاسبات والمعلومات</t>
  </si>
  <si>
    <t>CS-L3(23)-(H028)-Tues-9:00-Nada Mansour
 قاعة رقم (H028) الدور الأرضي بكلية طب أسنان</t>
  </si>
  <si>
    <t>One student came so we didn't finish the second part of the session,cause she had a lecture at 10 :30 . The other students came at 12</t>
  </si>
  <si>
    <t>CS-L2-(H027)-Tues-9:00-Hussein Mohamed
 قاعة رقم (H027) الدور الأرضي بكلية طب أسنان</t>
  </si>
  <si>
    <t xml:space="preserve">No one attended the session </t>
  </si>
  <si>
    <t xml:space="preserve">no left over gave assignment for next week shared the QR for the group </t>
  </si>
  <si>
    <t>no left over gave assignment for next week</t>
  </si>
  <si>
    <t xml:space="preserve">CS-L3(25)-(H025)-Tues-9:00- Al Rayhan
 قاعة رقم (H025) الدور الأرضي بكلية طب أسنان </t>
  </si>
  <si>
    <t>علاج ط بيعي الفرقة 2</t>
  </si>
  <si>
    <t>CS-L4(8)-(H024)-Tues-9:00- Esraa Ahmed Mohamed
 قاعة رقم (H024) الدور الأرضي بكلية طب أسنان</t>
  </si>
  <si>
    <t>from 13 till the end</t>
  </si>
  <si>
    <t>non</t>
  </si>
  <si>
    <t>حاسبات الفرفة 2</t>
  </si>
  <si>
    <t xml:space="preserve">" PT(C-L5(1)-(H022)-Tues-9:00-  Ashraqat Al Sayed 
قاعة رقم (H022) الدور الأرضي كلية طب أسنان    </t>
  </si>
  <si>
    <t>وحيد احمد وحيد محمد احمد</t>
  </si>
  <si>
    <t>حاسابت و معلومات</t>
  </si>
  <si>
    <t>ماجد محمود ابرهيم</t>
  </si>
  <si>
    <t>احمد عبدالكريم كامل راشد فرج الله</t>
  </si>
  <si>
    <t>حسن محمد حسن حسين محمد</t>
  </si>
  <si>
    <t>خليفة مصطفي سليمان خليفه</t>
  </si>
  <si>
    <t>زياد وليد محمد</t>
  </si>
  <si>
    <t>صبحى وليد صبحى محمد عبده</t>
  </si>
  <si>
    <t>احمد ياسر محمد عبدالحميد ابراهيم</t>
  </si>
  <si>
    <t>محمد رضا مصطفى اسماعيل جبر</t>
  </si>
  <si>
    <t>محمود مصطفى عبد الرحمن مصطفى هليل</t>
  </si>
  <si>
    <t xml:space="preserve">  CS-L3(5)-(H007)-Tues-9:00 Hussein Kamal
 قاعة رقم (H007) الدور الأرضي بكلية طب أسنان</t>
  </si>
  <si>
    <t xml:space="preserve">No students showed up </t>
  </si>
  <si>
    <t>محمد ايمن محمد محمود سلمي</t>
  </si>
  <si>
    <t>احمد محمد عبد الحميد غريب</t>
  </si>
  <si>
    <t>كيرلس غالي عوني حبشي واصف</t>
  </si>
  <si>
    <t>عبد الرحمن محمد محمود</t>
  </si>
  <si>
    <t xml:space="preserve"> Sherine Lasheen "CS-L3(5)-(H008)-Tues-9:00
 قاعة رقم (H008) الدور الأرضي بكلية طب أسنان"</t>
  </si>
  <si>
    <t>عمر محمد عبدالعزيز عزت عبدالحليم</t>
  </si>
  <si>
    <t xml:space="preserve">No students </t>
  </si>
  <si>
    <t>slides 38, 39, 41, 54</t>
  </si>
  <si>
    <t>بسمة إبراهيم محمد احمد سالم</t>
  </si>
  <si>
    <t>معاذ احمد السيد عبدالعزيز احمد</t>
  </si>
  <si>
    <t>يوسف السيد شعبان سلامة</t>
  </si>
  <si>
    <t>Hadir Muhammed "CS-L3(5)-(H009)-Tues-9:00 قاعة رقم (H009) الدور الأرضي بكلية طب أسنان"</t>
  </si>
  <si>
    <t xml:space="preserve">Unit 1 </t>
  </si>
  <si>
    <t xml:space="preserve">Unit  2 </t>
  </si>
  <si>
    <t>D-L1(55)-(0-010)-Tues-1:00- Huda Muhammad
 قاعة رقم (0-010) الدور الأرضي بكلية صيدلة</t>
  </si>
  <si>
    <t>D-L1(56)-(0-011)-Tues-1:00-Aly Magdy
 قاعة رقم (0-011) الدور الأرضي بكلية صيدلة</t>
  </si>
  <si>
    <t>منى فوزي على السيد جلاوه</t>
  </si>
  <si>
    <t>عبد الرحمن خالد السيد باز</t>
  </si>
  <si>
    <t xml:space="preserve">   D -L1(57)-(0-012)-Tues-1:00- Rofayda Ashraf
 قاعة رقم (0-012) الدور الأرضي بكلية صيدلة</t>
  </si>
  <si>
    <t>Done</t>
  </si>
  <si>
    <t>احمد فكرى محمد صابر قطب</t>
  </si>
  <si>
    <t xml:space="preserve">D-L1(58)-(0-020)-Tues-1:00 - Asmaa Osman
 قاعة رقم (0-020) الدور الأرضي بكلية صيدلة  </t>
  </si>
  <si>
    <t>Unit 8 until slide 28.</t>
  </si>
  <si>
    <t>D-L1(59)-(0-021)-Tues-1:00- Sarah Naser Ahmed
 قاعة رقم (0-021) الدور الأرضي بكلية صيدلة</t>
  </si>
  <si>
    <t>page 68</t>
  </si>
  <si>
    <t>علاج</t>
  </si>
  <si>
    <t>D-L1**(15)-(0-022)-Tues-1:00-Azza Hamada
 قاعة رقم (0-022) الدور الأرضي بكلية صيدلة</t>
  </si>
  <si>
    <t>D-L1**(16)-(1011)-Tues-1:00-Osama Elsayed
 قاعة رقم (1011) الدور الأول بكلية صيدلة</t>
  </si>
  <si>
    <t>كلية حاسبات و معلومات</t>
  </si>
  <si>
    <t xml:space="preserve"> CS-L1**(17)-(1013)-Tues-1:00 - Aya Soliman
 قاعة رقم (1013) الدور الأول بكلية صيدلة </t>
  </si>
  <si>
    <t>كلية الصيدلة (فارم دي)</t>
  </si>
  <si>
    <t>استان</t>
  </si>
  <si>
    <t>اسنان فرقة اولى</t>
  </si>
  <si>
    <t>D-L2(37)-(1018)-Tues-1:00- Samah Ahmed
 قاعة رقم (1018) الدور الأول بكلية صيدلة</t>
  </si>
  <si>
    <t>"D-L2(38)-(1019)-Tues-1:00-Naira saber قاعة رقم (1019) الدور الأول بكلية صيدلة"</t>
  </si>
  <si>
    <t xml:space="preserve">Unit 7 PPt is done ✅ No leftovers </t>
  </si>
  <si>
    <t xml:space="preserve">Unit 8 PPT is done ✅ No leftovers </t>
  </si>
  <si>
    <t>CS-L2(39)-(1020)-Tues-1:00-Mariam Sherief
 قاعة رقم (1020) الدور الأول بكلية صيدلة</t>
  </si>
  <si>
    <t>أحمد تهامي رمضان تهامي احمد</t>
  </si>
  <si>
    <t>حاسبات فرقة 2</t>
  </si>
  <si>
    <t xml:space="preserve">CS-L2(40)-(2011)-Tues-1:00- Mai Abdo Shehata
 قاعة رقم (2011) الدور الثاني بكلية صيدلة </t>
  </si>
  <si>
    <t xml:space="preserve">CS-L2(41)-(2012)-Tues-1:00- Reem Ashraf
 قاعة رقم (2012) الدور الثاني بكلية صيدلة </t>
  </si>
  <si>
    <t>CS-L2(42)-(2017)-Tues-1:00-Mariam Morsy
 قاعة رقم (2017) الدور الثاني بكلية صيدلة</t>
  </si>
  <si>
    <t>CS-L2(43)-(2018)-Tues-1:00-Sara Mohamed
 قاعة رقم (2018) الدور الثاني بكلية صيدلة</t>
  </si>
  <si>
    <t>CS-L2(44)-(2019)-Tues-1:00-Sarah Safaa
 قاعة رقم (2019) الدور الثاني بكلية صيدلة</t>
  </si>
  <si>
    <t xml:space="preserve">slide 34 </t>
  </si>
  <si>
    <t>كلية العلاج الطبيعي</t>
  </si>
  <si>
    <t xml:space="preserve">"CS-L3(26)-(H028)-Tues-1:00-Nada Mansour قاعة رقم (H028) الدور الأرضي بكلية طب الأسنان" </t>
  </si>
  <si>
    <t>CS-L3(27)-(H027)-Tues-1:00-Hussein Mohamed
 قاعة رقم (H027) الدور الأرضي بكلية طب الأسنان</t>
  </si>
  <si>
    <t xml:space="preserve">No left over gave assignment for next week shared the QR for the group </t>
  </si>
  <si>
    <t xml:space="preserve">CS-L3(28)-(H025)-Tues-1:00- Al Rayhan
 قاعة رقم (H025) الدور الأرضي بكلية طب الأسنان </t>
  </si>
  <si>
    <t>CS-L4(9)-(H024)-Tues-1:00- Esraa Ahmed Mohamed
 قاعة رقم (H024) الدور الأرضي بكلية طب الأسنان</t>
  </si>
  <si>
    <t>completed</t>
  </si>
  <si>
    <t xml:space="preserve">" PT(C)-L5(1)-(H022)-Tues-1:00-  Ashraqat Al Sayed 
قاعة رقم (H022) الدور الأرضي بكلية طب أسنان                                    </t>
  </si>
  <si>
    <t>محمود محمد عثمان علي احمد</t>
  </si>
  <si>
    <t>اداره واقتصاد عربي</t>
  </si>
  <si>
    <t>طب اسنان</t>
  </si>
  <si>
    <t>يوسف عادل فتحي محمد</t>
  </si>
  <si>
    <t>محمد رضا محمد ادريس اسماعيل</t>
  </si>
  <si>
    <t>معاذ محمد سليمان فرج</t>
  </si>
  <si>
    <t>ابراهيم محمد ابراهيم محمد</t>
  </si>
  <si>
    <t>امل معوض عبد الرحمن</t>
  </si>
  <si>
    <t>CS-L3(5)-(H007)-Tues-1:00 Hussein Kamal
 قاعة رقم (H007) الدور الأرضي بكلية طب أسنان</t>
  </si>
  <si>
    <t>يوسف تامر محمد نجيب عايد</t>
  </si>
  <si>
    <t xml:space="preserve">No Students attended </t>
  </si>
  <si>
    <t>عبد الله أحمد محمود أحمد حسن</t>
  </si>
  <si>
    <t>اسلام على محمود على ابراهيم</t>
  </si>
  <si>
    <t>محمد الشحات السيد عبد الغنى السيد</t>
  </si>
  <si>
    <t>كلية طب أسنان</t>
  </si>
  <si>
    <t>كلية علاج طبيعي</t>
  </si>
  <si>
    <t xml:space="preserve"> Sherine Lasheen "CS-L3(5)-(H008)-Tues-1:00 
 قاعة رقم (H008) الدور الأرضي بكلية طب أسنان"</t>
  </si>
  <si>
    <t>محمد رضا جميل قطب حسن</t>
  </si>
  <si>
    <t>محمود احمد محمد عبد السلام</t>
  </si>
  <si>
    <t>محمد ممدوح عبد العزيز احمد</t>
  </si>
  <si>
    <t>محمد السيد محمد محمد عبدالسلام</t>
  </si>
  <si>
    <t xml:space="preserve">"CS-L3(5)-(H009)-Tues-1:00
 قاعة رقم (H009) الدور الأرضي بكلية طب أسنان" Hadir Muhammed </t>
  </si>
  <si>
    <t xml:space="preserve">Unit 2 </t>
  </si>
  <si>
    <t xml:space="preserve"> CO8 Tue 1:00 AM  Perihan ELkhwaga</t>
  </si>
  <si>
    <t xml:space="preserve">NO STUDENTS </t>
  </si>
  <si>
    <t>هايدي عبدالله السيد احمد ابراهيم</t>
  </si>
  <si>
    <t>كلية الصيدلة- صيدلة فارم</t>
  </si>
  <si>
    <t>محمد حسن السيد حسن</t>
  </si>
  <si>
    <t>كلية العلاج الطبيعى en</t>
  </si>
  <si>
    <t>عبدالرحمن عمر ربيع محمد عطيه</t>
  </si>
  <si>
    <t>محمد اشرف محمد السيد محمد ابو الخير</t>
  </si>
  <si>
    <t>منة الله سعد السيد سعد محمد</t>
  </si>
  <si>
    <t>علاج طبيعي</t>
  </si>
  <si>
    <t>صيدله فارم دي</t>
  </si>
  <si>
    <t>ابراهيم احمد ابراهيم محمد احمد ابراهيم منيع</t>
  </si>
  <si>
    <t>احمد محمد عبدالعال احمد السيد</t>
  </si>
  <si>
    <t>صيدلة فارم دي</t>
  </si>
  <si>
    <t>زياد احمد محمد هاشم احمد</t>
  </si>
  <si>
    <t>عبدالرحمن حسن احمد حسن ابراهيم</t>
  </si>
  <si>
    <t>على سلامه السيد سلامه</t>
  </si>
  <si>
    <t>عمار تامر حسن احمد مختار</t>
  </si>
  <si>
    <t>محمد عماد محمد سيداحمد حسنين</t>
  </si>
  <si>
    <t>صيدلة فارما</t>
  </si>
  <si>
    <t>ملك أيمن عبد الفتاح اسماعل</t>
  </si>
  <si>
    <t>صديلة فارم</t>
  </si>
  <si>
    <t>كلية الصيدلة- صيدلة كلينك</t>
  </si>
  <si>
    <t>ساره محسن اسماعيل الصادق</t>
  </si>
  <si>
    <t>محمد صفوت جمال مصطفي مصطفي</t>
  </si>
  <si>
    <t>كلية العلاج الطبيعي C</t>
  </si>
  <si>
    <t>محمود عثمان السيد محمود هندي</t>
  </si>
  <si>
    <t>كلية صيدلة إكلينكen</t>
  </si>
  <si>
    <t>صيدلة كلينيك</t>
  </si>
  <si>
    <t>كلية الصيدلة - فارم دي-صيدلة إكلينيكية</t>
  </si>
  <si>
    <t>براء حماده محمد محمود حسن زعرب*</t>
  </si>
  <si>
    <t xml:space="preserve"> </t>
  </si>
  <si>
    <t>D كلية الحاسبات والمعلومات</t>
  </si>
  <si>
    <t>B كلية الحاسبات والمعلومات</t>
  </si>
  <si>
    <t>ادارة اقتصاد انجلزي</t>
  </si>
  <si>
    <t>حاسبات وملعومات B</t>
  </si>
  <si>
    <t>حسابات و معلومات /B</t>
  </si>
  <si>
    <t>ادارة عري</t>
  </si>
  <si>
    <t>ادارة انجليزي</t>
  </si>
  <si>
    <t>ادارة عربي</t>
  </si>
  <si>
    <t>ادارة افتصاد عريي</t>
  </si>
  <si>
    <t>كلية الاداة و الاقتصاد</t>
  </si>
  <si>
    <t>حاسبات B</t>
  </si>
  <si>
    <t>ادارة اقتصاد عربي</t>
  </si>
  <si>
    <t>حاسابات</t>
  </si>
  <si>
    <t>كلية الادارة والاقتصادar</t>
  </si>
  <si>
    <t>يوسف محمد محمد عبد السلام</t>
  </si>
  <si>
    <t>مصطفي محمد عبدالوهاب عزب</t>
  </si>
  <si>
    <t>زياد احمد علي محمد إراهيم</t>
  </si>
  <si>
    <t>ادارة واقتصاد انجليزي</t>
  </si>
  <si>
    <t>كلية الادارة والاقتصاد الدولي- شعبة انجليزي</t>
  </si>
  <si>
    <t>ادارة و اقتصاد عربي</t>
  </si>
  <si>
    <t>جنا محمد امين زايد</t>
  </si>
  <si>
    <t>ادارة اينجلش</t>
  </si>
  <si>
    <t>عبدالله السيد عبدالله محمود</t>
  </si>
  <si>
    <t>كلية الحاسبات و المعلومات</t>
  </si>
  <si>
    <t>حاسبات ومعلومات</t>
  </si>
  <si>
    <t>ادارة</t>
  </si>
  <si>
    <t>كلية الادارة عربي</t>
  </si>
  <si>
    <t>كلية الادارة والاقتصاد الدولي- شعبة عربي</t>
  </si>
  <si>
    <t>ايه محمد عبد العظيم محمد حسن</t>
  </si>
  <si>
    <t>سعد عبدالسلام عطيه عليوه</t>
  </si>
  <si>
    <t>صلاح محمد صلاح عثمان الاعسر</t>
  </si>
  <si>
    <t>فارس عبدالسميع فوزان معجل معاون</t>
  </si>
  <si>
    <t>ادارة اعمالادارة اعمال</t>
  </si>
  <si>
    <t>ادارة اقتصاد عريي</t>
  </si>
  <si>
    <t>ادارة اقتصاد انجيلزي</t>
  </si>
  <si>
    <t>يوسف السيد السيد محمود</t>
  </si>
  <si>
    <t>يوسف على السيد احمد حسين</t>
  </si>
  <si>
    <t>بدر حسن محمود حسن زعرب</t>
  </si>
  <si>
    <t>كلية الادارة والاقتصاد</t>
  </si>
  <si>
    <t>شريف اشرف احمد عبداللطيف</t>
  </si>
  <si>
    <t>تجارة انجليزي</t>
  </si>
  <si>
    <t>مصطفي عثمان احمد عبد الغني</t>
  </si>
  <si>
    <t>اداره اعمال</t>
  </si>
  <si>
    <t>هاجر عبدالعال محجوب الورداني</t>
  </si>
  <si>
    <t>كلية الادارة والاقتصاد شعبة اللغة الانجليزية</t>
  </si>
  <si>
    <t>كلية حاسبات</t>
  </si>
  <si>
    <t>ابراهيم احمد عبدالسلام عبدالقوي</t>
  </si>
  <si>
    <t>A كلية الحاسبات والمعلومات</t>
  </si>
  <si>
    <t>ابراهيم عبدالحي حسن ابوهاشم</t>
  </si>
  <si>
    <t>أحمد عاطف أحمد علي عزب</t>
  </si>
  <si>
    <t>حاسبات C</t>
  </si>
  <si>
    <t>احمد محمد عبدالعزيز محمد ابراهيم</t>
  </si>
  <si>
    <t>احمد مختار الجرايحي شلبي</t>
  </si>
  <si>
    <t>احمد هاني احمد البسيوني</t>
  </si>
  <si>
    <t>احمد ابراهيم ابراهيم متولي</t>
  </si>
  <si>
    <t>امال محمد عبدلله محمد</t>
  </si>
  <si>
    <t>بسمه حسن حسن محمد عبدالله الطويل</t>
  </si>
  <si>
    <t>C كلية الحاسبات والمعلومات</t>
  </si>
  <si>
    <t>محمد ابراهيم فواد ابراهيم محمد</t>
  </si>
  <si>
    <t>محمد ايمن الشبراوي الشبراوي</t>
  </si>
  <si>
    <t>كلية الإدارة والاقتصاد الدولي 2</t>
  </si>
  <si>
    <t>ابراهيم نشأت السيد احمد</t>
  </si>
  <si>
    <t>محمد ابراهيم ابوهاشم ابراهيم عوف</t>
  </si>
  <si>
    <t>محمد عبدالعزيز محمد عبدالعزيز محمد</t>
  </si>
  <si>
    <t>حاسبات و معلومات</t>
  </si>
  <si>
    <t>سالم احمد سالم محمد علي عاصي</t>
  </si>
  <si>
    <t>فاطمه اشرف محمد البربري محمد السيد</t>
  </si>
  <si>
    <t>مريم جمال موسى عطيه علي</t>
  </si>
  <si>
    <t>محمد محمود رضوان حسن علي</t>
  </si>
  <si>
    <t>عبدالرحمن محمد شوقى محمد حامد</t>
  </si>
  <si>
    <t>رحمه جمعه السيد يوسف موسى</t>
  </si>
  <si>
    <t>رقيه خالد السيد باز عبدربه</t>
  </si>
  <si>
    <t>م</t>
  </si>
  <si>
    <t>كلية طب أسنان الفرقة الأولى</t>
  </si>
  <si>
    <t>كلية الحاسبات و المعلومات الفرقه الاولي</t>
  </si>
  <si>
    <t>كلية الحاسبات و المعلومات الفرقه الثانيه</t>
  </si>
  <si>
    <t>احمد محمد حمزه</t>
  </si>
  <si>
    <t>محمد وائل محمد توفيق</t>
  </si>
  <si>
    <t>كلية الصيدلة الفرقة الأولى</t>
  </si>
  <si>
    <t>مصطفى فوزي ابراهيم محمد</t>
  </si>
  <si>
    <t>كلية الصيدلة الفرقة الثانية</t>
  </si>
  <si>
    <t>رحمة جمعة السيد يوسف</t>
  </si>
  <si>
    <t>كلية الادارة والاقتصاد الدولي الفرقة الأولى</t>
  </si>
  <si>
    <t>اية السيد صبري السيد محمد</t>
  </si>
  <si>
    <t>بسمة محمد رامي</t>
  </si>
  <si>
    <t>محمد خسن السيد</t>
  </si>
  <si>
    <t>كلية العلاج الطبيعي الفرقه الاولي</t>
  </si>
  <si>
    <t>زياد رأفت سمير محمد</t>
  </si>
  <si>
    <t xml:space="preserve"> كليه علاج ط بيعي الفرقة الثانيه</t>
  </si>
  <si>
    <t>*</t>
  </si>
  <si>
    <t xml:space="preserve">        </t>
  </si>
  <si>
    <t>Day</t>
  </si>
  <si>
    <t>CLASS</t>
  </si>
  <si>
    <t>Without teacher</t>
  </si>
  <si>
    <t>fails</t>
  </si>
  <si>
    <t xml:space="preserve">DAY &amp; TIME </t>
  </si>
  <si>
    <t>Old groups</t>
  </si>
  <si>
    <t>NEW groups</t>
  </si>
  <si>
    <t>sat 9</t>
  </si>
  <si>
    <t>sat 12</t>
  </si>
  <si>
    <t>sun 9</t>
  </si>
  <si>
    <t>sun 12</t>
  </si>
  <si>
    <t>mon 9</t>
  </si>
  <si>
    <t>mon 12</t>
  </si>
  <si>
    <t>tues 9</t>
  </si>
  <si>
    <t>tues 12</t>
  </si>
  <si>
    <t>9:00 AM groups</t>
  </si>
  <si>
    <t>12:30 PM groups</t>
  </si>
  <si>
    <t>variance</t>
  </si>
  <si>
    <t>9:00 AM Failed groups</t>
  </si>
  <si>
    <t>12:30 PM Failed groups</t>
  </si>
  <si>
    <t>9:00 AM total groups</t>
  </si>
  <si>
    <t>12:30 PM total groups</t>
  </si>
  <si>
    <t>Sat</t>
  </si>
  <si>
    <t>Sun</t>
  </si>
  <si>
    <t>Mon</t>
  </si>
  <si>
    <t>Tues</t>
  </si>
  <si>
    <t>tue 1</t>
  </si>
  <si>
    <t>tue 9</t>
  </si>
  <si>
    <t>dn</t>
  </si>
  <si>
    <t>هيا الوحيدة الي b1+</t>
  </si>
  <si>
    <t>حاسبات الفرقة 2 C</t>
  </si>
</sst>
</file>

<file path=xl/styles.xml><?xml version="1.0" encoding="utf-8"?>
<styleSheet xmlns="http://schemas.openxmlformats.org/spreadsheetml/2006/main">
  <numFmts count="7">
    <numFmt numFmtId="0" formatCode="General"/>
    <numFmt numFmtId="1" formatCode="0"/>
    <numFmt numFmtId="20" formatCode="h:mm"/>
    <numFmt numFmtId="164" formatCode="#,##0.00;\(#,##0.00\)"/>
    <numFmt numFmtId="165" formatCode="#,##0.00;(#,##0.00)"/>
    <numFmt numFmtId="9" formatCode="0%"/>
    <numFmt numFmtId="166" formatCode="&quot;$&quot;#,##0.00"/>
  </numFmts>
  <fonts count="46">
    <font>
      <name val="Arial"/>
      <sz val="10"/>
    </font>
    <font>
      <name val="Arial"/>
      <sz val="10"/>
      <color rgb="FF000000"/>
    </font>
    <font>
      <name val="Times New Roman"/>
      <b/>
      <sz val="15"/>
      <color rgb="FF000000"/>
    </font>
    <font>
      <name val="Arial"/>
      <sz val="10"/>
    </font>
    <font>
      <name val="Times New Roman"/>
      <b/>
      <sz val="15"/>
      <color rgb="FF000000"/>
    </font>
    <font>
      <name val="Arial"/>
      <b/>
      <sz val="15"/>
      <color rgb="FF000000"/>
    </font>
    <font>
      <name val="Arial"/>
      <b/>
      <sz val="15"/>
      <color rgb="FF000000"/>
    </font>
    <font>
      <name val="Arial"/>
      <sz val="15"/>
      <color rgb="FF000000"/>
    </font>
    <font>
      <name val="Times New Roman"/>
      <b/>
      <sz val="18"/>
      <color rgb="FF000000"/>
    </font>
    <font>
      <name val="Times New Roman"/>
      <sz val="15"/>
      <color rgb="FF000000"/>
    </font>
    <font>
      <name val="Arial"/>
      <sz val="15"/>
      <color rgb="FF000000"/>
    </font>
    <font>
      <name val="Times New Roman"/>
      <b/>
      <sz val="16"/>
      <color rgb="FF000000"/>
    </font>
    <font>
      <name val="Times New Roman"/>
      <b/>
      <sz val="16"/>
      <color rgb="FF000000"/>
    </font>
    <font>
      <name val="Times New Roman"/>
      <sz val="15"/>
      <color rgb="FF000000"/>
    </font>
    <font>
      <name val="Times New Roman"/>
      <b/>
      <sz val="42"/>
      <color rgb="FFFF0000"/>
    </font>
    <font>
      <name val="Arial"/>
      <sz val="18"/>
      <color rgb="FF000000"/>
    </font>
    <font>
      <name val="Arial"/>
      <b/>
      <sz val="18"/>
      <color rgb="FF000000"/>
    </font>
    <font>
      <name val="Times New Roman"/>
      <b/>
      <sz val="22"/>
      <color rgb="FF000000"/>
    </font>
    <font>
      <name val="Arial"/>
      <sz val="22"/>
      <color rgb="FF000000"/>
    </font>
    <font>
      <name val="Arial"/>
      <sz val="10"/>
      <color rgb="FF000000"/>
    </font>
    <font>
      <name val="Arial"/>
      <b/>
      <sz val="19"/>
      <color rgb="FF000000"/>
    </font>
    <font>
      <name val="Arial"/>
      <b/>
      <sz val="13"/>
      <color rgb="FF000000"/>
    </font>
    <font>
      <name val="Google Sans"/>
      <b/>
      <sz val="13"/>
      <color rgb="FF000000"/>
    </font>
    <font>
      <name val="Arial"/>
      <sz val="16"/>
      <color rgb="FF000000"/>
    </font>
    <font>
      <name val="Arial"/>
      <b/>
      <sz val="16"/>
      <color rgb="FF000000"/>
    </font>
    <font>
      <name val="Times New Roman"/>
      <b/>
      <sz val="16"/>
      <color rgb="FF5B0F00"/>
    </font>
    <font>
      <name val="Times New Roman"/>
      <b/>
      <sz val="16"/>
      <color rgb="FF783F04"/>
    </font>
    <font>
      <name val="Times New Roman"/>
      <sz val="16"/>
      <color rgb="FF000000"/>
    </font>
    <font>
      <name val="Arial"/>
      <sz val="14"/>
      <color rgb="FF000000"/>
    </font>
    <font>
      <name val="Times New Roman"/>
      <b/>
      <sz val="17"/>
      <color rgb="FF000000"/>
    </font>
    <font>
      <name val="Times New Roman"/>
      <b/>
      <sz val="13"/>
      <color rgb="FF000000"/>
    </font>
    <font>
      <name val="Arial"/>
      <sz val="11"/>
      <color rgb="FF000000"/>
    </font>
    <font>
      <name val="Times New Roman"/>
      <b/>
      <sz val="12"/>
      <color rgb="FF9C0006"/>
    </font>
    <font>
      <name val="Times New Roman"/>
      <b/>
      <sz val="12"/>
      <color rgb="FF000000"/>
    </font>
    <font>
      <name val="Arial"/>
      <sz val="11"/>
      <color rgb="FF000000"/>
    </font>
    <font>
      <name val="Times New Roman"/>
      <b/>
      <sz val="12"/>
      <color rgb="FF000000"/>
    </font>
    <font>
      <name val="Arial"/>
      <sz val="11"/>
      <color rgb="FF9C0006"/>
    </font>
    <font>
      <name val="Times New Roman"/>
      <b/>
      <sz val="13"/>
      <color rgb="FF9C0006"/>
    </font>
    <font>
      <name val="Times New Roman"/>
      <b/>
      <sz val="13"/>
      <color rgb="FF000000"/>
    </font>
    <font>
      <name val="Arial"/>
      <b/>
      <sz val="11"/>
      <color rgb="FF000000"/>
    </font>
    <font>
      <name val="Arial"/>
      <sz val="12"/>
      <color rgb="FF9C0006"/>
    </font>
    <font>
      <name val="Arial"/>
      <sz val="12"/>
      <color rgb="FF000000"/>
    </font>
    <font>
      <name val="Times New Roman"/>
      <b/>
      <sz val="14"/>
      <color rgb="FF000000"/>
    </font>
    <font>
      <name val="Arial"/>
      <b/>
      <sz val="17"/>
      <color rgb="FF000000"/>
    </font>
    <font>
      <name val="Arial"/>
      <b/>
      <sz val="14"/>
      <color rgb="FF000000"/>
    </font>
    <font>
      <name val="Arial"/>
      <b/>
      <sz val="18"/>
      <color rgb="FF000000"/>
    </font>
  </fonts>
  <fills count="21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AFD"/>
        <bgColor rgb="FFF8FAF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783F04"/>
        <bgColor rgb="FF783F04"/>
      </patternFill>
    </fill>
    <fill>
      <patternFill patternType="solid">
        <fgColor rgb="FFF1C232"/>
        <bgColor rgb="FFF1C232"/>
      </patternFill>
    </fill>
    <fill>
      <patternFill patternType="solid">
        <fgColor rgb="FFFFC7CE"/>
        <bgColor rgb="FFFFC7CE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2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1" fillId="2" borderId="0" xfId="0" applyFont="1" applyFill="1" applyAlignment="1">
      <alignment horizontal="center" vertical="bottom"/>
    </xf>
    <xf numFmtId="0" fontId="1" fillId="0" borderId="0" xfId="0" applyFont="1" applyAlignment="1">
      <alignment vertical="bottom"/>
    </xf>
    <xf numFmtId="0" fontId="1" fillId="2" borderId="0" xfId="0" applyFont="1" applyAlignment="1">
      <alignment vertical="bottom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bottom"/>
    </xf>
    <xf numFmtId="1" fontId="2" fillId="3" borderId="2" xfId="0" applyNumberFormat="1" applyFont="1" applyBorder="1" applyAlignment="1">
      <alignment horizontal="center" vertical="center" wrapText="1"/>
    </xf>
    <xf numFmtId="0" fontId="2" fillId="3" borderId="2" xfId="0" applyFont="1" applyBorder="1" applyAlignment="1">
      <alignment horizontal="center" vertical="center" wrapText="1"/>
    </xf>
    <xf numFmtId="0" fontId="2" fillId="3" borderId="3" xfId="0" applyFont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Border="1" applyAlignment="1">
      <alignment horizontal="center" vertical="center" wrapText="1"/>
    </xf>
    <xf numFmtId="0" fontId="2" fillId="4" borderId="2" xfId="0" applyFont="1" applyBorder="1" applyAlignment="1">
      <alignment horizontal="center" vertical="center" wrapText="1"/>
    </xf>
    <xf numFmtId="20" fontId="2" fillId="4" borderId="3" xfId="0" applyNumberFormat="1" applyFont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Border="1" applyAlignment="1">
      <alignment horizontal="center" vertical="center" wrapText="1"/>
    </xf>
    <xf numFmtId="0" fontId="2" fillId="4" borderId="2" xfId="0" applyFont="1" applyBorder="1" applyAlignment="1">
      <alignment horizontal="center" vertical="center" wrapText="1"/>
    </xf>
    <xf numFmtId="0" fontId="4" fillId="4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Border="1" applyAlignment="1">
      <alignment horizontal="center" vertical="center"/>
    </xf>
    <xf numFmtId="0" fontId="2" fillId="4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2" fillId="4" borderId="2" xfId="0" applyFont="1" applyBorder="1" applyAlignment="1">
      <alignment horizontal="center" vertical="center"/>
    </xf>
    <xf numFmtId="0" fontId="2" fillId="4" borderId="2" xfId="0" applyFont="1" applyBorder="1" applyAlignment="1">
      <alignment horizontal="center" vertical="center"/>
    </xf>
    <xf numFmtId="1" fontId="2" fillId="3" borderId="2" xfId="0" applyNumberFormat="1" applyFont="1" applyBorder="1" applyAlignment="1">
      <alignment horizontal="center" vertical="center" wrapText="1"/>
    </xf>
    <xf numFmtId="0" fontId="2" fillId="3" borderId="2" xfId="0" applyFont="1" applyBorder="1" applyAlignment="1">
      <alignment horizontal="center" vertical="center" wrapText="1"/>
    </xf>
    <xf numFmtId="0" fontId="2" fillId="3" borderId="4" xfId="0" applyFont="1" applyBorder="1" applyAlignment="1">
      <alignment horizontal="center" vertical="center" wrapText="1"/>
    </xf>
    <xf numFmtId="0" fontId="6" fillId="4" borderId="2" xfId="0" applyFont="1" applyBorder="1" applyAlignment="1">
      <alignment horizontal="center" vertical="center" wrapText="1"/>
    </xf>
    <xf numFmtId="0" fontId="7" fillId="4" borderId="2" xfId="0" applyFont="1" applyBorder="1" applyAlignment="1">
      <alignment horizontal="center" vertical="center" wrapText="1"/>
    </xf>
    <xf numFmtId="0" fontId="4" fillId="4" borderId="2" xfId="0" applyFont="1" applyBorder="1" applyAlignment="1">
      <alignment horizontal="center" vertical="center" wrapText="1"/>
    </xf>
    <xf numFmtId="0" fontId="2" fillId="4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4" borderId="2" xfId="0" applyFont="1" applyBorder="1" applyAlignment="1">
      <alignment horizontal="center" vertical="center" wrapText="1"/>
    </xf>
    <xf numFmtId="0" fontId="2" fillId="4" borderId="2" xfId="0" applyFont="1" applyBorder="1" applyAlignment="1">
      <alignment horizontal="center" vertical="center" wrapText="1"/>
    </xf>
    <xf numFmtId="0" fontId="4" fillId="4" borderId="2" xfId="0" applyFont="1" applyBorder="1" applyAlignment="1">
      <alignment horizontal="center" vertical="center" wrapText="1"/>
    </xf>
    <xf numFmtId="0" fontId="5" fillId="4" borderId="2" xfId="0" applyFont="1" applyBorder="1">
      <alignment vertical="center"/>
    </xf>
    <xf numFmtId="0" fontId="4" fillId="4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Border="1" applyAlignment="1">
      <alignment horizontal="center" vertical="center" wrapText="1"/>
    </xf>
    <xf numFmtId="0" fontId="2" fillId="4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4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bottom"/>
    </xf>
    <xf numFmtId="0" fontId="8" fillId="4" borderId="2" xfId="0" applyFont="1" applyBorder="1" applyAlignment="1">
      <alignment horizontal="center" vertical="bottom"/>
    </xf>
    <xf numFmtId="0" fontId="8" fillId="4" borderId="2" xfId="0" applyFont="1" applyBorder="1" applyAlignment="1">
      <alignment horizontal="center" vertical="bottom"/>
    </xf>
    <xf numFmtId="0" fontId="8" fillId="0" borderId="2" xfId="0" applyFont="1" applyBorder="1" applyAlignment="1">
      <alignment horizontal="center" vertical="bottom"/>
    </xf>
    <xf numFmtId="0" fontId="8" fillId="4" borderId="2" xfId="0" applyFont="1" applyBorder="1" applyAlignment="1">
      <alignment horizontal="center" vertical="bottom"/>
    </xf>
    <xf numFmtId="1" fontId="2" fillId="4" borderId="2" xfId="0" applyNumberFormat="1" applyFont="1" applyBorder="1" applyAlignment="1">
      <alignment horizontal="center" vertical="center" wrapText="1"/>
    </xf>
    <xf numFmtId="0" fontId="5" fillId="4" borderId="2" xfId="0" applyFont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Border="1" applyAlignment="1">
      <alignment horizontal="center" vertical="center" wrapText="1"/>
    </xf>
    <xf numFmtId="1" fontId="2" fillId="4" borderId="0" xfId="0" applyNumberFormat="1" applyFont="1" applyAlignment="1">
      <alignment horizontal="center" vertical="center" wrapText="1"/>
    </xf>
    <xf numFmtId="0" fontId="2" fillId="4" borderId="0" xfId="0" applyFont="1" applyAlignment="1">
      <alignment horizontal="center" vertical="center" wrapText="1"/>
    </xf>
    <xf numFmtId="0" fontId="9" fillId="4" borderId="0" xfId="0" applyFont="1" applyAlignment="1">
      <alignment horizontal="center" vertical="center" wrapText="1"/>
    </xf>
    <xf numFmtId="20" fontId="2" fillId="4" borderId="2" xfId="0" applyNumberFormat="1" applyFont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0" fontId="2" fillId="3" borderId="2" xfId="0" applyFont="1" applyBorder="1" applyAlignment="1">
      <alignment horizontal="center" vertical="center"/>
    </xf>
    <xf numFmtId="20" fontId="2" fillId="4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Border="1" applyAlignment="1">
      <alignment horizontal="center" vertical="center"/>
    </xf>
    <xf numFmtId="0" fontId="4" fillId="4" borderId="2" xfId="0" applyFont="1" applyBorder="1" applyAlignment="1">
      <alignment horizontal="center" vertical="center"/>
    </xf>
    <xf numFmtId="0" fontId="4" fillId="4" borderId="2" xfId="0" applyFont="1" applyBorder="1" applyAlignment="1">
      <alignment horizontal="center" vertical="center"/>
    </xf>
    <xf numFmtId="0" fontId="4" fillId="4" borderId="2" xfId="0" applyFont="1" applyBorder="1" applyAlignment="1">
      <alignment horizontal="center" vertical="center"/>
    </xf>
    <xf numFmtId="20" fontId="4" fillId="4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bottom"/>
    </xf>
    <xf numFmtId="0" fontId="4" fillId="0" borderId="2" xfId="0" applyFont="1" applyBorder="1" applyAlignment="1">
      <alignment horizontal="center" vertical="bottom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vertical="bottom"/>
    </xf>
    <xf numFmtId="0" fontId="10" fillId="0" borderId="0" xfId="0" applyFont="1" applyAlignment="1">
      <alignment vertical="bottom"/>
    </xf>
    <xf numFmtId="0" fontId="2" fillId="3" borderId="1" xfId="0" applyFont="1" applyBorder="1" applyAlignment="1">
      <alignment horizontal="center" vertical="center"/>
    </xf>
    <xf numFmtId="1" fontId="2" fillId="3" borderId="2" xfId="0" applyNumberFormat="1" applyFont="1" applyBorder="1" applyAlignment="1">
      <alignment horizontal="center" vertical="center"/>
    </xf>
    <xf numFmtId="0" fontId="2" fillId="3" borderId="2" xfId="0" applyFont="1" applyBorder="1" applyAlignment="1">
      <alignment horizontal="center" vertical="center"/>
    </xf>
    <xf numFmtId="0" fontId="2" fillId="4" borderId="2" xfId="0" applyFont="1" applyBorder="1" applyAlignment="1">
      <alignment horizontal="center" vertical="center"/>
    </xf>
    <xf numFmtId="0" fontId="2" fillId="4" borderId="2" xfId="0" applyFont="1" applyBorder="1" applyAlignment="1">
      <alignment horizontal="center" vertical="center"/>
    </xf>
    <xf numFmtId="20" fontId="2" fillId="4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Border="1" applyAlignment="1">
      <alignment horizontal="center" vertical="center"/>
    </xf>
    <xf numFmtId="0" fontId="2" fillId="4" borderId="2" xfId="0" applyFont="1" applyBorder="1" applyAlignment="1">
      <alignment horizontal="center" vertical="center"/>
    </xf>
    <xf numFmtId="0" fontId="5" fillId="4" borderId="2" xfId="0" applyFont="1" applyBorder="1" applyAlignment="1">
      <alignment horizontal="center" vertical="center"/>
    </xf>
    <xf numFmtId="0" fontId="5" fillId="4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bottom"/>
    </xf>
    <xf numFmtId="0" fontId="11" fillId="0" borderId="2" xfId="0" applyFont="1" applyBorder="1" applyAlignment="1">
      <alignment horizontal="center" vertical="bottom"/>
    </xf>
    <xf numFmtId="0" fontId="11" fillId="0" borderId="2" xfId="0" applyFont="1" applyBorder="1" applyAlignment="1">
      <alignment horizontal="center" vertical="center"/>
    </xf>
    <xf numFmtId="20" fontId="12" fillId="0" borderId="2" xfId="0" applyNumberFormat="1" applyFont="1" applyBorder="1" applyAlignment="1">
      <alignment horizontal="center" vertical="center"/>
    </xf>
    <xf numFmtId="0" fontId="12" fillId="4" borderId="2" xfId="0" applyFont="1" applyBorder="1" applyAlignment="1">
      <alignment horizontal="center" vertical="bottom"/>
    </xf>
    <xf numFmtId="0" fontId="12" fillId="4" borderId="2" xfId="0" applyFont="1" applyBorder="1" applyAlignment="1">
      <alignment horizontal="center" vertical="bottom"/>
    </xf>
    <xf numFmtId="0" fontId="12" fillId="4" borderId="2" xfId="0" applyFont="1" applyBorder="1" applyAlignment="1">
      <alignment horizontal="center" vertical="center" wrapText="1"/>
    </xf>
    <xf numFmtId="0" fontId="12" fillId="4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bottom"/>
    </xf>
    <xf numFmtId="0" fontId="10" fillId="0" borderId="2" xfId="0" applyFont="1" applyBorder="1" applyAlignment="1">
      <alignment vertical="bottom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vertical="bottom"/>
    </xf>
    <xf numFmtId="0" fontId="10" fillId="0" borderId="0" xfId="0" applyFont="1" applyAlignment="1">
      <alignment vertical="bottom"/>
    </xf>
    <xf numFmtId="0" fontId="7" fillId="0" borderId="0" xfId="0" applyFont="1" applyAlignment="1">
      <alignment horizontal="center" vertical="center"/>
    </xf>
    <xf numFmtId="0" fontId="7" fillId="4" borderId="0" xfId="0" applyFont="1" applyAlignment="1">
      <alignment vertical="bottom"/>
    </xf>
    <xf numFmtId="0" fontId="5" fillId="0" borderId="2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 wrapText="1"/>
    </xf>
    <xf numFmtId="1" fontId="2" fillId="4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0" fontId="2" fillId="4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0" fontId="5" fillId="4" borderId="2" xfId="0" applyFont="1" applyBorder="1" applyAlignment="1">
      <alignment horizontal="center" vertical="center"/>
    </xf>
    <xf numFmtId="164" fontId="2" fillId="4" borderId="2" xfId="0" applyNumberFormat="1" applyFont="1" applyBorder="1" applyAlignment="1">
      <alignment horizontal="center" vertical="center" wrapText="1"/>
    </xf>
    <xf numFmtId="164" fontId="2" fillId="4" borderId="2" xfId="0" applyNumberFormat="1" applyFont="1" applyBorder="1" applyAlignment="1">
      <alignment horizontal="center" vertical="center" wrapText="1"/>
    </xf>
    <xf numFmtId="165" fontId="2" fillId="4" borderId="2" xfId="0" applyNumberFormat="1" applyFont="1" applyBorder="1" applyAlignment="1">
      <alignment horizontal="center" vertical="center" wrapText="1"/>
    </xf>
    <xf numFmtId="165" fontId="2" fillId="4" borderId="2" xfId="0" applyNumberFormat="1" applyFont="1" applyBorder="1" applyAlignment="1">
      <alignment horizontal="center" vertical="center" wrapText="1"/>
    </xf>
    <xf numFmtId="0" fontId="5" fillId="4" borderId="2" xfId="0" applyFont="1" applyBorder="1" applyAlignment="1">
      <alignment horizontal="center" vertical="center"/>
    </xf>
    <xf numFmtId="0" fontId="14" fillId="4" borderId="0" xfId="0" applyFont="1" applyAlignment="1">
      <alignment horizontal="center" vertical="center"/>
    </xf>
    <xf numFmtId="0" fontId="15" fillId="0" borderId="0" xfId="0" applyFont="1" applyAlignment="1">
      <alignment vertical="bottom"/>
    </xf>
    <xf numFmtId="0" fontId="8" fillId="4" borderId="2" xfId="0" applyFont="1" applyBorder="1" applyAlignment="1">
      <alignment horizontal="center" vertical="bottom"/>
    </xf>
    <xf numFmtId="0" fontId="8" fillId="0" borderId="2" xfId="0" applyFont="1" applyBorder="1" applyAlignment="1">
      <alignment horizontal="center" vertical="bottom"/>
    </xf>
    <xf numFmtId="0" fontId="8" fillId="0" borderId="2" xfId="0" applyFont="1" applyBorder="1" applyAlignment="1">
      <alignment horizontal="center" vertical="bottom"/>
    </xf>
    <xf numFmtId="0" fontId="16" fillId="0" borderId="2" xfId="0" applyFont="1" applyBorder="1" applyAlignment="1">
      <alignment horizontal="center" vertical="bottom"/>
    </xf>
    <xf numFmtId="0" fontId="17" fillId="2" borderId="5" xfId="0" applyFont="1" applyBorder="1" applyAlignment="1">
      <alignment horizontal="center" vertical="bottom"/>
    </xf>
    <xf numFmtId="0" fontId="17" fillId="2" borderId="6" xfId="0" applyFont="1" applyBorder="1" applyAlignment="1">
      <alignment horizontal="center" vertical="bottom"/>
    </xf>
    <xf numFmtId="0" fontId="18" fillId="2" borderId="0" xfId="0" applyFont="1" applyBorder="1" applyAlignment="1">
      <alignment horizontal="center" vertical="center"/>
    </xf>
    <xf numFmtId="0" fontId="18" fillId="2" borderId="0" xfId="0" applyFont="1" applyBorder="1" applyAlignment="1">
      <alignment vertical="bottom"/>
    </xf>
    <xf numFmtId="0" fontId="17" fillId="5" borderId="5" xfId="0" applyFont="1" applyBorder="1" applyAlignment="1">
      <alignment horizontal="center" vertical="bottom"/>
    </xf>
    <xf numFmtId="0" fontId="17" fillId="5" borderId="6" xfId="0" applyFont="1" applyBorder="1" applyAlignment="1">
      <alignment horizontal="center" vertical="bottom"/>
    </xf>
    <xf numFmtId="0" fontId="18" fillId="5" borderId="0" xfId="0" applyFont="1" applyBorder="1" applyAlignment="1">
      <alignment horizontal="center" vertical="center"/>
    </xf>
    <xf numFmtId="0" fontId="18" fillId="5" borderId="0" xfId="0" applyFont="1" applyBorder="1" applyAlignment="1">
      <alignment vertical="bottom"/>
    </xf>
    <xf numFmtId="0" fontId="3" fillId="0" borderId="0" xfId="0" applyFont="1" applyBorder="1" applyAlignment="1">
      <alignment vertical="bottom"/>
    </xf>
    <xf numFmtId="0" fontId="19" fillId="0" borderId="0" xfId="0" applyFont="1" applyAlignment="1">
      <alignment horizontal="center" vertical="center"/>
    </xf>
    <xf numFmtId="20" fontId="20" fillId="0" borderId="7" xfId="0" applyNumberFormat="1" applyFont="1" applyBorder="1" applyAlignment="1">
      <alignment horizontal="center"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vertical="bottom"/>
    </xf>
    <xf numFmtId="0" fontId="19" fillId="0" borderId="10" xfId="0" applyFont="1" applyBorder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20" fontId="21" fillId="0" borderId="12" xfId="0" applyNumberFormat="1" applyFont="1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bottom"/>
    </xf>
    <xf numFmtId="20" fontId="21" fillId="0" borderId="15" xfId="0" applyNumberFormat="1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bottom"/>
    </xf>
    <xf numFmtId="20" fontId="21" fillId="0" borderId="10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20" fontId="21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9" fillId="0" borderId="5" xfId="0" applyFont="1" applyBorder="1">
      <alignment vertical="center"/>
    </xf>
    <xf numFmtId="0" fontId="21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vertical="bottom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3" borderId="2" xfId="0" applyFont="1" applyBorder="1" applyAlignment="1">
      <alignment horizontal="center" vertical="center"/>
    </xf>
    <xf numFmtId="0" fontId="12" fillId="3" borderId="2" xfId="0" applyFont="1" applyBorder="1" applyAlignment="1">
      <alignment horizontal="center" vertical="center"/>
    </xf>
    <xf numFmtId="0" fontId="23" fillId="3" borderId="2" xfId="0" applyFont="1" applyBorder="1" applyAlignment="1">
      <alignment vertical="bottom"/>
    </xf>
    <xf numFmtId="0" fontId="23" fillId="3" borderId="0" xfId="0" applyFont="1" applyBorder="1" applyAlignment="1">
      <alignment vertical="bottom"/>
    </xf>
    <xf numFmtId="0" fontId="12" fillId="3" borderId="3" xfId="0" applyFont="1" applyBorder="1" applyAlignment="1">
      <alignment horizontal="center" vertical="center"/>
    </xf>
    <xf numFmtId="0" fontId="3" fillId="0" borderId="18" xfId="0" applyFont="1" applyBorder="1" applyAlignment="1">
      <alignment vertical="bottom"/>
    </xf>
    <xf numFmtId="0" fontId="3" fillId="0" borderId="19" xfId="0" applyFont="1" applyBorder="1" applyAlignment="1">
      <alignment vertical="bottom"/>
    </xf>
    <xf numFmtId="0" fontId="12" fillId="3" borderId="0" xfId="0" applyFont="1" applyBorder="1" applyAlignment="1">
      <alignment horizontal="center" vertical="center"/>
    </xf>
    <xf numFmtId="1" fontId="12" fillId="4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4" borderId="3" xfId="0" applyFont="1" applyBorder="1" applyAlignment="1">
      <alignment horizontal="center" vertical="center"/>
    </xf>
    <xf numFmtId="0" fontId="12" fillId="4" borderId="0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2" fillId="4" borderId="2" xfId="0" applyFont="1" applyBorder="1" applyAlignment="1">
      <alignment horizontal="center" vertical="center" wrapText="1"/>
    </xf>
    <xf numFmtId="0" fontId="12" fillId="4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4" borderId="2" xfId="0" applyFont="1" applyBorder="1" applyAlignment="1">
      <alignment horizontal="center" vertical="bottom"/>
    </xf>
    <xf numFmtId="0" fontId="12" fillId="4" borderId="2" xfId="0" applyFont="1" applyBorder="1" applyAlignment="1">
      <alignment horizontal="center" vertical="center"/>
    </xf>
    <xf numFmtId="0" fontId="25" fillId="4" borderId="2" xfId="0" applyFont="1" applyBorder="1" applyAlignment="1">
      <alignment horizontal="center" vertical="center"/>
    </xf>
    <xf numFmtId="0" fontId="26" fillId="4" borderId="2" xfId="0" applyFont="1" applyBorder="1" applyAlignment="1">
      <alignment horizontal="center" vertical="center"/>
    </xf>
    <xf numFmtId="9" fontId="12" fillId="0" borderId="2" xfId="0" applyNumberFormat="1" applyFont="1" applyBorder="1" applyAlignment="1">
      <alignment horizontal="center" vertical="center"/>
    </xf>
    <xf numFmtId="1" fontId="12" fillId="4" borderId="2" xfId="0" applyNumberFormat="1" applyFont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bottom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4" borderId="0" xfId="0" applyFont="1" applyBorder="1" applyAlignment="1">
      <alignment horizontal="center" vertical="center" wrapText="1"/>
    </xf>
    <xf numFmtId="0" fontId="23" fillId="0" borderId="2" xfId="0" applyFont="1" applyBorder="1" applyAlignment="1">
      <alignment vertical="bottom"/>
    </xf>
    <xf numFmtId="0" fontId="23" fillId="0" borderId="0" xfId="0" applyFont="1" applyAlignment="1">
      <alignment vertical="bottom"/>
    </xf>
    <xf numFmtId="0" fontId="12" fillId="3" borderId="3" xfId="0" applyFont="1" applyBorder="1" applyAlignment="1">
      <alignment horizontal="center" vertical="center" wrapText="1"/>
    </xf>
    <xf numFmtId="0" fontId="12" fillId="3" borderId="0" xfId="0" applyFont="1" applyBorder="1" applyAlignment="1">
      <alignment horizontal="center" vertical="center" wrapText="1"/>
    </xf>
    <xf numFmtId="1" fontId="12" fillId="5" borderId="2" xfId="0" applyNumberFormat="1" applyFont="1" applyBorder="1" applyAlignment="1">
      <alignment horizontal="center" vertical="center" wrapText="1"/>
    </xf>
    <xf numFmtId="164" fontId="12" fillId="4" borderId="2" xfId="0" applyNumberFormat="1" applyFont="1" applyBorder="1" applyAlignment="1">
      <alignment horizontal="center" vertical="center"/>
    </xf>
    <xf numFmtId="1" fontId="12" fillId="4" borderId="2" xfId="0" applyNumberFormat="1" applyFont="1" applyBorder="1" applyAlignment="1">
      <alignment horizontal="center" vertical="center"/>
    </xf>
    <xf numFmtId="164" fontId="12" fillId="4" borderId="2" xfId="0" applyNumberFormat="1" applyFont="1" applyBorder="1" applyAlignment="1">
      <alignment horizontal="center" vertical="center"/>
    </xf>
    <xf numFmtId="0" fontId="28" fillId="4" borderId="2" xfId="0" applyFont="1" applyBorder="1" applyAlignment="1">
      <alignment horizontal="center" vertical="bottom" wrapText="1"/>
    </xf>
    <xf numFmtId="0" fontId="28" fillId="4" borderId="2" xfId="0" applyFont="1" applyBorder="1" applyAlignment="1">
      <alignment horizontal="center" vertical="bottom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4" borderId="2" xfId="0" applyFont="1" applyBorder="1" applyAlignment="1">
      <alignment horizontal="center" vertical="center" wrapText="1"/>
    </xf>
    <xf numFmtId="0" fontId="19" fillId="0" borderId="2" xfId="0" applyFont="1" applyBorder="1">
      <alignment vertical="center"/>
    </xf>
    <xf numFmtId="0" fontId="19" fillId="4" borderId="2" xfId="0" applyFont="1" applyBorder="1" applyAlignment="1">
      <alignment horizontal="center" vertical="center"/>
    </xf>
    <xf numFmtId="0" fontId="19" fillId="4" borderId="0" xfId="0" applyFont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0" xfId="0" applyFont="1" applyBorder="1" applyAlignment="1">
      <alignment horizontal="center" vertical="center"/>
    </xf>
    <xf numFmtId="0" fontId="29" fillId="3" borderId="3" xfId="0" applyFont="1" applyBorder="1" applyAlignment="1">
      <alignment horizontal="center" vertical="center"/>
    </xf>
    <xf numFmtId="0" fontId="29" fillId="3" borderId="0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4" borderId="2" xfId="0" applyFont="1" applyBorder="1" applyAlignment="1">
      <alignment horizontal="center" vertical="center"/>
    </xf>
    <xf numFmtId="0" fontId="30" fillId="4" borderId="0" xfId="0" applyFont="1" applyBorder="1" applyAlignment="1">
      <alignment horizontal="center" vertical="center"/>
    </xf>
    <xf numFmtId="0" fontId="23" fillId="0" borderId="2" xfId="0" applyFont="1" applyBorder="1">
      <alignment vertical="center"/>
    </xf>
    <xf numFmtId="0" fontId="23" fillId="0" borderId="0" xfId="0" applyFont="1">
      <alignment vertical="center"/>
    </xf>
    <xf numFmtId="0" fontId="12" fillId="4" borderId="2" xfId="0" applyFont="1" applyBorder="1" applyAlignment="1">
      <alignment horizontal="left" vertical="center"/>
    </xf>
    <xf numFmtId="0" fontId="12" fillId="4" borderId="0" xfId="0" applyFont="1" applyBorder="1" applyAlignment="1">
      <alignment horizontal="left" vertical="center"/>
    </xf>
    <xf numFmtId="0" fontId="12" fillId="5" borderId="2" xfId="0" applyFont="1" applyBorder="1" applyAlignment="1">
      <alignment horizontal="center" vertical="center"/>
    </xf>
    <xf numFmtId="9" fontId="12" fillId="4" borderId="2" xfId="0" applyNumberFormat="1" applyFont="1" applyBorder="1" applyAlignment="1">
      <alignment horizontal="center" vertical="center" wrapText="1"/>
    </xf>
    <xf numFmtId="0" fontId="11" fillId="3" borderId="2" xfId="0" applyFont="1" applyBorder="1" applyAlignment="1">
      <alignment horizontal="center" vertical="bottom"/>
    </xf>
    <xf numFmtId="0" fontId="24" fillId="3" borderId="2" xfId="0" applyFont="1" applyBorder="1" applyAlignment="1">
      <alignment vertical="bottom"/>
    </xf>
    <xf numFmtId="0" fontId="12" fillId="3" borderId="3" xfId="0" applyFont="1" applyBorder="1" applyAlignment="1">
      <alignment horizontal="center" vertical="center"/>
    </xf>
    <xf numFmtId="0" fontId="11" fillId="4" borderId="2" xfId="0" applyFont="1" applyBorder="1" applyAlignment="1">
      <alignment horizontal="center" vertical="bottom"/>
    </xf>
    <xf numFmtId="0" fontId="11" fillId="0" borderId="2" xfId="0" applyFont="1" applyBorder="1" applyAlignment="1">
      <alignment horizontal="center" vertical="bottom"/>
    </xf>
    <xf numFmtId="0" fontId="24" fillId="0" borderId="2" xfId="0" applyFont="1" applyBorder="1" applyAlignment="1">
      <alignment vertical="bottom"/>
    </xf>
    <xf numFmtId="0" fontId="25" fillId="4" borderId="2" xfId="0" applyFont="1" applyBorder="1" applyAlignment="1">
      <alignment horizontal="center" vertical="bottom"/>
    </xf>
    <xf numFmtId="0" fontId="24" fillId="4" borderId="2" xfId="0" applyFont="1" applyBorder="1" applyAlignment="1">
      <alignment vertical="bottom"/>
    </xf>
    <xf numFmtId="9" fontId="11" fillId="0" borderId="2" xfId="0" applyNumberFormat="1" applyFont="1" applyBorder="1" applyAlignment="1">
      <alignment horizontal="center" vertical="bottom"/>
    </xf>
    <xf numFmtId="0" fontId="24" fillId="10" borderId="2" xfId="0" applyFont="1" applyFill="1" applyBorder="1" applyAlignment="1">
      <alignment vertical="bottom"/>
    </xf>
    <xf numFmtId="0" fontId="24" fillId="0" borderId="0" xfId="0" applyFont="1" applyAlignment="1">
      <alignment vertical="bottom"/>
    </xf>
    <xf numFmtId="0" fontId="31" fillId="4" borderId="0" xfId="0" applyFont="1" applyBorder="1" applyAlignment="1">
      <alignment horizontal="center" vertical="bottom"/>
    </xf>
    <xf numFmtId="166" fontId="32" fillId="11" borderId="2" xfId="0" applyNumberFormat="1" applyFont="1" applyFill="1" applyBorder="1" applyAlignment="1">
      <alignment horizontal="center" vertical="bottom"/>
    </xf>
    <xf numFmtId="0" fontId="32" fillId="11" borderId="2" xfId="0" applyFont="1" applyBorder="1" applyAlignment="1">
      <alignment horizontal="center" vertical="bottom"/>
    </xf>
    <xf numFmtId="0" fontId="32" fillId="11" borderId="2" xfId="0" applyFont="1" applyBorder="1" applyAlignment="1">
      <alignment horizontal="center" vertical="bottom"/>
    </xf>
    <xf numFmtId="0" fontId="19" fillId="4" borderId="0" xfId="0" applyFont="1" applyBorder="1" applyAlignment="1">
      <alignment vertical="bottom"/>
    </xf>
    <xf numFmtId="0" fontId="33" fillId="4" borderId="0" xfId="0" applyFont="1" applyBorder="1" applyAlignment="1">
      <alignment horizontal="center" vertical="bottom"/>
    </xf>
    <xf numFmtId="0" fontId="33" fillId="4" borderId="2" xfId="0" applyFont="1" applyBorder="1" applyAlignment="1">
      <alignment horizontal="center" vertical="bottom"/>
    </xf>
    <xf numFmtId="0" fontId="33" fillId="4" borderId="2" xfId="0" applyFont="1" applyBorder="1" applyAlignment="1">
      <alignment horizontal="center" vertical="bottom"/>
    </xf>
    <xf numFmtId="0" fontId="19" fillId="0" borderId="0" xfId="0" applyFont="1" applyAlignment="1">
      <alignment vertical="bottom"/>
    </xf>
    <xf numFmtId="0" fontId="32" fillId="4" borderId="2" xfId="0" applyFont="1" applyBorder="1" applyAlignment="1">
      <alignment horizontal="center" vertical="bottom"/>
    </xf>
    <xf numFmtId="0" fontId="34" fillId="4" borderId="2" xfId="0" applyFont="1" applyBorder="1" applyAlignment="1">
      <alignment vertical="bottom"/>
    </xf>
    <xf numFmtId="0" fontId="35" fillId="4" borderId="2" xfId="0" applyFont="1" applyBorder="1" applyAlignment="1">
      <alignment horizontal="center" vertical="bottom"/>
    </xf>
    <xf numFmtId="0" fontId="33" fillId="5" borderId="0" xfId="0" applyFont="1" applyBorder="1" applyAlignment="1">
      <alignment horizontal="center" vertical="bottom"/>
    </xf>
    <xf numFmtId="0" fontId="33" fillId="5" borderId="2" xfId="0" applyFont="1" applyBorder="1" applyAlignment="1">
      <alignment horizontal="center" vertical="bottom"/>
    </xf>
    <xf numFmtId="0" fontId="33" fillId="5" borderId="2" xfId="0" applyFont="1" applyBorder="1" applyAlignment="1">
      <alignment horizontal="center" vertical="bottom"/>
    </xf>
    <xf numFmtId="0" fontId="19" fillId="5" borderId="0" xfId="0" applyFont="1" applyBorder="1" applyAlignment="1">
      <alignment vertical="bottom"/>
    </xf>
    <xf numFmtId="0" fontId="36" fillId="11" borderId="2" xfId="0" applyFont="1" applyBorder="1" applyAlignment="1">
      <alignment horizontal="center" vertical="bottom"/>
    </xf>
    <xf numFmtId="0" fontId="33" fillId="12" borderId="0" xfId="0" applyFont="1" applyFill="1" applyBorder="1" applyAlignment="1">
      <alignment horizontal="center" vertical="bottom"/>
    </xf>
    <xf numFmtId="0" fontId="33" fillId="12" borderId="2" xfId="0" applyFont="1" applyBorder="1" applyAlignment="1">
      <alignment horizontal="center" vertical="bottom"/>
    </xf>
    <xf numFmtId="0" fontId="31" fillId="12" borderId="2" xfId="0" applyFont="1" applyBorder="1" applyAlignment="1">
      <alignment horizontal="center" vertical="bottom"/>
    </xf>
    <xf numFmtId="0" fontId="33" fillId="12" borderId="2" xfId="0" applyFont="1" applyBorder="1" applyAlignment="1">
      <alignment horizontal="center" vertical="bottom"/>
    </xf>
    <xf numFmtId="0" fontId="19" fillId="12" borderId="0" xfId="0" applyFont="1" applyBorder="1" applyAlignment="1">
      <alignment vertical="bottom"/>
    </xf>
    <xf numFmtId="0" fontId="34" fillId="4" borderId="2" xfId="0" applyFont="1" applyBorder="1" applyAlignment="1">
      <alignment horizontal="center" vertical="bottom"/>
    </xf>
    <xf numFmtId="0" fontId="32" fillId="4" borderId="19" xfId="0" applyFont="1" applyBorder="1" applyAlignment="1">
      <alignment horizontal="center" vertical="bottom"/>
    </xf>
    <xf numFmtId="0" fontId="31" fillId="4" borderId="2" xfId="0" applyFont="1" applyBorder="1" applyAlignment="1">
      <alignment horizontal="center" vertical="bottom"/>
    </xf>
    <xf numFmtId="0" fontId="33" fillId="4" borderId="17" xfId="0" applyFont="1" applyBorder="1" applyAlignment="1">
      <alignment horizontal="center" vertical="bottom"/>
    </xf>
    <xf numFmtId="0" fontId="32" fillId="11" borderId="18" xfId="0" applyFont="1" applyBorder="1" applyAlignment="1">
      <alignment horizontal="center" vertical="bottom"/>
    </xf>
    <xf numFmtId="0" fontId="32" fillId="11" borderId="18" xfId="0" applyFont="1" applyBorder="1" applyAlignment="1">
      <alignment horizontal="center" vertical="bottom"/>
    </xf>
    <xf numFmtId="0" fontId="32" fillId="11" borderId="19" xfId="0" applyFont="1" applyBorder="1" applyAlignment="1">
      <alignment horizontal="center" vertical="bottom"/>
    </xf>
    <xf numFmtId="0" fontId="32" fillId="11" borderId="3" xfId="0" applyFont="1" applyBorder="1" applyAlignment="1">
      <alignment horizontal="center" vertical="bottom"/>
    </xf>
    <xf numFmtId="0" fontId="31" fillId="4" borderId="2" xfId="0" applyFont="1" applyBorder="1" applyAlignment="1">
      <alignment horizontal="center" vertical="bottom"/>
    </xf>
    <xf numFmtId="0" fontId="36" fillId="11" borderId="2" xfId="0" applyFont="1" applyBorder="1" applyAlignment="1">
      <alignment horizontal="center" vertical="bottom"/>
    </xf>
    <xf numFmtId="0" fontId="33" fillId="4" borderId="1" xfId="0" applyFont="1" applyBorder="1" applyAlignment="1">
      <alignment horizontal="center" vertical="bottom"/>
    </xf>
    <xf numFmtId="0" fontId="30" fillId="4" borderId="2" xfId="0" applyFont="1" applyBorder="1" applyAlignment="1">
      <alignment horizontal="center" vertical="bottom"/>
    </xf>
    <xf numFmtId="0" fontId="30" fillId="4" borderId="2" xfId="0" applyFont="1" applyBorder="1" applyAlignment="1">
      <alignment horizontal="center" vertical="bottom"/>
    </xf>
    <xf numFmtId="0" fontId="37" fillId="11" borderId="2" xfId="0" applyFont="1" applyBorder="1" applyAlignment="1">
      <alignment horizontal="center" vertical="bottom"/>
    </xf>
    <xf numFmtId="0" fontId="37" fillId="11" borderId="2" xfId="0" applyFont="1" applyBorder="1" applyAlignment="1">
      <alignment horizontal="center" vertical="bottom"/>
    </xf>
    <xf numFmtId="0" fontId="32" fillId="4" borderId="2" xfId="0" applyFont="1" applyBorder="1" applyAlignment="1">
      <alignment horizontal="right" vertical="bottom"/>
    </xf>
    <xf numFmtId="0" fontId="32" fillId="4" borderId="3" xfId="0" applyFont="1" applyBorder="1" applyAlignment="1">
      <alignment horizontal="center" vertical="bottom"/>
    </xf>
    <xf numFmtId="0" fontId="32" fillId="4" borderId="18" xfId="0" applyFont="1" applyBorder="1" applyAlignment="1">
      <alignment horizontal="center" vertical="bottom"/>
    </xf>
    <xf numFmtId="0" fontId="36" fillId="4" borderId="2" xfId="0" applyFont="1" applyBorder="1" applyAlignment="1">
      <alignment horizontal="center" vertical="bottom"/>
    </xf>
    <xf numFmtId="0" fontId="37" fillId="4" borderId="2" xfId="0" applyFont="1" applyBorder="1" applyAlignment="1">
      <alignment horizontal="center" vertical="bottom"/>
    </xf>
    <xf numFmtId="0" fontId="38" fillId="4" borderId="2" xfId="0" applyFont="1" applyBorder="1" applyAlignment="1">
      <alignment horizontal="center" vertical="bottom"/>
    </xf>
    <xf numFmtId="0" fontId="34" fillId="4" borderId="6" xfId="0" applyFont="1" applyBorder="1" applyAlignment="1">
      <alignment vertical="bottom"/>
    </xf>
    <xf numFmtId="0" fontId="38" fillId="4" borderId="2" xfId="0" applyFont="1" applyBorder="1" applyAlignment="1">
      <alignment horizontal="center" vertical="bottom" wrapText="1"/>
    </xf>
    <xf numFmtId="0" fontId="39" fillId="4" borderId="2" xfId="0" applyFont="1" applyBorder="1" applyAlignment="1">
      <alignment horizontal="center" vertical="bottom" wrapText="1"/>
    </xf>
    <xf numFmtId="0" fontId="34" fillId="4" borderId="2" xfId="0" applyFont="1" applyBorder="1" applyAlignment="1">
      <alignment horizontal="center" vertical="bottom" wrapText="1"/>
    </xf>
    <xf numFmtId="0" fontId="38" fillId="4" borderId="3" xfId="0" applyFont="1" applyBorder="1" applyAlignment="1">
      <alignment horizontal="center" vertical="bottom"/>
    </xf>
    <xf numFmtId="0" fontId="31" fillId="4" borderId="0" xfId="0" applyFont="1" applyBorder="1" applyAlignment="1">
      <alignment vertical="bottom"/>
    </xf>
    <xf numFmtId="0" fontId="34" fillId="4" borderId="19" xfId="0" applyFont="1" applyBorder="1" applyAlignment="1">
      <alignment vertical="bottom"/>
    </xf>
    <xf numFmtId="0" fontId="35" fillId="4" borderId="2" xfId="0" applyFont="1" applyBorder="1" applyAlignment="1">
      <alignment horizontal="center" vertical="bottom" wrapText="1"/>
    </xf>
    <xf numFmtId="0" fontId="33" fillId="4" borderId="17" xfId="0" applyFont="1" applyBorder="1" applyAlignment="1">
      <alignment horizontal="right" vertical="bottom"/>
    </xf>
    <xf numFmtId="0" fontId="34" fillId="4" borderId="1" xfId="0" applyFont="1" applyBorder="1" applyAlignment="1">
      <alignment vertical="bottom"/>
    </xf>
    <xf numFmtId="0" fontId="30" fillId="0" borderId="0" xfId="0" applyFont="1" applyAlignment="1">
      <alignment horizontal="center" vertical="bottom"/>
    </xf>
    <xf numFmtId="0" fontId="30" fillId="0" borderId="2" xfId="0" applyFont="1" applyBorder="1" applyAlignment="1">
      <alignment horizontal="center" vertical="bottom"/>
    </xf>
    <xf numFmtId="0" fontId="30" fillId="0" borderId="2" xfId="0" applyFont="1" applyBorder="1" applyAlignment="1">
      <alignment horizontal="center" vertical="bottom"/>
    </xf>
    <xf numFmtId="0" fontId="30" fillId="4" borderId="0" xfId="0" applyFont="1" applyBorder="1" applyAlignment="1">
      <alignment horizontal="center" vertical="bottom"/>
    </xf>
    <xf numFmtId="0" fontId="37" fillId="11" borderId="3" xfId="0" applyFont="1" applyBorder="1" applyAlignment="1">
      <alignment horizontal="center" vertical="bottom"/>
    </xf>
    <xf numFmtId="0" fontId="37" fillId="11" borderId="18" xfId="0" applyFont="1" applyBorder="1" applyAlignment="1">
      <alignment horizontal="center" vertical="bottom"/>
    </xf>
    <xf numFmtId="0" fontId="37" fillId="11" borderId="18" xfId="0" applyFont="1" applyBorder="1" applyAlignment="1">
      <alignment horizontal="center" vertical="bottom"/>
    </xf>
    <xf numFmtId="0" fontId="37" fillId="11" borderId="19" xfId="0" applyFont="1" applyBorder="1" applyAlignment="1">
      <alignment horizontal="center" vertical="bottom"/>
    </xf>
    <xf numFmtId="0" fontId="30" fillId="4" borderId="17" xfId="0" applyFont="1" applyBorder="1" applyAlignment="1">
      <alignment horizontal="center" vertical="bottom"/>
    </xf>
    <xf numFmtId="0" fontId="30" fillId="0" borderId="1" xfId="0" applyFont="1" applyBorder="1" applyAlignment="1">
      <alignment horizontal="center" vertical="bottom"/>
    </xf>
    <xf numFmtId="0" fontId="37" fillId="11" borderId="0" xfId="0" applyFont="1" applyBorder="1" applyAlignment="1">
      <alignment horizontal="center" vertical="bottom"/>
    </xf>
    <xf numFmtId="0" fontId="37" fillId="11" borderId="3" xfId="0" applyFont="1" applyBorder="1" applyAlignment="1">
      <alignment horizontal="center" vertical="bottom"/>
    </xf>
    <xf numFmtId="0" fontId="30" fillId="13" borderId="2" xfId="0" applyFont="1" applyFill="1" applyBorder="1" applyAlignment="1">
      <alignment horizontal="center" vertical="bottom"/>
    </xf>
    <xf numFmtId="0" fontId="30" fillId="13" borderId="2" xfId="0" applyFont="1" applyBorder="1" applyAlignment="1">
      <alignment horizontal="center" vertical="bottom"/>
    </xf>
    <xf numFmtId="0" fontId="37" fillId="11" borderId="0" xfId="0" applyFont="1" applyBorder="1" applyAlignment="1">
      <alignment horizontal="center" vertical="bottom"/>
    </xf>
    <xf numFmtId="0" fontId="30" fillId="14" borderId="2" xfId="0" applyFont="1" applyFill="1" applyBorder="1" applyAlignment="1">
      <alignment horizontal="center" vertical="bottom"/>
    </xf>
    <xf numFmtId="0" fontId="30" fillId="14" borderId="2" xfId="0" applyFont="1" applyBorder="1" applyAlignment="1">
      <alignment horizontal="center" vertical="bottom"/>
    </xf>
    <xf numFmtId="0" fontId="19" fillId="14" borderId="0" xfId="0" applyFont="1" applyBorder="1" applyAlignment="1">
      <alignment horizontal="center" vertical="center"/>
    </xf>
    <xf numFmtId="0" fontId="19" fillId="14" borderId="0" xfId="0" applyFont="1" applyBorder="1" applyAlignment="1">
      <alignment vertical="bottom"/>
    </xf>
    <xf numFmtId="0" fontId="40" fillId="11" borderId="2" xfId="0" applyFont="1" applyBorder="1" applyAlignment="1">
      <alignment horizontal="center" vertical="bottom"/>
    </xf>
    <xf numFmtId="0" fontId="31" fillId="14" borderId="2" xfId="0" applyFont="1" applyBorder="1" applyAlignment="1">
      <alignment horizontal="center" vertical="bottom"/>
    </xf>
    <xf numFmtId="0" fontId="31" fillId="14" borderId="2" xfId="0" applyFont="1" applyBorder="1" applyAlignment="1">
      <alignment horizontal="center" vertical="bottom"/>
    </xf>
    <xf numFmtId="0" fontId="41" fillId="14" borderId="2" xfId="0" applyFont="1" applyBorder="1" applyAlignment="1">
      <alignment horizontal="center" vertical="bottom"/>
    </xf>
    <xf numFmtId="0" fontId="34" fillId="4" borderId="0" xfId="0" applyFont="1" applyBorder="1" applyAlignment="1">
      <alignment vertical="bottom"/>
    </xf>
    <xf numFmtId="0" fontId="38" fillId="4" borderId="0" xfId="0" applyFont="1" applyBorder="1" applyAlignment="1">
      <alignment horizontal="center" vertical="bottom"/>
    </xf>
    <xf numFmtId="0" fontId="30" fillId="4" borderId="0" xfId="0" applyFont="1" applyBorder="1" applyAlignment="1">
      <alignment horizontal="right" vertical="bottom"/>
    </xf>
    <xf numFmtId="0" fontId="38" fillId="4" borderId="0" xfId="0" applyFont="1" applyBorder="1" applyAlignment="1">
      <alignment horizontal="center" vertical="bottom"/>
    </xf>
    <xf numFmtId="0" fontId="3" fillId="0" borderId="0" xfId="0" applyFont="1" applyBorder="1" applyAlignment="1">
      <alignment vertical="bottom"/>
    </xf>
    <xf numFmtId="1" fontId="30" fillId="4" borderId="2" xfId="0" applyNumberFormat="1" applyFont="1" applyBorder="1" applyAlignment="1">
      <alignment horizontal="center" vertical="center"/>
    </xf>
    <xf numFmtId="0" fontId="30" fillId="4" borderId="2" xfId="0" applyFont="1" applyBorder="1" applyAlignment="1">
      <alignment horizontal="center" vertical="center"/>
    </xf>
    <xf numFmtId="1" fontId="35" fillId="15" borderId="2" xfId="0" applyNumberFormat="1" applyFont="1" applyFill="1" applyBorder="1" applyAlignment="1">
      <alignment horizontal="center" vertical="bottom" wrapText="1"/>
    </xf>
    <xf numFmtId="0" fontId="35" fillId="4" borderId="2" xfId="0" applyFont="1" applyBorder="1" applyAlignment="1">
      <alignment horizontal="center" vertical="bottom" wrapText="1"/>
    </xf>
    <xf numFmtId="164" fontId="35" fillId="4" borderId="2" xfId="0" applyNumberFormat="1" applyFont="1" applyBorder="1" applyAlignment="1">
      <alignment horizontal="center" vertical="bottom" wrapText="1"/>
    </xf>
    <xf numFmtId="1" fontId="35" fillId="4" borderId="2" xfId="0" applyNumberFormat="1" applyFont="1" applyBorder="1" applyAlignment="1">
      <alignment horizontal="center" vertical="bottom" wrapText="1"/>
    </xf>
    <xf numFmtId="164" fontId="35" fillId="4" borderId="2" xfId="0" applyNumberFormat="1" applyFont="1" applyBorder="1" applyAlignment="1">
      <alignment horizontal="center" vertical="bottom" wrapText="1"/>
    </xf>
    <xf numFmtId="164" fontId="19" fillId="4" borderId="2" xfId="0" applyNumberFormat="1" applyFont="1" applyBorder="1" applyAlignment="1">
      <alignment vertical="bottom"/>
    </xf>
    <xf numFmtId="1" fontId="19" fillId="4" borderId="2" xfId="0" applyNumberFormat="1" applyFont="1" applyBorder="1" applyAlignment="1">
      <alignment vertical="bottom"/>
    </xf>
    <xf numFmtId="0" fontId="19" fillId="4" borderId="2" xfId="0" applyFont="1" applyBorder="1" applyAlignment="1">
      <alignment vertical="bottom"/>
    </xf>
    <xf numFmtId="1" fontId="35" fillId="4" borderId="2" xfId="0" applyNumberFormat="1" applyFont="1" applyBorder="1" applyAlignment="1">
      <alignment horizontal="center" vertical="bottom" wrapText="1"/>
    </xf>
    <xf numFmtId="1" fontId="35" fillId="15" borderId="2" xfId="0" applyNumberFormat="1" applyFont="1" applyBorder="1" applyAlignment="1">
      <alignment horizontal="center" vertical="bottom" wrapText="1"/>
    </xf>
    <xf numFmtId="1" fontId="19" fillId="0" borderId="0" xfId="0" applyNumberFormat="1" applyFont="1" applyAlignment="1">
      <alignment vertical="bottom"/>
    </xf>
    <xf numFmtId="164" fontId="35" fillId="5" borderId="2" xfId="0" applyNumberFormat="1" applyFont="1" applyBorder="1" applyAlignment="1">
      <alignment horizontal="center" vertical="bottom" wrapText="1"/>
    </xf>
    <xf numFmtId="164" fontId="33" fillId="4" borderId="2" xfId="0" applyNumberFormat="1" applyFont="1" applyBorder="1" applyAlignment="1">
      <alignment horizontal="center" vertical="center" wrapText="1"/>
    </xf>
    <xf numFmtId="1" fontId="42" fillId="16" borderId="3" xfId="0" applyNumberFormat="1" applyFont="1" applyFill="1" applyBorder="1" applyAlignment="1">
      <alignment horizontal="center" vertical="bottom"/>
    </xf>
    <xf numFmtId="0" fontId="21" fillId="0" borderId="0" xfId="0" applyFont="1" applyAlignment="1">
      <alignment vertical="bottom"/>
    </xf>
    <xf numFmtId="0" fontId="21" fillId="4" borderId="0" xfId="0" applyFont="1" applyBorder="1" applyAlignment="1">
      <alignment vertical="bottom"/>
    </xf>
    <xf numFmtId="0" fontId="21" fillId="17" borderId="19" xfId="0" applyFont="1" applyFill="1" applyBorder="1" applyAlignment="1">
      <alignment horizontal="center" vertical="bottom"/>
    </xf>
    <xf numFmtId="0" fontId="21" fillId="17" borderId="2" xfId="0" applyFont="1" applyBorder="1" applyAlignment="1">
      <alignment horizontal="center" vertical="bottom"/>
    </xf>
    <xf numFmtId="0" fontId="43" fillId="17" borderId="2" xfId="0" applyFont="1" applyBorder="1" applyAlignment="1">
      <alignment horizontal="center" vertical="center"/>
    </xf>
    <xf numFmtId="0" fontId="28" fillId="4" borderId="0" xfId="0" applyFont="1" applyBorder="1" applyAlignment="1">
      <alignment horizontal="center" vertical="center" wrapText="1"/>
    </xf>
    <xf numFmtId="0" fontId="44" fillId="4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1" fillId="4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18" borderId="0" xfId="0" applyFont="1" applyFill="1" applyBorder="1" applyAlignment="1">
      <alignment horizontal="center" vertical="center"/>
    </xf>
    <xf numFmtId="0" fontId="39" fillId="19" borderId="0" xfId="0" applyFont="1" applyFill="1" applyBorder="1" applyAlignment="1">
      <alignment horizontal="center" vertical="center"/>
    </xf>
    <xf numFmtId="0" fontId="39" fillId="20" borderId="0" xfId="0" applyFont="1" applyFill="1" applyBorder="1" applyAlignment="1">
      <alignment horizontal="center" vertical="center"/>
    </xf>
    <xf numFmtId="0" fontId="39" fillId="4" borderId="0" xfId="0" applyFont="1" applyBorder="1" applyAlignment="1">
      <alignment horizontal="center" vertical="center"/>
    </xf>
    <xf numFmtId="0" fontId="30" fillId="13" borderId="2" xfId="0" applyFont="1" applyBorder="1" applyAlignment="1">
      <alignment horizontal="center" vertical="center"/>
    </xf>
    <xf numFmtId="0" fontId="30" fillId="13" borderId="2" xfId="0" applyFont="1" applyBorder="1" applyAlignment="1">
      <alignment horizontal="center" vertical="center"/>
    </xf>
    <xf numFmtId="0" fontId="19" fillId="0" borderId="0" xfId="0" applyFont="1" applyAlignment="1">
      <alignment vertical="bottom"/>
    </xf>
  </cellXfs>
  <cellStyles count="1">
    <cellStyle name="常规" xfId="0" builtinId="0"/>
  </cellStyles>
  <dxfs count="536"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>
        <color rgb="FF000000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>
        <color rgb="FF000000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>
        <color rgb="FF000000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>
        <color rgb="FF000000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>
        <color rgb="FF000000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B7E1CD"/>
          <bgColor rgb="FFB7E1CD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00FF00"/>
          <bgColor rgb="FF00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</dxfs>
  <tableStyles count="1">
    <tableStyle name="Sat-style" pivot="0" count="2">
      <tableStyleElement type="firstRowStripe" dxfId="534"/>
      <tableStyleElement type="secondRowStripe" dxfId="535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www.wps.cn/officeDocument/2020/cellImage" Target="cellimages.xml"/><Relationship Id="rId17" Type="http://schemas.openxmlformats.org/officeDocument/2006/relationships/sharedStrings" Target="sharedStrings.xml"/><Relationship Id="rId18" Type="http://schemas.openxmlformats.org/officeDocument/2006/relationships/styles" Target="styles.xml"/><Relationship Id="rId1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displayName="Table_1" id="1" headerRowCount="0" insertRow="0" insertRowShift="0" name="Table_1" published="0" ref="B1473:E1474">
  <tableColumns count="4">
    <tableColumn id="1" name="Column1"/>
    <tableColumn id="2" name="Column2"/>
    <tableColumn id="3" name="Column3"/>
    <tableColumn id="4" name="Column4"/>
  </tableColumns>
  <tableStyleInfo showFirstColumn="1" showLastColumn="1" showRowStripes="1" showColumnStripes="0" name="Sat-style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"/>
  <sheetViews>
    <sheetView workbookViewId="0">
      <selection activeCell="A1" sqref="A1"/>
    </sheetView>
  </sheetViews>
  <sheetFormatPr defaultRowHeight="15.0" customHeight="1" defaultColWidth="12"/>
  <cols>
    <col min="2" max="2" customWidth="1" width="23.128906" style="0"/>
    <col min="4" max="4" customWidth="1" width="14.628906" style="0"/>
  </cols>
  <sheetData>
    <row r="1" spans="8:8" ht="15.0">
      <c r="A1" s="1" t="s">
        <v>0</v>
      </c>
      <c r="B1" s="2" t="s">
        <v>1</v>
      </c>
      <c r="C1" s="3" t="s">
        <v>2</v>
      </c>
      <c r="D1" s="1"/>
      <c r="E1" s="1"/>
    </row>
    <row r="2" spans="8:8" ht="15.0">
      <c r="A2" s="1" t="s">
        <v>3</v>
      </c>
      <c r="B2" s="2" t="s">
        <v>4</v>
      </c>
      <c r="C2" s="3" t="s">
        <v>2</v>
      </c>
      <c r="D2" s="1"/>
      <c r="E2" s="1"/>
    </row>
    <row r="3" spans="8:8" ht="15.0">
      <c r="A3" s="1" t="s">
        <v>5</v>
      </c>
      <c r="B3" s="1" t="s">
        <v>6</v>
      </c>
      <c r="C3" s="3" t="s">
        <v>7</v>
      </c>
      <c r="D3" s="1">
        <v>2018.0</v>
      </c>
      <c r="E3" s="1">
        <v>2011.0</v>
      </c>
    </row>
    <row r="4" spans="8:8" ht="15.0">
      <c r="A4" s="1" t="s">
        <v>8</v>
      </c>
      <c r="B4" s="1" t="s">
        <v>9</v>
      </c>
      <c r="C4" s="3" t="s">
        <v>10</v>
      </c>
      <c r="D4" s="1"/>
      <c r="E4" s="1" t="s">
        <v>11</v>
      </c>
      <c r="F4" s="3" t="s">
        <v>10</v>
      </c>
      <c r="G4" s="4" t="s">
        <v>12</v>
      </c>
    </row>
    <row r="5" spans="8:8" ht="15.0">
      <c r="D5" s="5" t="s">
        <v>13</v>
      </c>
    </row>
    <row r="6" spans="8:8" ht="15.0">
      <c r="A6" s="4" t="s">
        <v>14</v>
      </c>
      <c r="B6" s="5" t="s">
        <v>15</v>
      </c>
    </row>
    <row r="7" spans="8:8" ht="15.0">
      <c r="A7" s="5" t="s">
        <v>16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93C47D"/>
    <pageSetUpPr fitToPage="1"/>
  </sheetPr>
  <dimension ref="A1:I2831"/>
  <sheetViews>
    <sheetView tabSelected="1" workbookViewId="0" topLeftCell="B1636" zoomScale="30">
      <selection activeCell="C1654" sqref="C1654"/>
    </sheetView>
  </sheetViews>
  <sheetFormatPr defaultRowHeight="15.0" customHeight="1" defaultColWidth="12"/>
  <cols>
    <col min="1" max="1" customWidth="1" width="9.378906" style="0"/>
    <col min="2" max="2" customWidth="1" width="45.0" style="0"/>
    <col min="4" max="4" customWidth="1" width="51.628906" style="0"/>
    <col min="5" max="5" customWidth="1" width="12.5" style="0"/>
    <col min="6" max="6" customWidth="1" width="12.878906" style="0"/>
    <col min="7" max="7" customWidth="1" width="40.628906" style="0"/>
  </cols>
  <sheetData>
    <row r="1" spans="8:8" ht="60.0" customHeight="1">
      <c r="A1" s="6" t="s">
        <v>17</v>
      </c>
      <c r="B1" s="7"/>
      <c r="C1" s="7"/>
      <c r="D1" s="7"/>
      <c r="E1" s="7"/>
      <c r="F1" s="7"/>
      <c r="G1" s="7"/>
    </row>
    <row r="2" spans="8:8" ht="15.0">
      <c r="A2" s="8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10" t="s">
        <v>23</v>
      </c>
      <c r="G2" s="9" t="s">
        <v>24</v>
      </c>
    </row>
    <row r="3" spans="8:8" ht="15.0">
      <c r="A3" s="8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10" t="s">
        <v>23</v>
      </c>
      <c r="G3" s="9" t="s">
        <v>25</v>
      </c>
    </row>
    <row r="4" spans="8:8" ht="32.25" customHeight="1">
      <c r="A4" s="11">
        <v>1.0</v>
      </c>
      <c r="B4" s="12" t="s">
        <v>26</v>
      </c>
      <c r="C4" s="13">
        <v>250226.0</v>
      </c>
      <c r="D4" s="12" t="s">
        <v>27</v>
      </c>
      <c r="E4" s="13" t="s">
        <v>28</v>
      </c>
      <c r="F4" s="14">
        <v>0.4166666666666667</v>
      </c>
      <c r="G4" s="13"/>
    </row>
    <row r="5" spans="8:8" ht="32.25" customHeight="1">
      <c r="A5" s="11">
        <v>2.0</v>
      </c>
      <c r="B5" s="12" t="s">
        <v>29</v>
      </c>
      <c r="C5" s="13">
        <v>250026.0</v>
      </c>
      <c r="D5" s="12" t="s">
        <v>27</v>
      </c>
      <c r="E5" s="13" t="s">
        <v>28</v>
      </c>
      <c r="F5" s="14">
        <v>0.4166666666666667</v>
      </c>
      <c r="G5" s="13"/>
    </row>
    <row r="6" spans="8:8" ht="32.25" customHeight="1">
      <c r="A6" s="11">
        <v>3.0</v>
      </c>
      <c r="B6" s="12" t="s">
        <v>30</v>
      </c>
      <c r="C6" s="13">
        <v>250028.0</v>
      </c>
      <c r="D6" s="12" t="s">
        <v>27</v>
      </c>
      <c r="E6" s="13" t="s">
        <v>28</v>
      </c>
      <c r="F6" s="14">
        <v>0.4166666666666667</v>
      </c>
      <c r="G6" s="13"/>
    </row>
    <row r="7" spans="8:8" ht="32.25" customHeight="1">
      <c r="A7" s="11">
        <v>4.0</v>
      </c>
      <c r="B7" s="12" t="s">
        <v>31</v>
      </c>
      <c r="C7" s="13">
        <v>250040.0</v>
      </c>
      <c r="D7" s="12" t="s">
        <v>27</v>
      </c>
      <c r="E7" s="13" t="s">
        <v>28</v>
      </c>
      <c r="F7" s="14">
        <v>0.4166666666666667</v>
      </c>
      <c r="G7" s="13"/>
    </row>
    <row r="8" spans="8:8" ht="32.25" customHeight="1">
      <c r="A8" s="11">
        <v>5.0</v>
      </c>
      <c r="B8" s="12" t="s">
        <v>32</v>
      </c>
      <c r="C8" s="13">
        <v>250031.0</v>
      </c>
      <c r="D8" s="12" t="s">
        <v>27</v>
      </c>
      <c r="E8" s="13" t="s">
        <v>28</v>
      </c>
      <c r="F8" s="14">
        <v>0.4166666666666667</v>
      </c>
      <c r="G8" s="13"/>
    </row>
    <row r="9" spans="8:8" ht="32.25" customHeight="1">
      <c r="A9" s="11">
        <v>6.0</v>
      </c>
      <c r="B9" s="12" t="s">
        <v>33</v>
      </c>
      <c r="C9" s="13">
        <v>250029.0</v>
      </c>
      <c r="D9" s="12" t="s">
        <v>27</v>
      </c>
      <c r="E9" s="13" t="s">
        <v>28</v>
      </c>
      <c r="F9" s="14">
        <v>0.4166666666666667</v>
      </c>
      <c r="G9" s="13"/>
    </row>
    <row r="10" spans="8:8" ht="32.25" customHeight="1">
      <c r="A10" s="11">
        <v>7.0</v>
      </c>
      <c r="B10" s="12" t="s">
        <v>34</v>
      </c>
      <c r="C10" s="13">
        <v>250038.0</v>
      </c>
      <c r="D10" s="12" t="s">
        <v>27</v>
      </c>
      <c r="E10" s="13" t="s">
        <v>28</v>
      </c>
      <c r="F10" s="14">
        <v>0.4166666666666667</v>
      </c>
      <c r="G10" s="13"/>
    </row>
    <row r="11" spans="8:8" ht="32.25" customHeight="1">
      <c r="A11" s="11">
        <v>8.0</v>
      </c>
      <c r="B11" s="12" t="s">
        <v>35</v>
      </c>
      <c r="C11" s="13">
        <v>250037.0</v>
      </c>
      <c r="D11" s="12" t="s">
        <v>27</v>
      </c>
      <c r="E11" s="13" t="s">
        <v>28</v>
      </c>
      <c r="F11" s="14">
        <v>0.4166666666666667</v>
      </c>
      <c r="G11" s="13"/>
    </row>
    <row r="12" spans="8:8" ht="32.25" customHeight="1">
      <c r="A12" s="11">
        <v>9.0</v>
      </c>
      <c r="B12" s="12" t="s">
        <v>36</v>
      </c>
      <c r="C12" s="13">
        <v>250008.0</v>
      </c>
      <c r="D12" s="12" t="s">
        <v>27</v>
      </c>
      <c r="E12" s="13" t="s">
        <v>28</v>
      </c>
      <c r="F12" s="14">
        <v>0.4166666666666667</v>
      </c>
      <c r="G12" s="13"/>
    </row>
    <row r="13" spans="8:8" ht="32.25" customHeight="1">
      <c r="A13" s="11">
        <v>10.0</v>
      </c>
      <c r="B13" s="12" t="s">
        <v>37</v>
      </c>
      <c r="C13" s="13">
        <v>250032.0</v>
      </c>
      <c r="D13" s="12" t="s">
        <v>27</v>
      </c>
      <c r="E13" s="13" t="s">
        <v>28</v>
      </c>
      <c r="F13" s="14">
        <v>0.4166666666666667</v>
      </c>
      <c r="G13" s="13"/>
    </row>
    <row r="14" spans="8:8" ht="32.25" customHeight="1">
      <c r="A14" s="11">
        <v>11.0</v>
      </c>
      <c r="B14" s="12" t="s">
        <v>38</v>
      </c>
      <c r="C14" s="13">
        <v>250039.0</v>
      </c>
      <c r="D14" s="12" t="s">
        <v>27</v>
      </c>
      <c r="E14" s="13" t="s">
        <v>28</v>
      </c>
      <c r="F14" s="14">
        <v>0.4166666666666667</v>
      </c>
      <c r="G14" s="13"/>
    </row>
    <row r="15" spans="8:8" ht="32.25" customHeight="1">
      <c r="A15" s="11">
        <v>12.0</v>
      </c>
      <c r="B15" s="12" t="s">
        <v>39</v>
      </c>
      <c r="C15" s="13">
        <v>250027.0</v>
      </c>
      <c r="D15" s="12" t="s">
        <v>27</v>
      </c>
      <c r="E15" s="13" t="s">
        <v>28</v>
      </c>
      <c r="F15" s="14">
        <v>0.4166666666666667</v>
      </c>
      <c r="G15" s="13"/>
    </row>
    <row r="16" spans="8:8" ht="32.25" customHeight="1">
      <c r="A16" s="11">
        <v>13.0</v>
      </c>
      <c r="B16" s="12" t="s">
        <v>40</v>
      </c>
      <c r="C16" s="13">
        <v>250033.0</v>
      </c>
      <c r="D16" s="12" t="s">
        <v>27</v>
      </c>
      <c r="E16" s="13" t="s">
        <v>28</v>
      </c>
      <c r="F16" s="14">
        <v>0.4166666666666667</v>
      </c>
      <c r="G16" s="13"/>
    </row>
    <row r="17" spans="8:8" ht="32.25" customHeight="1">
      <c r="A17" s="11">
        <v>14.0</v>
      </c>
      <c r="B17" s="12" t="s">
        <v>41</v>
      </c>
      <c r="C17" s="13">
        <v>250030.0</v>
      </c>
      <c r="D17" s="12" t="s">
        <v>27</v>
      </c>
      <c r="E17" s="13" t="s">
        <v>28</v>
      </c>
      <c r="F17" s="14">
        <v>0.4166666666666667</v>
      </c>
      <c r="G17" s="13"/>
    </row>
    <row r="18" spans="8:8" ht="32.25" customHeight="1">
      <c r="A18" s="11">
        <v>15.0</v>
      </c>
      <c r="B18" s="12" t="s">
        <v>42</v>
      </c>
      <c r="C18" s="13">
        <v>250007.0</v>
      </c>
      <c r="D18" s="12" t="s">
        <v>27</v>
      </c>
      <c r="E18" s="13" t="s">
        <v>28</v>
      </c>
      <c r="F18" s="14">
        <v>0.4166666666666667</v>
      </c>
      <c r="G18" s="13"/>
    </row>
    <row r="19" spans="8:8" ht="32.25" customHeight="1">
      <c r="A19" s="11">
        <v>16.0</v>
      </c>
      <c r="B19" s="12" t="s">
        <v>43</v>
      </c>
      <c r="C19" s="13">
        <v>252813.0</v>
      </c>
      <c r="D19" s="12" t="s">
        <v>27</v>
      </c>
      <c r="E19" s="13" t="s">
        <v>28</v>
      </c>
      <c r="F19" s="14">
        <v>0.4166666666666667</v>
      </c>
      <c r="G19" s="13"/>
    </row>
    <row r="20" spans="8:8" ht="32.25" customHeight="1">
      <c r="A20" s="11">
        <v>17.0</v>
      </c>
      <c r="B20" s="12" t="s">
        <v>44</v>
      </c>
      <c r="C20" s="13">
        <v>250035.0</v>
      </c>
      <c r="D20" s="12" t="s">
        <v>27</v>
      </c>
      <c r="E20" s="13" t="s">
        <v>28</v>
      </c>
      <c r="F20" s="14">
        <v>0.4166666666666667</v>
      </c>
      <c r="G20" s="13"/>
    </row>
    <row r="21" spans="8:8" ht="32.25" customHeight="1">
      <c r="A21" s="11">
        <v>18.0</v>
      </c>
      <c r="B21" s="12" t="s">
        <v>45</v>
      </c>
      <c r="C21" s="13">
        <v>250012.0</v>
      </c>
      <c r="D21" s="12" t="s">
        <v>27</v>
      </c>
      <c r="E21" s="13" t="s">
        <v>28</v>
      </c>
      <c r="F21" s="14">
        <v>0.4166666666666667</v>
      </c>
      <c r="G21" s="13"/>
    </row>
    <row r="22" spans="8:8" ht="32.25" customHeight="1">
      <c r="A22" s="11">
        <v>19.0</v>
      </c>
      <c r="B22" s="12" t="s">
        <v>46</v>
      </c>
      <c r="C22" s="13">
        <v>250014.0</v>
      </c>
      <c r="D22" s="12" t="s">
        <v>27</v>
      </c>
      <c r="E22" s="13" t="s">
        <v>28</v>
      </c>
      <c r="F22" s="14">
        <v>0.4166666666666667</v>
      </c>
      <c r="G22" s="13"/>
    </row>
    <row r="23" spans="8:8" ht="32.25" customHeight="1">
      <c r="A23" s="11">
        <v>20.0</v>
      </c>
      <c r="B23" s="12" t="s">
        <v>47</v>
      </c>
      <c r="C23" s="13">
        <v>250045.0</v>
      </c>
      <c r="D23" s="12" t="s">
        <v>27</v>
      </c>
      <c r="E23" s="13" t="s">
        <v>28</v>
      </c>
      <c r="F23" s="14">
        <v>0.4166666666666667</v>
      </c>
      <c r="G23" s="13"/>
    </row>
    <row r="24" spans="8:8" ht="32.25" customHeight="1">
      <c r="A24" s="11">
        <v>21.0</v>
      </c>
      <c r="B24" s="12" t="s">
        <v>48</v>
      </c>
      <c r="C24" s="13">
        <v>250043.0</v>
      </c>
      <c r="D24" s="12" t="s">
        <v>27</v>
      </c>
      <c r="E24" s="13" t="s">
        <v>28</v>
      </c>
      <c r="F24" s="14">
        <v>0.4166666666666667</v>
      </c>
      <c r="G24" s="13"/>
    </row>
    <row r="25" spans="8:8" ht="32.25" customHeight="1">
      <c r="A25" s="11">
        <v>22.0</v>
      </c>
      <c r="B25" s="12" t="s">
        <v>49</v>
      </c>
      <c r="C25" s="13">
        <v>250048.0</v>
      </c>
      <c r="D25" s="12" t="s">
        <v>27</v>
      </c>
      <c r="E25" s="13" t="s">
        <v>28</v>
      </c>
      <c r="F25" s="14">
        <v>0.4166666666666667</v>
      </c>
      <c r="G25" s="13"/>
    </row>
    <row r="26" spans="8:8" ht="32.25" customHeight="1">
      <c r="A26" s="11">
        <v>23.0</v>
      </c>
      <c r="B26" s="12" t="s">
        <v>50</v>
      </c>
      <c r="C26" s="13">
        <v>250025.0</v>
      </c>
      <c r="D26" s="12" t="s">
        <v>27</v>
      </c>
      <c r="E26" s="13" t="s">
        <v>28</v>
      </c>
      <c r="F26" s="14">
        <v>0.4166666666666667</v>
      </c>
      <c r="G26" s="13"/>
    </row>
    <row r="27" spans="8:8" ht="32.25" customHeight="1">
      <c r="A27" s="11">
        <v>24.0</v>
      </c>
      <c r="B27" s="12" t="s">
        <v>51</v>
      </c>
      <c r="C27" s="13">
        <v>250018.0</v>
      </c>
      <c r="D27" s="12" t="s">
        <v>27</v>
      </c>
      <c r="E27" s="13" t="s">
        <v>28</v>
      </c>
      <c r="F27" s="14">
        <v>0.4166666666666667</v>
      </c>
      <c r="G27" s="13"/>
    </row>
    <row r="28" spans="8:8" ht="32.25" customHeight="1">
      <c r="A28" s="11">
        <v>25.0</v>
      </c>
      <c r="B28" s="12" t="s">
        <v>52</v>
      </c>
      <c r="C28" s="13">
        <v>250015.0</v>
      </c>
      <c r="D28" s="12" t="s">
        <v>27</v>
      </c>
      <c r="E28" s="13" t="s">
        <v>28</v>
      </c>
      <c r="F28" s="14">
        <v>0.4166666666666667</v>
      </c>
      <c r="G28" s="13"/>
    </row>
    <row r="29" spans="8:8" ht="32.25" customHeight="1">
      <c r="A29" s="8" t="s">
        <v>18</v>
      </c>
      <c r="B29" s="9" t="s">
        <v>19</v>
      </c>
      <c r="C29" s="9" t="s">
        <v>20</v>
      </c>
      <c r="D29" s="9" t="s">
        <v>21</v>
      </c>
      <c r="E29" s="9" t="s">
        <v>22</v>
      </c>
      <c r="F29" s="10" t="s">
        <v>23</v>
      </c>
      <c r="G29" s="9" t="s">
        <v>53</v>
      </c>
    </row>
    <row r="30" spans="8:8" ht="32.25" customHeight="1">
      <c r="A30" s="11">
        <v>1.0</v>
      </c>
      <c r="B30" s="12" t="s">
        <v>54</v>
      </c>
      <c r="C30" s="13">
        <v>250051.0</v>
      </c>
      <c r="D30" s="12" t="s">
        <v>27</v>
      </c>
      <c r="E30" s="13" t="s">
        <v>28</v>
      </c>
      <c r="F30" s="14">
        <v>0.4166666666666667</v>
      </c>
      <c r="G30" s="13"/>
    </row>
    <row r="31" spans="8:8" ht="32.25" customHeight="1">
      <c r="A31" s="11">
        <v>2.0</v>
      </c>
      <c r="B31" s="12" t="s">
        <v>55</v>
      </c>
      <c r="C31" s="13">
        <v>251164.0</v>
      </c>
      <c r="D31" s="12" t="s">
        <v>56</v>
      </c>
      <c r="E31" s="13" t="s">
        <v>28</v>
      </c>
      <c r="F31" s="14">
        <v>0.4166666666666667</v>
      </c>
      <c r="G31" s="13"/>
    </row>
    <row r="32" spans="8:8" ht="32.25" customHeight="1">
      <c r="A32" s="11">
        <v>3.0</v>
      </c>
      <c r="B32" s="12" t="s">
        <v>57</v>
      </c>
      <c r="C32" s="13">
        <v>251081.0</v>
      </c>
      <c r="D32" s="12" t="s">
        <v>56</v>
      </c>
      <c r="E32" s="13" t="s">
        <v>28</v>
      </c>
      <c r="F32" s="14">
        <v>0.4166666666666667</v>
      </c>
      <c r="G32" s="13"/>
    </row>
    <row r="33" spans="8:8" ht="32.25" customHeight="1">
      <c r="A33" s="11">
        <v>4.0</v>
      </c>
      <c r="B33" s="12" t="s">
        <v>58</v>
      </c>
      <c r="C33" s="13">
        <v>251053.0</v>
      </c>
      <c r="D33" s="12" t="s">
        <v>56</v>
      </c>
      <c r="E33" s="13" t="s">
        <v>28</v>
      </c>
      <c r="F33" s="14">
        <v>0.4166666666666667</v>
      </c>
      <c r="G33" s="13"/>
    </row>
    <row r="34" spans="8:8" ht="32.25" customHeight="1">
      <c r="A34" s="11">
        <v>5.0</v>
      </c>
      <c r="B34" s="12" t="s">
        <v>59</v>
      </c>
      <c r="C34" s="13">
        <v>251117.0</v>
      </c>
      <c r="D34" s="12" t="s">
        <v>56</v>
      </c>
      <c r="E34" s="13" t="s">
        <v>28</v>
      </c>
      <c r="F34" s="14">
        <v>0.4166666666666667</v>
      </c>
      <c r="G34" s="13"/>
    </row>
    <row r="35" spans="8:8" ht="32.25" customHeight="1">
      <c r="A35" s="11">
        <v>6.0</v>
      </c>
      <c r="B35" s="12" t="s">
        <v>60</v>
      </c>
      <c r="C35" s="13">
        <v>251190.0</v>
      </c>
      <c r="D35" s="12" t="s">
        <v>56</v>
      </c>
      <c r="E35" s="13" t="s">
        <v>28</v>
      </c>
      <c r="F35" s="14">
        <v>0.4166666666666667</v>
      </c>
      <c r="G35" s="13"/>
    </row>
    <row r="36" spans="8:8" ht="32.25" customHeight="1">
      <c r="A36" s="11">
        <v>7.0</v>
      </c>
      <c r="B36" s="12" t="s">
        <v>61</v>
      </c>
      <c r="C36" s="13">
        <v>251192.0</v>
      </c>
      <c r="D36" s="12" t="s">
        <v>56</v>
      </c>
      <c r="E36" s="13" t="s">
        <v>28</v>
      </c>
      <c r="F36" s="14">
        <v>0.4166666666666667</v>
      </c>
      <c r="G36" s="13"/>
    </row>
    <row r="37" spans="8:8" ht="32.25" customHeight="1">
      <c r="A37" s="11">
        <v>8.0</v>
      </c>
      <c r="B37" s="12" t="s">
        <v>62</v>
      </c>
      <c r="C37" s="13">
        <v>250060.0</v>
      </c>
      <c r="D37" s="12" t="s">
        <v>27</v>
      </c>
      <c r="E37" s="13" t="s">
        <v>28</v>
      </c>
      <c r="F37" s="14">
        <v>0.4166666666666667</v>
      </c>
      <c r="G37" s="13"/>
    </row>
    <row r="38" spans="8:8" ht="32.25" customHeight="1">
      <c r="A38" s="11">
        <v>9.0</v>
      </c>
      <c r="B38" s="12" t="s">
        <v>63</v>
      </c>
      <c r="C38" s="13">
        <v>250004.0</v>
      </c>
      <c r="D38" s="12" t="s">
        <v>27</v>
      </c>
      <c r="E38" s="13" t="s">
        <v>28</v>
      </c>
      <c r="F38" s="14">
        <v>0.4166666666666667</v>
      </c>
      <c r="G38" s="13"/>
    </row>
    <row r="39" spans="8:8" ht="32.25" customHeight="1">
      <c r="A39" s="11">
        <v>10.0</v>
      </c>
      <c r="B39" s="12" t="s">
        <v>64</v>
      </c>
      <c r="C39" s="13">
        <v>250002.0</v>
      </c>
      <c r="D39" s="12" t="s">
        <v>27</v>
      </c>
      <c r="E39" s="13" t="s">
        <v>28</v>
      </c>
      <c r="F39" s="14">
        <v>0.4166666666666667</v>
      </c>
      <c r="G39" s="13"/>
    </row>
    <row r="40" spans="8:8" ht="32.25" customHeight="1">
      <c r="A40" s="11">
        <v>11.0</v>
      </c>
      <c r="B40" s="12" t="s">
        <v>65</v>
      </c>
      <c r="C40" s="13">
        <v>250058.0</v>
      </c>
      <c r="D40" s="12" t="s">
        <v>27</v>
      </c>
      <c r="E40" s="13" t="s">
        <v>28</v>
      </c>
      <c r="F40" s="14">
        <v>0.4166666666666667</v>
      </c>
      <c r="G40" s="13"/>
    </row>
    <row r="41" spans="8:8" ht="32.25" customHeight="1">
      <c r="A41" s="11">
        <v>12.0</v>
      </c>
      <c r="B41" s="12" t="s">
        <v>66</v>
      </c>
      <c r="C41" s="13">
        <v>250019.0</v>
      </c>
      <c r="D41" s="12" t="s">
        <v>27</v>
      </c>
      <c r="E41" s="13" t="s">
        <v>28</v>
      </c>
      <c r="F41" s="14">
        <v>0.4166666666666667</v>
      </c>
      <c r="G41" s="13"/>
    </row>
    <row r="42" spans="8:8" ht="32.25" customHeight="1">
      <c r="A42" s="11">
        <v>13.0</v>
      </c>
      <c r="B42" s="12" t="s">
        <v>67</v>
      </c>
      <c r="C42" s="13">
        <v>250064.0</v>
      </c>
      <c r="D42" s="12" t="s">
        <v>27</v>
      </c>
      <c r="E42" s="13" t="s">
        <v>28</v>
      </c>
      <c r="F42" s="14">
        <v>0.4166666666666667</v>
      </c>
      <c r="G42" s="13"/>
    </row>
    <row r="43" spans="8:8" ht="32.25" customHeight="1">
      <c r="A43" s="11">
        <v>14.0</v>
      </c>
      <c r="B43" s="12" t="s">
        <v>68</v>
      </c>
      <c r="C43" s="13">
        <v>250020.0</v>
      </c>
      <c r="D43" s="12" t="s">
        <v>27</v>
      </c>
      <c r="E43" s="13" t="s">
        <v>28</v>
      </c>
      <c r="F43" s="14">
        <v>0.4166666666666667</v>
      </c>
      <c r="G43" s="13"/>
    </row>
    <row r="44" spans="8:8" ht="32.25" customHeight="1">
      <c r="A44" s="11">
        <v>15.0</v>
      </c>
      <c r="B44" s="12" t="s">
        <v>69</v>
      </c>
      <c r="C44" s="13">
        <v>250024.0</v>
      </c>
      <c r="D44" s="12" t="s">
        <v>27</v>
      </c>
      <c r="E44" s="13" t="s">
        <v>28</v>
      </c>
      <c r="F44" s="14">
        <v>0.4166666666666667</v>
      </c>
      <c r="G44" s="13"/>
    </row>
    <row r="45" spans="8:8" ht="32.25" customHeight="1">
      <c r="A45" s="11">
        <v>16.0</v>
      </c>
      <c r="B45" s="12" t="s">
        <v>70</v>
      </c>
      <c r="C45" s="13">
        <v>250069.0</v>
      </c>
      <c r="D45" s="12" t="s">
        <v>27</v>
      </c>
      <c r="E45" s="13" t="s">
        <v>28</v>
      </c>
      <c r="F45" s="14">
        <v>0.4166666666666667</v>
      </c>
      <c r="G45" s="13"/>
    </row>
    <row r="46" spans="8:8" ht="32.25" customHeight="1">
      <c r="A46" s="11">
        <v>17.0</v>
      </c>
      <c r="B46" s="12" t="s">
        <v>71</v>
      </c>
      <c r="C46" s="13">
        <v>250021.0</v>
      </c>
      <c r="D46" s="12" t="s">
        <v>27</v>
      </c>
      <c r="E46" s="13" t="s">
        <v>28</v>
      </c>
      <c r="F46" s="14">
        <v>0.4166666666666667</v>
      </c>
      <c r="G46" s="13"/>
    </row>
    <row r="47" spans="8:8" ht="32.25" customHeight="1">
      <c r="A47" s="11">
        <v>18.0</v>
      </c>
      <c r="B47" s="12" t="s">
        <v>72</v>
      </c>
      <c r="C47" s="13">
        <v>250022.0</v>
      </c>
      <c r="D47" s="12" t="s">
        <v>27</v>
      </c>
      <c r="E47" s="13" t="s">
        <v>28</v>
      </c>
      <c r="F47" s="14">
        <v>0.4166666666666667</v>
      </c>
      <c r="G47" s="13"/>
    </row>
    <row r="48" spans="8:8" ht="32.25" customHeight="1">
      <c r="A48" s="11">
        <v>19.0</v>
      </c>
      <c r="B48" s="12" t="s">
        <v>73</v>
      </c>
      <c r="C48" s="13">
        <v>250071.0</v>
      </c>
      <c r="D48" s="12" t="s">
        <v>27</v>
      </c>
      <c r="E48" s="13" t="s">
        <v>28</v>
      </c>
      <c r="F48" s="14">
        <v>0.4166666666666667</v>
      </c>
      <c r="G48" s="13"/>
    </row>
    <row r="49" spans="8:8" ht="32.25" customHeight="1">
      <c r="A49" s="11">
        <v>20.0</v>
      </c>
      <c r="B49" s="12" t="s">
        <v>74</v>
      </c>
      <c r="C49" s="13">
        <v>250073.0</v>
      </c>
      <c r="D49" s="12" t="s">
        <v>27</v>
      </c>
      <c r="E49" s="13" t="s">
        <v>28</v>
      </c>
      <c r="F49" s="14">
        <v>0.4166666666666667</v>
      </c>
      <c r="G49" s="13"/>
    </row>
    <row r="50" spans="8:8" ht="32.25" customHeight="1">
      <c r="A50" s="11">
        <v>21.0</v>
      </c>
      <c r="B50" s="12" t="s">
        <v>75</v>
      </c>
      <c r="C50" s="13">
        <v>250081.0</v>
      </c>
      <c r="D50" s="12" t="s">
        <v>27</v>
      </c>
      <c r="E50" s="13" t="s">
        <v>28</v>
      </c>
      <c r="F50" s="14">
        <v>0.4166666666666667</v>
      </c>
      <c r="G50" s="13"/>
    </row>
    <row r="51" spans="8:8" ht="32.25" customHeight="1">
      <c r="A51" s="11">
        <v>22.0</v>
      </c>
      <c r="B51" s="12" t="s">
        <v>76</v>
      </c>
      <c r="C51" s="13">
        <v>250005.0</v>
      </c>
      <c r="D51" s="12" t="s">
        <v>27</v>
      </c>
      <c r="E51" s="13" t="s">
        <v>28</v>
      </c>
      <c r="F51" s="14">
        <v>0.4166666666666667</v>
      </c>
      <c r="G51" s="13"/>
    </row>
    <row r="52" spans="8:8" ht="32.25" customHeight="1">
      <c r="A52" s="11">
        <v>23.0</v>
      </c>
      <c r="B52" s="12" t="s">
        <v>77</v>
      </c>
      <c r="C52" s="13">
        <v>250077.0</v>
      </c>
      <c r="D52" s="12" t="s">
        <v>27</v>
      </c>
      <c r="E52" s="13" t="s">
        <v>28</v>
      </c>
      <c r="F52" s="14">
        <v>0.4166666666666667</v>
      </c>
      <c r="G52" s="13"/>
    </row>
    <row r="53" spans="8:8" ht="32.25" customHeight="1">
      <c r="A53" s="11">
        <v>24.0</v>
      </c>
      <c r="B53" s="12" t="s">
        <v>78</v>
      </c>
      <c r="C53" s="13">
        <v>250083.0</v>
      </c>
      <c r="D53" s="12" t="s">
        <v>27</v>
      </c>
      <c r="E53" s="13" t="s">
        <v>28</v>
      </c>
      <c r="F53" s="14">
        <v>0.4166666666666667</v>
      </c>
      <c r="G53" s="13"/>
    </row>
    <row r="54" spans="8:8" ht="32.25" customHeight="1">
      <c r="A54" s="11">
        <v>25.0</v>
      </c>
      <c r="B54" s="12" t="s">
        <v>79</v>
      </c>
      <c r="C54" s="13">
        <v>250089.0</v>
      </c>
      <c r="D54" s="12" t="s">
        <v>27</v>
      </c>
      <c r="E54" s="13" t="s">
        <v>28</v>
      </c>
      <c r="F54" s="14">
        <v>0.4166666666666667</v>
      </c>
      <c r="G54" s="13"/>
    </row>
    <row r="55" spans="8:8" ht="32.25" customHeight="1">
      <c r="A55" s="8" t="s">
        <v>18</v>
      </c>
      <c r="B55" s="9" t="s">
        <v>19</v>
      </c>
      <c r="C55" s="9" t="s">
        <v>20</v>
      </c>
      <c r="D55" s="9" t="s">
        <v>21</v>
      </c>
      <c r="E55" s="9" t="s">
        <v>22</v>
      </c>
      <c r="F55" s="10" t="s">
        <v>23</v>
      </c>
      <c r="G55" s="9" t="s">
        <v>80</v>
      </c>
    </row>
    <row r="56" spans="8:8" ht="32.25" customHeight="1">
      <c r="A56" s="15">
        <v>1.0</v>
      </c>
      <c r="B56" s="16" t="s">
        <v>81</v>
      </c>
      <c r="C56" s="17">
        <v>250093.0</v>
      </c>
      <c r="D56" s="16" t="s">
        <v>27</v>
      </c>
      <c r="E56" s="17" t="s">
        <v>28</v>
      </c>
      <c r="F56" s="14">
        <v>0.4166666666666667</v>
      </c>
      <c r="G56" s="17"/>
    </row>
    <row r="57" spans="8:8" ht="32.25" customHeight="1">
      <c r="A57" s="15">
        <v>2.0</v>
      </c>
      <c r="B57" s="16" t="s">
        <v>82</v>
      </c>
      <c r="C57" s="17">
        <v>250102.0</v>
      </c>
      <c r="D57" s="16" t="s">
        <v>27</v>
      </c>
      <c r="E57" s="17" t="s">
        <v>28</v>
      </c>
      <c r="F57" s="14">
        <v>0.4166666666666667</v>
      </c>
      <c r="G57" s="17"/>
    </row>
    <row r="58" spans="8:8" ht="32.25" customHeight="1">
      <c r="A58" s="15">
        <v>3.0</v>
      </c>
      <c r="B58" s="16" t="s">
        <v>83</v>
      </c>
      <c r="C58" s="17">
        <v>250105.0</v>
      </c>
      <c r="D58" s="16" t="s">
        <v>27</v>
      </c>
      <c r="E58" s="17" t="s">
        <v>28</v>
      </c>
      <c r="F58" s="14">
        <v>0.4166666666666667</v>
      </c>
      <c r="G58" s="17"/>
    </row>
    <row r="59" spans="8:8" ht="32.25" customHeight="1">
      <c r="A59" s="15">
        <v>4.0</v>
      </c>
      <c r="B59" s="16" t="s">
        <v>84</v>
      </c>
      <c r="C59" s="17">
        <v>250647.0</v>
      </c>
      <c r="D59" s="16" t="s">
        <v>56</v>
      </c>
      <c r="E59" s="17" t="s">
        <v>28</v>
      </c>
      <c r="F59" s="14">
        <v>0.4166666666666667</v>
      </c>
      <c r="G59" s="17"/>
    </row>
    <row r="60" spans="8:8" ht="32.25" customHeight="1">
      <c r="A60" s="15">
        <v>5.0</v>
      </c>
      <c r="B60" s="16" t="s">
        <v>85</v>
      </c>
      <c r="C60" s="17">
        <v>250054.0</v>
      </c>
      <c r="D60" s="16" t="s">
        <v>27</v>
      </c>
      <c r="E60" s="17" t="s">
        <v>28</v>
      </c>
      <c r="F60" s="14">
        <v>0.4166666666666667</v>
      </c>
      <c r="G60" s="17"/>
    </row>
    <row r="61" spans="8:8" ht="32.25" customHeight="1">
      <c r="A61" s="15">
        <v>6.0</v>
      </c>
      <c r="B61" s="16" t="s">
        <v>86</v>
      </c>
      <c r="C61" s="17">
        <v>250643.0</v>
      </c>
      <c r="D61" s="16" t="s">
        <v>56</v>
      </c>
      <c r="E61" s="17" t="s">
        <v>28</v>
      </c>
      <c r="F61" s="14">
        <v>0.4166666666666667</v>
      </c>
      <c r="G61" s="17"/>
    </row>
    <row r="62" spans="8:8" ht="32.25" customHeight="1">
      <c r="A62" s="15">
        <v>7.0</v>
      </c>
      <c r="B62" s="16" t="s">
        <v>87</v>
      </c>
      <c r="C62" s="17">
        <v>250016.0</v>
      </c>
      <c r="D62" s="16" t="s">
        <v>27</v>
      </c>
      <c r="E62" s="17" t="s">
        <v>28</v>
      </c>
      <c r="F62" s="14">
        <v>0.4166666666666667</v>
      </c>
      <c r="G62" s="17"/>
    </row>
    <row r="63" spans="8:8" ht="32.25" customHeight="1">
      <c r="A63" s="15">
        <v>8.0</v>
      </c>
      <c r="B63" s="16" t="s">
        <v>88</v>
      </c>
      <c r="C63" s="17">
        <v>251052.0</v>
      </c>
      <c r="D63" s="16" t="s">
        <v>56</v>
      </c>
      <c r="E63" s="17" t="s">
        <v>28</v>
      </c>
      <c r="F63" s="14">
        <v>0.4166666666666667</v>
      </c>
      <c r="G63" s="17"/>
    </row>
    <row r="64" spans="8:8" ht="32.25" customHeight="1">
      <c r="A64" s="15">
        <v>9.0</v>
      </c>
      <c r="B64" s="16" t="s">
        <v>89</v>
      </c>
      <c r="C64" s="17">
        <v>253153.0</v>
      </c>
      <c r="D64" s="18" t="s">
        <v>90</v>
      </c>
      <c r="E64" s="17" t="s">
        <v>28</v>
      </c>
      <c r="F64" s="14">
        <v>0.4166666666666667</v>
      </c>
      <c r="G64" s="17"/>
    </row>
    <row r="65" spans="8:8" ht="32.25" customHeight="1">
      <c r="A65" s="15">
        <v>10.0</v>
      </c>
      <c r="B65" s="16" t="s">
        <v>91</v>
      </c>
      <c r="C65" s="17">
        <v>251197.0</v>
      </c>
      <c r="D65" s="16" t="s">
        <v>56</v>
      </c>
      <c r="E65" s="17" t="s">
        <v>28</v>
      </c>
      <c r="F65" s="14">
        <v>0.4166666666666667</v>
      </c>
      <c r="G65" s="17"/>
    </row>
    <row r="66" spans="8:8" ht="32.25" customHeight="1">
      <c r="A66" s="15">
        <v>11.0</v>
      </c>
      <c r="B66" s="16" t="s">
        <v>92</v>
      </c>
      <c r="C66" s="17">
        <v>251201.0</v>
      </c>
      <c r="D66" s="16" t="s">
        <v>56</v>
      </c>
      <c r="E66" s="17" t="s">
        <v>28</v>
      </c>
      <c r="F66" s="14">
        <v>0.4166666666666667</v>
      </c>
      <c r="G66" s="17"/>
    </row>
    <row r="67" spans="8:8" ht="32.25" customHeight="1">
      <c r="A67" s="15">
        <v>12.0</v>
      </c>
      <c r="B67" s="16" t="s">
        <v>93</v>
      </c>
      <c r="C67" s="17">
        <v>250431.0</v>
      </c>
      <c r="D67" s="16" t="s">
        <v>94</v>
      </c>
      <c r="E67" s="17" t="s">
        <v>28</v>
      </c>
      <c r="F67" s="14">
        <v>0.4166666666666667</v>
      </c>
      <c r="G67" s="17"/>
    </row>
    <row r="68" spans="8:8" ht="32.25" customHeight="1">
      <c r="A68" s="15">
        <v>13.0</v>
      </c>
      <c r="B68" s="12" t="s">
        <v>95</v>
      </c>
      <c r="C68" s="13">
        <v>250095.0</v>
      </c>
      <c r="D68" s="12" t="s">
        <v>27</v>
      </c>
      <c r="E68" s="13" t="s">
        <v>28</v>
      </c>
      <c r="F68" s="14">
        <v>0.4166666666666667</v>
      </c>
      <c r="G68" s="17"/>
    </row>
    <row r="69" spans="8:8" ht="32.25" customHeight="1">
      <c r="A69" s="15">
        <v>14.0</v>
      </c>
      <c r="B69" s="12" t="s">
        <v>96</v>
      </c>
      <c r="C69" s="13">
        <v>251210.0</v>
      </c>
      <c r="D69" s="12" t="s">
        <v>56</v>
      </c>
      <c r="E69" s="13" t="s">
        <v>28</v>
      </c>
      <c r="F69" s="14">
        <v>0.4166666666666667</v>
      </c>
      <c r="G69" s="17"/>
    </row>
    <row r="70" spans="8:8" ht="32.25" customHeight="1">
      <c r="A70" s="15">
        <v>15.0</v>
      </c>
      <c r="B70" s="12" t="s">
        <v>97</v>
      </c>
      <c r="C70" s="13">
        <v>251184.0</v>
      </c>
      <c r="D70" s="12" t="s">
        <v>56</v>
      </c>
      <c r="E70" s="13" t="s">
        <v>28</v>
      </c>
      <c r="F70" s="14">
        <v>0.4166666666666667</v>
      </c>
      <c r="G70" s="17"/>
    </row>
    <row r="71" spans="8:8" ht="32.25" customHeight="1">
      <c r="A71" s="15">
        <v>16.0</v>
      </c>
      <c r="B71" s="12" t="s">
        <v>98</v>
      </c>
      <c r="C71" s="13">
        <v>251165.0</v>
      </c>
      <c r="D71" s="12" t="s">
        <v>56</v>
      </c>
      <c r="E71" s="13" t="s">
        <v>28</v>
      </c>
      <c r="F71" s="14">
        <v>0.4166666666666667</v>
      </c>
      <c r="G71" s="17"/>
    </row>
    <row r="72" spans="8:8" ht="32.25" customHeight="1">
      <c r="A72" s="15">
        <v>17.0</v>
      </c>
      <c r="B72" s="12" t="s">
        <v>99</v>
      </c>
      <c r="C72" s="13">
        <v>250969.0</v>
      </c>
      <c r="D72" s="12" t="s">
        <v>56</v>
      </c>
      <c r="E72" s="13" t="s">
        <v>28</v>
      </c>
      <c r="F72" s="14">
        <v>0.4166666666666667</v>
      </c>
      <c r="G72" s="17"/>
    </row>
    <row r="73" spans="8:8" ht="32.25" customHeight="1">
      <c r="A73" s="15">
        <v>18.0</v>
      </c>
      <c r="B73" s="12" t="s">
        <v>100</v>
      </c>
      <c r="C73" s="13">
        <v>253132.0</v>
      </c>
      <c r="D73" s="12" t="s">
        <v>56</v>
      </c>
      <c r="E73" s="13" t="s">
        <v>28</v>
      </c>
      <c r="F73" s="14">
        <v>0.4166666666666667</v>
      </c>
      <c r="G73" s="17"/>
    </row>
    <row r="74" spans="8:8" ht="32.25" customHeight="1">
      <c r="A74" s="15">
        <v>19.0</v>
      </c>
      <c r="B74" s="12" t="s">
        <v>101</v>
      </c>
      <c r="C74" s="13">
        <v>251047.0</v>
      </c>
      <c r="D74" s="12" t="s">
        <v>56</v>
      </c>
      <c r="E74" s="13" t="s">
        <v>28</v>
      </c>
      <c r="F74" s="14">
        <v>0.4166666666666667</v>
      </c>
      <c r="G74" s="17"/>
    </row>
    <row r="75" spans="8:8" ht="32.25" customHeight="1">
      <c r="A75" s="15">
        <v>20.0</v>
      </c>
      <c r="B75" s="12" t="s">
        <v>102</v>
      </c>
      <c r="C75" s="13">
        <v>250461.0</v>
      </c>
      <c r="D75" s="12" t="s">
        <v>94</v>
      </c>
      <c r="E75" s="13" t="s">
        <v>28</v>
      </c>
      <c r="F75" s="14">
        <v>0.4166666666666667</v>
      </c>
      <c r="G75" s="17"/>
    </row>
    <row r="76" spans="8:8" ht="32.25" customHeight="1">
      <c r="A76" s="15">
        <v>21.0</v>
      </c>
      <c r="B76" s="12" t="s">
        <v>103</v>
      </c>
      <c r="C76" s="13">
        <v>251934.0</v>
      </c>
      <c r="D76" s="12" t="s">
        <v>104</v>
      </c>
      <c r="E76" s="13" t="s">
        <v>28</v>
      </c>
      <c r="F76" s="14">
        <v>0.4166666666666667</v>
      </c>
      <c r="G76" s="17"/>
    </row>
    <row r="77" spans="8:8" ht="32.25" customHeight="1">
      <c r="A77" s="15">
        <v>22.0</v>
      </c>
      <c r="B77" s="12" t="s">
        <v>105</v>
      </c>
      <c r="C77" s="13">
        <v>251056.0</v>
      </c>
      <c r="D77" s="12" t="s">
        <v>56</v>
      </c>
      <c r="E77" s="13" t="s">
        <v>28</v>
      </c>
      <c r="F77" s="14">
        <v>0.4166666666666667</v>
      </c>
      <c r="G77" s="17"/>
    </row>
    <row r="78" spans="8:8" ht="32.25" customHeight="1">
      <c r="A78" s="15">
        <v>23.0</v>
      </c>
      <c r="B78" s="12" t="s">
        <v>106</v>
      </c>
      <c r="C78" s="13">
        <v>250108.0</v>
      </c>
      <c r="D78" s="12" t="s">
        <v>27</v>
      </c>
      <c r="E78" s="13" t="s">
        <v>28</v>
      </c>
      <c r="F78" s="14">
        <v>0.4166666666666667</v>
      </c>
      <c r="G78" s="17"/>
    </row>
    <row r="79" spans="8:8" ht="32.25" customHeight="1">
      <c r="A79" s="15">
        <v>24.0</v>
      </c>
      <c r="B79" s="12" t="s">
        <v>107</v>
      </c>
      <c r="C79" s="13">
        <v>251045.0</v>
      </c>
      <c r="D79" s="12" t="s">
        <v>56</v>
      </c>
      <c r="E79" s="13" t="s">
        <v>28</v>
      </c>
      <c r="F79" s="14">
        <v>0.4166666666666667</v>
      </c>
      <c r="G79" s="17"/>
    </row>
    <row r="80" spans="8:8" ht="32.25" customHeight="1">
      <c r="A80" s="15">
        <v>25.0</v>
      </c>
      <c r="B80" s="12" t="s">
        <v>108</v>
      </c>
      <c r="C80" s="13">
        <v>251038.0</v>
      </c>
      <c r="D80" s="12" t="s">
        <v>56</v>
      </c>
      <c r="E80" s="13" t="s">
        <v>28</v>
      </c>
      <c r="F80" s="14">
        <v>0.4166666666666667</v>
      </c>
      <c r="G80" s="17"/>
    </row>
    <row r="81" spans="8:8" ht="32.25" customHeight="1">
      <c r="A81" s="8" t="s">
        <v>18</v>
      </c>
      <c r="B81" s="9" t="s">
        <v>19</v>
      </c>
      <c r="C81" s="9" t="s">
        <v>20</v>
      </c>
      <c r="D81" s="9" t="s">
        <v>21</v>
      </c>
      <c r="E81" s="9" t="s">
        <v>22</v>
      </c>
      <c r="F81" s="10" t="s">
        <v>23</v>
      </c>
      <c r="G81" s="9" t="s">
        <v>109</v>
      </c>
    </row>
    <row r="82" spans="8:8" ht="32.25" customHeight="1">
      <c r="A82" s="11">
        <v>1.0</v>
      </c>
      <c r="B82" s="12" t="s">
        <v>110</v>
      </c>
      <c r="C82" s="13">
        <v>250123.0</v>
      </c>
      <c r="D82" s="12" t="s">
        <v>27</v>
      </c>
      <c r="E82" s="13" t="s">
        <v>111</v>
      </c>
      <c r="F82" s="14">
        <v>0.4166666666666667</v>
      </c>
      <c r="G82" s="13"/>
    </row>
    <row r="83" spans="8:8" ht="32.25" customHeight="1">
      <c r="A83" s="11">
        <v>2.0</v>
      </c>
      <c r="B83" s="12" t="s">
        <v>112</v>
      </c>
      <c r="C83" s="13">
        <v>250125.0</v>
      </c>
      <c r="D83" s="12" t="s">
        <v>27</v>
      </c>
      <c r="E83" s="13" t="s">
        <v>111</v>
      </c>
      <c r="F83" s="14">
        <v>0.4166666666666667</v>
      </c>
      <c r="G83" s="13"/>
    </row>
    <row r="84" spans="8:8" ht="32.25" customHeight="1">
      <c r="A84" s="11">
        <v>3.0</v>
      </c>
      <c r="B84" s="12" t="s">
        <v>113</v>
      </c>
      <c r="C84" s="13">
        <v>250126.0</v>
      </c>
      <c r="D84" s="12" t="s">
        <v>27</v>
      </c>
      <c r="E84" s="13" t="s">
        <v>111</v>
      </c>
      <c r="F84" s="14">
        <v>0.4166666666666667</v>
      </c>
      <c r="G84" s="13"/>
    </row>
    <row r="85" spans="8:8" ht="32.25" customHeight="1">
      <c r="A85" s="11">
        <v>4.0</v>
      </c>
      <c r="B85" s="12" t="s">
        <v>114</v>
      </c>
      <c r="C85" s="13">
        <v>250131.0</v>
      </c>
      <c r="D85" s="12" t="s">
        <v>27</v>
      </c>
      <c r="E85" s="13" t="s">
        <v>111</v>
      </c>
      <c r="F85" s="14">
        <v>0.4166666666666667</v>
      </c>
      <c r="G85" s="13"/>
    </row>
    <row r="86" spans="8:8" ht="32.25" customHeight="1">
      <c r="A86" s="11">
        <v>5.0</v>
      </c>
      <c r="B86" s="12" t="s">
        <v>115</v>
      </c>
      <c r="C86" s="13">
        <v>250132.0</v>
      </c>
      <c r="D86" s="12" t="s">
        <v>27</v>
      </c>
      <c r="E86" s="13" t="s">
        <v>111</v>
      </c>
      <c r="F86" s="14">
        <v>0.4166666666666667</v>
      </c>
      <c r="G86" s="13"/>
    </row>
    <row r="87" spans="8:8" ht="32.25" customHeight="1">
      <c r="A87" s="11">
        <v>6.0</v>
      </c>
      <c r="B87" s="12" t="s">
        <v>116</v>
      </c>
      <c r="C87" s="13">
        <v>250139.0</v>
      </c>
      <c r="D87" s="12" t="s">
        <v>27</v>
      </c>
      <c r="E87" s="13" t="s">
        <v>111</v>
      </c>
      <c r="F87" s="14">
        <v>0.4166666666666667</v>
      </c>
      <c r="G87" s="13"/>
    </row>
    <row r="88" spans="8:8" ht="32.25" customHeight="1">
      <c r="A88" s="11">
        <v>7.0</v>
      </c>
      <c r="B88" s="12" t="s">
        <v>117</v>
      </c>
      <c r="C88" s="13">
        <v>250140.0</v>
      </c>
      <c r="D88" s="12" t="s">
        <v>27</v>
      </c>
      <c r="E88" s="13" t="s">
        <v>111</v>
      </c>
      <c r="F88" s="14">
        <v>0.4166666666666667</v>
      </c>
      <c r="G88" s="13"/>
    </row>
    <row r="89" spans="8:8" ht="32.25" customHeight="1">
      <c r="A89" s="11">
        <v>8.0</v>
      </c>
      <c r="B89" s="12" t="s">
        <v>118</v>
      </c>
      <c r="C89" s="13">
        <v>250136.0</v>
      </c>
      <c r="D89" s="12" t="s">
        <v>27</v>
      </c>
      <c r="E89" s="13" t="s">
        <v>111</v>
      </c>
      <c r="F89" s="14">
        <v>0.4166666666666667</v>
      </c>
      <c r="G89" s="13"/>
    </row>
    <row r="90" spans="8:8" ht="32.25" customHeight="1">
      <c r="A90" s="11">
        <v>9.0</v>
      </c>
      <c r="B90" s="12" t="s">
        <v>119</v>
      </c>
      <c r="C90" s="13">
        <v>250137.0</v>
      </c>
      <c r="D90" s="12" t="s">
        <v>27</v>
      </c>
      <c r="E90" s="13" t="s">
        <v>111</v>
      </c>
      <c r="F90" s="14">
        <v>0.4166666666666667</v>
      </c>
      <c r="G90" s="13"/>
    </row>
    <row r="91" spans="8:8" ht="32.25" customHeight="1">
      <c r="A91" s="11">
        <v>10.0</v>
      </c>
      <c r="B91" s="12" t="s">
        <v>120</v>
      </c>
      <c r="C91" s="13">
        <v>250143.0</v>
      </c>
      <c r="D91" s="12" t="s">
        <v>27</v>
      </c>
      <c r="E91" s="13" t="s">
        <v>111</v>
      </c>
      <c r="F91" s="14">
        <v>0.4166666666666667</v>
      </c>
      <c r="G91" s="13"/>
    </row>
    <row r="92" spans="8:8" ht="32.25" customHeight="1">
      <c r="A92" s="11">
        <v>11.0</v>
      </c>
      <c r="B92" s="12" t="s">
        <v>121</v>
      </c>
      <c r="C92" s="13">
        <v>250146.0</v>
      </c>
      <c r="D92" s="12" t="s">
        <v>27</v>
      </c>
      <c r="E92" s="13" t="s">
        <v>111</v>
      </c>
      <c r="F92" s="14">
        <v>0.4166666666666667</v>
      </c>
      <c r="G92" s="13"/>
    </row>
    <row r="93" spans="8:8" ht="32.25" customHeight="1">
      <c r="A93" s="11">
        <v>12.0</v>
      </c>
      <c r="B93" s="12" t="s">
        <v>122</v>
      </c>
      <c r="C93" s="13">
        <v>250151.0</v>
      </c>
      <c r="D93" s="12" t="s">
        <v>27</v>
      </c>
      <c r="E93" s="13" t="s">
        <v>111</v>
      </c>
      <c r="F93" s="14">
        <v>0.4166666666666667</v>
      </c>
      <c r="G93" s="13"/>
    </row>
    <row r="94" spans="8:8" ht="32.25" customHeight="1">
      <c r="A94" s="11">
        <v>13.0</v>
      </c>
      <c r="B94" s="12" t="s">
        <v>123</v>
      </c>
      <c r="C94" s="13">
        <v>250152.0</v>
      </c>
      <c r="D94" s="12" t="s">
        <v>27</v>
      </c>
      <c r="E94" s="13" t="s">
        <v>111</v>
      </c>
      <c r="F94" s="14">
        <v>0.4166666666666667</v>
      </c>
      <c r="G94" s="13"/>
    </row>
    <row r="95" spans="8:8" ht="32.25" customHeight="1">
      <c r="A95" s="11">
        <v>14.0</v>
      </c>
      <c r="B95" s="12" t="s">
        <v>124</v>
      </c>
      <c r="C95" s="13">
        <v>250153.0</v>
      </c>
      <c r="D95" s="12" t="s">
        <v>27</v>
      </c>
      <c r="E95" s="13" t="s">
        <v>111</v>
      </c>
      <c r="F95" s="14">
        <v>0.4166666666666667</v>
      </c>
      <c r="G95" s="13"/>
    </row>
    <row r="96" spans="8:8" ht="32.25" customHeight="1">
      <c r="A96" s="11">
        <v>15.0</v>
      </c>
      <c r="B96" s="12" t="s">
        <v>125</v>
      </c>
      <c r="C96" s="13">
        <v>250155.0</v>
      </c>
      <c r="D96" s="12" t="s">
        <v>27</v>
      </c>
      <c r="E96" s="13" t="s">
        <v>111</v>
      </c>
      <c r="F96" s="14">
        <v>0.4166666666666667</v>
      </c>
      <c r="G96" s="13"/>
    </row>
    <row r="97" spans="8:8" ht="32.25" customHeight="1">
      <c r="A97" s="11">
        <v>16.0</v>
      </c>
      <c r="B97" s="12" t="s">
        <v>126</v>
      </c>
      <c r="C97" s="13">
        <v>250157.0</v>
      </c>
      <c r="D97" s="12" t="s">
        <v>27</v>
      </c>
      <c r="E97" s="13" t="s">
        <v>111</v>
      </c>
      <c r="F97" s="14">
        <v>0.4166666666666667</v>
      </c>
      <c r="G97" s="13"/>
    </row>
    <row r="98" spans="8:8" ht="32.25" customHeight="1">
      <c r="A98" s="11">
        <v>17.0</v>
      </c>
      <c r="B98" s="12" t="s">
        <v>127</v>
      </c>
      <c r="C98" s="13">
        <v>250162.0</v>
      </c>
      <c r="D98" s="12" t="s">
        <v>27</v>
      </c>
      <c r="E98" s="13" t="s">
        <v>111</v>
      </c>
      <c r="F98" s="14">
        <v>0.4166666666666667</v>
      </c>
      <c r="G98" s="13"/>
    </row>
    <row r="99" spans="8:8" ht="32.25" customHeight="1">
      <c r="A99" s="11">
        <v>18.0</v>
      </c>
      <c r="B99" s="12" t="s">
        <v>128</v>
      </c>
      <c r="C99" s="13">
        <v>250164.0</v>
      </c>
      <c r="D99" s="12" t="s">
        <v>27</v>
      </c>
      <c r="E99" s="13" t="s">
        <v>111</v>
      </c>
      <c r="F99" s="14">
        <v>0.4166666666666667</v>
      </c>
      <c r="G99" s="13"/>
    </row>
    <row r="100" spans="8:8" ht="32.25" customHeight="1">
      <c r="A100" s="11">
        <v>19.0</v>
      </c>
      <c r="B100" s="12" t="s">
        <v>129</v>
      </c>
      <c r="C100" s="13">
        <v>250165.0</v>
      </c>
      <c r="D100" s="12" t="s">
        <v>27</v>
      </c>
      <c r="E100" s="13" t="s">
        <v>111</v>
      </c>
      <c r="F100" s="14">
        <v>0.4166666666666667</v>
      </c>
      <c r="G100" s="13"/>
    </row>
    <row r="101" spans="8:8" ht="32.25" customHeight="1">
      <c r="A101" s="11">
        <v>20.0</v>
      </c>
      <c r="B101" s="12" t="s">
        <v>130</v>
      </c>
      <c r="C101" s="13">
        <v>250169.0</v>
      </c>
      <c r="D101" s="12" t="s">
        <v>27</v>
      </c>
      <c r="E101" s="13" t="s">
        <v>111</v>
      </c>
      <c r="F101" s="14">
        <v>0.4166666666666667</v>
      </c>
      <c r="G101" s="13"/>
    </row>
    <row r="102" spans="8:8" ht="32.25" customHeight="1">
      <c r="A102" s="11">
        <v>21.0</v>
      </c>
      <c r="B102" s="12" t="s">
        <v>131</v>
      </c>
      <c r="C102" s="13">
        <v>250171.0</v>
      </c>
      <c r="D102" s="12" t="s">
        <v>27</v>
      </c>
      <c r="E102" s="13" t="s">
        <v>111</v>
      </c>
      <c r="F102" s="14">
        <v>0.4166666666666667</v>
      </c>
      <c r="G102" s="13"/>
    </row>
    <row r="103" spans="8:8" ht="32.25" customHeight="1">
      <c r="A103" s="11">
        <v>22.0</v>
      </c>
      <c r="B103" s="12" t="s">
        <v>132</v>
      </c>
      <c r="C103" s="13">
        <v>250173.0</v>
      </c>
      <c r="D103" s="12" t="s">
        <v>27</v>
      </c>
      <c r="E103" s="13" t="s">
        <v>111</v>
      </c>
      <c r="F103" s="14">
        <v>0.4166666666666667</v>
      </c>
      <c r="G103" s="13"/>
    </row>
    <row r="104" spans="8:8" ht="32.25" customHeight="1">
      <c r="A104" s="11">
        <v>23.0</v>
      </c>
      <c r="B104" s="12" t="s">
        <v>133</v>
      </c>
      <c r="C104" s="13">
        <v>250176.0</v>
      </c>
      <c r="D104" s="12" t="s">
        <v>27</v>
      </c>
      <c r="E104" s="13" t="s">
        <v>111</v>
      </c>
      <c r="F104" s="14">
        <v>0.4166666666666667</v>
      </c>
      <c r="G104" s="13"/>
    </row>
    <row r="105" spans="8:8" ht="32.25" customHeight="1">
      <c r="A105" s="11">
        <v>24.0</v>
      </c>
      <c r="B105" s="12" t="s">
        <v>134</v>
      </c>
      <c r="C105" s="13">
        <v>250181.0</v>
      </c>
      <c r="D105" s="12" t="s">
        <v>27</v>
      </c>
      <c r="E105" s="13" t="s">
        <v>111</v>
      </c>
      <c r="F105" s="14">
        <v>0.4166666666666667</v>
      </c>
      <c r="G105" s="13"/>
    </row>
    <row r="106" spans="8:8" ht="32.25" customHeight="1">
      <c r="A106" s="11">
        <v>25.0</v>
      </c>
      <c r="B106" s="12" t="s">
        <v>135</v>
      </c>
      <c r="C106" s="13">
        <v>250186.0</v>
      </c>
      <c r="D106" s="12" t="s">
        <v>27</v>
      </c>
      <c r="E106" s="13" t="s">
        <v>111</v>
      </c>
      <c r="F106" s="14">
        <v>0.4166666666666667</v>
      </c>
      <c r="G106" s="13"/>
    </row>
    <row r="107" spans="8:8" ht="32.25" customHeight="1">
      <c r="A107" s="8" t="s">
        <v>18</v>
      </c>
      <c r="B107" s="9" t="s">
        <v>19</v>
      </c>
      <c r="C107" s="9" t="s">
        <v>20</v>
      </c>
      <c r="D107" s="9" t="s">
        <v>21</v>
      </c>
      <c r="E107" s="9" t="s">
        <v>22</v>
      </c>
      <c r="F107" s="10" t="s">
        <v>23</v>
      </c>
      <c r="G107" s="9" t="s">
        <v>136</v>
      </c>
    </row>
    <row r="108" spans="8:8" ht="32.25" customHeight="1">
      <c r="A108" s="11">
        <v>1.0</v>
      </c>
      <c r="B108" s="12" t="s">
        <v>137</v>
      </c>
      <c r="C108" s="13">
        <v>250178.0</v>
      </c>
      <c r="D108" s="12" t="s">
        <v>27</v>
      </c>
      <c r="E108" s="13" t="s">
        <v>28</v>
      </c>
      <c r="F108" s="14">
        <v>0.4166666666666667</v>
      </c>
      <c r="G108" s="13"/>
    </row>
    <row r="109" spans="8:8" ht="32.25" customHeight="1">
      <c r="A109" s="11">
        <v>2.0</v>
      </c>
      <c r="B109" s="12" t="s">
        <v>138</v>
      </c>
      <c r="C109" s="13">
        <v>252815.0</v>
      </c>
      <c r="D109" s="12" t="s">
        <v>27</v>
      </c>
      <c r="E109" s="13" t="s">
        <v>28</v>
      </c>
      <c r="F109" s="14">
        <v>0.4166666666666667</v>
      </c>
      <c r="G109" s="13"/>
    </row>
    <row r="110" spans="8:8" ht="32.25" customHeight="1">
      <c r="A110" s="11">
        <v>3.0</v>
      </c>
      <c r="B110" s="12" t="s">
        <v>139</v>
      </c>
      <c r="C110" s="13">
        <v>250187.0</v>
      </c>
      <c r="D110" s="12" t="s">
        <v>27</v>
      </c>
      <c r="E110" s="13" t="s">
        <v>28</v>
      </c>
      <c r="F110" s="14">
        <v>0.4166666666666667</v>
      </c>
      <c r="G110" s="13"/>
    </row>
    <row r="111" spans="8:8" ht="32.25" customHeight="1">
      <c r="A111" s="11">
        <v>4.0</v>
      </c>
      <c r="B111" s="12" t="s">
        <v>140</v>
      </c>
      <c r="C111" s="13">
        <v>250188.0</v>
      </c>
      <c r="D111" s="12" t="s">
        <v>27</v>
      </c>
      <c r="E111" s="13" t="s">
        <v>28</v>
      </c>
      <c r="F111" s="14">
        <v>0.4166666666666667</v>
      </c>
      <c r="G111" s="13"/>
    </row>
    <row r="112" spans="8:8" ht="32.25" customHeight="1">
      <c r="A112" s="11">
        <v>5.0</v>
      </c>
      <c r="B112" s="12" t="s">
        <v>141</v>
      </c>
      <c r="C112" s="13">
        <v>250189.0</v>
      </c>
      <c r="D112" s="12" t="s">
        <v>27</v>
      </c>
      <c r="E112" s="13" t="s">
        <v>28</v>
      </c>
      <c r="F112" s="14">
        <v>0.4166666666666667</v>
      </c>
      <c r="G112" s="13"/>
    </row>
    <row r="113" spans="8:8" ht="32.25" customHeight="1">
      <c r="A113" s="11">
        <v>6.0</v>
      </c>
      <c r="B113" s="12" t="s">
        <v>142</v>
      </c>
      <c r="C113" s="13">
        <v>250192.0</v>
      </c>
      <c r="D113" s="12" t="s">
        <v>27</v>
      </c>
      <c r="E113" s="13" t="s">
        <v>28</v>
      </c>
      <c r="F113" s="14">
        <v>0.4166666666666667</v>
      </c>
      <c r="G113" s="13"/>
    </row>
    <row r="114" spans="8:8" ht="32.25" customHeight="1">
      <c r="A114" s="11">
        <v>7.0</v>
      </c>
      <c r="B114" s="12" t="s">
        <v>143</v>
      </c>
      <c r="C114" s="13">
        <v>250194.0</v>
      </c>
      <c r="D114" s="12" t="s">
        <v>27</v>
      </c>
      <c r="E114" s="13" t="s">
        <v>28</v>
      </c>
      <c r="F114" s="14">
        <v>0.4166666666666667</v>
      </c>
      <c r="G114" s="13"/>
    </row>
    <row r="115" spans="8:8" ht="32.25" customHeight="1">
      <c r="A115" s="11">
        <v>8.0</v>
      </c>
      <c r="B115" s="12" t="s">
        <v>144</v>
      </c>
      <c r="C115" s="13">
        <v>250195.0</v>
      </c>
      <c r="D115" s="12" t="s">
        <v>27</v>
      </c>
      <c r="E115" s="13" t="s">
        <v>28</v>
      </c>
      <c r="F115" s="14">
        <v>0.4166666666666667</v>
      </c>
      <c r="G115" s="13"/>
    </row>
    <row r="116" spans="8:8" ht="32.25" customHeight="1">
      <c r="A116" s="11">
        <v>9.0</v>
      </c>
      <c r="B116" s="12" t="s">
        <v>145</v>
      </c>
      <c r="C116" s="13">
        <v>250196.0</v>
      </c>
      <c r="D116" s="12" t="s">
        <v>27</v>
      </c>
      <c r="E116" s="13" t="s">
        <v>28</v>
      </c>
      <c r="F116" s="14">
        <v>0.4166666666666667</v>
      </c>
      <c r="G116" s="13"/>
    </row>
    <row r="117" spans="8:8" ht="32.25" customHeight="1">
      <c r="A117" s="11">
        <v>10.0</v>
      </c>
      <c r="B117" s="12" t="s">
        <v>146</v>
      </c>
      <c r="C117" s="13">
        <v>250197.0</v>
      </c>
      <c r="D117" s="12" t="s">
        <v>27</v>
      </c>
      <c r="E117" s="13" t="s">
        <v>28</v>
      </c>
      <c r="F117" s="14">
        <v>0.4166666666666667</v>
      </c>
      <c r="G117" s="13"/>
    </row>
    <row r="118" spans="8:8" ht="32.25" customHeight="1">
      <c r="A118" s="11">
        <v>11.0</v>
      </c>
      <c r="B118" s="12" t="s">
        <v>147</v>
      </c>
      <c r="C118" s="13">
        <v>250198.0</v>
      </c>
      <c r="D118" s="12" t="s">
        <v>27</v>
      </c>
      <c r="E118" s="13" t="s">
        <v>28</v>
      </c>
      <c r="F118" s="14">
        <v>0.4166666666666667</v>
      </c>
      <c r="G118" s="13"/>
    </row>
    <row r="119" spans="8:8" ht="32.25" customHeight="1">
      <c r="A119" s="11">
        <v>12.0</v>
      </c>
      <c r="B119" s="12" t="s">
        <v>148</v>
      </c>
      <c r="C119" s="13">
        <v>250202.0</v>
      </c>
      <c r="D119" s="12" t="s">
        <v>27</v>
      </c>
      <c r="E119" s="13" t="s">
        <v>28</v>
      </c>
      <c r="F119" s="14">
        <v>0.4166666666666667</v>
      </c>
      <c r="G119" s="13"/>
    </row>
    <row r="120" spans="8:8" ht="32.25" customHeight="1">
      <c r="A120" s="11">
        <v>13.0</v>
      </c>
      <c r="B120" s="12" t="s">
        <v>149</v>
      </c>
      <c r="C120" s="13">
        <v>250203.0</v>
      </c>
      <c r="D120" s="12" t="s">
        <v>27</v>
      </c>
      <c r="E120" s="13" t="s">
        <v>28</v>
      </c>
      <c r="F120" s="14">
        <v>0.4166666666666667</v>
      </c>
      <c r="G120" s="13"/>
    </row>
    <row r="121" spans="8:8" ht="32.25" customHeight="1">
      <c r="A121" s="11">
        <v>14.0</v>
      </c>
      <c r="B121" s="12" t="s">
        <v>150</v>
      </c>
      <c r="C121" s="13">
        <v>250205.0</v>
      </c>
      <c r="D121" s="12" t="s">
        <v>27</v>
      </c>
      <c r="E121" s="13" t="s">
        <v>28</v>
      </c>
      <c r="F121" s="14">
        <v>0.4166666666666667</v>
      </c>
      <c r="G121" s="13"/>
    </row>
    <row r="122" spans="8:8" ht="32.25" customHeight="1">
      <c r="A122" s="11">
        <v>15.0</v>
      </c>
      <c r="B122" s="12" t="s">
        <v>151</v>
      </c>
      <c r="C122" s="13">
        <v>250206.0</v>
      </c>
      <c r="D122" s="12" t="s">
        <v>27</v>
      </c>
      <c r="E122" s="13" t="s">
        <v>28</v>
      </c>
      <c r="F122" s="14">
        <v>0.4166666666666667</v>
      </c>
      <c r="G122" s="13"/>
    </row>
    <row r="123" spans="8:8" ht="32.25" customHeight="1">
      <c r="A123" s="11">
        <v>16.0</v>
      </c>
      <c r="B123" s="12" t="s">
        <v>152</v>
      </c>
      <c r="C123" s="13">
        <v>250207.0</v>
      </c>
      <c r="D123" s="12" t="s">
        <v>27</v>
      </c>
      <c r="E123" s="13" t="s">
        <v>28</v>
      </c>
      <c r="F123" s="14">
        <v>0.4166666666666667</v>
      </c>
      <c r="G123" s="13"/>
    </row>
    <row r="124" spans="8:8" ht="32.25" customHeight="1">
      <c r="A124" s="11">
        <v>17.0</v>
      </c>
      <c r="B124" s="12" t="s">
        <v>153</v>
      </c>
      <c r="C124" s="13">
        <v>250209.0</v>
      </c>
      <c r="D124" s="12" t="s">
        <v>27</v>
      </c>
      <c r="E124" s="13" t="s">
        <v>28</v>
      </c>
      <c r="F124" s="14">
        <v>0.4166666666666667</v>
      </c>
      <c r="G124" s="13"/>
    </row>
    <row r="125" spans="8:8" ht="32.25" customHeight="1">
      <c r="A125" s="11">
        <v>18.0</v>
      </c>
      <c r="B125" s="12" t="s">
        <v>154</v>
      </c>
      <c r="C125" s="13">
        <v>250210.0</v>
      </c>
      <c r="D125" s="12" t="s">
        <v>27</v>
      </c>
      <c r="E125" s="13" t="s">
        <v>28</v>
      </c>
      <c r="F125" s="14">
        <v>0.4166666666666667</v>
      </c>
      <c r="G125" s="13"/>
    </row>
    <row r="126" spans="8:8" ht="32.25" customHeight="1">
      <c r="A126" s="11">
        <v>19.0</v>
      </c>
      <c r="B126" s="12" t="s">
        <v>155</v>
      </c>
      <c r="C126" s="13">
        <v>250208.0</v>
      </c>
      <c r="D126" s="12" t="s">
        <v>27</v>
      </c>
      <c r="E126" s="13" t="s">
        <v>28</v>
      </c>
      <c r="F126" s="14">
        <v>0.4166666666666667</v>
      </c>
      <c r="G126" s="13"/>
    </row>
    <row r="127" spans="8:8" ht="32.25" customHeight="1">
      <c r="A127" s="11">
        <v>20.0</v>
      </c>
      <c r="B127" s="12" t="s">
        <v>156</v>
      </c>
      <c r="C127" s="13">
        <v>252816.0</v>
      </c>
      <c r="D127" s="12" t="s">
        <v>27</v>
      </c>
      <c r="E127" s="13" t="s">
        <v>28</v>
      </c>
      <c r="F127" s="14">
        <v>0.4166666666666667</v>
      </c>
      <c r="G127" s="13"/>
    </row>
    <row r="128" spans="8:8" ht="32.25" customHeight="1">
      <c r="A128" s="11">
        <v>21.0</v>
      </c>
      <c r="B128" s="12" t="s">
        <v>157</v>
      </c>
      <c r="C128" s="13">
        <v>250215.0</v>
      </c>
      <c r="D128" s="12" t="s">
        <v>27</v>
      </c>
      <c r="E128" s="13" t="s">
        <v>28</v>
      </c>
      <c r="F128" s="14">
        <v>0.4166666666666667</v>
      </c>
      <c r="G128" s="13"/>
    </row>
    <row r="129" spans="8:8" ht="32.25" customHeight="1">
      <c r="A129" s="11">
        <v>22.0</v>
      </c>
      <c r="B129" s="12" t="s">
        <v>158</v>
      </c>
      <c r="C129" s="13">
        <v>250211.0</v>
      </c>
      <c r="D129" s="12" t="s">
        <v>27</v>
      </c>
      <c r="E129" s="13" t="s">
        <v>28</v>
      </c>
      <c r="F129" s="14">
        <v>0.4166666666666667</v>
      </c>
      <c r="G129" s="13"/>
    </row>
    <row r="130" spans="8:8" ht="32.25" customHeight="1">
      <c r="A130" s="11">
        <v>23.0</v>
      </c>
      <c r="B130" s="12" t="s">
        <v>159</v>
      </c>
      <c r="C130" s="13">
        <v>252814.0</v>
      </c>
      <c r="D130" s="12" t="s">
        <v>27</v>
      </c>
      <c r="E130" s="13" t="s">
        <v>28</v>
      </c>
      <c r="F130" s="14">
        <v>0.4166666666666667</v>
      </c>
      <c r="G130" s="13"/>
    </row>
    <row r="131" spans="8:8" ht="32.25" customHeight="1">
      <c r="A131" s="11">
        <v>24.0</v>
      </c>
      <c r="B131" s="12" t="s">
        <v>160</v>
      </c>
      <c r="C131" s="13">
        <v>250185.0</v>
      </c>
      <c r="D131" s="12" t="s">
        <v>27</v>
      </c>
      <c r="E131" s="13" t="s">
        <v>28</v>
      </c>
      <c r="F131" s="14">
        <v>0.4166666666666667</v>
      </c>
      <c r="G131" s="13"/>
    </row>
    <row r="132" spans="8:8" ht="32.25" customHeight="1">
      <c r="A132" s="11">
        <v>25.0</v>
      </c>
      <c r="B132" s="12" t="s">
        <v>161</v>
      </c>
      <c r="C132" s="13">
        <v>250888.0</v>
      </c>
      <c r="D132" s="12" t="s">
        <v>56</v>
      </c>
      <c r="E132" s="13" t="s">
        <v>28</v>
      </c>
      <c r="F132" s="14">
        <v>0.4166666666666667</v>
      </c>
      <c r="G132" s="13"/>
    </row>
    <row r="133" spans="8:8" ht="32.25" customHeight="1">
      <c r="A133" s="8" t="s">
        <v>18</v>
      </c>
      <c r="B133" s="9" t="s">
        <v>19</v>
      </c>
      <c r="C133" s="9" t="s">
        <v>20</v>
      </c>
      <c r="D133" s="9" t="s">
        <v>21</v>
      </c>
      <c r="E133" s="9" t="s">
        <v>22</v>
      </c>
      <c r="F133" s="10" t="s">
        <v>23</v>
      </c>
      <c r="G133" s="9" t="s">
        <v>162</v>
      </c>
    </row>
    <row r="134" spans="8:8" ht="32.25" customHeight="1">
      <c r="A134" s="11">
        <v>1.0</v>
      </c>
      <c r="B134" s="12" t="s">
        <v>163</v>
      </c>
      <c r="C134" s="13">
        <v>250213.0</v>
      </c>
      <c r="D134" s="12" t="s">
        <v>27</v>
      </c>
      <c r="E134" s="13" t="s">
        <v>28</v>
      </c>
      <c r="F134" s="14">
        <v>0.4166666666666667</v>
      </c>
      <c r="G134" s="13"/>
    </row>
    <row r="135" spans="8:8" ht="32.25" customHeight="1">
      <c r="A135" s="11">
        <v>2.0</v>
      </c>
      <c r="B135" s="12" t="s">
        <v>164</v>
      </c>
      <c r="C135" s="13">
        <v>250214.0</v>
      </c>
      <c r="D135" s="12" t="s">
        <v>27</v>
      </c>
      <c r="E135" s="13" t="s">
        <v>28</v>
      </c>
      <c r="F135" s="14">
        <v>0.4166666666666667</v>
      </c>
      <c r="G135" s="13"/>
    </row>
    <row r="136" spans="8:8" ht="32.25" customHeight="1">
      <c r="A136" s="11">
        <v>3.0</v>
      </c>
      <c r="B136" s="12" t="s">
        <v>165</v>
      </c>
      <c r="C136" s="13">
        <v>250221.0</v>
      </c>
      <c r="D136" s="12" t="s">
        <v>27</v>
      </c>
      <c r="E136" s="13" t="s">
        <v>28</v>
      </c>
      <c r="F136" s="14">
        <v>0.4166666666666667</v>
      </c>
      <c r="G136" s="13"/>
    </row>
    <row r="137" spans="8:8" ht="32.25" customHeight="1">
      <c r="A137" s="11">
        <v>4.0</v>
      </c>
      <c r="B137" s="12" t="s">
        <v>166</v>
      </c>
      <c r="C137" s="13">
        <v>250225.0</v>
      </c>
      <c r="D137" s="12" t="s">
        <v>27</v>
      </c>
      <c r="E137" s="13" t="s">
        <v>28</v>
      </c>
      <c r="F137" s="14">
        <v>0.4166666666666667</v>
      </c>
      <c r="G137" s="13"/>
    </row>
    <row r="138" spans="8:8" ht="32.25" customHeight="1">
      <c r="A138" s="11">
        <v>5.0</v>
      </c>
      <c r="B138" s="12" t="s">
        <v>167</v>
      </c>
      <c r="C138" s="13">
        <v>250229.0</v>
      </c>
      <c r="D138" s="12" t="s">
        <v>27</v>
      </c>
      <c r="E138" s="13" t="s">
        <v>28</v>
      </c>
      <c r="F138" s="14">
        <v>0.4166666666666667</v>
      </c>
      <c r="G138" s="13"/>
    </row>
    <row r="139" spans="8:8" ht="32.25" customHeight="1">
      <c r="A139" s="11">
        <v>6.0</v>
      </c>
      <c r="B139" s="12" t="s">
        <v>168</v>
      </c>
      <c r="C139" s="13">
        <v>250231.0</v>
      </c>
      <c r="D139" s="12" t="s">
        <v>27</v>
      </c>
      <c r="E139" s="13" t="s">
        <v>28</v>
      </c>
      <c r="F139" s="14">
        <v>0.4166666666666667</v>
      </c>
      <c r="G139" s="13"/>
    </row>
    <row r="140" spans="8:8" ht="32.25" customHeight="1">
      <c r="A140" s="11">
        <v>7.0</v>
      </c>
      <c r="B140" s="12" t="s">
        <v>169</v>
      </c>
      <c r="C140" s="13">
        <v>250228.0</v>
      </c>
      <c r="D140" s="12" t="s">
        <v>27</v>
      </c>
      <c r="E140" s="13" t="s">
        <v>28</v>
      </c>
      <c r="F140" s="14">
        <v>0.4166666666666667</v>
      </c>
      <c r="G140" s="13"/>
    </row>
    <row r="141" spans="8:8" ht="32.25" customHeight="1">
      <c r="A141" s="11">
        <v>8.0</v>
      </c>
      <c r="B141" s="12" t="s">
        <v>170</v>
      </c>
      <c r="C141" s="13">
        <v>250230.0</v>
      </c>
      <c r="D141" s="12" t="s">
        <v>27</v>
      </c>
      <c r="E141" s="13" t="s">
        <v>28</v>
      </c>
      <c r="F141" s="14">
        <v>0.4166666666666667</v>
      </c>
      <c r="G141" s="13"/>
    </row>
    <row r="142" spans="8:8" ht="32.25" customHeight="1">
      <c r="A142" s="11">
        <v>9.0</v>
      </c>
      <c r="B142" s="12" t="s">
        <v>171</v>
      </c>
      <c r="C142" s="13">
        <v>250235.0</v>
      </c>
      <c r="D142" s="12" t="s">
        <v>27</v>
      </c>
      <c r="E142" s="13" t="s">
        <v>28</v>
      </c>
      <c r="F142" s="14">
        <v>0.4166666666666667</v>
      </c>
      <c r="G142" s="13"/>
    </row>
    <row r="143" spans="8:8" ht="32.25" customHeight="1">
      <c r="A143" s="11">
        <v>10.0</v>
      </c>
      <c r="B143" s="12" t="s">
        <v>172</v>
      </c>
      <c r="C143" s="13">
        <v>250242.0</v>
      </c>
      <c r="D143" s="12" t="s">
        <v>27</v>
      </c>
      <c r="E143" s="13" t="s">
        <v>28</v>
      </c>
      <c r="F143" s="14">
        <v>0.4166666666666667</v>
      </c>
      <c r="G143" s="13"/>
    </row>
    <row r="144" spans="8:8" ht="32.25" customHeight="1">
      <c r="A144" s="11">
        <v>11.0</v>
      </c>
      <c r="B144" s="12" t="s">
        <v>173</v>
      </c>
      <c r="C144" s="13">
        <v>250243.0</v>
      </c>
      <c r="D144" s="12" t="s">
        <v>27</v>
      </c>
      <c r="E144" s="13" t="s">
        <v>28</v>
      </c>
      <c r="F144" s="14">
        <v>0.4166666666666667</v>
      </c>
      <c r="G144" s="13"/>
    </row>
    <row r="145" spans="8:8" ht="32.25" customHeight="1">
      <c r="A145" s="11">
        <v>12.0</v>
      </c>
      <c r="B145" s="12" t="s">
        <v>174</v>
      </c>
      <c r="C145" s="13">
        <v>250239.0</v>
      </c>
      <c r="D145" s="12" t="s">
        <v>27</v>
      </c>
      <c r="E145" s="13" t="s">
        <v>28</v>
      </c>
      <c r="F145" s="14">
        <v>0.4166666666666667</v>
      </c>
      <c r="G145" s="13"/>
    </row>
    <row r="146" spans="8:8" ht="32.25" customHeight="1">
      <c r="A146" s="11">
        <v>13.0</v>
      </c>
      <c r="B146" s="12" t="s">
        <v>175</v>
      </c>
      <c r="C146" s="13">
        <v>250244.0</v>
      </c>
      <c r="D146" s="12" t="s">
        <v>27</v>
      </c>
      <c r="E146" s="13" t="s">
        <v>28</v>
      </c>
      <c r="F146" s="14">
        <v>0.4166666666666667</v>
      </c>
      <c r="G146" s="13"/>
    </row>
    <row r="147" spans="8:8" ht="32.25" customHeight="1">
      <c r="A147" s="11">
        <v>14.0</v>
      </c>
      <c r="B147" s="12" t="s">
        <v>176</v>
      </c>
      <c r="C147" s="13">
        <v>250236.0</v>
      </c>
      <c r="D147" s="12" t="s">
        <v>27</v>
      </c>
      <c r="E147" s="13" t="s">
        <v>28</v>
      </c>
      <c r="F147" s="14">
        <v>0.4166666666666667</v>
      </c>
      <c r="G147" s="13"/>
    </row>
    <row r="148" spans="8:8" ht="32.25" customHeight="1">
      <c r="A148" s="11">
        <v>15.0</v>
      </c>
      <c r="B148" s="12" t="s">
        <v>177</v>
      </c>
      <c r="C148" s="13">
        <v>250241.0</v>
      </c>
      <c r="D148" s="12" t="s">
        <v>27</v>
      </c>
      <c r="E148" s="13" t="s">
        <v>28</v>
      </c>
      <c r="F148" s="14">
        <v>0.4166666666666667</v>
      </c>
      <c r="G148" s="13"/>
    </row>
    <row r="149" spans="8:8" ht="32.25" customHeight="1">
      <c r="A149" s="11">
        <v>16.0</v>
      </c>
      <c r="B149" s="12" t="s">
        <v>178</v>
      </c>
      <c r="C149" s="13">
        <v>250245.0</v>
      </c>
      <c r="D149" s="12" t="s">
        <v>27</v>
      </c>
      <c r="E149" s="13" t="s">
        <v>28</v>
      </c>
      <c r="F149" s="14">
        <v>0.4166666666666667</v>
      </c>
      <c r="G149" s="13"/>
    </row>
    <row r="150" spans="8:8" ht="32.25" customHeight="1">
      <c r="A150" s="11">
        <v>17.0</v>
      </c>
      <c r="B150" s="12" t="s">
        <v>179</v>
      </c>
      <c r="C150" s="13">
        <v>250246.0</v>
      </c>
      <c r="D150" s="12" t="s">
        <v>27</v>
      </c>
      <c r="E150" s="13" t="s">
        <v>28</v>
      </c>
      <c r="F150" s="14">
        <v>0.4166666666666667</v>
      </c>
      <c r="G150" s="13"/>
    </row>
    <row r="151" spans="8:8" ht="32.25" customHeight="1">
      <c r="A151" s="11">
        <v>18.0</v>
      </c>
      <c r="B151" s="12" t="s">
        <v>180</v>
      </c>
      <c r="C151" s="13">
        <v>250252.0</v>
      </c>
      <c r="D151" s="12" t="s">
        <v>27</v>
      </c>
      <c r="E151" s="13" t="s">
        <v>28</v>
      </c>
      <c r="F151" s="14">
        <v>0.4166666666666667</v>
      </c>
      <c r="G151" s="13"/>
    </row>
    <row r="152" spans="8:8" ht="32.25" customHeight="1">
      <c r="A152" s="11">
        <v>19.0</v>
      </c>
      <c r="B152" s="12" t="s">
        <v>181</v>
      </c>
      <c r="C152" s="13">
        <v>250250.0</v>
      </c>
      <c r="D152" s="12" t="s">
        <v>27</v>
      </c>
      <c r="E152" s="13" t="s">
        <v>28</v>
      </c>
      <c r="F152" s="14">
        <v>0.4166666666666667</v>
      </c>
      <c r="G152" s="13"/>
    </row>
    <row r="153" spans="8:8" ht="32.25" customHeight="1">
      <c r="A153" s="11">
        <v>20.0</v>
      </c>
      <c r="B153" s="12" t="s">
        <v>182</v>
      </c>
      <c r="C153" s="13">
        <v>250255.0</v>
      </c>
      <c r="D153" s="12" t="s">
        <v>27</v>
      </c>
      <c r="E153" s="13" t="s">
        <v>28</v>
      </c>
      <c r="F153" s="14">
        <v>0.4166666666666667</v>
      </c>
      <c r="G153" s="13"/>
    </row>
    <row r="154" spans="8:8" ht="32.25" customHeight="1">
      <c r="A154" s="11">
        <v>21.0</v>
      </c>
      <c r="B154" s="12" t="s">
        <v>183</v>
      </c>
      <c r="C154" s="13">
        <v>250260.0</v>
      </c>
      <c r="D154" s="12" t="s">
        <v>27</v>
      </c>
      <c r="E154" s="13" t="s">
        <v>28</v>
      </c>
      <c r="F154" s="14">
        <v>0.4166666666666667</v>
      </c>
      <c r="G154" s="13"/>
    </row>
    <row r="155" spans="8:8" ht="32.25" customHeight="1">
      <c r="A155" s="11">
        <v>22.0</v>
      </c>
      <c r="B155" s="12" t="s">
        <v>184</v>
      </c>
      <c r="C155" s="13">
        <v>250258.0</v>
      </c>
      <c r="D155" s="12" t="s">
        <v>27</v>
      </c>
      <c r="E155" s="13" t="s">
        <v>28</v>
      </c>
      <c r="F155" s="14">
        <v>0.4166666666666667</v>
      </c>
      <c r="G155" s="13"/>
    </row>
    <row r="156" spans="8:8" ht="32.25" customHeight="1">
      <c r="A156" s="11">
        <v>23.0</v>
      </c>
      <c r="B156" s="12" t="s">
        <v>185</v>
      </c>
      <c r="C156" s="13">
        <v>253178.0</v>
      </c>
      <c r="D156" s="12" t="s">
        <v>27</v>
      </c>
      <c r="E156" s="13" t="s">
        <v>28</v>
      </c>
      <c r="F156" s="14">
        <v>0.4166666666666667</v>
      </c>
      <c r="G156" s="13"/>
    </row>
    <row r="157" spans="8:8" ht="32.25" customHeight="1">
      <c r="A157" s="11">
        <v>24.0</v>
      </c>
      <c r="B157" s="12" t="s">
        <v>186</v>
      </c>
      <c r="C157" s="13">
        <v>250111.0</v>
      </c>
      <c r="D157" s="12" t="s">
        <v>27</v>
      </c>
      <c r="E157" s="13" t="s">
        <v>28</v>
      </c>
      <c r="F157" s="14">
        <v>0.4166666666666667</v>
      </c>
      <c r="G157" s="13"/>
    </row>
    <row r="158" spans="8:8" ht="32.25" customHeight="1">
      <c r="A158" s="11">
        <v>25.0</v>
      </c>
      <c r="B158" s="12" t="s">
        <v>187</v>
      </c>
      <c r="C158" s="13">
        <v>250072.0</v>
      </c>
      <c r="D158" s="12" t="s">
        <v>27</v>
      </c>
      <c r="E158" s="13" t="s">
        <v>28</v>
      </c>
      <c r="F158" s="14">
        <v>0.4166666666666667</v>
      </c>
      <c r="G158" s="13"/>
    </row>
    <row r="159" spans="8:8" ht="32.25" customHeight="1">
      <c r="A159" s="8" t="s">
        <v>18</v>
      </c>
      <c r="B159" s="9" t="s">
        <v>19</v>
      </c>
      <c r="C159" s="9" t="s">
        <v>20</v>
      </c>
      <c r="D159" s="9" t="s">
        <v>21</v>
      </c>
      <c r="E159" s="9" t="s">
        <v>22</v>
      </c>
      <c r="F159" s="10" t="s">
        <v>23</v>
      </c>
      <c r="G159" s="9" t="s">
        <v>188</v>
      </c>
    </row>
    <row r="160" spans="8:8" ht="32.25" customHeight="1">
      <c r="A160" s="11">
        <v>1.0</v>
      </c>
      <c r="B160" s="12" t="s">
        <v>189</v>
      </c>
      <c r="C160" s="13">
        <v>250259.0</v>
      </c>
      <c r="D160" s="12" t="s">
        <v>27</v>
      </c>
      <c r="E160" s="13" t="s">
        <v>28</v>
      </c>
      <c r="F160" s="14">
        <v>0.4166666666666667</v>
      </c>
      <c r="G160" s="13"/>
    </row>
    <row r="161" spans="8:8" ht="32.25" customHeight="1">
      <c r="A161" s="11">
        <v>2.0</v>
      </c>
      <c r="B161" s="12" t="s">
        <v>190</v>
      </c>
      <c r="C161" s="13">
        <v>250267.0</v>
      </c>
      <c r="D161" s="12" t="s">
        <v>27</v>
      </c>
      <c r="E161" s="13" t="s">
        <v>28</v>
      </c>
      <c r="F161" s="14">
        <v>0.4166666666666667</v>
      </c>
      <c r="G161" s="13"/>
    </row>
    <row r="162" spans="8:8" ht="32.25" customHeight="1">
      <c r="A162" s="11">
        <v>3.0</v>
      </c>
      <c r="B162" s="12" t="s">
        <v>191</v>
      </c>
      <c r="C162" s="13">
        <v>250264.0</v>
      </c>
      <c r="D162" s="12" t="s">
        <v>27</v>
      </c>
      <c r="E162" s="13" t="s">
        <v>28</v>
      </c>
      <c r="F162" s="14">
        <v>0.4166666666666667</v>
      </c>
      <c r="G162" s="13"/>
    </row>
    <row r="163" spans="8:8" ht="32.25" customHeight="1">
      <c r="A163" s="11">
        <v>4.0</v>
      </c>
      <c r="B163" s="12" t="s">
        <v>192</v>
      </c>
      <c r="C163" s="13">
        <v>250268.0</v>
      </c>
      <c r="D163" s="12" t="s">
        <v>27</v>
      </c>
      <c r="E163" s="13" t="s">
        <v>28</v>
      </c>
      <c r="F163" s="14">
        <v>0.4166666666666667</v>
      </c>
      <c r="G163" s="13"/>
    </row>
    <row r="164" spans="8:8" ht="32.25" customHeight="1">
      <c r="A164" s="11">
        <v>5.0</v>
      </c>
      <c r="B164" s="12" t="s">
        <v>193</v>
      </c>
      <c r="C164" s="13">
        <v>250266.0</v>
      </c>
      <c r="D164" s="12" t="s">
        <v>27</v>
      </c>
      <c r="E164" s="13" t="s">
        <v>28</v>
      </c>
      <c r="F164" s="14">
        <v>0.4166666666666667</v>
      </c>
      <c r="G164" s="13"/>
    </row>
    <row r="165" spans="8:8" ht="32.25" customHeight="1">
      <c r="A165" s="11">
        <v>6.0</v>
      </c>
      <c r="B165" s="12" t="s">
        <v>194</v>
      </c>
      <c r="C165" s="13">
        <v>250263.0</v>
      </c>
      <c r="D165" s="12" t="s">
        <v>27</v>
      </c>
      <c r="E165" s="13" t="s">
        <v>28</v>
      </c>
      <c r="F165" s="14">
        <v>0.4166666666666667</v>
      </c>
      <c r="G165" s="13"/>
    </row>
    <row r="166" spans="8:8" ht="32.25" customHeight="1">
      <c r="A166" s="11">
        <v>7.0</v>
      </c>
      <c r="B166" s="12" t="s">
        <v>195</v>
      </c>
      <c r="C166" s="13">
        <v>250271.0</v>
      </c>
      <c r="D166" s="12" t="s">
        <v>27</v>
      </c>
      <c r="E166" s="13" t="s">
        <v>28</v>
      </c>
      <c r="F166" s="14">
        <v>0.4166666666666667</v>
      </c>
      <c r="G166" s="13"/>
    </row>
    <row r="167" spans="8:8" ht="32.25" customHeight="1">
      <c r="A167" s="11">
        <v>8.0</v>
      </c>
      <c r="B167" s="12" t="s">
        <v>196</v>
      </c>
      <c r="C167" s="13">
        <v>250273.0</v>
      </c>
      <c r="D167" s="12" t="s">
        <v>27</v>
      </c>
      <c r="E167" s="13" t="s">
        <v>28</v>
      </c>
      <c r="F167" s="14">
        <v>0.4166666666666667</v>
      </c>
      <c r="G167" s="13"/>
    </row>
    <row r="168" spans="8:8" ht="32.25" customHeight="1">
      <c r="A168" s="11">
        <v>9.0</v>
      </c>
      <c r="B168" s="12" t="s">
        <v>197</v>
      </c>
      <c r="C168" s="13">
        <v>250274.0</v>
      </c>
      <c r="D168" s="12" t="s">
        <v>27</v>
      </c>
      <c r="E168" s="13" t="s">
        <v>28</v>
      </c>
      <c r="F168" s="14">
        <v>0.4166666666666667</v>
      </c>
      <c r="G168" s="13"/>
    </row>
    <row r="169" spans="8:8" ht="32.25" customHeight="1">
      <c r="A169" s="11">
        <v>10.0</v>
      </c>
      <c r="B169" s="12" t="s">
        <v>198</v>
      </c>
      <c r="C169" s="13">
        <v>250276.0</v>
      </c>
      <c r="D169" s="12" t="s">
        <v>27</v>
      </c>
      <c r="E169" s="13" t="s">
        <v>28</v>
      </c>
      <c r="F169" s="14">
        <v>0.4166666666666667</v>
      </c>
      <c r="G169" s="13"/>
    </row>
    <row r="170" spans="8:8" ht="32.25" customHeight="1">
      <c r="A170" s="11">
        <v>11.0</v>
      </c>
      <c r="B170" s="12" t="s">
        <v>199</v>
      </c>
      <c r="C170" s="13">
        <v>250277.0</v>
      </c>
      <c r="D170" s="12" t="s">
        <v>27</v>
      </c>
      <c r="E170" s="13" t="s">
        <v>28</v>
      </c>
      <c r="F170" s="14">
        <v>0.4166666666666667</v>
      </c>
      <c r="G170" s="13"/>
    </row>
    <row r="171" spans="8:8" ht="32.25" customHeight="1">
      <c r="A171" s="11">
        <v>12.0</v>
      </c>
      <c r="B171" s="12" t="s">
        <v>200</v>
      </c>
      <c r="C171" s="13">
        <v>250278.0</v>
      </c>
      <c r="D171" s="12" t="s">
        <v>27</v>
      </c>
      <c r="E171" s="13" t="s">
        <v>28</v>
      </c>
      <c r="F171" s="14">
        <v>0.4166666666666667</v>
      </c>
      <c r="G171" s="13"/>
    </row>
    <row r="172" spans="8:8" ht="32.25" customHeight="1">
      <c r="A172" s="11">
        <v>13.0</v>
      </c>
      <c r="B172" s="12" t="s">
        <v>201</v>
      </c>
      <c r="C172" s="13">
        <v>250279.0</v>
      </c>
      <c r="D172" s="12" t="s">
        <v>27</v>
      </c>
      <c r="E172" s="13" t="s">
        <v>28</v>
      </c>
      <c r="F172" s="14">
        <v>0.4166666666666667</v>
      </c>
      <c r="G172" s="13"/>
    </row>
    <row r="173" spans="8:8" ht="32.25" customHeight="1">
      <c r="A173" s="11">
        <v>14.0</v>
      </c>
      <c r="B173" s="12" t="s">
        <v>202</v>
      </c>
      <c r="C173" s="13">
        <v>250284.0</v>
      </c>
      <c r="D173" s="12" t="s">
        <v>27</v>
      </c>
      <c r="E173" s="13" t="s">
        <v>28</v>
      </c>
      <c r="F173" s="14">
        <v>0.4166666666666667</v>
      </c>
      <c r="G173" s="13"/>
    </row>
    <row r="174" spans="8:8" ht="32.25" customHeight="1">
      <c r="A174" s="11">
        <v>15.0</v>
      </c>
      <c r="B174" s="12" t="s">
        <v>203</v>
      </c>
      <c r="C174" s="13">
        <v>250282.0</v>
      </c>
      <c r="D174" s="12" t="s">
        <v>27</v>
      </c>
      <c r="E174" s="13" t="s">
        <v>28</v>
      </c>
      <c r="F174" s="14">
        <v>0.4166666666666667</v>
      </c>
      <c r="G174" s="13"/>
    </row>
    <row r="175" spans="8:8" ht="32.25" customHeight="1">
      <c r="A175" s="11">
        <v>16.0</v>
      </c>
      <c r="B175" s="12" t="s">
        <v>204</v>
      </c>
      <c r="C175" s="13">
        <v>250287.0</v>
      </c>
      <c r="D175" s="12" t="s">
        <v>27</v>
      </c>
      <c r="E175" s="13" t="s">
        <v>28</v>
      </c>
      <c r="F175" s="14">
        <v>0.4166666666666667</v>
      </c>
      <c r="G175" s="13"/>
    </row>
    <row r="176" spans="8:8" ht="32.25" customHeight="1">
      <c r="A176" s="11">
        <v>17.0</v>
      </c>
      <c r="B176" s="12" t="s">
        <v>205</v>
      </c>
      <c r="C176" s="13">
        <v>250286.0</v>
      </c>
      <c r="D176" s="12" t="s">
        <v>27</v>
      </c>
      <c r="E176" s="13" t="s">
        <v>28</v>
      </c>
      <c r="F176" s="14">
        <v>0.4166666666666667</v>
      </c>
      <c r="G176" s="13"/>
    </row>
    <row r="177" spans="8:8" ht="32.25" customHeight="1">
      <c r="A177" s="11">
        <v>18.0</v>
      </c>
      <c r="B177" s="12" t="s">
        <v>206</v>
      </c>
      <c r="C177" s="13">
        <v>250289.0</v>
      </c>
      <c r="D177" s="12" t="s">
        <v>27</v>
      </c>
      <c r="E177" s="13" t="s">
        <v>28</v>
      </c>
      <c r="F177" s="14">
        <v>0.4166666666666667</v>
      </c>
      <c r="G177" s="13"/>
    </row>
    <row r="178" spans="8:8" ht="32.25" customHeight="1">
      <c r="A178" s="11">
        <v>19.0</v>
      </c>
      <c r="B178" s="12" t="s">
        <v>207</v>
      </c>
      <c r="C178" s="13">
        <v>250291.0</v>
      </c>
      <c r="D178" s="12" t="s">
        <v>27</v>
      </c>
      <c r="E178" s="13" t="s">
        <v>28</v>
      </c>
      <c r="F178" s="14">
        <v>0.4166666666666667</v>
      </c>
      <c r="G178" s="13"/>
    </row>
    <row r="179" spans="8:8" ht="32.25" customHeight="1">
      <c r="A179" s="11">
        <v>20.0</v>
      </c>
      <c r="B179" s="12" t="s">
        <v>208</v>
      </c>
      <c r="C179" s="13">
        <v>250295.0</v>
      </c>
      <c r="D179" s="12" t="s">
        <v>27</v>
      </c>
      <c r="E179" s="13" t="s">
        <v>28</v>
      </c>
      <c r="F179" s="14">
        <v>0.4166666666666667</v>
      </c>
      <c r="G179" s="13"/>
    </row>
    <row r="180" spans="8:8" ht="32.25" customHeight="1">
      <c r="A180" s="11">
        <v>21.0</v>
      </c>
      <c r="B180" s="12" t="s">
        <v>209</v>
      </c>
      <c r="C180" s="13">
        <v>250296.0</v>
      </c>
      <c r="D180" s="12" t="s">
        <v>27</v>
      </c>
      <c r="E180" s="13" t="s">
        <v>28</v>
      </c>
      <c r="F180" s="14">
        <v>0.4166666666666667</v>
      </c>
      <c r="G180" s="13"/>
    </row>
    <row r="181" spans="8:8" ht="32.25" customHeight="1">
      <c r="A181" s="11">
        <v>22.0</v>
      </c>
      <c r="B181" s="12" t="s">
        <v>210</v>
      </c>
      <c r="C181" s="13">
        <v>250298.0</v>
      </c>
      <c r="D181" s="12" t="s">
        <v>27</v>
      </c>
      <c r="E181" s="13" t="s">
        <v>28</v>
      </c>
      <c r="F181" s="14">
        <v>0.4166666666666667</v>
      </c>
      <c r="G181" s="13"/>
    </row>
    <row r="182" spans="8:8" ht="32.25" customHeight="1">
      <c r="A182" s="11">
        <v>23.0</v>
      </c>
      <c r="B182" s="12" t="s">
        <v>211</v>
      </c>
      <c r="C182" s="13">
        <v>250299.0</v>
      </c>
      <c r="D182" s="12" t="s">
        <v>27</v>
      </c>
      <c r="E182" s="13" t="s">
        <v>28</v>
      </c>
      <c r="F182" s="14">
        <v>0.4166666666666667</v>
      </c>
      <c r="G182" s="13"/>
    </row>
    <row r="183" spans="8:8" ht="32.25" customHeight="1">
      <c r="A183" s="11">
        <v>24.0</v>
      </c>
      <c r="B183" s="12" t="s">
        <v>212</v>
      </c>
      <c r="C183" s="13">
        <v>250302.0</v>
      </c>
      <c r="D183" s="12" t="s">
        <v>27</v>
      </c>
      <c r="E183" s="13" t="s">
        <v>28</v>
      </c>
      <c r="F183" s="14">
        <v>0.4166666666666667</v>
      </c>
      <c r="G183" s="13"/>
    </row>
    <row r="184" spans="8:8" ht="32.25" customHeight="1">
      <c r="A184" s="11">
        <v>25.0</v>
      </c>
      <c r="B184" s="12" t="s">
        <v>213</v>
      </c>
      <c r="C184" s="13">
        <v>250304.0</v>
      </c>
      <c r="D184" s="12" t="s">
        <v>27</v>
      </c>
      <c r="E184" s="13" t="s">
        <v>28</v>
      </c>
      <c r="F184" s="14">
        <v>0.4166666666666667</v>
      </c>
      <c r="G184" s="13"/>
    </row>
    <row r="185" spans="8:8" ht="32.25" customHeight="1">
      <c r="A185" s="8" t="s">
        <v>18</v>
      </c>
      <c r="B185" s="9" t="s">
        <v>19</v>
      </c>
      <c r="C185" s="9" t="s">
        <v>20</v>
      </c>
      <c r="D185" s="9" t="s">
        <v>21</v>
      </c>
      <c r="E185" s="9" t="s">
        <v>22</v>
      </c>
      <c r="F185" s="10" t="s">
        <v>23</v>
      </c>
      <c r="G185" s="9" t="s">
        <v>214</v>
      </c>
    </row>
    <row r="186" spans="8:8" ht="32.25" customHeight="1">
      <c r="A186" s="11">
        <v>1.0</v>
      </c>
      <c r="B186" s="12" t="s">
        <v>215</v>
      </c>
      <c r="C186" s="13">
        <v>251031.0</v>
      </c>
      <c r="D186" s="12" t="s">
        <v>56</v>
      </c>
      <c r="E186" s="13" t="s">
        <v>28</v>
      </c>
      <c r="F186" s="14">
        <v>0.4166666666666667</v>
      </c>
      <c r="G186" s="13"/>
    </row>
    <row r="188" spans="8:8" ht="32.25" customHeight="1">
      <c r="A188" s="11">
        <v>3.0</v>
      </c>
      <c r="B188" s="12" t="s">
        <v>216</v>
      </c>
      <c r="C188" s="13">
        <v>251205.0</v>
      </c>
      <c r="D188" s="12" t="s">
        <v>56</v>
      </c>
      <c r="E188" s="13" t="s">
        <v>28</v>
      </c>
      <c r="F188" s="14">
        <v>0.4166666666666667</v>
      </c>
      <c r="G188" s="13"/>
    </row>
    <row r="189" spans="8:8" ht="32.25" customHeight="1">
      <c r="A189" s="11">
        <v>4.0</v>
      </c>
      <c r="B189" s="12" t="s">
        <v>217</v>
      </c>
      <c r="C189" s="13">
        <v>253133.0</v>
      </c>
      <c r="D189" s="12" t="s">
        <v>56</v>
      </c>
      <c r="E189" s="13" t="s">
        <v>28</v>
      </c>
      <c r="F189" s="14">
        <v>0.4166666666666667</v>
      </c>
      <c r="G189" s="13"/>
    </row>
    <row r="190" spans="8:8" ht="32.25" customHeight="1">
      <c r="A190" s="11">
        <v>5.0</v>
      </c>
      <c r="B190" s="12" t="s">
        <v>218</v>
      </c>
      <c r="C190" s="13">
        <v>251188.0</v>
      </c>
      <c r="D190" s="12" t="s">
        <v>56</v>
      </c>
      <c r="E190" s="13" t="s">
        <v>28</v>
      </c>
      <c r="F190" s="14">
        <v>0.4166666666666667</v>
      </c>
      <c r="G190" s="13"/>
    </row>
    <row r="191" spans="8:8" ht="32.25" customHeight="1">
      <c r="A191" s="11">
        <v>6.0</v>
      </c>
      <c r="B191" s="12" t="s">
        <v>219</v>
      </c>
      <c r="C191" s="13">
        <v>250112.0</v>
      </c>
      <c r="D191" s="12" t="s">
        <v>27</v>
      </c>
      <c r="E191" s="13" t="s">
        <v>28</v>
      </c>
      <c r="F191" s="14">
        <v>0.4166666666666667</v>
      </c>
      <c r="G191" s="13"/>
    </row>
    <row r="192" spans="8:8" ht="32.25" customHeight="1">
      <c r="A192" s="11">
        <v>7.0</v>
      </c>
      <c r="B192" s="12" t="s">
        <v>220</v>
      </c>
      <c r="C192" s="13">
        <v>250309.0</v>
      </c>
      <c r="D192" s="12" t="s">
        <v>27</v>
      </c>
      <c r="E192" s="13" t="s">
        <v>28</v>
      </c>
      <c r="F192" s="14">
        <v>0.4166666666666667</v>
      </c>
      <c r="G192" s="13"/>
    </row>
    <row r="193" spans="8:8" ht="32.25" customHeight="1">
      <c r="A193" s="11">
        <v>8.0</v>
      </c>
      <c r="B193" s="12" t="s">
        <v>221</v>
      </c>
      <c r="C193" s="13">
        <v>250310.0</v>
      </c>
      <c r="D193" s="12" t="s">
        <v>27</v>
      </c>
      <c r="E193" s="13" t="s">
        <v>28</v>
      </c>
      <c r="F193" s="14">
        <v>0.4166666666666667</v>
      </c>
      <c r="G193" s="13"/>
    </row>
    <row r="194" spans="8:8" ht="32.25" customHeight="1">
      <c r="A194" s="11">
        <v>9.0</v>
      </c>
      <c r="B194" s="12" t="s">
        <v>222</v>
      </c>
      <c r="C194" s="13">
        <v>250311.0</v>
      </c>
      <c r="D194" s="12" t="s">
        <v>27</v>
      </c>
      <c r="E194" s="13" t="s">
        <v>28</v>
      </c>
      <c r="F194" s="14">
        <v>0.4166666666666667</v>
      </c>
      <c r="G194" s="13"/>
    </row>
    <row r="195" spans="8:8" ht="32.25" customHeight="1">
      <c r="A195" s="11">
        <v>10.0</v>
      </c>
      <c r="B195" s="12" t="s">
        <v>223</v>
      </c>
      <c r="C195" s="13">
        <v>250312.0</v>
      </c>
      <c r="D195" s="12" t="s">
        <v>27</v>
      </c>
      <c r="E195" s="13" t="s">
        <v>28</v>
      </c>
      <c r="F195" s="14">
        <v>0.4166666666666667</v>
      </c>
      <c r="G195" s="13"/>
    </row>
    <row r="196" spans="8:8" ht="32.25" customHeight="1">
      <c r="A196" s="11">
        <v>11.0</v>
      </c>
      <c r="B196" s="12" t="s">
        <v>224</v>
      </c>
      <c r="C196" s="13">
        <v>250313.0</v>
      </c>
      <c r="D196" s="12" t="s">
        <v>27</v>
      </c>
      <c r="E196" s="13" t="s">
        <v>28</v>
      </c>
      <c r="F196" s="14">
        <v>0.4166666666666667</v>
      </c>
      <c r="G196" s="13"/>
    </row>
    <row r="197" spans="8:8" ht="32.25" customHeight="1">
      <c r="A197" s="11">
        <v>12.0</v>
      </c>
      <c r="B197" s="12" t="s">
        <v>225</v>
      </c>
      <c r="C197" s="13">
        <v>250314.0</v>
      </c>
      <c r="D197" s="12" t="s">
        <v>27</v>
      </c>
      <c r="E197" s="13" t="s">
        <v>28</v>
      </c>
      <c r="F197" s="14">
        <v>0.4166666666666667</v>
      </c>
      <c r="G197" s="13"/>
    </row>
    <row r="198" spans="8:8" ht="32.25" customHeight="1">
      <c r="A198" s="11">
        <v>13.0</v>
      </c>
      <c r="B198" s="12" t="s">
        <v>226</v>
      </c>
      <c r="C198" s="13">
        <v>250316.0</v>
      </c>
      <c r="D198" s="12" t="s">
        <v>27</v>
      </c>
      <c r="E198" s="13" t="s">
        <v>28</v>
      </c>
      <c r="F198" s="14">
        <v>0.4166666666666667</v>
      </c>
      <c r="G198" s="13"/>
    </row>
    <row r="199" spans="8:8" ht="32.25" customHeight="1">
      <c r="A199" s="11">
        <v>14.0</v>
      </c>
      <c r="B199" s="12" t="s">
        <v>227</v>
      </c>
      <c r="C199" s="13">
        <v>250315.0</v>
      </c>
      <c r="D199" s="12" t="s">
        <v>27</v>
      </c>
      <c r="E199" s="13" t="s">
        <v>28</v>
      </c>
      <c r="F199" s="14">
        <v>0.4166666666666667</v>
      </c>
      <c r="G199" s="13"/>
    </row>
    <row r="200" spans="8:8" ht="32.25" customHeight="1">
      <c r="A200" s="11">
        <v>15.0</v>
      </c>
      <c r="B200" s="12" t="s">
        <v>228</v>
      </c>
      <c r="C200" s="13">
        <v>250318.0</v>
      </c>
      <c r="D200" s="12" t="s">
        <v>27</v>
      </c>
      <c r="E200" s="13" t="s">
        <v>28</v>
      </c>
      <c r="F200" s="14">
        <v>0.4166666666666667</v>
      </c>
      <c r="G200" s="13"/>
    </row>
    <row r="201" spans="8:8" ht="32.25" customHeight="1">
      <c r="A201" s="11">
        <v>16.0</v>
      </c>
      <c r="B201" s="12" t="s">
        <v>229</v>
      </c>
      <c r="C201" s="13">
        <v>250324.0</v>
      </c>
      <c r="D201" s="12" t="s">
        <v>27</v>
      </c>
      <c r="E201" s="13" t="s">
        <v>28</v>
      </c>
      <c r="F201" s="14">
        <v>0.4166666666666667</v>
      </c>
      <c r="G201" s="13"/>
    </row>
    <row r="202" spans="8:8" ht="32.25" customHeight="1">
      <c r="A202" s="11">
        <v>17.0</v>
      </c>
      <c r="B202" s="12" t="s">
        <v>230</v>
      </c>
      <c r="C202" s="13">
        <v>250321.0</v>
      </c>
      <c r="D202" s="12" t="s">
        <v>27</v>
      </c>
      <c r="E202" s="13" t="s">
        <v>28</v>
      </c>
      <c r="F202" s="14">
        <v>0.4166666666666667</v>
      </c>
      <c r="G202" s="13"/>
    </row>
    <row r="203" spans="8:8" ht="32.25" customHeight="1">
      <c r="A203" s="11">
        <v>18.0</v>
      </c>
      <c r="B203" s="12" t="s">
        <v>231</v>
      </c>
      <c r="C203" s="13">
        <v>250322.0</v>
      </c>
      <c r="D203" s="12" t="s">
        <v>27</v>
      </c>
      <c r="E203" s="13" t="s">
        <v>28</v>
      </c>
      <c r="F203" s="14">
        <v>0.4166666666666667</v>
      </c>
      <c r="G203" s="13"/>
    </row>
    <row r="204" spans="8:8" ht="32.25" customHeight="1">
      <c r="A204" s="11">
        <v>19.0</v>
      </c>
      <c r="B204" s="12" t="s">
        <v>232</v>
      </c>
      <c r="C204" s="13">
        <v>250320.0</v>
      </c>
      <c r="D204" s="12" t="s">
        <v>27</v>
      </c>
      <c r="E204" s="13" t="s">
        <v>28</v>
      </c>
      <c r="F204" s="14">
        <v>0.4166666666666667</v>
      </c>
      <c r="G204" s="13"/>
    </row>
    <row r="205" spans="8:8" ht="32.25" customHeight="1">
      <c r="A205" s="11">
        <v>20.0</v>
      </c>
      <c r="B205" s="12" t="s">
        <v>233</v>
      </c>
      <c r="C205" s="13">
        <v>250323.0</v>
      </c>
      <c r="D205" s="12" t="s">
        <v>27</v>
      </c>
      <c r="E205" s="13" t="s">
        <v>28</v>
      </c>
      <c r="F205" s="14">
        <v>0.4166666666666667</v>
      </c>
      <c r="G205" s="13"/>
    </row>
    <row r="206" spans="8:8" ht="32.25" customHeight="1">
      <c r="A206" s="11">
        <v>21.0</v>
      </c>
      <c r="B206" s="12" t="s">
        <v>234</v>
      </c>
      <c r="C206" s="13">
        <v>251099.0</v>
      </c>
      <c r="D206" s="12" t="s">
        <v>56</v>
      </c>
      <c r="E206" s="13" t="s">
        <v>28</v>
      </c>
      <c r="F206" s="14">
        <v>0.4166666666666667</v>
      </c>
      <c r="G206" s="13"/>
    </row>
    <row r="207" spans="8:8" ht="32.25" customHeight="1">
      <c r="A207" s="11">
        <v>22.0</v>
      </c>
      <c r="B207" s="12" t="s">
        <v>235</v>
      </c>
      <c r="C207" s="13">
        <v>251092.0</v>
      </c>
      <c r="D207" s="12" t="s">
        <v>56</v>
      </c>
      <c r="E207" s="13" t="s">
        <v>28</v>
      </c>
      <c r="F207" s="14">
        <v>0.4166666666666667</v>
      </c>
      <c r="G207" s="13"/>
    </row>
    <row r="208" spans="8:8" ht="32.25" customHeight="1">
      <c r="A208" s="11">
        <v>23.0</v>
      </c>
      <c r="B208" s="12" t="s">
        <v>236</v>
      </c>
      <c r="C208" s="13">
        <v>251088.0</v>
      </c>
      <c r="D208" s="12" t="s">
        <v>56</v>
      </c>
      <c r="E208" s="13" t="s">
        <v>28</v>
      </c>
      <c r="F208" s="14">
        <v>0.4166666666666667</v>
      </c>
      <c r="G208" s="13"/>
    </row>
    <row r="209" spans="8:8" ht="32.25" customHeight="1">
      <c r="A209" s="11">
        <v>24.0</v>
      </c>
      <c r="B209" s="12" t="s">
        <v>237</v>
      </c>
      <c r="C209" s="13">
        <v>251103.0</v>
      </c>
      <c r="D209" s="12" t="s">
        <v>56</v>
      </c>
      <c r="E209" s="13" t="s">
        <v>28</v>
      </c>
      <c r="F209" s="14">
        <v>0.4166666666666667</v>
      </c>
      <c r="G209" s="13"/>
    </row>
    <row r="210" spans="8:8" ht="32.25" customHeight="1">
      <c r="A210" s="11">
        <v>25.0</v>
      </c>
      <c r="B210" s="12" t="s">
        <v>238</v>
      </c>
      <c r="C210" s="13">
        <v>251100.0</v>
      </c>
      <c r="D210" s="12" t="s">
        <v>56</v>
      </c>
      <c r="E210" s="13" t="s">
        <v>28</v>
      </c>
      <c r="F210" s="14">
        <v>0.4166666666666667</v>
      </c>
      <c r="G210" s="13"/>
    </row>
    <row r="211" spans="8:8" ht="32.25" customHeight="1">
      <c r="A211" s="8" t="s">
        <v>18</v>
      </c>
      <c r="B211" s="9" t="s">
        <v>19</v>
      </c>
      <c r="C211" s="9" t="s">
        <v>20</v>
      </c>
      <c r="D211" s="9" t="s">
        <v>21</v>
      </c>
      <c r="E211" s="9" t="s">
        <v>22</v>
      </c>
      <c r="F211" s="10" t="s">
        <v>23</v>
      </c>
      <c r="G211" s="9" t="s">
        <v>239</v>
      </c>
    </row>
    <row r="212" spans="8:8" ht="32.25" customHeight="1">
      <c r="A212" s="11">
        <v>1.0</v>
      </c>
      <c r="B212" s="12" t="s">
        <v>240</v>
      </c>
      <c r="C212" s="13">
        <v>251093.0</v>
      </c>
      <c r="D212" s="12" t="s">
        <v>56</v>
      </c>
      <c r="E212" s="13" t="s">
        <v>28</v>
      </c>
      <c r="F212" s="14">
        <v>0.4166666666666667</v>
      </c>
      <c r="G212" s="13"/>
    </row>
    <row r="213" spans="8:8" ht="32.25" customHeight="1">
      <c r="A213" s="11">
        <v>2.0</v>
      </c>
      <c r="B213" s="12" t="s">
        <v>241</v>
      </c>
      <c r="C213" s="13">
        <v>251098.0</v>
      </c>
      <c r="D213" s="12" t="s">
        <v>56</v>
      </c>
      <c r="E213" s="13" t="s">
        <v>28</v>
      </c>
      <c r="F213" s="14">
        <v>0.4166666666666667</v>
      </c>
      <c r="G213" s="13"/>
    </row>
    <row r="214" spans="8:8" ht="32.25" customHeight="1">
      <c r="A214" s="11">
        <v>3.0</v>
      </c>
      <c r="B214" s="12" t="s">
        <v>242</v>
      </c>
      <c r="C214" s="13">
        <v>250280.0</v>
      </c>
      <c r="D214" s="12" t="s">
        <v>27</v>
      </c>
      <c r="E214" s="13" t="s">
        <v>28</v>
      </c>
      <c r="F214" s="14">
        <v>0.4166666666666667</v>
      </c>
      <c r="G214" s="13"/>
    </row>
    <row r="215" spans="8:8" ht="32.25" customHeight="1">
      <c r="A215" s="11">
        <v>4.0</v>
      </c>
      <c r="B215" s="12" t="s">
        <v>243</v>
      </c>
      <c r="C215" s="13">
        <v>250290.0</v>
      </c>
      <c r="D215" s="12" t="s">
        <v>27</v>
      </c>
      <c r="E215" s="13" t="s">
        <v>28</v>
      </c>
      <c r="F215" s="14">
        <v>0.4166666666666667</v>
      </c>
      <c r="G215" s="13"/>
    </row>
    <row r="216" spans="8:8" ht="32.25" customHeight="1">
      <c r="A216" s="11">
        <v>5.0</v>
      </c>
      <c r="B216" s="12" t="s">
        <v>244</v>
      </c>
      <c r="C216" s="13">
        <v>250293.0</v>
      </c>
      <c r="D216" s="12" t="s">
        <v>27</v>
      </c>
      <c r="E216" s="13" t="s">
        <v>28</v>
      </c>
      <c r="F216" s="14">
        <v>0.4166666666666667</v>
      </c>
      <c r="G216" s="13"/>
    </row>
    <row r="217" spans="8:8" ht="32.25" customHeight="1">
      <c r="A217" s="11">
        <v>6.0</v>
      </c>
      <c r="B217" s="12" t="s">
        <v>245</v>
      </c>
      <c r="C217" s="13">
        <v>250297.0</v>
      </c>
      <c r="D217" s="12" t="s">
        <v>27</v>
      </c>
      <c r="E217" s="13" t="s">
        <v>28</v>
      </c>
      <c r="F217" s="14">
        <v>0.4166666666666667</v>
      </c>
      <c r="G217" s="13"/>
    </row>
    <row r="218" spans="8:8" ht="32.25" customHeight="1">
      <c r="A218" s="11">
        <v>7.0</v>
      </c>
      <c r="B218" s="12" t="s">
        <v>246</v>
      </c>
      <c r="C218" s="13">
        <v>250116.0</v>
      </c>
      <c r="D218" s="12" t="s">
        <v>27</v>
      </c>
      <c r="E218" s="13" t="s">
        <v>28</v>
      </c>
      <c r="F218" s="14">
        <v>0.4166666666666667</v>
      </c>
      <c r="G218" s="13"/>
    </row>
    <row r="219" spans="8:8" ht="32.25" customHeight="1">
      <c r="A219" s="11">
        <v>8.0</v>
      </c>
      <c r="B219" s="12" t="s">
        <v>247</v>
      </c>
      <c r="C219" s="13">
        <v>250121.0</v>
      </c>
      <c r="D219" s="12" t="s">
        <v>27</v>
      </c>
      <c r="E219" s="13" t="s">
        <v>28</v>
      </c>
      <c r="F219" s="14">
        <v>0.4166666666666667</v>
      </c>
      <c r="G219" s="13"/>
    </row>
    <row r="220" spans="8:8" ht="32.25" customHeight="1">
      <c r="A220" s="11">
        <v>9.0</v>
      </c>
      <c r="B220" s="12" t="s">
        <v>248</v>
      </c>
      <c r="C220" s="13">
        <v>251043.0</v>
      </c>
      <c r="D220" s="12" t="s">
        <v>56</v>
      </c>
      <c r="E220" s="13" t="s">
        <v>28</v>
      </c>
      <c r="F220" s="14">
        <v>0.4166666666666667</v>
      </c>
      <c r="G220" s="13"/>
    </row>
    <row r="221" spans="8:8" ht="32.25" customHeight="1">
      <c r="A221" s="11">
        <v>10.0</v>
      </c>
      <c r="B221" s="12" t="s">
        <v>249</v>
      </c>
      <c r="C221" s="13">
        <v>251846.0</v>
      </c>
      <c r="D221" s="12" t="s">
        <v>56</v>
      </c>
      <c r="E221" s="13" t="s">
        <v>28</v>
      </c>
      <c r="F221" s="14">
        <v>0.4166666666666667</v>
      </c>
      <c r="G221" s="13"/>
    </row>
    <row r="222" spans="8:8" ht="32.25" customHeight="1">
      <c r="A222" s="11">
        <v>11.0</v>
      </c>
      <c r="B222" s="12" t="s">
        <v>250</v>
      </c>
      <c r="C222" s="13">
        <v>251185.0</v>
      </c>
      <c r="D222" s="12" t="s">
        <v>56</v>
      </c>
      <c r="E222" s="13" t="s">
        <v>28</v>
      </c>
      <c r="F222" s="14">
        <v>0.4166666666666667</v>
      </c>
      <c r="G222" s="13"/>
    </row>
    <row r="223" spans="8:8" ht="32.25" customHeight="1">
      <c r="A223" s="11">
        <v>12.0</v>
      </c>
      <c r="B223" s="12" t="s">
        <v>251</v>
      </c>
      <c r="C223" s="13">
        <v>250682.0</v>
      </c>
      <c r="D223" s="12" t="s">
        <v>56</v>
      </c>
      <c r="E223" s="13" t="s">
        <v>28</v>
      </c>
      <c r="F223" s="14">
        <v>0.4166666666666667</v>
      </c>
      <c r="G223" s="13"/>
    </row>
    <row r="224" spans="8:8" ht="32.25" customHeight="1">
      <c r="A224" s="11">
        <v>13.0</v>
      </c>
      <c r="B224" s="12" t="s">
        <v>252</v>
      </c>
      <c r="C224" s="13">
        <v>250681.0</v>
      </c>
      <c r="D224" s="12" t="s">
        <v>56</v>
      </c>
      <c r="E224" s="13" t="s">
        <v>28</v>
      </c>
      <c r="F224" s="14">
        <v>0.4166666666666667</v>
      </c>
      <c r="G224" s="13"/>
    </row>
    <row r="225" spans="8:8" ht="32.25" customHeight="1">
      <c r="A225" s="11">
        <v>14.0</v>
      </c>
      <c r="B225" s="12" t="s">
        <v>253</v>
      </c>
      <c r="C225" s="13">
        <v>250837.0</v>
      </c>
      <c r="D225" s="12" t="s">
        <v>56</v>
      </c>
      <c r="E225" s="13" t="s">
        <v>28</v>
      </c>
      <c r="F225" s="14">
        <v>0.4166666666666667</v>
      </c>
      <c r="G225" s="13"/>
    </row>
    <row r="226" spans="8:8" ht="32.25" customHeight="1">
      <c r="A226" s="11">
        <v>15.0</v>
      </c>
      <c r="B226" s="12" t="s">
        <v>254</v>
      </c>
      <c r="C226" s="13">
        <v>250667.0</v>
      </c>
      <c r="D226" s="12" t="s">
        <v>56</v>
      </c>
      <c r="E226" s="13" t="s">
        <v>28</v>
      </c>
      <c r="F226" s="14">
        <v>0.4166666666666667</v>
      </c>
      <c r="G226" s="13"/>
    </row>
    <row r="227" spans="8:8" ht="32.25" customHeight="1">
      <c r="A227" s="11">
        <v>16.0</v>
      </c>
      <c r="B227" s="12" t="s">
        <v>255</v>
      </c>
      <c r="C227" s="13">
        <v>250676.0</v>
      </c>
      <c r="D227" s="12" t="s">
        <v>56</v>
      </c>
      <c r="E227" s="13" t="s">
        <v>28</v>
      </c>
      <c r="F227" s="14">
        <v>0.4166666666666667</v>
      </c>
      <c r="G227" s="13"/>
    </row>
    <row r="228" spans="8:8" ht="32.25" customHeight="1">
      <c r="A228" s="11">
        <v>17.0</v>
      </c>
      <c r="B228" s="12" t="s">
        <v>256</v>
      </c>
      <c r="C228" s="13">
        <v>250687.0</v>
      </c>
      <c r="D228" s="12" t="s">
        <v>56</v>
      </c>
      <c r="E228" s="13" t="s">
        <v>28</v>
      </c>
      <c r="F228" s="14">
        <v>0.4166666666666667</v>
      </c>
      <c r="G228" s="13"/>
    </row>
    <row r="229" spans="8:8" ht="32.25" customHeight="1">
      <c r="A229" s="11">
        <v>18.0</v>
      </c>
      <c r="B229" s="12" t="s">
        <v>257</v>
      </c>
      <c r="C229" s="13">
        <v>250688.0</v>
      </c>
      <c r="D229" s="12" t="s">
        <v>56</v>
      </c>
      <c r="E229" s="13" t="s">
        <v>28</v>
      </c>
      <c r="F229" s="14">
        <v>0.4166666666666667</v>
      </c>
      <c r="G229" s="13"/>
    </row>
    <row r="230" spans="8:8" ht="32.25" customHeight="1">
      <c r="A230" s="11">
        <v>19.0</v>
      </c>
      <c r="B230" s="12" t="s">
        <v>258</v>
      </c>
      <c r="C230" s="13">
        <v>250711.0</v>
      </c>
      <c r="D230" s="12" t="s">
        <v>56</v>
      </c>
      <c r="E230" s="13" t="s">
        <v>28</v>
      </c>
      <c r="F230" s="14">
        <v>0.4166666666666667</v>
      </c>
      <c r="G230" s="13"/>
    </row>
    <row r="231" spans="8:8" ht="32.25" customHeight="1">
      <c r="A231" s="11">
        <v>20.0</v>
      </c>
      <c r="B231" s="12" t="s">
        <v>259</v>
      </c>
      <c r="C231" s="13">
        <v>250689.0</v>
      </c>
      <c r="D231" s="12" t="s">
        <v>56</v>
      </c>
      <c r="E231" s="13" t="s">
        <v>28</v>
      </c>
      <c r="F231" s="14">
        <v>0.4166666666666667</v>
      </c>
      <c r="G231" s="13"/>
    </row>
    <row r="232" spans="8:8" ht="32.25" customHeight="1">
      <c r="A232" s="11">
        <v>21.0</v>
      </c>
      <c r="B232" s="12" t="s">
        <v>260</v>
      </c>
      <c r="C232" s="13">
        <v>250701.0</v>
      </c>
      <c r="D232" s="12" t="s">
        <v>56</v>
      </c>
      <c r="E232" s="13" t="s">
        <v>28</v>
      </c>
      <c r="F232" s="14">
        <v>0.4166666666666667</v>
      </c>
      <c r="G232" s="13"/>
    </row>
    <row r="233" spans="8:8" ht="32.25" customHeight="1">
      <c r="A233" s="11">
        <v>22.0</v>
      </c>
      <c r="B233" s="12" t="s">
        <v>261</v>
      </c>
      <c r="C233" s="13">
        <v>250704.0</v>
      </c>
      <c r="D233" s="12" t="s">
        <v>56</v>
      </c>
      <c r="E233" s="13" t="s">
        <v>28</v>
      </c>
      <c r="F233" s="14">
        <v>0.4166666666666667</v>
      </c>
      <c r="G233" s="13"/>
    </row>
    <row r="234" spans="8:8" ht="32.25" customHeight="1">
      <c r="A234" s="11">
        <v>23.0</v>
      </c>
      <c r="B234" s="12" t="s">
        <v>262</v>
      </c>
      <c r="C234" s="13">
        <v>250698.0</v>
      </c>
      <c r="D234" s="12" t="s">
        <v>56</v>
      </c>
      <c r="E234" s="13" t="s">
        <v>28</v>
      </c>
      <c r="F234" s="14">
        <v>0.4166666666666667</v>
      </c>
      <c r="G234" s="13"/>
    </row>
    <row r="235" spans="8:8" ht="32.25" customHeight="1">
      <c r="A235" s="11">
        <v>24.0</v>
      </c>
      <c r="B235" s="12" t="s">
        <v>263</v>
      </c>
      <c r="C235" s="13">
        <v>250654.0</v>
      </c>
      <c r="D235" s="12" t="s">
        <v>56</v>
      </c>
      <c r="E235" s="13" t="s">
        <v>28</v>
      </c>
      <c r="F235" s="14">
        <v>0.4166666666666667</v>
      </c>
      <c r="G235" s="13"/>
    </row>
    <row r="236" spans="8:8" ht="32.25" customHeight="1">
      <c r="A236" s="11">
        <v>25.0</v>
      </c>
      <c r="B236" s="12" t="s">
        <v>264</v>
      </c>
      <c r="C236" s="13">
        <v>250653.0</v>
      </c>
      <c r="D236" s="12" t="s">
        <v>56</v>
      </c>
      <c r="E236" s="13" t="s">
        <v>28</v>
      </c>
      <c r="F236" s="14">
        <v>0.4166666666666667</v>
      </c>
      <c r="G236" s="13"/>
    </row>
    <row r="237" spans="8:8" ht="32.25" customHeight="1">
      <c r="A237" s="8" t="s">
        <v>18</v>
      </c>
      <c r="B237" s="9" t="s">
        <v>19</v>
      </c>
      <c r="C237" s="9" t="s">
        <v>20</v>
      </c>
      <c r="D237" s="9" t="s">
        <v>21</v>
      </c>
      <c r="E237" s="9" t="s">
        <v>22</v>
      </c>
      <c r="F237" s="10" t="s">
        <v>23</v>
      </c>
      <c r="G237" s="9" t="s">
        <v>265</v>
      </c>
    </row>
    <row r="238" spans="8:8" ht="32.25" customHeight="1">
      <c r="A238" s="11">
        <v>1.0</v>
      </c>
      <c r="B238" s="12" t="s">
        <v>266</v>
      </c>
      <c r="C238" s="13">
        <v>250690.0</v>
      </c>
      <c r="D238" s="12" t="s">
        <v>56</v>
      </c>
      <c r="E238" s="13" t="s">
        <v>28</v>
      </c>
      <c r="F238" s="14">
        <v>0.4166666666666667</v>
      </c>
      <c r="G238" s="13"/>
    </row>
    <row r="239" spans="8:8" ht="32.25" customHeight="1">
      <c r="A239" s="11">
        <v>2.0</v>
      </c>
      <c r="B239" s="12" t="s">
        <v>267</v>
      </c>
      <c r="C239" s="13">
        <v>250720.0</v>
      </c>
      <c r="D239" s="12" t="s">
        <v>56</v>
      </c>
      <c r="E239" s="13" t="s">
        <v>28</v>
      </c>
      <c r="F239" s="14">
        <v>0.4166666666666667</v>
      </c>
      <c r="G239" s="13"/>
    </row>
    <row r="240" spans="8:8" ht="32.25" customHeight="1">
      <c r="A240" s="11">
        <v>3.0</v>
      </c>
      <c r="B240" s="12" t="s">
        <v>268</v>
      </c>
      <c r="C240" s="13">
        <v>252962.0</v>
      </c>
      <c r="D240" s="12" t="s">
        <v>27</v>
      </c>
      <c r="E240" s="13" t="s">
        <v>28</v>
      </c>
      <c r="F240" s="14">
        <v>0.4166666666666667</v>
      </c>
      <c r="G240" s="13"/>
    </row>
    <row r="241" spans="8:8" ht="32.25" customHeight="1">
      <c r="A241" s="11">
        <v>4.0</v>
      </c>
      <c r="B241" s="12" t="s">
        <v>269</v>
      </c>
      <c r="C241" s="13">
        <v>253181.0</v>
      </c>
      <c r="D241" s="12" t="s">
        <v>27</v>
      </c>
      <c r="E241" s="13" t="s">
        <v>28</v>
      </c>
      <c r="F241" s="14">
        <v>0.4166666666666667</v>
      </c>
      <c r="G241" s="13"/>
    </row>
    <row r="242" spans="8:8" ht="32.25" customHeight="1">
      <c r="A242" s="11">
        <v>5.0</v>
      </c>
      <c r="B242" s="12" t="s">
        <v>270</v>
      </c>
      <c r="C242" s="13">
        <v>253125.0</v>
      </c>
      <c r="D242" s="12" t="s">
        <v>27</v>
      </c>
      <c r="E242" s="13" t="s">
        <v>28</v>
      </c>
      <c r="F242" s="14">
        <v>0.4166666666666667</v>
      </c>
      <c r="G242" s="13"/>
    </row>
    <row r="243" spans="8:8" ht="32.25" customHeight="1">
      <c r="A243" s="11">
        <v>6.0</v>
      </c>
      <c r="B243" s="12" t="s">
        <v>271</v>
      </c>
      <c r="C243" s="13">
        <v>253049.0</v>
      </c>
      <c r="D243" s="12" t="s">
        <v>27</v>
      </c>
      <c r="E243" s="13" t="s">
        <v>28</v>
      </c>
      <c r="F243" s="14">
        <v>0.4166666666666667</v>
      </c>
      <c r="G243" s="13"/>
    </row>
    <row r="244" spans="8:8" ht="32.25" customHeight="1">
      <c r="A244" s="11">
        <v>7.0</v>
      </c>
      <c r="B244" s="12" t="s">
        <v>272</v>
      </c>
      <c r="C244" s="13">
        <v>250216.0</v>
      </c>
      <c r="D244" s="12" t="s">
        <v>27</v>
      </c>
      <c r="E244" s="13" t="s">
        <v>28</v>
      </c>
      <c r="F244" s="14">
        <v>0.4166666666666667</v>
      </c>
      <c r="G244" s="13"/>
    </row>
    <row r="245" spans="8:8" ht="32.25" customHeight="1">
      <c r="A245" s="11">
        <v>8.0</v>
      </c>
      <c r="B245" s="12" t="s">
        <v>273</v>
      </c>
      <c r="C245" s="13">
        <v>250773.0</v>
      </c>
      <c r="D245" s="12" t="s">
        <v>56</v>
      </c>
      <c r="E245" s="13" t="s">
        <v>28</v>
      </c>
      <c r="F245" s="14">
        <v>0.4166666666666667</v>
      </c>
      <c r="G245" s="13"/>
    </row>
    <row r="246" spans="8:8" ht="32.25" customHeight="1">
      <c r="A246" s="11">
        <v>9.0</v>
      </c>
      <c r="B246" s="12" t="s">
        <v>274</v>
      </c>
      <c r="C246" s="13">
        <v>252966.0</v>
      </c>
      <c r="D246" s="12" t="s">
        <v>27</v>
      </c>
      <c r="E246" s="13" t="s">
        <v>28</v>
      </c>
      <c r="F246" s="14">
        <v>0.4166666666666667</v>
      </c>
      <c r="G246" s="13"/>
    </row>
    <row r="247" spans="8:8" ht="32.25" customHeight="1">
      <c r="A247" s="11">
        <v>10.0</v>
      </c>
      <c r="B247" s="12" t="s">
        <v>275</v>
      </c>
      <c r="C247" s="13">
        <v>252963.0</v>
      </c>
      <c r="D247" s="12" t="s">
        <v>27</v>
      </c>
      <c r="E247" s="13" t="s">
        <v>28</v>
      </c>
      <c r="F247" s="14">
        <v>0.4166666666666667</v>
      </c>
      <c r="G247" s="13"/>
    </row>
    <row r="248" spans="8:8" ht="32.25" customHeight="1">
      <c r="A248" s="11">
        <v>11.0</v>
      </c>
      <c r="B248" s="12" t="s">
        <v>276</v>
      </c>
      <c r="C248" s="13">
        <v>251078.0</v>
      </c>
      <c r="D248" s="12" t="s">
        <v>56</v>
      </c>
      <c r="E248" s="13" t="s">
        <v>28</v>
      </c>
      <c r="F248" s="14">
        <v>0.4166666666666667</v>
      </c>
      <c r="G248" s="13"/>
    </row>
    <row r="249" spans="8:8" ht="32.25" customHeight="1">
      <c r="A249" s="11">
        <v>12.0</v>
      </c>
      <c r="B249" s="12" t="s">
        <v>277</v>
      </c>
      <c r="C249" s="13">
        <v>251116.0</v>
      </c>
      <c r="D249" s="12" t="s">
        <v>56</v>
      </c>
      <c r="E249" s="13" t="s">
        <v>28</v>
      </c>
      <c r="F249" s="14">
        <v>0.4166666666666667</v>
      </c>
      <c r="G249" s="13"/>
    </row>
    <row r="250" spans="8:8" ht="32.25" customHeight="1">
      <c r="A250" s="11">
        <v>13.0</v>
      </c>
      <c r="B250" s="12" t="s">
        <v>278</v>
      </c>
      <c r="C250" s="13">
        <v>251073.0</v>
      </c>
      <c r="D250" s="12" t="s">
        <v>56</v>
      </c>
      <c r="E250" s="13" t="s">
        <v>28</v>
      </c>
      <c r="F250" s="14">
        <v>0.4166666666666667</v>
      </c>
      <c r="G250" s="13"/>
    </row>
    <row r="251" spans="8:8" ht="32.25" customHeight="1">
      <c r="A251" s="11">
        <v>14.0</v>
      </c>
      <c r="B251" s="12" t="s">
        <v>279</v>
      </c>
      <c r="C251" s="13">
        <v>250960.0</v>
      </c>
      <c r="D251" s="12" t="s">
        <v>56</v>
      </c>
      <c r="E251" s="13" t="s">
        <v>28</v>
      </c>
      <c r="F251" s="14">
        <v>0.4166666666666667</v>
      </c>
      <c r="G251" s="13"/>
    </row>
    <row r="252" spans="8:8" ht="32.25" customHeight="1">
      <c r="A252" s="11">
        <v>15.0</v>
      </c>
      <c r="B252" s="12" t="s">
        <v>280</v>
      </c>
      <c r="C252" s="13">
        <v>250763.0</v>
      </c>
      <c r="D252" s="12" t="s">
        <v>56</v>
      </c>
      <c r="E252" s="13" t="s">
        <v>28</v>
      </c>
      <c r="F252" s="14">
        <v>0.4166666666666667</v>
      </c>
      <c r="G252" s="13"/>
    </row>
    <row r="253" spans="8:8" ht="32.25" customHeight="1">
      <c r="A253" s="11">
        <v>16.0</v>
      </c>
      <c r="B253" s="12" t="s">
        <v>281</v>
      </c>
      <c r="C253" s="13">
        <v>250788.0</v>
      </c>
      <c r="D253" s="12" t="s">
        <v>56</v>
      </c>
      <c r="E253" s="13" t="s">
        <v>28</v>
      </c>
      <c r="F253" s="14">
        <v>0.4166666666666667</v>
      </c>
      <c r="G253" s="13"/>
    </row>
    <row r="254" spans="8:8" ht="32.25" customHeight="1">
      <c r="A254" s="11">
        <v>17.0</v>
      </c>
      <c r="B254" s="12" t="s">
        <v>282</v>
      </c>
      <c r="C254" s="13">
        <v>250721.0</v>
      </c>
      <c r="D254" s="12" t="s">
        <v>56</v>
      </c>
      <c r="E254" s="13" t="s">
        <v>28</v>
      </c>
      <c r="F254" s="14">
        <v>0.4166666666666667</v>
      </c>
      <c r="G254" s="13"/>
    </row>
    <row r="255" spans="8:8" ht="32.25" customHeight="1">
      <c r="A255" s="11">
        <v>18.0</v>
      </c>
      <c r="B255" s="12" t="s">
        <v>283</v>
      </c>
      <c r="C255" s="13">
        <v>250658.0</v>
      </c>
      <c r="D255" s="12" t="s">
        <v>56</v>
      </c>
      <c r="E255" s="13" t="s">
        <v>28</v>
      </c>
      <c r="F255" s="14">
        <v>0.4166666666666667</v>
      </c>
      <c r="G255" s="13"/>
    </row>
    <row r="256" spans="8:8" ht="32.25" customHeight="1">
      <c r="A256" s="11">
        <v>19.0</v>
      </c>
      <c r="B256" s="12" t="s">
        <v>284</v>
      </c>
      <c r="C256" s="13">
        <v>250728.0</v>
      </c>
      <c r="D256" s="12" t="s">
        <v>56</v>
      </c>
      <c r="E256" s="13" t="s">
        <v>28</v>
      </c>
      <c r="F256" s="14">
        <v>0.4166666666666667</v>
      </c>
      <c r="G256" s="13"/>
    </row>
    <row r="257" spans="8:8" ht="32.25" customHeight="1">
      <c r="A257" s="11">
        <v>20.0</v>
      </c>
      <c r="B257" s="12" t="s">
        <v>285</v>
      </c>
      <c r="C257" s="13">
        <v>250659.0</v>
      </c>
      <c r="D257" s="12" t="s">
        <v>56</v>
      </c>
      <c r="E257" s="13" t="s">
        <v>28</v>
      </c>
      <c r="F257" s="14">
        <v>0.4166666666666667</v>
      </c>
      <c r="G257" s="13"/>
    </row>
    <row r="258" spans="8:8" ht="32.25" customHeight="1">
      <c r="A258" s="11">
        <v>21.0</v>
      </c>
      <c r="B258" s="12" t="s">
        <v>286</v>
      </c>
      <c r="C258" s="13">
        <v>250729.0</v>
      </c>
      <c r="D258" s="12" t="s">
        <v>56</v>
      </c>
      <c r="E258" s="13" t="s">
        <v>28</v>
      </c>
      <c r="F258" s="14">
        <v>0.4166666666666667</v>
      </c>
      <c r="G258" s="13"/>
    </row>
    <row r="259" spans="8:8" ht="32.25" customHeight="1">
      <c r="A259" s="11">
        <v>22.0</v>
      </c>
      <c r="B259" s="12" t="s">
        <v>287</v>
      </c>
      <c r="C259" s="13">
        <v>250662.0</v>
      </c>
      <c r="D259" s="12" t="s">
        <v>56</v>
      </c>
      <c r="E259" s="13" t="s">
        <v>28</v>
      </c>
      <c r="F259" s="14">
        <v>0.4166666666666667</v>
      </c>
      <c r="G259" s="13"/>
    </row>
    <row r="260" spans="8:8" ht="32.25" customHeight="1">
      <c r="A260" s="11">
        <v>23.0</v>
      </c>
      <c r="B260" s="12" t="s">
        <v>288</v>
      </c>
      <c r="C260" s="13">
        <v>250730.0</v>
      </c>
      <c r="D260" s="12" t="s">
        <v>56</v>
      </c>
      <c r="E260" s="13" t="s">
        <v>28</v>
      </c>
      <c r="F260" s="14">
        <v>0.4166666666666667</v>
      </c>
      <c r="G260" s="13"/>
    </row>
    <row r="261" spans="8:8" ht="32.25" customHeight="1">
      <c r="A261" s="11">
        <v>24.0</v>
      </c>
      <c r="B261" s="12" t="s">
        <v>289</v>
      </c>
      <c r="C261" s="13">
        <v>250660.0</v>
      </c>
      <c r="D261" s="12" t="s">
        <v>56</v>
      </c>
      <c r="E261" s="13" t="s">
        <v>28</v>
      </c>
      <c r="F261" s="14">
        <v>0.4166666666666667</v>
      </c>
      <c r="G261" s="13"/>
    </row>
    <row r="262" spans="8:8" ht="32.25" customHeight="1">
      <c r="A262" s="11">
        <v>25.0</v>
      </c>
      <c r="B262" s="12" t="s">
        <v>290</v>
      </c>
      <c r="C262" s="13">
        <v>250663.0</v>
      </c>
      <c r="D262" s="12" t="s">
        <v>56</v>
      </c>
      <c r="E262" s="13" t="s">
        <v>28</v>
      </c>
      <c r="F262" s="14">
        <v>0.4166666666666667</v>
      </c>
      <c r="G262" s="13"/>
    </row>
    <row r="263" spans="8:8" ht="32.25" customHeight="1">
      <c r="A263" s="8" t="s">
        <v>18</v>
      </c>
      <c r="B263" s="9" t="s">
        <v>19</v>
      </c>
      <c r="C263" s="9" t="s">
        <v>20</v>
      </c>
      <c r="D263" s="9" t="s">
        <v>21</v>
      </c>
      <c r="E263" s="9" t="s">
        <v>22</v>
      </c>
      <c r="F263" s="10" t="s">
        <v>23</v>
      </c>
      <c r="G263" s="9" t="s">
        <v>291</v>
      </c>
    </row>
    <row r="264" spans="8:8" ht="32.25" customHeight="1">
      <c r="A264" s="11">
        <v>1.0</v>
      </c>
      <c r="B264" s="12" t="s">
        <v>292</v>
      </c>
      <c r="C264" s="13">
        <v>250736.0</v>
      </c>
      <c r="D264" s="12" t="s">
        <v>56</v>
      </c>
      <c r="E264" s="13" t="s">
        <v>28</v>
      </c>
      <c r="F264" s="14">
        <v>0.4166666666666667</v>
      </c>
      <c r="G264" s="13"/>
    </row>
    <row r="265" spans="8:8" ht="32.25" customHeight="1">
      <c r="A265" s="11">
        <v>2.0</v>
      </c>
      <c r="B265" s="12" t="s">
        <v>293</v>
      </c>
      <c r="C265" s="13">
        <v>250642.0</v>
      </c>
      <c r="D265" s="12" t="s">
        <v>56</v>
      </c>
      <c r="E265" s="13" t="s">
        <v>28</v>
      </c>
      <c r="F265" s="14">
        <v>0.4166666666666667</v>
      </c>
      <c r="G265" s="13"/>
    </row>
    <row r="266" spans="8:8" ht="32.25" customHeight="1">
      <c r="A266" s="11">
        <v>3.0</v>
      </c>
      <c r="B266" s="12" t="s">
        <v>294</v>
      </c>
      <c r="C266" s="13">
        <v>250735.0</v>
      </c>
      <c r="D266" s="12" t="s">
        <v>56</v>
      </c>
      <c r="E266" s="13" t="s">
        <v>28</v>
      </c>
      <c r="F266" s="14">
        <v>0.4166666666666667</v>
      </c>
      <c r="G266" s="13"/>
    </row>
    <row r="267" spans="8:8" ht="32.25" customHeight="1">
      <c r="A267" s="11">
        <v>4.0</v>
      </c>
      <c r="B267" s="12" t="s">
        <v>295</v>
      </c>
      <c r="C267" s="13">
        <v>250740.0</v>
      </c>
      <c r="D267" s="12" t="s">
        <v>56</v>
      </c>
      <c r="E267" s="13" t="s">
        <v>28</v>
      </c>
      <c r="F267" s="14">
        <v>0.4166666666666667</v>
      </c>
      <c r="G267" s="13"/>
    </row>
    <row r="268" spans="8:8" ht="32.25" customHeight="1">
      <c r="A268" s="11">
        <v>5.0</v>
      </c>
      <c r="B268" s="12" t="s">
        <v>296</v>
      </c>
      <c r="C268" s="13">
        <v>250744.0</v>
      </c>
      <c r="D268" s="12" t="s">
        <v>56</v>
      </c>
      <c r="E268" s="13" t="s">
        <v>28</v>
      </c>
      <c r="F268" s="14">
        <v>0.4166666666666667</v>
      </c>
      <c r="G268" s="13"/>
    </row>
    <row r="269" spans="8:8" ht="32.25" customHeight="1">
      <c r="A269" s="11">
        <v>6.0</v>
      </c>
      <c r="B269" s="12" t="s">
        <v>297</v>
      </c>
      <c r="C269" s="13">
        <v>250664.0</v>
      </c>
      <c r="D269" s="12" t="s">
        <v>56</v>
      </c>
      <c r="E269" s="13" t="s">
        <v>28</v>
      </c>
      <c r="F269" s="14">
        <v>0.4166666666666667</v>
      </c>
      <c r="G269" s="13"/>
    </row>
    <row r="270" spans="8:8" ht="32.25" customHeight="1">
      <c r="A270" s="11">
        <v>7.0</v>
      </c>
      <c r="B270" s="12" t="s">
        <v>298</v>
      </c>
      <c r="C270" s="13">
        <v>250746.0</v>
      </c>
      <c r="D270" s="12" t="s">
        <v>56</v>
      </c>
      <c r="E270" s="13" t="s">
        <v>28</v>
      </c>
      <c r="F270" s="14">
        <v>0.4166666666666667</v>
      </c>
      <c r="G270" s="13"/>
    </row>
    <row r="271" spans="8:8" ht="32.25" customHeight="1">
      <c r="A271" s="11">
        <v>8.0</v>
      </c>
      <c r="B271" s="12" t="s">
        <v>299</v>
      </c>
      <c r="C271" s="13">
        <v>250748.0</v>
      </c>
      <c r="D271" s="12" t="s">
        <v>56</v>
      </c>
      <c r="E271" s="13" t="s">
        <v>28</v>
      </c>
      <c r="F271" s="14">
        <v>0.4166666666666667</v>
      </c>
      <c r="G271" s="13"/>
    </row>
    <row r="272" spans="8:8" ht="32.25" customHeight="1">
      <c r="A272" s="11">
        <v>9.0</v>
      </c>
      <c r="B272" s="12" t="s">
        <v>300</v>
      </c>
      <c r="C272" s="13">
        <v>250645.0</v>
      </c>
      <c r="D272" s="12" t="s">
        <v>56</v>
      </c>
      <c r="E272" s="13" t="s">
        <v>28</v>
      </c>
      <c r="F272" s="14">
        <v>0.4166666666666667</v>
      </c>
      <c r="G272" s="13"/>
    </row>
    <row r="273" spans="8:8" ht="32.25" customHeight="1">
      <c r="A273" s="11">
        <v>10.0</v>
      </c>
      <c r="B273" s="12" t="s">
        <v>301</v>
      </c>
      <c r="C273" s="13">
        <v>250750.0</v>
      </c>
      <c r="D273" s="12" t="s">
        <v>56</v>
      </c>
      <c r="E273" s="13" t="s">
        <v>28</v>
      </c>
      <c r="F273" s="14">
        <v>0.4166666666666667</v>
      </c>
      <c r="G273" s="13"/>
    </row>
    <row r="274" spans="8:8" ht="32.25" customHeight="1">
      <c r="A274" s="11">
        <v>11.0</v>
      </c>
      <c r="B274" s="12" t="s">
        <v>302</v>
      </c>
      <c r="C274" s="13">
        <v>250755.0</v>
      </c>
      <c r="D274" s="12" t="s">
        <v>56</v>
      </c>
      <c r="E274" s="13" t="s">
        <v>28</v>
      </c>
      <c r="F274" s="14">
        <v>0.4166666666666667</v>
      </c>
      <c r="G274" s="13"/>
    </row>
    <row r="275" spans="8:8" ht="32.25" customHeight="1">
      <c r="A275" s="11">
        <v>12.0</v>
      </c>
      <c r="B275" s="12" t="s">
        <v>303</v>
      </c>
      <c r="C275" s="13">
        <v>250751.0</v>
      </c>
      <c r="D275" s="12" t="s">
        <v>56</v>
      </c>
      <c r="E275" s="13" t="s">
        <v>28</v>
      </c>
      <c r="F275" s="14">
        <v>0.4166666666666667</v>
      </c>
      <c r="G275" s="13"/>
    </row>
    <row r="276" spans="8:8" ht="32.25" customHeight="1">
      <c r="A276" s="11">
        <v>13.0</v>
      </c>
      <c r="B276" s="12" t="s">
        <v>304</v>
      </c>
      <c r="C276" s="13">
        <v>250673.0</v>
      </c>
      <c r="D276" s="12" t="s">
        <v>56</v>
      </c>
      <c r="E276" s="13" t="s">
        <v>28</v>
      </c>
      <c r="F276" s="14">
        <v>0.4166666666666667</v>
      </c>
      <c r="G276" s="13"/>
    </row>
    <row r="277" spans="8:8" ht="32.25" customHeight="1">
      <c r="A277" s="11">
        <v>14.0</v>
      </c>
      <c r="B277" s="12" t="s">
        <v>305</v>
      </c>
      <c r="C277" s="13">
        <v>250650.0</v>
      </c>
      <c r="D277" s="12" t="s">
        <v>56</v>
      </c>
      <c r="E277" s="13" t="s">
        <v>28</v>
      </c>
      <c r="F277" s="14">
        <v>0.4166666666666667</v>
      </c>
      <c r="G277" s="13"/>
    </row>
    <row r="278" spans="8:8" ht="32.25" customHeight="1">
      <c r="A278" s="11">
        <v>15.0</v>
      </c>
      <c r="B278" s="12" t="s">
        <v>306</v>
      </c>
      <c r="C278" s="13">
        <v>253051.0</v>
      </c>
      <c r="D278" s="12" t="s">
        <v>27</v>
      </c>
      <c r="E278" s="13" t="s">
        <v>28</v>
      </c>
      <c r="F278" s="14">
        <v>0.4166666666666667</v>
      </c>
      <c r="G278" s="13"/>
    </row>
    <row r="279" spans="8:8" ht="32.25" customHeight="1">
      <c r="A279" s="11">
        <v>16.0</v>
      </c>
      <c r="B279" s="12" t="s">
        <v>307</v>
      </c>
      <c r="C279" s="13">
        <v>253112.0</v>
      </c>
      <c r="D279" s="12" t="s">
        <v>27</v>
      </c>
      <c r="E279" s="13" t="s">
        <v>28</v>
      </c>
      <c r="F279" s="14">
        <v>0.4166666666666667</v>
      </c>
      <c r="G279" s="13"/>
    </row>
    <row r="280" spans="8:8" ht="32.25" customHeight="1">
      <c r="A280" s="11">
        <v>17.0</v>
      </c>
      <c r="B280" s="12" t="s">
        <v>308</v>
      </c>
      <c r="C280" s="13">
        <v>253165.0</v>
      </c>
      <c r="D280" s="12" t="s">
        <v>27</v>
      </c>
      <c r="E280" s="13" t="s">
        <v>28</v>
      </c>
      <c r="F280" s="14">
        <v>0.4166666666666667</v>
      </c>
      <c r="G280" s="13"/>
    </row>
    <row r="281" spans="8:8" ht="32.25" customHeight="1">
      <c r="A281" s="11">
        <v>18.0</v>
      </c>
      <c r="B281" s="12" t="s">
        <v>309</v>
      </c>
      <c r="C281" s="13">
        <v>251133.0</v>
      </c>
      <c r="D281" s="12" t="s">
        <v>56</v>
      </c>
      <c r="E281" s="13" t="s">
        <v>28</v>
      </c>
      <c r="F281" s="14">
        <v>0.4166666666666667</v>
      </c>
      <c r="G281" s="13"/>
    </row>
    <row r="282" spans="8:8" ht="32.25" customHeight="1">
      <c r="A282" s="11">
        <v>19.0</v>
      </c>
      <c r="B282" s="12" t="s">
        <v>310</v>
      </c>
      <c r="C282" s="13">
        <v>252985.0</v>
      </c>
      <c r="D282" s="12" t="s">
        <v>56</v>
      </c>
      <c r="E282" s="13" t="s">
        <v>28</v>
      </c>
      <c r="F282" s="14">
        <v>0.4166666666666667</v>
      </c>
      <c r="G282" s="13"/>
    </row>
    <row r="283" spans="8:8" ht="32.25" customHeight="1">
      <c r="A283" s="11">
        <v>20.0</v>
      </c>
      <c r="B283" s="12" t="s">
        <v>311</v>
      </c>
      <c r="C283" s="13">
        <v>251049.0</v>
      </c>
      <c r="D283" s="12" t="s">
        <v>56</v>
      </c>
      <c r="E283" s="13" t="s">
        <v>28</v>
      </c>
      <c r="F283" s="14">
        <v>0.4166666666666667</v>
      </c>
      <c r="G283" s="13"/>
    </row>
    <row r="284" spans="8:8" ht="32.25" customHeight="1">
      <c r="A284" s="11">
        <v>21.0</v>
      </c>
      <c r="B284" s="19" t="s">
        <v>312</v>
      </c>
      <c r="C284" s="20">
        <v>252103.0</v>
      </c>
      <c r="D284" s="19" t="s">
        <v>104</v>
      </c>
      <c r="E284" s="20" t="s">
        <v>28</v>
      </c>
      <c r="F284" s="14">
        <v>0.4166666666666667</v>
      </c>
      <c r="G284" s="20"/>
    </row>
    <row r="285" spans="8:8" ht="32.25" customHeight="1">
      <c r="A285" s="11">
        <v>22.0</v>
      </c>
      <c r="B285" s="12" t="s">
        <v>313</v>
      </c>
      <c r="C285" s="13">
        <v>250649.0</v>
      </c>
      <c r="D285" s="12" t="s">
        <v>56</v>
      </c>
      <c r="E285" s="13" t="s">
        <v>28</v>
      </c>
      <c r="F285" s="14">
        <v>0.4166666666666667</v>
      </c>
      <c r="G285" s="13"/>
    </row>
    <row r="286" spans="8:8" ht="32.25" customHeight="1">
      <c r="A286" s="11">
        <v>23.0</v>
      </c>
      <c r="B286" s="12" t="s">
        <v>314</v>
      </c>
      <c r="C286" s="13">
        <v>250648.0</v>
      </c>
      <c r="D286" s="12" t="s">
        <v>56</v>
      </c>
      <c r="E286" s="13" t="s">
        <v>28</v>
      </c>
      <c r="F286" s="14">
        <v>0.4166666666666667</v>
      </c>
      <c r="G286" s="13"/>
    </row>
    <row r="287" spans="8:8" ht="32.25" customHeight="1">
      <c r="A287" s="11">
        <v>24.0</v>
      </c>
      <c r="B287" s="12" t="s">
        <v>315</v>
      </c>
      <c r="C287" s="13">
        <v>250765.0</v>
      </c>
      <c r="D287" s="12" t="s">
        <v>56</v>
      </c>
      <c r="E287" s="13" t="s">
        <v>28</v>
      </c>
      <c r="F287" s="14">
        <v>0.4166666666666667</v>
      </c>
      <c r="G287" s="13"/>
    </row>
    <row r="288" spans="8:8" ht="32.25" customHeight="1">
      <c r="A288" s="11">
        <v>25.0</v>
      </c>
      <c r="B288" s="12" t="s">
        <v>316</v>
      </c>
      <c r="C288" s="13">
        <v>250766.0</v>
      </c>
      <c r="D288" s="12" t="s">
        <v>56</v>
      </c>
      <c r="E288" s="13" t="s">
        <v>28</v>
      </c>
      <c r="F288" s="14">
        <v>0.4166666666666667</v>
      </c>
      <c r="G288" s="13"/>
    </row>
    <row r="289" spans="8:8" ht="32.25" customHeight="1">
      <c r="A289" s="8" t="s">
        <v>18</v>
      </c>
      <c r="B289" s="9" t="s">
        <v>19</v>
      </c>
      <c r="C289" s="9" t="s">
        <v>20</v>
      </c>
      <c r="D289" s="9" t="s">
        <v>21</v>
      </c>
      <c r="E289" s="9" t="s">
        <v>22</v>
      </c>
      <c r="F289" s="10" t="s">
        <v>23</v>
      </c>
      <c r="G289" s="9" t="s">
        <v>317</v>
      </c>
    </row>
    <row r="290" spans="8:8" ht="32.25" customHeight="1">
      <c r="A290" s="11">
        <v>1.0</v>
      </c>
      <c r="B290" s="12" t="s">
        <v>318</v>
      </c>
      <c r="C290" s="13">
        <v>250890.0</v>
      </c>
      <c r="D290" s="12" t="s">
        <v>56</v>
      </c>
      <c r="E290" s="13" t="s">
        <v>28</v>
      </c>
      <c r="F290" s="14">
        <v>0.4166666666666667</v>
      </c>
      <c r="G290" s="13"/>
    </row>
    <row r="291" spans="8:8" ht="32.25" customHeight="1">
      <c r="A291" s="11">
        <v>2.0</v>
      </c>
      <c r="B291" s="12" t="s">
        <v>319</v>
      </c>
      <c r="C291" s="13">
        <v>250772.0</v>
      </c>
      <c r="D291" s="12" t="s">
        <v>56</v>
      </c>
      <c r="E291" s="13" t="s">
        <v>28</v>
      </c>
      <c r="F291" s="14">
        <v>0.4166666666666667</v>
      </c>
      <c r="G291" s="13"/>
    </row>
    <row r="292" spans="8:8" ht="32.25" customHeight="1">
      <c r="A292" s="11">
        <v>3.0</v>
      </c>
      <c r="B292" s="12" t="s">
        <v>320</v>
      </c>
      <c r="C292" s="13">
        <v>250776.0</v>
      </c>
      <c r="D292" s="12" t="s">
        <v>56</v>
      </c>
      <c r="E292" s="13" t="s">
        <v>28</v>
      </c>
      <c r="F292" s="14">
        <v>0.4166666666666667</v>
      </c>
      <c r="G292" s="13"/>
    </row>
    <row r="293" spans="8:8" ht="32.25" customHeight="1">
      <c r="A293" s="11">
        <v>4.0</v>
      </c>
      <c r="B293" s="12" t="s">
        <v>321</v>
      </c>
      <c r="C293" s="13">
        <v>250779.0</v>
      </c>
      <c r="D293" s="12" t="s">
        <v>56</v>
      </c>
      <c r="E293" s="13" t="s">
        <v>28</v>
      </c>
      <c r="F293" s="14">
        <v>0.4166666666666667</v>
      </c>
      <c r="G293" s="13"/>
    </row>
    <row r="294" spans="8:8" ht="32.25" customHeight="1">
      <c r="A294" s="11">
        <v>5.0</v>
      </c>
      <c r="B294" s="12" t="s">
        <v>322</v>
      </c>
      <c r="C294" s="13">
        <v>250780.0</v>
      </c>
      <c r="D294" s="12" t="s">
        <v>56</v>
      </c>
      <c r="E294" s="13" t="s">
        <v>28</v>
      </c>
      <c r="F294" s="14">
        <v>0.4166666666666667</v>
      </c>
      <c r="G294" s="13"/>
    </row>
    <row r="295" spans="8:8" ht="32.25" customHeight="1">
      <c r="A295" s="11">
        <v>6.0</v>
      </c>
      <c r="B295" s="12" t="s">
        <v>323</v>
      </c>
      <c r="C295" s="13">
        <v>250786.0</v>
      </c>
      <c r="D295" s="12" t="s">
        <v>56</v>
      </c>
      <c r="E295" s="13" t="s">
        <v>28</v>
      </c>
      <c r="F295" s="14">
        <v>0.4166666666666667</v>
      </c>
      <c r="G295" s="13"/>
    </row>
    <row r="296" spans="8:8" ht="32.25" customHeight="1">
      <c r="A296" s="11">
        <v>7.0</v>
      </c>
      <c r="B296" s="12" t="s">
        <v>324</v>
      </c>
      <c r="C296" s="13">
        <v>250790.0</v>
      </c>
      <c r="D296" s="12" t="s">
        <v>56</v>
      </c>
      <c r="E296" s="13" t="s">
        <v>28</v>
      </c>
      <c r="F296" s="14">
        <v>0.4166666666666667</v>
      </c>
      <c r="G296" s="13"/>
    </row>
    <row r="297" spans="8:8" ht="32.25" customHeight="1">
      <c r="A297" s="11">
        <v>8.0</v>
      </c>
      <c r="B297" s="12" t="s">
        <v>325</v>
      </c>
      <c r="C297" s="13">
        <v>250791.0</v>
      </c>
      <c r="D297" s="12" t="s">
        <v>56</v>
      </c>
      <c r="E297" s="13" t="s">
        <v>28</v>
      </c>
      <c r="F297" s="14">
        <v>0.4166666666666667</v>
      </c>
      <c r="G297" s="13"/>
    </row>
    <row r="298" spans="8:8" ht="32.25" customHeight="1">
      <c r="A298" s="11">
        <v>9.0</v>
      </c>
      <c r="B298" s="12" t="s">
        <v>326</v>
      </c>
      <c r="C298" s="13">
        <v>250793.0</v>
      </c>
      <c r="D298" s="12" t="s">
        <v>56</v>
      </c>
      <c r="E298" s="13" t="s">
        <v>28</v>
      </c>
      <c r="F298" s="14">
        <v>0.4166666666666667</v>
      </c>
      <c r="G298" s="13"/>
    </row>
    <row r="299" spans="8:8" ht="32.25" customHeight="1">
      <c r="A299" s="11">
        <v>10.0</v>
      </c>
      <c r="B299" s="12" t="s">
        <v>327</v>
      </c>
      <c r="C299" s="13">
        <v>250795.0</v>
      </c>
      <c r="D299" s="12" t="s">
        <v>56</v>
      </c>
      <c r="E299" s="13" t="s">
        <v>28</v>
      </c>
      <c r="F299" s="14">
        <v>0.4166666666666667</v>
      </c>
      <c r="G299" s="13"/>
    </row>
    <row r="300" spans="8:8" ht="32.25" customHeight="1">
      <c r="A300" s="11">
        <v>11.0</v>
      </c>
      <c r="B300" s="12" t="s">
        <v>328</v>
      </c>
      <c r="C300" s="13">
        <v>250796.0</v>
      </c>
      <c r="D300" s="12" t="s">
        <v>56</v>
      </c>
      <c r="E300" s="13" t="s">
        <v>28</v>
      </c>
      <c r="F300" s="14">
        <v>0.4166666666666667</v>
      </c>
      <c r="G300" s="13"/>
    </row>
    <row r="301" spans="8:8" ht="32.25" customHeight="1">
      <c r="A301" s="11">
        <v>12.0</v>
      </c>
      <c r="B301" s="12" t="s">
        <v>329</v>
      </c>
      <c r="C301" s="13">
        <v>250798.0</v>
      </c>
      <c r="D301" s="12" t="s">
        <v>56</v>
      </c>
      <c r="E301" s="13" t="s">
        <v>28</v>
      </c>
      <c r="F301" s="14">
        <v>0.4166666666666667</v>
      </c>
      <c r="G301" s="13"/>
    </row>
    <row r="302" spans="8:8" ht="32.25" customHeight="1">
      <c r="A302" s="11">
        <v>13.0</v>
      </c>
      <c r="B302" s="12" t="s">
        <v>330</v>
      </c>
      <c r="C302" s="13">
        <v>250802.0</v>
      </c>
      <c r="D302" s="12" t="s">
        <v>56</v>
      </c>
      <c r="E302" s="13" t="s">
        <v>28</v>
      </c>
      <c r="F302" s="14">
        <v>0.4166666666666667</v>
      </c>
      <c r="G302" s="13"/>
    </row>
    <row r="303" spans="8:8" ht="32.25" customHeight="1">
      <c r="A303" s="11">
        <v>14.0</v>
      </c>
      <c r="B303" s="12" t="s">
        <v>331</v>
      </c>
      <c r="C303" s="13">
        <v>253169.0</v>
      </c>
      <c r="D303" s="12" t="s">
        <v>56</v>
      </c>
      <c r="E303" s="13" t="s">
        <v>28</v>
      </c>
      <c r="F303" s="14">
        <v>0.4166666666666667</v>
      </c>
      <c r="G303" s="13"/>
    </row>
    <row r="304" spans="8:8" ht="32.25" customHeight="1">
      <c r="A304" s="11">
        <v>15.0</v>
      </c>
      <c r="B304" s="12" t="s">
        <v>332</v>
      </c>
      <c r="C304" s="13">
        <v>250305.0</v>
      </c>
      <c r="D304" s="12" t="s">
        <v>27</v>
      </c>
      <c r="E304" s="13" t="s">
        <v>28</v>
      </c>
      <c r="F304" s="14">
        <v>0.4166666666666667</v>
      </c>
      <c r="G304" s="13"/>
    </row>
    <row r="305" spans="8:8" ht="32.25" customHeight="1">
      <c r="A305" s="11">
        <v>16.0</v>
      </c>
      <c r="B305" s="12" t="s">
        <v>333</v>
      </c>
      <c r="C305" s="13">
        <v>251074.0</v>
      </c>
      <c r="D305" s="12" t="s">
        <v>56</v>
      </c>
      <c r="E305" s="13" t="s">
        <v>28</v>
      </c>
      <c r="F305" s="14">
        <v>0.4166666666666667</v>
      </c>
      <c r="G305" s="13"/>
    </row>
    <row r="306" spans="8:8" ht="32.25" customHeight="1">
      <c r="A306" s="11">
        <v>17.0</v>
      </c>
      <c r="B306" s="12" t="s">
        <v>334</v>
      </c>
      <c r="C306" s="13">
        <v>251046.0</v>
      </c>
      <c r="D306" s="12" t="s">
        <v>56</v>
      </c>
      <c r="E306" s="13" t="s">
        <v>28</v>
      </c>
      <c r="F306" s="14">
        <v>0.4166666666666667</v>
      </c>
      <c r="G306" s="13"/>
    </row>
    <row r="307" spans="8:8" ht="32.25" customHeight="1">
      <c r="A307" s="11">
        <v>18.0</v>
      </c>
      <c r="B307" s="12" t="s">
        <v>335</v>
      </c>
      <c r="C307" s="13">
        <v>251198.0</v>
      </c>
      <c r="D307" s="12" t="s">
        <v>56</v>
      </c>
      <c r="E307" s="13" t="s">
        <v>28</v>
      </c>
      <c r="F307" s="14">
        <v>0.4166666666666667</v>
      </c>
      <c r="G307" s="13"/>
    </row>
    <row r="308" spans="8:8" ht="32.25" customHeight="1">
      <c r="A308" s="11">
        <v>19.0</v>
      </c>
      <c r="B308" s="12" t="s">
        <v>336</v>
      </c>
      <c r="C308" s="13">
        <v>251064.0</v>
      </c>
      <c r="D308" s="12" t="s">
        <v>56</v>
      </c>
      <c r="E308" s="13" t="s">
        <v>28</v>
      </c>
      <c r="F308" s="14">
        <v>0.4166666666666667</v>
      </c>
      <c r="G308" s="13"/>
    </row>
    <row r="309" spans="8:8" ht="32.25" customHeight="1">
      <c r="A309" s="11">
        <v>20.0</v>
      </c>
      <c r="B309" s="12" t="s">
        <v>337</v>
      </c>
      <c r="C309" s="13">
        <v>251151.0</v>
      </c>
      <c r="D309" s="12" t="s">
        <v>56</v>
      </c>
      <c r="E309" s="13" t="s">
        <v>28</v>
      </c>
      <c r="F309" s="14">
        <v>0.4166666666666667</v>
      </c>
      <c r="G309" s="13"/>
    </row>
    <row r="310" spans="8:8" ht="32.25" customHeight="1">
      <c r="A310" s="11">
        <v>21.0</v>
      </c>
      <c r="B310" s="12" t="s">
        <v>338</v>
      </c>
      <c r="C310" s="13">
        <v>251170.0</v>
      </c>
      <c r="D310" s="12" t="s">
        <v>56</v>
      </c>
      <c r="E310" s="13" t="s">
        <v>28</v>
      </c>
      <c r="F310" s="14">
        <v>0.4166666666666667</v>
      </c>
      <c r="G310" s="13"/>
    </row>
    <row r="311" spans="8:8" ht="32.25" customHeight="1">
      <c r="A311" s="11">
        <v>22.0</v>
      </c>
      <c r="B311" s="12" t="s">
        <v>339</v>
      </c>
      <c r="C311" s="13">
        <v>251042.0</v>
      </c>
      <c r="D311" s="12" t="s">
        <v>56</v>
      </c>
      <c r="E311" s="13" t="s">
        <v>28</v>
      </c>
      <c r="F311" s="14">
        <v>0.4166666666666667</v>
      </c>
      <c r="G311" s="13"/>
    </row>
    <row r="312" spans="8:8" ht="32.25" customHeight="1">
      <c r="A312" s="11">
        <v>23.0</v>
      </c>
      <c r="B312" s="12" t="s">
        <v>340</v>
      </c>
      <c r="C312" s="13">
        <v>251225.0</v>
      </c>
      <c r="D312" s="12" t="s">
        <v>56</v>
      </c>
      <c r="E312" s="13" t="s">
        <v>28</v>
      </c>
      <c r="F312" s="14">
        <v>0.4166666666666667</v>
      </c>
      <c r="G312" s="13"/>
    </row>
    <row r="313" spans="8:8" ht="32.25" customHeight="1">
      <c r="A313" s="11">
        <v>24.0</v>
      </c>
      <c r="B313" s="12" t="s">
        <v>341</v>
      </c>
      <c r="C313" s="13">
        <v>251162.0</v>
      </c>
      <c r="D313" s="12" t="s">
        <v>56</v>
      </c>
      <c r="E313" s="13" t="s">
        <v>28</v>
      </c>
      <c r="F313" s="14">
        <v>0.4166666666666667</v>
      </c>
      <c r="G313" s="13"/>
    </row>
    <row r="314" spans="8:8" ht="32.25" customHeight="1">
      <c r="A314" s="11">
        <v>25.0</v>
      </c>
      <c r="B314" s="12" t="s">
        <v>342</v>
      </c>
      <c r="C314" s="13">
        <v>251196.0</v>
      </c>
      <c r="D314" s="12" t="s">
        <v>56</v>
      </c>
      <c r="E314" s="13" t="s">
        <v>28</v>
      </c>
      <c r="F314" s="14">
        <v>0.4166666666666667</v>
      </c>
      <c r="G314" s="13"/>
    </row>
    <row r="315" spans="8:8" ht="32.25" customHeight="1">
      <c r="A315" s="8" t="s">
        <v>18</v>
      </c>
      <c r="B315" s="9" t="s">
        <v>19</v>
      </c>
      <c r="C315" s="9" t="s">
        <v>20</v>
      </c>
      <c r="D315" s="9" t="s">
        <v>21</v>
      </c>
      <c r="E315" s="9" t="s">
        <v>22</v>
      </c>
      <c r="F315" s="10" t="s">
        <v>23</v>
      </c>
      <c r="G315" s="9" t="s">
        <v>343</v>
      </c>
    </row>
    <row r="316" spans="8:8" ht="32.25" customHeight="1">
      <c r="A316" s="11">
        <v>1.0</v>
      </c>
      <c r="B316" s="12" t="s">
        <v>344</v>
      </c>
      <c r="C316" s="13">
        <v>251152.0</v>
      </c>
      <c r="D316" s="12" t="s">
        <v>56</v>
      </c>
      <c r="E316" s="13" t="s">
        <v>28</v>
      </c>
      <c r="F316" s="14">
        <v>0.4166666666666667</v>
      </c>
      <c r="G316" s="13"/>
    </row>
    <row r="317" spans="8:8" ht="32.25" customHeight="1">
      <c r="A317" s="11">
        <v>2.0</v>
      </c>
      <c r="B317" s="12" t="s">
        <v>345</v>
      </c>
      <c r="C317" s="13">
        <v>251041.0</v>
      </c>
      <c r="D317" s="12" t="s">
        <v>56</v>
      </c>
      <c r="E317" s="13" t="s">
        <v>28</v>
      </c>
      <c r="F317" s="14">
        <v>0.4166666666666667</v>
      </c>
      <c r="G317" s="13"/>
    </row>
    <row r="318" spans="8:8" ht="32.25" customHeight="1">
      <c r="A318" s="11">
        <v>3.0</v>
      </c>
      <c r="B318" s="12" t="s">
        <v>346</v>
      </c>
      <c r="C318" s="13">
        <v>250614.0</v>
      </c>
      <c r="D318" s="12" t="s">
        <v>94</v>
      </c>
      <c r="E318" s="13" t="s">
        <v>28</v>
      </c>
      <c r="F318" s="14">
        <v>0.4166666666666667</v>
      </c>
      <c r="G318" s="13"/>
    </row>
    <row r="319" spans="8:8" ht="32.25" customHeight="1">
      <c r="A319" s="11">
        <v>4.0</v>
      </c>
      <c r="B319" s="12" t="s">
        <v>347</v>
      </c>
      <c r="C319" s="13">
        <v>250797.0</v>
      </c>
      <c r="D319" s="12" t="s">
        <v>56</v>
      </c>
      <c r="E319" s="13" t="s">
        <v>28</v>
      </c>
      <c r="F319" s="14">
        <v>0.4166666666666667</v>
      </c>
      <c r="G319" s="13"/>
    </row>
    <row r="320" spans="8:8" ht="32.25" customHeight="1">
      <c r="A320" s="11">
        <v>5.0</v>
      </c>
      <c r="B320" s="12" t="s">
        <v>348</v>
      </c>
      <c r="C320" s="13">
        <v>250799.0</v>
      </c>
      <c r="D320" s="12" t="s">
        <v>56</v>
      </c>
      <c r="E320" s="13" t="s">
        <v>28</v>
      </c>
      <c r="F320" s="14">
        <v>0.4166666666666667</v>
      </c>
      <c r="G320" s="13"/>
    </row>
    <row r="321" spans="8:8" ht="32.25" customHeight="1">
      <c r="A321" s="11">
        <v>6.0</v>
      </c>
      <c r="B321" s="12" t="s">
        <v>349</v>
      </c>
      <c r="C321" s="13">
        <v>250805.0</v>
      </c>
      <c r="D321" s="12" t="s">
        <v>56</v>
      </c>
      <c r="E321" s="13" t="s">
        <v>28</v>
      </c>
      <c r="F321" s="14">
        <v>0.4166666666666667</v>
      </c>
      <c r="G321" s="13"/>
    </row>
    <row r="322" spans="8:8" ht="32.25" customHeight="1">
      <c r="A322" s="11">
        <v>7.0</v>
      </c>
      <c r="B322" s="12" t="s">
        <v>350</v>
      </c>
      <c r="C322" s="13">
        <v>250815.0</v>
      </c>
      <c r="D322" s="12" t="s">
        <v>56</v>
      </c>
      <c r="E322" s="13" t="s">
        <v>28</v>
      </c>
      <c r="F322" s="14">
        <v>0.4166666666666667</v>
      </c>
      <c r="G322" s="13"/>
    </row>
    <row r="323" spans="8:8" ht="32.25" customHeight="1">
      <c r="A323" s="11">
        <v>8.0</v>
      </c>
      <c r="B323" s="12" t="s">
        <v>351</v>
      </c>
      <c r="C323" s="13">
        <v>250816.0</v>
      </c>
      <c r="D323" s="12" t="s">
        <v>56</v>
      </c>
      <c r="E323" s="13" t="s">
        <v>28</v>
      </c>
      <c r="F323" s="14">
        <v>0.4166666666666667</v>
      </c>
      <c r="G323" s="13"/>
    </row>
    <row r="324" spans="8:8" ht="32.25" customHeight="1">
      <c r="A324" s="11">
        <v>9.0</v>
      </c>
      <c r="B324" s="12" t="s">
        <v>352</v>
      </c>
      <c r="C324" s="13">
        <v>250812.0</v>
      </c>
      <c r="D324" s="12" t="s">
        <v>56</v>
      </c>
      <c r="E324" s="13" t="s">
        <v>28</v>
      </c>
      <c r="F324" s="14">
        <v>0.4166666666666667</v>
      </c>
      <c r="G324" s="13"/>
    </row>
    <row r="325" spans="8:8" ht="32.25" customHeight="1">
      <c r="A325" s="11">
        <v>10.0</v>
      </c>
      <c r="B325" s="12" t="s">
        <v>353</v>
      </c>
      <c r="C325" s="13">
        <v>250814.0</v>
      </c>
      <c r="D325" s="12" t="s">
        <v>56</v>
      </c>
      <c r="E325" s="13" t="s">
        <v>28</v>
      </c>
      <c r="F325" s="14">
        <v>0.4166666666666667</v>
      </c>
      <c r="G325" s="13"/>
    </row>
    <row r="326" spans="8:8" ht="32.25" customHeight="1">
      <c r="A326" s="11">
        <v>11.0</v>
      </c>
      <c r="B326" s="12" t="s">
        <v>354</v>
      </c>
      <c r="C326" s="13">
        <v>250811.0</v>
      </c>
      <c r="D326" s="12" t="s">
        <v>56</v>
      </c>
      <c r="E326" s="13" t="s">
        <v>28</v>
      </c>
      <c r="F326" s="14">
        <v>0.4166666666666667</v>
      </c>
      <c r="G326" s="13"/>
    </row>
    <row r="327" spans="8:8" ht="32.25" customHeight="1">
      <c r="A327" s="11">
        <v>12.0</v>
      </c>
      <c r="B327" s="12" t="s">
        <v>355</v>
      </c>
      <c r="C327" s="13">
        <v>250817.0</v>
      </c>
      <c r="D327" s="12" t="s">
        <v>56</v>
      </c>
      <c r="E327" s="13" t="s">
        <v>28</v>
      </c>
      <c r="F327" s="14">
        <v>0.4166666666666667</v>
      </c>
      <c r="G327" s="13"/>
    </row>
    <row r="328" spans="8:8" ht="32.25" customHeight="1">
      <c r="A328" s="11">
        <v>13.0</v>
      </c>
      <c r="B328" s="12" t="s">
        <v>356</v>
      </c>
      <c r="C328" s="13">
        <v>250820.0</v>
      </c>
      <c r="D328" s="12" t="s">
        <v>56</v>
      </c>
      <c r="E328" s="13" t="s">
        <v>28</v>
      </c>
      <c r="F328" s="14">
        <v>0.4166666666666667</v>
      </c>
      <c r="G328" s="13"/>
    </row>
    <row r="329" spans="8:8" ht="32.25" customHeight="1">
      <c r="A329" s="11">
        <v>14.0</v>
      </c>
      <c r="B329" s="12" t="s">
        <v>357</v>
      </c>
      <c r="C329" s="13">
        <v>250819.0</v>
      </c>
      <c r="D329" s="12" t="s">
        <v>56</v>
      </c>
      <c r="E329" s="13" t="s">
        <v>28</v>
      </c>
      <c r="F329" s="14">
        <v>0.4166666666666667</v>
      </c>
      <c r="G329" s="13"/>
    </row>
    <row r="330" spans="8:8" ht="32.25" customHeight="1">
      <c r="A330" s="11">
        <v>15.0</v>
      </c>
      <c r="B330" s="12" t="s">
        <v>358</v>
      </c>
      <c r="C330" s="13">
        <v>250822.0</v>
      </c>
      <c r="D330" s="12" t="s">
        <v>56</v>
      </c>
      <c r="E330" s="13" t="s">
        <v>28</v>
      </c>
      <c r="F330" s="14">
        <v>0.4166666666666667</v>
      </c>
      <c r="G330" s="13"/>
    </row>
    <row r="331" spans="8:8" ht="32.25" customHeight="1">
      <c r="A331" s="11">
        <v>16.0</v>
      </c>
      <c r="B331" s="12" t="s">
        <v>359</v>
      </c>
      <c r="C331" s="13">
        <v>250825.0</v>
      </c>
      <c r="D331" s="12" t="s">
        <v>56</v>
      </c>
      <c r="E331" s="13" t="s">
        <v>28</v>
      </c>
      <c r="F331" s="14">
        <v>0.4166666666666667</v>
      </c>
      <c r="G331" s="13"/>
    </row>
    <row r="332" spans="8:8" ht="32.25" customHeight="1">
      <c r="A332" s="11">
        <v>17.0</v>
      </c>
      <c r="B332" s="12" t="s">
        <v>360</v>
      </c>
      <c r="C332" s="13">
        <v>250826.0</v>
      </c>
      <c r="D332" s="12" t="s">
        <v>56</v>
      </c>
      <c r="E332" s="13" t="s">
        <v>28</v>
      </c>
      <c r="F332" s="14">
        <v>0.4166666666666667</v>
      </c>
      <c r="G332" s="13"/>
    </row>
    <row r="333" spans="8:8" ht="32.25" customHeight="1">
      <c r="A333" s="11">
        <v>18.0</v>
      </c>
      <c r="B333" s="12" t="s">
        <v>361</v>
      </c>
      <c r="C333" s="13">
        <v>250828.0</v>
      </c>
      <c r="D333" s="12" t="s">
        <v>56</v>
      </c>
      <c r="E333" s="13" t="s">
        <v>28</v>
      </c>
      <c r="F333" s="14">
        <v>0.4166666666666667</v>
      </c>
      <c r="G333" s="13"/>
    </row>
    <row r="334" spans="8:8" ht="32.25" customHeight="1">
      <c r="A334" s="11">
        <v>19.0</v>
      </c>
      <c r="B334" s="12" t="s">
        <v>362</v>
      </c>
      <c r="C334" s="13">
        <v>250830.0</v>
      </c>
      <c r="D334" s="12" t="s">
        <v>56</v>
      </c>
      <c r="E334" s="13" t="s">
        <v>28</v>
      </c>
      <c r="F334" s="14">
        <v>0.4166666666666667</v>
      </c>
      <c r="G334" s="13"/>
    </row>
    <row r="335" spans="8:8" ht="32.25" customHeight="1">
      <c r="A335" s="11">
        <v>20.0</v>
      </c>
      <c r="B335" s="12" t="s">
        <v>363</v>
      </c>
      <c r="C335" s="13">
        <v>250833.0</v>
      </c>
      <c r="D335" s="12" t="s">
        <v>56</v>
      </c>
      <c r="E335" s="13" t="s">
        <v>28</v>
      </c>
      <c r="F335" s="14">
        <v>0.4166666666666667</v>
      </c>
      <c r="G335" s="13"/>
    </row>
    <row r="336" spans="8:8" ht="32.25" customHeight="1">
      <c r="A336" s="11">
        <v>21.0</v>
      </c>
      <c r="B336" s="12" t="s">
        <v>364</v>
      </c>
      <c r="C336" s="13">
        <v>250838.0</v>
      </c>
      <c r="D336" s="12" t="s">
        <v>56</v>
      </c>
      <c r="E336" s="13" t="s">
        <v>28</v>
      </c>
      <c r="F336" s="14">
        <v>0.4166666666666667</v>
      </c>
      <c r="G336" s="13"/>
    </row>
    <row r="337" spans="8:8" ht="32.25" customHeight="1">
      <c r="A337" s="11">
        <v>22.0</v>
      </c>
      <c r="B337" s="12" t="s">
        <v>365</v>
      </c>
      <c r="C337" s="13">
        <v>251096.0</v>
      </c>
      <c r="D337" s="12" t="s">
        <v>56</v>
      </c>
      <c r="E337" s="13" t="s">
        <v>28</v>
      </c>
      <c r="F337" s="14">
        <v>0.4166666666666667</v>
      </c>
      <c r="G337" s="13"/>
    </row>
    <row r="338" spans="8:8" ht="32.25" customHeight="1">
      <c r="A338" s="11">
        <v>23.0</v>
      </c>
      <c r="B338" s="12" t="s">
        <v>366</v>
      </c>
      <c r="C338" s="13">
        <v>253026.0</v>
      </c>
      <c r="D338" s="12" t="s">
        <v>56</v>
      </c>
      <c r="E338" s="13" t="s">
        <v>28</v>
      </c>
      <c r="F338" s="14">
        <v>0.4166666666666667</v>
      </c>
      <c r="G338" s="13"/>
    </row>
    <row r="339" spans="8:8" ht="32.25" customHeight="1">
      <c r="A339" s="11">
        <v>24.0</v>
      </c>
      <c r="B339" s="12" t="s">
        <v>367</v>
      </c>
      <c r="C339" s="13">
        <v>250101.0</v>
      </c>
      <c r="D339" s="12" t="s">
        <v>27</v>
      </c>
      <c r="E339" s="13" t="s">
        <v>28</v>
      </c>
      <c r="F339" s="14">
        <v>0.4166666666666667</v>
      </c>
      <c r="G339" s="13"/>
    </row>
    <row r="340" spans="8:8" ht="32.25" customHeight="1">
      <c r="A340" s="11">
        <v>25.0</v>
      </c>
      <c r="B340" s="12" t="s">
        <v>368</v>
      </c>
      <c r="C340" s="13">
        <v>253100.0</v>
      </c>
      <c r="D340" s="12" t="s">
        <v>27</v>
      </c>
      <c r="E340" s="13" t="s">
        <v>28</v>
      </c>
      <c r="F340" s="14">
        <v>0.4166666666666667</v>
      </c>
      <c r="G340" s="13"/>
    </row>
    <row r="341" spans="8:8" ht="32.25" customHeight="1">
      <c r="A341" s="8" t="s">
        <v>18</v>
      </c>
      <c r="B341" s="9" t="s">
        <v>19</v>
      </c>
      <c r="C341" s="9" t="s">
        <v>20</v>
      </c>
      <c r="D341" s="9" t="s">
        <v>21</v>
      </c>
      <c r="E341" s="9" t="s">
        <v>22</v>
      </c>
      <c r="F341" s="10" t="s">
        <v>23</v>
      </c>
      <c r="G341" s="9" t="s">
        <v>369</v>
      </c>
    </row>
    <row r="342" spans="8:8" ht="32.25" customHeight="1">
      <c r="A342" s="11">
        <v>1.0</v>
      </c>
      <c r="B342" s="12" t="s">
        <v>370</v>
      </c>
      <c r="C342" s="13">
        <v>250845.0</v>
      </c>
      <c r="D342" s="12" t="s">
        <v>56</v>
      </c>
      <c r="E342" s="13" t="s">
        <v>111</v>
      </c>
      <c r="F342" s="14">
        <v>0.4166666666666667</v>
      </c>
      <c r="G342" s="13"/>
    </row>
    <row r="343" spans="8:8" ht="32.25" customHeight="1">
      <c r="A343" s="11">
        <v>2.0</v>
      </c>
      <c r="B343" s="12" t="s">
        <v>371</v>
      </c>
      <c r="C343" s="13">
        <v>250844.0</v>
      </c>
      <c r="D343" s="12" t="s">
        <v>56</v>
      </c>
      <c r="E343" s="13" t="s">
        <v>111</v>
      </c>
      <c r="F343" s="14">
        <v>0.4166666666666667</v>
      </c>
      <c r="G343" s="13"/>
    </row>
    <row r="344" spans="8:8" ht="32.25" customHeight="1">
      <c r="A344" s="11">
        <v>3.0</v>
      </c>
      <c r="B344" s="12" t="s">
        <v>372</v>
      </c>
      <c r="C344" s="13">
        <v>250842.0</v>
      </c>
      <c r="D344" s="12" t="s">
        <v>56</v>
      </c>
      <c r="E344" s="13" t="s">
        <v>111</v>
      </c>
      <c r="F344" s="14">
        <v>0.4166666666666667</v>
      </c>
      <c r="G344" s="13"/>
    </row>
    <row r="345" spans="8:8" ht="32.25" customHeight="1">
      <c r="A345" s="11">
        <v>4.0</v>
      </c>
      <c r="B345" s="12" t="s">
        <v>373</v>
      </c>
      <c r="C345" s="13">
        <v>250841.0</v>
      </c>
      <c r="D345" s="12" t="s">
        <v>56</v>
      </c>
      <c r="E345" s="13" t="s">
        <v>111</v>
      </c>
      <c r="F345" s="14">
        <v>0.4166666666666667</v>
      </c>
      <c r="G345" s="13"/>
    </row>
    <row r="346" spans="8:8" ht="32.25" customHeight="1">
      <c r="A346" s="11">
        <v>5.0</v>
      </c>
      <c r="B346" s="12" t="s">
        <v>374</v>
      </c>
      <c r="C346" s="13">
        <v>250840.0</v>
      </c>
      <c r="D346" s="12" t="s">
        <v>56</v>
      </c>
      <c r="E346" s="13" t="s">
        <v>111</v>
      </c>
      <c r="F346" s="14">
        <v>0.4166666666666667</v>
      </c>
      <c r="G346" s="13"/>
    </row>
    <row r="347" spans="8:8" ht="32.25" customHeight="1">
      <c r="A347" s="11">
        <v>6.0</v>
      </c>
      <c r="B347" s="12" t="s">
        <v>375</v>
      </c>
      <c r="C347" s="13">
        <v>250843.0</v>
      </c>
      <c r="D347" s="12" t="s">
        <v>56</v>
      </c>
      <c r="E347" s="13" t="s">
        <v>111</v>
      </c>
      <c r="F347" s="14">
        <v>0.4166666666666667</v>
      </c>
      <c r="G347" s="13"/>
    </row>
    <row r="348" spans="8:8" ht="32.25" customHeight="1">
      <c r="A348" s="11">
        <v>7.0</v>
      </c>
      <c r="B348" s="12" t="s">
        <v>376</v>
      </c>
      <c r="C348" s="13">
        <v>250848.0</v>
      </c>
      <c r="D348" s="12" t="s">
        <v>56</v>
      </c>
      <c r="E348" s="13" t="s">
        <v>111</v>
      </c>
      <c r="F348" s="14">
        <v>0.4166666666666667</v>
      </c>
      <c r="G348" s="13"/>
    </row>
    <row r="349" spans="8:8" ht="32.25" customHeight="1">
      <c r="A349" s="11">
        <v>8.0</v>
      </c>
      <c r="B349" s="12" t="s">
        <v>377</v>
      </c>
      <c r="C349" s="13">
        <v>250852.0</v>
      </c>
      <c r="D349" s="12" t="s">
        <v>56</v>
      </c>
      <c r="E349" s="13" t="s">
        <v>111</v>
      </c>
      <c r="F349" s="14">
        <v>0.4166666666666667</v>
      </c>
      <c r="G349" s="13"/>
    </row>
    <row r="350" spans="8:8" ht="32.25" customHeight="1">
      <c r="A350" s="11">
        <v>9.0</v>
      </c>
      <c r="B350" s="12" t="s">
        <v>378</v>
      </c>
      <c r="C350" s="13">
        <v>250855.0</v>
      </c>
      <c r="D350" s="12" t="s">
        <v>56</v>
      </c>
      <c r="E350" s="13" t="s">
        <v>111</v>
      </c>
      <c r="F350" s="14">
        <v>0.4166666666666667</v>
      </c>
      <c r="G350" s="13"/>
    </row>
    <row r="351" spans="8:8" ht="32.25" customHeight="1">
      <c r="A351" s="11">
        <v>10.0</v>
      </c>
      <c r="B351" s="12" t="s">
        <v>379</v>
      </c>
      <c r="C351" s="13">
        <v>250854.0</v>
      </c>
      <c r="D351" s="12" t="s">
        <v>56</v>
      </c>
      <c r="E351" s="13" t="s">
        <v>111</v>
      </c>
      <c r="F351" s="14">
        <v>0.4166666666666667</v>
      </c>
      <c r="G351" s="13"/>
    </row>
    <row r="352" spans="8:8" ht="32.25" customHeight="1">
      <c r="A352" s="11">
        <v>11.0</v>
      </c>
      <c r="B352" s="12" t="s">
        <v>380</v>
      </c>
      <c r="C352" s="13">
        <v>250857.0</v>
      </c>
      <c r="D352" s="12" t="s">
        <v>56</v>
      </c>
      <c r="E352" s="13" t="s">
        <v>111</v>
      </c>
      <c r="F352" s="14">
        <v>0.4166666666666667</v>
      </c>
      <c r="G352" s="13"/>
    </row>
    <row r="353" spans="8:8" ht="32.25" customHeight="1">
      <c r="A353" s="11">
        <v>12.0</v>
      </c>
      <c r="B353" s="12" t="s">
        <v>381</v>
      </c>
      <c r="C353" s="13">
        <v>250858.0</v>
      </c>
      <c r="D353" s="12" t="s">
        <v>56</v>
      </c>
      <c r="E353" s="13" t="s">
        <v>111</v>
      </c>
      <c r="F353" s="14">
        <v>0.4166666666666667</v>
      </c>
      <c r="G353" s="13"/>
    </row>
    <row r="354" spans="8:8" ht="32.25" customHeight="1">
      <c r="A354" s="11">
        <v>13.0</v>
      </c>
      <c r="B354" s="12" t="s">
        <v>382</v>
      </c>
      <c r="C354" s="13">
        <v>250861.0</v>
      </c>
      <c r="D354" s="12" t="s">
        <v>56</v>
      </c>
      <c r="E354" s="13" t="s">
        <v>111</v>
      </c>
      <c r="F354" s="14">
        <v>0.4166666666666667</v>
      </c>
      <c r="G354" s="13"/>
    </row>
    <row r="355" spans="8:8" ht="32.25" customHeight="1">
      <c r="A355" s="11">
        <v>14.0</v>
      </c>
      <c r="B355" s="12" t="s">
        <v>383</v>
      </c>
      <c r="C355" s="13">
        <v>250865.0</v>
      </c>
      <c r="D355" s="12" t="s">
        <v>56</v>
      </c>
      <c r="E355" s="13" t="s">
        <v>111</v>
      </c>
      <c r="F355" s="14">
        <v>0.4166666666666667</v>
      </c>
      <c r="G355" s="13"/>
    </row>
    <row r="356" spans="8:8" ht="32.25" customHeight="1">
      <c r="A356" s="11">
        <v>15.0</v>
      </c>
      <c r="B356" s="12" t="s">
        <v>384</v>
      </c>
      <c r="C356" s="13">
        <v>250862.0</v>
      </c>
      <c r="D356" s="12" t="s">
        <v>56</v>
      </c>
      <c r="E356" s="13" t="s">
        <v>111</v>
      </c>
      <c r="F356" s="14">
        <v>0.4166666666666667</v>
      </c>
      <c r="G356" s="13"/>
    </row>
    <row r="357" spans="8:8" ht="32.25" customHeight="1">
      <c r="A357" s="11">
        <v>16.0</v>
      </c>
      <c r="B357" s="12" t="s">
        <v>385</v>
      </c>
      <c r="C357" s="13">
        <v>250867.0</v>
      </c>
      <c r="D357" s="12" t="s">
        <v>56</v>
      </c>
      <c r="E357" s="13" t="s">
        <v>111</v>
      </c>
      <c r="F357" s="14">
        <v>0.4166666666666667</v>
      </c>
      <c r="G357" s="13"/>
    </row>
    <row r="358" spans="8:8" ht="32.25" customHeight="1">
      <c r="A358" s="11">
        <v>17.0</v>
      </c>
      <c r="B358" s="12" t="s">
        <v>386</v>
      </c>
      <c r="C358" s="13">
        <v>250871.0</v>
      </c>
      <c r="D358" s="12" t="s">
        <v>56</v>
      </c>
      <c r="E358" s="13" t="s">
        <v>111</v>
      </c>
      <c r="F358" s="14">
        <v>0.4166666666666667</v>
      </c>
      <c r="G358" s="13"/>
    </row>
    <row r="359" spans="8:8" ht="32.25" customHeight="1">
      <c r="A359" s="11">
        <v>18.0</v>
      </c>
      <c r="B359" s="12" t="s">
        <v>387</v>
      </c>
      <c r="C359" s="13">
        <v>250872.0</v>
      </c>
      <c r="D359" s="12" t="s">
        <v>56</v>
      </c>
      <c r="E359" s="13" t="s">
        <v>111</v>
      </c>
      <c r="F359" s="14">
        <v>0.4166666666666667</v>
      </c>
      <c r="G359" s="13"/>
    </row>
    <row r="360" spans="8:8" ht="32.25" customHeight="1">
      <c r="A360" s="11">
        <v>19.0</v>
      </c>
      <c r="B360" s="12" t="s">
        <v>388</v>
      </c>
      <c r="C360" s="13">
        <v>250868.0</v>
      </c>
      <c r="D360" s="12" t="s">
        <v>56</v>
      </c>
      <c r="E360" s="13" t="s">
        <v>111</v>
      </c>
      <c r="F360" s="14">
        <v>0.4166666666666667</v>
      </c>
      <c r="G360" s="13"/>
    </row>
    <row r="361" spans="8:8" ht="32.25" customHeight="1">
      <c r="A361" s="11">
        <v>20.0</v>
      </c>
      <c r="B361" s="12" t="s">
        <v>389</v>
      </c>
      <c r="C361" s="13">
        <v>250873.0</v>
      </c>
      <c r="D361" s="12" t="s">
        <v>56</v>
      </c>
      <c r="E361" s="13" t="s">
        <v>111</v>
      </c>
      <c r="F361" s="14">
        <v>0.4166666666666667</v>
      </c>
      <c r="G361" s="13"/>
    </row>
    <row r="362" spans="8:8" ht="32.25" customHeight="1">
      <c r="A362" s="11">
        <v>21.0</v>
      </c>
      <c r="B362" s="12" t="s">
        <v>390</v>
      </c>
      <c r="C362" s="13">
        <v>250874.0</v>
      </c>
      <c r="D362" s="12" t="s">
        <v>56</v>
      </c>
      <c r="E362" s="13" t="s">
        <v>111</v>
      </c>
      <c r="F362" s="14">
        <v>0.4166666666666667</v>
      </c>
      <c r="G362" s="13"/>
    </row>
    <row r="363" spans="8:8" ht="32.25" customHeight="1">
      <c r="A363" s="11">
        <v>22.0</v>
      </c>
      <c r="B363" s="12" t="s">
        <v>391</v>
      </c>
      <c r="C363" s="13">
        <v>250876.0</v>
      </c>
      <c r="D363" s="12" t="s">
        <v>56</v>
      </c>
      <c r="E363" s="13" t="s">
        <v>111</v>
      </c>
      <c r="F363" s="14">
        <v>0.4166666666666667</v>
      </c>
      <c r="G363" s="13"/>
    </row>
    <row r="364" spans="8:8" ht="32.25" customHeight="1">
      <c r="A364" s="11">
        <v>23.0</v>
      </c>
      <c r="B364" s="12" t="s">
        <v>392</v>
      </c>
      <c r="C364" s="13">
        <v>250875.0</v>
      </c>
      <c r="D364" s="12" t="s">
        <v>56</v>
      </c>
      <c r="E364" s="13" t="s">
        <v>111</v>
      </c>
      <c r="F364" s="14">
        <v>0.4166666666666667</v>
      </c>
      <c r="G364" s="13"/>
    </row>
    <row r="365" spans="8:8" ht="32.25" customHeight="1">
      <c r="A365" s="11">
        <v>24.0</v>
      </c>
      <c r="B365" s="12" t="s">
        <v>393</v>
      </c>
      <c r="C365" s="13">
        <v>253127.0</v>
      </c>
      <c r="D365" s="12" t="s">
        <v>27</v>
      </c>
      <c r="E365" s="13" t="s">
        <v>111</v>
      </c>
      <c r="F365" s="14">
        <v>0.4166666666666667</v>
      </c>
      <c r="G365" s="13"/>
    </row>
    <row r="366" spans="8:8" ht="32.25" customHeight="1">
      <c r="A366" s="11">
        <v>25.0</v>
      </c>
      <c r="B366" s="12" t="s">
        <v>394</v>
      </c>
      <c r="C366" s="13">
        <v>253072.0</v>
      </c>
      <c r="D366" s="12" t="s">
        <v>27</v>
      </c>
      <c r="E366" s="13" t="s">
        <v>111</v>
      </c>
      <c r="F366" s="14">
        <v>0.4166666666666667</v>
      </c>
      <c r="G366" s="13"/>
    </row>
    <row r="367" spans="8:8" ht="32.25" customHeight="1">
      <c r="A367" s="8" t="s">
        <v>18</v>
      </c>
      <c r="B367" s="9" t="s">
        <v>19</v>
      </c>
      <c r="C367" s="9" t="s">
        <v>20</v>
      </c>
      <c r="D367" s="9" t="s">
        <v>21</v>
      </c>
      <c r="E367" s="9" t="s">
        <v>22</v>
      </c>
      <c r="F367" s="10" t="s">
        <v>23</v>
      </c>
      <c r="G367" s="9" t="s">
        <v>395</v>
      </c>
    </row>
    <row r="368" spans="8:8" ht="32.25" customHeight="1">
      <c r="A368" s="11">
        <v>1.0</v>
      </c>
      <c r="B368" s="12" t="s">
        <v>396</v>
      </c>
      <c r="C368" s="13">
        <v>250877.0</v>
      </c>
      <c r="D368" s="12" t="s">
        <v>56</v>
      </c>
      <c r="E368" s="13" t="s">
        <v>28</v>
      </c>
      <c r="F368" s="14">
        <v>0.4166666666666667</v>
      </c>
      <c r="G368" s="13"/>
    </row>
    <row r="369" spans="8:8" ht="32.25" customHeight="1">
      <c r="A369" s="11">
        <v>2.0</v>
      </c>
      <c r="B369" s="12" t="s">
        <v>397</v>
      </c>
      <c r="C369" s="13">
        <v>250886.0</v>
      </c>
      <c r="D369" s="12" t="s">
        <v>56</v>
      </c>
      <c r="E369" s="13" t="s">
        <v>28</v>
      </c>
      <c r="F369" s="14">
        <v>0.4166666666666667</v>
      </c>
      <c r="G369" s="13"/>
    </row>
    <row r="370" spans="8:8" ht="32.25" customHeight="1">
      <c r="A370" s="11">
        <v>3.0</v>
      </c>
      <c r="B370" s="12" t="s">
        <v>398</v>
      </c>
      <c r="C370" s="13">
        <v>250881.0</v>
      </c>
      <c r="D370" s="12" t="s">
        <v>56</v>
      </c>
      <c r="E370" s="13" t="s">
        <v>28</v>
      </c>
      <c r="F370" s="14">
        <v>0.4166666666666667</v>
      </c>
      <c r="G370" s="13"/>
    </row>
    <row r="371" spans="8:8" ht="32.25" customHeight="1">
      <c r="A371" s="11">
        <v>4.0</v>
      </c>
      <c r="B371" s="12" t="s">
        <v>399</v>
      </c>
      <c r="C371" s="13">
        <v>250878.0</v>
      </c>
      <c r="D371" s="12" t="s">
        <v>56</v>
      </c>
      <c r="E371" s="13" t="s">
        <v>28</v>
      </c>
      <c r="F371" s="14">
        <v>0.4166666666666667</v>
      </c>
      <c r="G371" s="13"/>
    </row>
    <row r="372" spans="8:8" ht="32.25" customHeight="1">
      <c r="A372" s="11">
        <v>5.0</v>
      </c>
      <c r="B372" s="12" t="s">
        <v>400</v>
      </c>
      <c r="C372" s="13">
        <v>250889.0</v>
      </c>
      <c r="D372" s="12" t="s">
        <v>56</v>
      </c>
      <c r="E372" s="13" t="s">
        <v>28</v>
      </c>
      <c r="F372" s="14">
        <v>0.4166666666666667</v>
      </c>
      <c r="G372" s="13"/>
    </row>
    <row r="373" spans="8:8" ht="32.25" customHeight="1">
      <c r="A373" s="11">
        <v>6.0</v>
      </c>
      <c r="B373" s="12" t="s">
        <v>401</v>
      </c>
      <c r="C373" s="13">
        <v>250891.0</v>
      </c>
      <c r="D373" s="12" t="s">
        <v>56</v>
      </c>
      <c r="E373" s="13" t="s">
        <v>28</v>
      </c>
      <c r="F373" s="14">
        <v>0.4166666666666667</v>
      </c>
      <c r="G373" s="13"/>
    </row>
    <row r="374" spans="8:8" ht="32.25" customHeight="1">
      <c r="A374" s="11">
        <v>7.0</v>
      </c>
      <c r="B374" s="12" t="s">
        <v>402</v>
      </c>
      <c r="C374" s="13">
        <v>250893.0</v>
      </c>
      <c r="D374" s="12" t="s">
        <v>56</v>
      </c>
      <c r="E374" s="13" t="s">
        <v>28</v>
      </c>
      <c r="F374" s="14">
        <v>0.4166666666666667</v>
      </c>
      <c r="G374" s="13"/>
    </row>
    <row r="375" spans="8:8" ht="32.25" customHeight="1">
      <c r="A375" s="11">
        <v>8.0</v>
      </c>
      <c r="B375" s="12" t="s">
        <v>403</v>
      </c>
      <c r="C375" s="13">
        <v>250894.0</v>
      </c>
      <c r="D375" s="12" t="s">
        <v>56</v>
      </c>
      <c r="E375" s="13" t="s">
        <v>28</v>
      </c>
      <c r="F375" s="14">
        <v>0.4166666666666667</v>
      </c>
      <c r="G375" s="13"/>
    </row>
    <row r="376" spans="8:8" ht="32.25" customHeight="1">
      <c r="A376" s="11">
        <v>9.0</v>
      </c>
      <c r="B376" s="12" t="s">
        <v>404</v>
      </c>
      <c r="C376" s="13">
        <v>250895.0</v>
      </c>
      <c r="D376" s="12" t="s">
        <v>56</v>
      </c>
      <c r="E376" s="13" t="s">
        <v>28</v>
      </c>
      <c r="F376" s="14">
        <v>0.4166666666666667</v>
      </c>
      <c r="G376" s="13"/>
    </row>
    <row r="377" spans="8:8" ht="32.25" customHeight="1">
      <c r="A377" s="11">
        <v>10.0</v>
      </c>
      <c r="B377" s="12" t="s">
        <v>405</v>
      </c>
      <c r="C377" s="13">
        <v>250897.0</v>
      </c>
      <c r="D377" s="12" t="s">
        <v>56</v>
      </c>
      <c r="E377" s="13" t="s">
        <v>28</v>
      </c>
      <c r="F377" s="14">
        <v>0.4166666666666667</v>
      </c>
      <c r="G377" s="13"/>
    </row>
    <row r="378" spans="8:8" ht="32.25" customHeight="1">
      <c r="A378" s="11">
        <v>11.0</v>
      </c>
      <c r="B378" s="12" t="s">
        <v>406</v>
      </c>
      <c r="C378" s="13">
        <v>250900.0</v>
      </c>
      <c r="D378" s="12" t="s">
        <v>56</v>
      </c>
      <c r="E378" s="13" t="s">
        <v>28</v>
      </c>
      <c r="F378" s="14">
        <v>0.4166666666666667</v>
      </c>
      <c r="G378" s="13"/>
    </row>
    <row r="379" spans="8:8" ht="32.25" customHeight="1">
      <c r="A379" s="11">
        <v>12.0</v>
      </c>
      <c r="B379" s="12" t="s">
        <v>407</v>
      </c>
      <c r="C379" s="13">
        <v>250901.0</v>
      </c>
      <c r="D379" s="12" t="s">
        <v>56</v>
      </c>
      <c r="E379" s="13" t="s">
        <v>28</v>
      </c>
      <c r="F379" s="14">
        <v>0.4166666666666667</v>
      </c>
      <c r="G379" s="13"/>
    </row>
    <row r="380" spans="8:8" ht="32.25" customHeight="1">
      <c r="A380" s="11">
        <v>13.0</v>
      </c>
      <c r="B380" s="12" t="s">
        <v>408</v>
      </c>
      <c r="C380" s="13">
        <v>250910.0</v>
      </c>
      <c r="D380" s="12" t="s">
        <v>56</v>
      </c>
      <c r="E380" s="13" t="s">
        <v>28</v>
      </c>
      <c r="F380" s="14">
        <v>0.4166666666666667</v>
      </c>
      <c r="G380" s="13"/>
    </row>
    <row r="381" spans="8:8" ht="32.25" customHeight="1">
      <c r="A381" s="11">
        <v>14.0</v>
      </c>
      <c r="B381" s="12" t="s">
        <v>409</v>
      </c>
      <c r="C381" s="13">
        <v>250905.0</v>
      </c>
      <c r="D381" s="12" t="s">
        <v>56</v>
      </c>
      <c r="E381" s="13" t="s">
        <v>28</v>
      </c>
      <c r="F381" s="14">
        <v>0.4166666666666667</v>
      </c>
      <c r="G381" s="13"/>
    </row>
    <row r="382" spans="8:8" ht="32.25" customHeight="1">
      <c r="A382" s="11">
        <v>15.0</v>
      </c>
      <c r="B382" s="12" t="s">
        <v>410</v>
      </c>
      <c r="C382" s="13">
        <v>250903.0</v>
      </c>
      <c r="D382" s="12" t="s">
        <v>56</v>
      </c>
      <c r="E382" s="13" t="s">
        <v>28</v>
      </c>
      <c r="F382" s="14">
        <v>0.4166666666666667</v>
      </c>
      <c r="G382" s="13"/>
    </row>
    <row r="383" spans="8:8" ht="32.25" customHeight="1">
      <c r="A383" s="11">
        <v>16.0</v>
      </c>
      <c r="B383" s="12" t="s">
        <v>411</v>
      </c>
      <c r="C383" s="13">
        <v>250913.0</v>
      </c>
      <c r="D383" s="12" t="s">
        <v>56</v>
      </c>
      <c r="E383" s="13" t="s">
        <v>28</v>
      </c>
      <c r="F383" s="14">
        <v>0.4166666666666667</v>
      </c>
      <c r="G383" s="13"/>
    </row>
    <row r="384" spans="8:8" ht="32.25" customHeight="1">
      <c r="A384" s="11">
        <v>17.0</v>
      </c>
      <c r="B384" s="12" t="s">
        <v>412</v>
      </c>
      <c r="C384" s="13">
        <v>250915.0</v>
      </c>
      <c r="D384" s="12" t="s">
        <v>56</v>
      </c>
      <c r="E384" s="13" t="s">
        <v>28</v>
      </c>
      <c r="F384" s="14">
        <v>0.4166666666666667</v>
      </c>
      <c r="G384" s="13"/>
    </row>
    <row r="385" spans="8:8" ht="32.25" customHeight="1">
      <c r="A385" s="11">
        <v>18.0</v>
      </c>
      <c r="B385" s="12" t="s">
        <v>413</v>
      </c>
      <c r="C385" s="13">
        <v>250914.0</v>
      </c>
      <c r="D385" s="12" t="s">
        <v>56</v>
      </c>
      <c r="E385" s="13" t="s">
        <v>28</v>
      </c>
      <c r="F385" s="14">
        <v>0.4166666666666667</v>
      </c>
      <c r="G385" s="13"/>
    </row>
    <row r="386" spans="8:8" ht="32.25" customHeight="1">
      <c r="A386" s="11">
        <v>19.0</v>
      </c>
      <c r="B386" s="12" t="s">
        <v>414</v>
      </c>
      <c r="C386" s="13">
        <v>250916.0</v>
      </c>
      <c r="D386" s="12" t="s">
        <v>56</v>
      </c>
      <c r="E386" s="13" t="s">
        <v>28</v>
      </c>
      <c r="F386" s="14">
        <v>0.4166666666666667</v>
      </c>
      <c r="G386" s="13"/>
    </row>
    <row r="387" spans="8:8" ht="32.25" customHeight="1">
      <c r="A387" s="11">
        <v>20.0</v>
      </c>
      <c r="B387" s="12" t="s">
        <v>415</v>
      </c>
      <c r="C387" s="13">
        <v>250918.0</v>
      </c>
      <c r="D387" s="12" t="s">
        <v>56</v>
      </c>
      <c r="E387" s="13" t="s">
        <v>28</v>
      </c>
      <c r="F387" s="14">
        <v>0.4166666666666667</v>
      </c>
      <c r="G387" s="13"/>
    </row>
    <row r="388" spans="8:8" ht="32.25" customHeight="1">
      <c r="A388" s="11">
        <v>21.0</v>
      </c>
      <c r="B388" s="12" t="s">
        <v>416</v>
      </c>
      <c r="C388" s="13">
        <v>250919.0</v>
      </c>
      <c r="D388" s="12" t="s">
        <v>56</v>
      </c>
      <c r="E388" s="13" t="s">
        <v>28</v>
      </c>
      <c r="F388" s="14">
        <v>0.4166666666666667</v>
      </c>
      <c r="G388" s="13"/>
    </row>
    <row r="389" spans="8:8" ht="32.25" customHeight="1">
      <c r="A389" s="11">
        <v>22.0</v>
      </c>
      <c r="B389" s="12" t="s">
        <v>417</v>
      </c>
      <c r="C389" s="13">
        <v>250921.0</v>
      </c>
      <c r="D389" s="12" t="s">
        <v>56</v>
      </c>
      <c r="E389" s="13" t="s">
        <v>28</v>
      </c>
      <c r="F389" s="14">
        <v>0.4166666666666667</v>
      </c>
      <c r="G389" s="13"/>
    </row>
    <row r="390" spans="8:8" ht="32.25" customHeight="1">
      <c r="A390" s="11">
        <v>23.0</v>
      </c>
      <c r="B390" s="12" t="s">
        <v>418</v>
      </c>
      <c r="C390" s="13">
        <v>253045.0</v>
      </c>
      <c r="D390" s="12" t="s">
        <v>27</v>
      </c>
      <c r="E390" s="13" t="s">
        <v>28</v>
      </c>
      <c r="F390" s="14">
        <v>0.4166666666666667</v>
      </c>
      <c r="G390" s="13"/>
    </row>
    <row r="391" spans="8:8" ht="32.25" customHeight="1">
      <c r="A391" s="11">
        <v>24.0</v>
      </c>
      <c r="B391" s="12" t="s">
        <v>419</v>
      </c>
      <c r="C391" s="13">
        <v>250301.0</v>
      </c>
      <c r="D391" s="12" t="s">
        <v>27</v>
      </c>
      <c r="E391" s="13" t="s">
        <v>28</v>
      </c>
      <c r="F391" s="14">
        <v>0.4166666666666667</v>
      </c>
      <c r="G391" s="13"/>
    </row>
    <row r="392" spans="8:8" ht="32.25" customHeight="1">
      <c r="A392" s="11">
        <v>25.0</v>
      </c>
      <c r="B392" s="12" t="s">
        <v>420</v>
      </c>
      <c r="C392" s="13">
        <v>250674.0</v>
      </c>
      <c r="D392" s="12" t="s">
        <v>56</v>
      </c>
      <c r="E392" s="13" t="s">
        <v>28</v>
      </c>
      <c r="F392" s="14">
        <v>0.4166666666666667</v>
      </c>
      <c r="G392" s="13"/>
    </row>
    <row r="393" spans="8:8" ht="32.25" customHeight="1">
      <c r="A393" s="8" t="s">
        <v>18</v>
      </c>
      <c r="B393" s="9" t="s">
        <v>19</v>
      </c>
      <c r="C393" s="9" t="s">
        <v>20</v>
      </c>
      <c r="D393" s="9" t="s">
        <v>21</v>
      </c>
      <c r="E393" s="9" t="s">
        <v>22</v>
      </c>
      <c r="F393" s="10" t="s">
        <v>23</v>
      </c>
      <c r="G393" s="9" t="s">
        <v>421</v>
      </c>
    </row>
    <row r="394" spans="8:8" ht="32.25" customHeight="1">
      <c r="A394" s="11">
        <v>1.0</v>
      </c>
      <c r="B394" s="12" t="s">
        <v>422</v>
      </c>
      <c r="C394" s="13">
        <v>250732.0</v>
      </c>
      <c r="D394" s="12" t="s">
        <v>56</v>
      </c>
      <c r="E394" s="13" t="s">
        <v>28</v>
      </c>
      <c r="F394" s="14">
        <v>0.4166666666666667</v>
      </c>
      <c r="G394" s="13"/>
    </row>
    <row r="395" spans="8:8" ht="32.25" customHeight="1">
      <c r="A395" s="11">
        <v>2.0</v>
      </c>
      <c r="B395" s="12" t="s">
        <v>423</v>
      </c>
      <c r="C395" s="13">
        <v>253123.0</v>
      </c>
      <c r="D395" s="12" t="s">
        <v>27</v>
      </c>
      <c r="E395" s="13" t="s">
        <v>28</v>
      </c>
      <c r="F395" s="14">
        <v>0.4166666666666667</v>
      </c>
      <c r="G395" s="13"/>
    </row>
    <row r="396" spans="8:8" ht="32.25" customHeight="1">
      <c r="A396" s="11">
        <v>3.0</v>
      </c>
      <c r="B396" s="12" t="s">
        <v>424</v>
      </c>
      <c r="C396" s="13">
        <v>251079.0</v>
      </c>
      <c r="D396" s="12" t="s">
        <v>56</v>
      </c>
      <c r="E396" s="13" t="s">
        <v>28</v>
      </c>
      <c r="F396" s="14">
        <v>0.4166666666666667</v>
      </c>
      <c r="G396" s="13"/>
    </row>
    <row r="397" spans="8:8" ht="32.25" customHeight="1">
      <c r="A397" s="11">
        <v>4.0</v>
      </c>
      <c r="B397" s="12" t="s">
        <v>425</v>
      </c>
      <c r="C397" s="13">
        <v>251067.0</v>
      </c>
      <c r="D397" s="12" t="s">
        <v>56</v>
      </c>
      <c r="E397" s="13" t="s">
        <v>28</v>
      </c>
      <c r="F397" s="14">
        <v>0.4166666666666667</v>
      </c>
      <c r="G397" s="13"/>
    </row>
    <row r="398" spans="8:8" ht="32.25" customHeight="1">
      <c r="A398" s="11">
        <v>5.0</v>
      </c>
      <c r="B398" s="12" t="s">
        <v>426</v>
      </c>
      <c r="C398" s="13">
        <v>252869.0</v>
      </c>
      <c r="D398" s="12" t="s">
        <v>56</v>
      </c>
      <c r="E398" s="13" t="s">
        <v>28</v>
      </c>
      <c r="F398" s="14">
        <v>0.4166666666666667</v>
      </c>
      <c r="G398" s="13"/>
    </row>
    <row r="399" spans="8:8" ht="32.25" customHeight="1">
      <c r="A399" s="11">
        <v>6.0</v>
      </c>
      <c r="B399" s="12" t="s">
        <v>427</v>
      </c>
      <c r="C399" s="13">
        <v>251106.0</v>
      </c>
      <c r="D399" s="12" t="s">
        <v>56</v>
      </c>
      <c r="E399" s="13" t="s">
        <v>28</v>
      </c>
      <c r="F399" s="14">
        <v>0.4166666666666667</v>
      </c>
      <c r="G399" s="13"/>
    </row>
    <row r="400" spans="8:8" ht="32.25" customHeight="1">
      <c r="A400" s="11">
        <v>7.0</v>
      </c>
      <c r="B400" s="12" t="s">
        <v>428</v>
      </c>
      <c r="C400" s="13">
        <v>250928.0</v>
      </c>
      <c r="D400" s="12" t="s">
        <v>56</v>
      </c>
      <c r="E400" s="13" t="s">
        <v>28</v>
      </c>
      <c r="F400" s="14">
        <v>0.4166666666666667</v>
      </c>
      <c r="G400" s="13"/>
    </row>
    <row r="401" spans="8:8" ht="32.25" customHeight="1">
      <c r="A401" s="11">
        <v>8.0</v>
      </c>
      <c r="B401" s="12" t="s">
        <v>429</v>
      </c>
      <c r="C401" s="13">
        <v>250926.0</v>
      </c>
      <c r="D401" s="12" t="s">
        <v>56</v>
      </c>
      <c r="E401" s="13" t="s">
        <v>28</v>
      </c>
      <c r="F401" s="14">
        <v>0.4166666666666667</v>
      </c>
      <c r="G401" s="13"/>
    </row>
    <row r="402" spans="8:8" ht="32.25" customHeight="1">
      <c r="A402" s="11">
        <v>9.0</v>
      </c>
      <c r="B402" s="12" t="s">
        <v>430</v>
      </c>
      <c r="C402" s="13">
        <v>250939.0</v>
      </c>
      <c r="D402" s="12" t="s">
        <v>56</v>
      </c>
      <c r="E402" s="13" t="s">
        <v>28</v>
      </c>
      <c r="F402" s="14">
        <v>0.4166666666666667</v>
      </c>
      <c r="G402" s="13"/>
    </row>
    <row r="403" spans="8:8" ht="32.25" customHeight="1">
      <c r="A403" s="11">
        <v>10.0</v>
      </c>
      <c r="B403" s="12" t="s">
        <v>431</v>
      </c>
      <c r="C403" s="13">
        <v>250943.0</v>
      </c>
      <c r="D403" s="12" t="s">
        <v>56</v>
      </c>
      <c r="E403" s="13" t="s">
        <v>28</v>
      </c>
      <c r="F403" s="14">
        <v>0.4166666666666667</v>
      </c>
      <c r="G403" s="13"/>
    </row>
    <row r="404" spans="8:8" ht="32.25" customHeight="1">
      <c r="A404" s="11">
        <v>11.0</v>
      </c>
      <c r="B404" s="12" t="s">
        <v>432</v>
      </c>
      <c r="C404" s="13">
        <v>250937.0</v>
      </c>
      <c r="D404" s="12" t="s">
        <v>56</v>
      </c>
      <c r="E404" s="13" t="s">
        <v>28</v>
      </c>
      <c r="F404" s="14">
        <v>0.4166666666666667</v>
      </c>
      <c r="G404" s="13"/>
    </row>
    <row r="405" spans="8:8" ht="32.25" customHeight="1">
      <c r="A405" s="11">
        <v>12.0</v>
      </c>
      <c r="B405" s="12" t="s">
        <v>433</v>
      </c>
      <c r="C405" s="13">
        <v>250930.0</v>
      </c>
      <c r="D405" s="12" t="s">
        <v>56</v>
      </c>
      <c r="E405" s="13" t="s">
        <v>28</v>
      </c>
      <c r="F405" s="14">
        <v>0.4166666666666667</v>
      </c>
      <c r="G405" s="13"/>
    </row>
    <row r="406" spans="8:8" ht="32.25" customHeight="1">
      <c r="A406" s="11">
        <v>13.0</v>
      </c>
      <c r="B406" s="12" t="s">
        <v>434</v>
      </c>
      <c r="C406" s="13">
        <v>250925.0</v>
      </c>
      <c r="D406" s="12" t="s">
        <v>56</v>
      </c>
      <c r="E406" s="13" t="s">
        <v>28</v>
      </c>
      <c r="F406" s="14">
        <v>0.4166666666666667</v>
      </c>
      <c r="G406" s="13"/>
    </row>
    <row r="407" spans="8:8" ht="32.25" customHeight="1">
      <c r="A407" s="11">
        <v>14.0</v>
      </c>
      <c r="B407" s="12" t="s">
        <v>435</v>
      </c>
      <c r="C407" s="13">
        <v>250944.0</v>
      </c>
      <c r="D407" s="12" t="s">
        <v>56</v>
      </c>
      <c r="E407" s="13" t="s">
        <v>28</v>
      </c>
      <c r="F407" s="14">
        <v>0.4166666666666667</v>
      </c>
      <c r="G407" s="13"/>
    </row>
    <row r="408" spans="8:8" ht="32.25" customHeight="1">
      <c r="A408" s="11">
        <v>15.0</v>
      </c>
      <c r="B408" s="12" t="s">
        <v>436</v>
      </c>
      <c r="C408" s="13">
        <v>250950.0</v>
      </c>
      <c r="D408" s="12" t="s">
        <v>56</v>
      </c>
      <c r="E408" s="13" t="s">
        <v>28</v>
      </c>
      <c r="F408" s="14">
        <v>0.4166666666666667</v>
      </c>
      <c r="G408" s="13"/>
    </row>
    <row r="409" spans="8:8" ht="32.25" customHeight="1">
      <c r="A409" s="11">
        <v>16.0</v>
      </c>
      <c r="B409" s="12" t="s">
        <v>437</v>
      </c>
      <c r="C409" s="13">
        <v>250948.0</v>
      </c>
      <c r="D409" s="12" t="s">
        <v>56</v>
      </c>
      <c r="E409" s="13" t="s">
        <v>28</v>
      </c>
      <c r="F409" s="14">
        <v>0.4166666666666667</v>
      </c>
      <c r="G409" s="13"/>
    </row>
    <row r="410" spans="8:8" ht="32.25" customHeight="1">
      <c r="A410" s="11">
        <v>17.0</v>
      </c>
      <c r="B410" s="12" t="s">
        <v>438</v>
      </c>
      <c r="C410" s="13">
        <v>250949.0</v>
      </c>
      <c r="D410" s="12" t="s">
        <v>56</v>
      </c>
      <c r="E410" s="13" t="s">
        <v>28</v>
      </c>
      <c r="F410" s="14">
        <v>0.4166666666666667</v>
      </c>
      <c r="G410" s="13"/>
    </row>
    <row r="411" spans="8:8" ht="32.25" customHeight="1">
      <c r="A411" s="11">
        <v>18.0</v>
      </c>
      <c r="B411" s="12" t="s">
        <v>439</v>
      </c>
      <c r="C411" s="13">
        <v>250929.0</v>
      </c>
      <c r="D411" s="12" t="s">
        <v>56</v>
      </c>
      <c r="E411" s="13" t="s">
        <v>28</v>
      </c>
      <c r="F411" s="14">
        <v>0.4166666666666667</v>
      </c>
      <c r="G411" s="13"/>
    </row>
    <row r="412" spans="8:8" ht="32.25" customHeight="1">
      <c r="A412" s="11">
        <v>19.0</v>
      </c>
      <c r="B412" s="12" t="s">
        <v>440</v>
      </c>
      <c r="C412" s="13">
        <v>250932.0</v>
      </c>
      <c r="D412" s="12" t="s">
        <v>56</v>
      </c>
      <c r="E412" s="13" t="s">
        <v>28</v>
      </c>
      <c r="F412" s="14">
        <v>0.4166666666666667</v>
      </c>
      <c r="G412" s="13"/>
    </row>
    <row r="413" spans="8:8" ht="32.25" customHeight="1">
      <c r="A413" s="11">
        <v>20.0</v>
      </c>
      <c r="B413" s="12" t="s">
        <v>441</v>
      </c>
      <c r="C413" s="13">
        <v>250945.0</v>
      </c>
      <c r="D413" s="12" t="s">
        <v>56</v>
      </c>
      <c r="E413" s="13" t="s">
        <v>28</v>
      </c>
      <c r="F413" s="14">
        <v>0.4166666666666667</v>
      </c>
      <c r="G413" s="13"/>
    </row>
    <row r="414" spans="8:8" ht="32.25" customHeight="1">
      <c r="A414" s="11">
        <v>21.0</v>
      </c>
      <c r="B414" s="12" t="s">
        <v>442</v>
      </c>
      <c r="C414" s="13">
        <v>250946.0</v>
      </c>
      <c r="D414" s="12" t="s">
        <v>56</v>
      </c>
      <c r="E414" s="13" t="s">
        <v>28</v>
      </c>
      <c r="F414" s="14">
        <v>0.4166666666666667</v>
      </c>
      <c r="G414" s="13"/>
    </row>
    <row r="415" spans="8:8" ht="32.25" customHeight="1">
      <c r="A415" s="11">
        <v>22.0</v>
      </c>
      <c r="B415" s="12" t="s">
        <v>443</v>
      </c>
      <c r="C415" s="13">
        <v>250947.0</v>
      </c>
      <c r="D415" s="12" t="s">
        <v>56</v>
      </c>
      <c r="E415" s="13" t="s">
        <v>28</v>
      </c>
      <c r="F415" s="14">
        <v>0.4166666666666667</v>
      </c>
      <c r="G415" s="13"/>
    </row>
    <row r="416" spans="8:8" ht="32.25" customHeight="1">
      <c r="A416" s="11">
        <v>23.0</v>
      </c>
      <c r="B416" s="12" t="s">
        <v>444</v>
      </c>
      <c r="C416" s="13">
        <v>250951.0</v>
      </c>
      <c r="D416" s="12" t="s">
        <v>56</v>
      </c>
      <c r="E416" s="13" t="s">
        <v>28</v>
      </c>
      <c r="F416" s="14">
        <v>0.4166666666666667</v>
      </c>
      <c r="G416" s="13"/>
    </row>
    <row r="417" spans="8:8" ht="32.25" customHeight="1">
      <c r="A417" s="11">
        <v>24.0</v>
      </c>
      <c r="B417" s="12" t="s">
        <v>445</v>
      </c>
      <c r="C417" s="13">
        <v>250952.0</v>
      </c>
      <c r="D417" s="12" t="s">
        <v>56</v>
      </c>
      <c r="E417" s="13" t="s">
        <v>28</v>
      </c>
      <c r="F417" s="14">
        <v>0.4166666666666667</v>
      </c>
      <c r="G417" s="13"/>
    </row>
    <row r="418" spans="8:8" ht="32.25" customHeight="1">
      <c r="A418" s="11">
        <v>25.0</v>
      </c>
      <c r="B418" s="12" t="s">
        <v>446</v>
      </c>
      <c r="C418" s="13">
        <v>250953.0</v>
      </c>
      <c r="D418" s="12" t="s">
        <v>56</v>
      </c>
      <c r="E418" s="13" t="s">
        <v>28</v>
      </c>
      <c r="F418" s="14">
        <v>0.4166666666666667</v>
      </c>
      <c r="G418" s="13"/>
    </row>
    <row r="419" spans="8:8" ht="32.25" customHeight="1">
      <c r="A419" s="8" t="s">
        <v>18</v>
      </c>
      <c r="B419" s="9" t="s">
        <v>19</v>
      </c>
      <c r="C419" s="9" t="s">
        <v>20</v>
      </c>
      <c r="D419" s="9" t="s">
        <v>21</v>
      </c>
      <c r="E419" s="9" t="s">
        <v>22</v>
      </c>
      <c r="F419" s="10" t="s">
        <v>23</v>
      </c>
      <c r="G419" s="9" t="s">
        <v>447</v>
      </c>
    </row>
    <row r="420" spans="8:8" ht="32.25" customHeight="1">
      <c r="A420" s="11">
        <v>1.0</v>
      </c>
      <c r="B420" s="12" t="s">
        <v>448</v>
      </c>
      <c r="C420" s="13">
        <v>250956.0</v>
      </c>
      <c r="D420" s="12" t="s">
        <v>56</v>
      </c>
      <c r="E420" s="13" t="s">
        <v>28</v>
      </c>
      <c r="F420" s="14">
        <v>0.4166666666666667</v>
      </c>
      <c r="G420" s="13"/>
    </row>
    <row r="421" spans="8:8" ht="32.25" customHeight="1">
      <c r="A421" s="11">
        <v>2.0</v>
      </c>
      <c r="B421" s="12" t="s">
        <v>449</v>
      </c>
      <c r="C421" s="13">
        <v>252872.0</v>
      </c>
      <c r="D421" s="12" t="s">
        <v>56</v>
      </c>
      <c r="E421" s="13" t="s">
        <v>450</v>
      </c>
      <c r="F421" s="14">
        <v>0.4166666666666667</v>
      </c>
      <c r="G421" s="13"/>
    </row>
    <row r="422" spans="8:8" ht="32.25" customHeight="1">
      <c r="A422" s="11">
        <v>3.0</v>
      </c>
      <c r="B422" s="12" t="s">
        <v>451</v>
      </c>
      <c r="C422" s="13">
        <v>251135.0</v>
      </c>
      <c r="D422" s="12" t="s">
        <v>56</v>
      </c>
      <c r="E422" s="13" t="s">
        <v>28</v>
      </c>
      <c r="F422" s="14">
        <v>0.4166666666666667</v>
      </c>
      <c r="G422" s="13"/>
    </row>
    <row r="423" spans="8:8" ht="32.25" customHeight="1">
      <c r="A423" s="11">
        <v>4.0</v>
      </c>
      <c r="B423" s="12" t="s">
        <v>452</v>
      </c>
      <c r="C423" s="13">
        <v>251129.0</v>
      </c>
      <c r="D423" s="12" t="s">
        <v>56</v>
      </c>
      <c r="E423" s="13" t="s">
        <v>28</v>
      </c>
      <c r="F423" s="14">
        <v>0.4166666666666667</v>
      </c>
      <c r="G423" s="13"/>
    </row>
    <row r="424" spans="8:8" ht="32.25" customHeight="1">
      <c r="A424" s="11">
        <v>5.0</v>
      </c>
      <c r="B424" s="12" t="s">
        <v>453</v>
      </c>
      <c r="C424" s="13">
        <v>253039.0</v>
      </c>
      <c r="D424" s="12" t="s">
        <v>56</v>
      </c>
      <c r="E424" s="13" t="s">
        <v>28</v>
      </c>
      <c r="F424" s="14">
        <v>0.4166666666666667</v>
      </c>
      <c r="G424" s="13"/>
    </row>
    <row r="425" spans="8:8" ht="32.25" customHeight="1">
      <c r="A425" s="11">
        <v>6.0</v>
      </c>
      <c r="B425" s="12" t="s">
        <v>454</v>
      </c>
      <c r="C425" s="13">
        <v>253134.0</v>
      </c>
      <c r="D425" s="12" t="s">
        <v>56</v>
      </c>
      <c r="E425" s="13" t="s">
        <v>28</v>
      </c>
      <c r="F425" s="14">
        <v>0.4166666666666667</v>
      </c>
      <c r="G425" s="13"/>
    </row>
    <row r="426" spans="8:8" ht="32.25" customHeight="1">
      <c r="A426" s="11">
        <v>7.0</v>
      </c>
      <c r="B426" s="12" t="s">
        <v>455</v>
      </c>
      <c r="C426" s="13">
        <v>251160.0</v>
      </c>
      <c r="D426" s="12" t="s">
        <v>56</v>
      </c>
      <c r="E426" s="13" t="s">
        <v>28</v>
      </c>
      <c r="F426" s="14">
        <v>0.4166666666666667</v>
      </c>
      <c r="G426" s="13"/>
    </row>
    <row r="427" spans="8:8" ht="32.25" customHeight="1">
      <c r="A427" s="11">
        <v>8.0</v>
      </c>
      <c r="B427" s="12" t="s">
        <v>456</v>
      </c>
      <c r="C427" s="13">
        <v>251181.0</v>
      </c>
      <c r="D427" s="12" t="s">
        <v>56</v>
      </c>
      <c r="E427" s="13" t="s">
        <v>28</v>
      </c>
      <c r="F427" s="14">
        <v>0.4166666666666667</v>
      </c>
      <c r="G427" s="13"/>
    </row>
    <row r="428" spans="8:8" ht="32.25" customHeight="1">
      <c r="A428" s="11">
        <v>9.0</v>
      </c>
      <c r="B428" s="12" t="s">
        <v>457</v>
      </c>
      <c r="C428" s="13">
        <v>251173.0</v>
      </c>
      <c r="D428" s="12" t="s">
        <v>56</v>
      </c>
      <c r="E428" s="13" t="s">
        <v>28</v>
      </c>
      <c r="F428" s="14">
        <v>0.4166666666666667</v>
      </c>
      <c r="G428" s="13"/>
    </row>
    <row r="429" spans="8:8" ht="32.25" customHeight="1">
      <c r="A429" s="11">
        <v>10.0</v>
      </c>
      <c r="B429" s="12" t="s">
        <v>458</v>
      </c>
      <c r="C429" s="13">
        <v>251169.0</v>
      </c>
      <c r="D429" s="12" t="s">
        <v>56</v>
      </c>
      <c r="E429" s="13" t="s">
        <v>28</v>
      </c>
      <c r="F429" s="14">
        <v>0.4166666666666667</v>
      </c>
      <c r="G429" s="13"/>
    </row>
    <row r="430" spans="8:8" ht="32.25" customHeight="1">
      <c r="A430" s="11">
        <v>11.0</v>
      </c>
      <c r="B430" s="12" t="s">
        <v>459</v>
      </c>
      <c r="C430" s="13">
        <v>252984.0</v>
      </c>
      <c r="D430" s="12" t="s">
        <v>56</v>
      </c>
      <c r="E430" s="13" t="s">
        <v>28</v>
      </c>
      <c r="F430" s="14">
        <v>0.4166666666666667</v>
      </c>
      <c r="G430" s="13"/>
    </row>
    <row r="431" spans="8:8" ht="32.25" customHeight="1">
      <c r="A431" s="11">
        <v>12.0</v>
      </c>
      <c r="B431" s="12" t="s">
        <v>460</v>
      </c>
      <c r="C431" s="13">
        <v>250955.0</v>
      </c>
      <c r="D431" s="12" t="s">
        <v>56</v>
      </c>
      <c r="E431" s="13" t="s">
        <v>28</v>
      </c>
      <c r="F431" s="14">
        <v>0.4166666666666667</v>
      </c>
      <c r="G431" s="13"/>
    </row>
    <row r="432" spans="8:8" ht="32.25" customHeight="1">
      <c r="A432" s="11">
        <v>13.0</v>
      </c>
      <c r="B432" s="12" t="s">
        <v>461</v>
      </c>
      <c r="C432" s="13">
        <v>250958.0</v>
      </c>
      <c r="D432" s="12" t="s">
        <v>56</v>
      </c>
      <c r="E432" s="13" t="s">
        <v>28</v>
      </c>
      <c r="F432" s="14">
        <v>0.4166666666666667</v>
      </c>
      <c r="G432" s="13"/>
    </row>
    <row r="433" spans="8:8" ht="32.25" customHeight="1">
      <c r="A433" s="11">
        <v>14.0</v>
      </c>
      <c r="B433" s="12" t="s">
        <v>462</v>
      </c>
      <c r="C433" s="13">
        <v>250959.0</v>
      </c>
      <c r="D433" s="12" t="s">
        <v>56</v>
      </c>
      <c r="E433" s="13" t="s">
        <v>28</v>
      </c>
      <c r="F433" s="14">
        <v>0.4166666666666667</v>
      </c>
      <c r="G433" s="13"/>
    </row>
    <row r="434" spans="8:8" ht="32.25" customHeight="1">
      <c r="A434" s="11">
        <v>15.0</v>
      </c>
      <c r="B434" s="12" t="s">
        <v>463</v>
      </c>
      <c r="C434" s="13">
        <v>250961.0</v>
      </c>
      <c r="D434" s="12" t="s">
        <v>56</v>
      </c>
      <c r="E434" s="13" t="s">
        <v>28</v>
      </c>
      <c r="F434" s="14">
        <v>0.4166666666666667</v>
      </c>
      <c r="G434" s="13"/>
    </row>
    <row r="435" spans="8:8" ht="32.25" customHeight="1">
      <c r="A435" s="11">
        <v>16.0</v>
      </c>
      <c r="B435" s="12" t="s">
        <v>464</v>
      </c>
      <c r="C435" s="13">
        <v>250972.0</v>
      </c>
      <c r="D435" s="12" t="s">
        <v>56</v>
      </c>
      <c r="E435" s="13" t="s">
        <v>28</v>
      </c>
      <c r="F435" s="14">
        <v>0.4166666666666667</v>
      </c>
      <c r="G435" s="13"/>
    </row>
    <row r="436" spans="8:8" ht="32.25" customHeight="1">
      <c r="A436" s="11">
        <v>17.0</v>
      </c>
      <c r="B436" s="12" t="s">
        <v>465</v>
      </c>
      <c r="C436" s="13">
        <v>250967.0</v>
      </c>
      <c r="D436" s="12" t="s">
        <v>56</v>
      </c>
      <c r="E436" s="13" t="s">
        <v>28</v>
      </c>
      <c r="F436" s="14">
        <v>0.4166666666666667</v>
      </c>
      <c r="G436" s="13"/>
    </row>
    <row r="437" spans="8:8" ht="32.25" customHeight="1">
      <c r="A437" s="11">
        <v>18.0</v>
      </c>
      <c r="B437" s="12" t="s">
        <v>466</v>
      </c>
      <c r="C437" s="13">
        <v>250964.0</v>
      </c>
      <c r="D437" s="12" t="s">
        <v>56</v>
      </c>
      <c r="E437" s="13" t="s">
        <v>28</v>
      </c>
      <c r="F437" s="14">
        <v>0.4166666666666667</v>
      </c>
      <c r="G437" s="13"/>
    </row>
    <row r="438" spans="8:8" ht="32.25" customHeight="1">
      <c r="A438" s="11">
        <v>19.0</v>
      </c>
      <c r="B438" s="12" t="s">
        <v>467</v>
      </c>
      <c r="C438" s="13">
        <v>250971.0</v>
      </c>
      <c r="D438" s="12" t="s">
        <v>56</v>
      </c>
      <c r="E438" s="13" t="s">
        <v>28</v>
      </c>
      <c r="F438" s="14">
        <v>0.4166666666666667</v>
      </c>
      <c r="G438" s="13"/>
    </row>
    <row r="439" spans="8:8" ht="32.25" customHeight="1">
      <c r="A439" s="11">
        <v>20.0</v>
      </c>
      <c r="B439" s="12" t="s">
        <v>468</v>
      </c>
      <c r="C439" s="13">
        <v>250975.0</v>
      </c>
      <c r="D439" s="12" t="s">
        <v>56</v>
      </c>
      <c r="E439" s="13" t="s">
        <v>28</v>
      </c>
      <c r="F439" s="14">
        <v>0.4166666666666667</v>
      </c>
      <c r="G439" s="13"/>
    </row>
    <row r="440" spans="8:8" ht="32.25" customHeight="1">
      <c r="A440" s="11">
        <v>21.0</v>
      </c>
      <c r="B440" s="12" t="s">
        <v>469</v>
      </c>
      <c r="C440" s="13">
        <v>250973.0</v>
      </c>
      <c r="D440" s="12" t="s">
        <v>56</v>
      </c>
      <c r="E440" s="13" t="s">
        <v>28</v>
      </c>
      <c r="F440" s="14">
        <v>0.4166666666666667</v>
      </c>
      <c r="G440" s="13"/>
    </row>
    <row r="441" spans="8:8" ht="32.25" customHeight="1">
      <c r="A441" s="11">
        <v>22.0</v>
      </c>
      <c r="B441" s="12" t="s">
        <v>470</v>
      </c>
      <c r="C441" s="13">
        <v>250979.0</v>
      </c>
      <c r="D441" s="12" t="s">
        <v>56</v>
      </c>
      <c r="E441" s="13" t="s">
        <v>28</v>
      </c>
      <c r="F441" s="14">
        <v>0.4166666666666667</v>
      </c>
      <c r="G441" s="13"/>
    </row>
    <row r="442" spans="8:8" ht="32.25" customHeight="1">
      <c r="A442" s="11">
        <v>23.0</v>
      </c>
      <c r="B442" s="12" t="s">
        <v>471</v>
      </c>
      <c r="C442" s="13">
        <v>250976.0</v>
      </c>
      <c r="D442" s="12" t="s">
        <v>56</v>
      </c>
      <c r="E442" s="13" t="s">
        <v>28</v>
      </c>
      <c r="F442" s="14">
        <v>0.4166666666666667</v>
      </c>
      <c r="G442" s="13"/>
    </row>
    <row r="443" spans="8:8" ht="32.25" customHeight="1">
      <c r="A443" s="11">
        <v>24.0</v>
      </c>
      <c r="B443" s="12" t="s">
        <v>472</v>
      </c>
      <c r="C443" s="13">
        <v>250977.0</v>
      </c>
      <c r="D443" s="12" t="s">
        <v>56</v>
      </c>
      <c r="E443" s="13" t="s">
        <v>28</v>
      </c>
      <c r="F443" s="14">
        <v>0.4166666666666667</v>
      </c>
      <c r="G443" s="13"/>
    </row>
    <row r="444" spans="8:8" ht="32.25" customHeight="1">
      <c r="A444" s="11">
        <v>25.0</v>
      </c>
      <c r="B444" s="12" t="s">
        <v>473</v>
      </c>
      <c r="C444" s="13">
        <v>250981.0</v>
      </c>
      <c r="D444" s="12" t="s">
        <v>56</v>
      </c>
      <c r="E444" s="13" t="s">
        <v>28</v>
      </c>
      <c r="F444" s="14">
        <v>0.4166666666666667</v>
      </c>
      <c r="G444" s="13"/>
    </row>
    <row r="445" spans="8:8" ht="32.25" customHeight="1">
      <c r="A445" s="8" t="s">
        <v>18</v>
      </c>
      <c r="B445" s="9" t="s">
        <v>19</v>
      </c>
      <c r="C445" s="9" t="s">
        <v>20</v>
      </c>
      <c r="D445" s="9" t="s">
        <v>21</v>
      </c>
      <c r="E445" s="9" t="s">
        <v>22</v>
      </c>
      <c r="F445" s="10" t="s">
        <v>23</v>
      </c>
      <c r="G445" s="9" t="s">
        <v>474</v>
      </c>
    </row>
    <row r="446" spans="8:8" ht="32.25" customHeight="1">
      <c r="A446" s="11">
        <v>1.0</v>
      </c>
      <c r="B446" s="12" t="s">
        <v>475</v>
      </c>
      <c r="C446" s="13">
        <v>250983.0</v>
      </c>
      <c r="D446" s="12" t="s">
        <v>56</v>
      </c>
      <c r="E446" s="13" t="s">
        <v>28</v>
      </c>
      <c r="F446" s="14">
        <v>0.4166666666666667</v>
      </c>
      <c r="G446" s="13"/>
    </row>
    <row r="447" spans="8:8" ht="32.25" customHeight="1">
      <c r="A447" s="11">
        <v>2.0</v>
      </c>
      <c r="B447" s="12" t="s">
        <v>476</v>
      </c>
      <c r="C447" s="13">
        <v>250984.0</v>
      </c>
      <c r="D447" s="12" t="s">
        <v>56</v>
      </c>
      <c r="E447" s="13" t="s">
        <v>28</v>
      </c>
      <c r="F447" s="14">
        <v>0.4166666666666667</v>
      </c>
      <c r="G447" s="13"/>
    </row>
    <row r="448" spans="8:8" ht="32.25" customHeight="1">
      <c r="A448" s="11">
        <v>3.0</v>
      </c>
      <c r="B448" s="12" t="s">
        <v>477</v>
      </c>
      <c r="C448" s="13">
        <v>250989.0</v>
      </c>
      <c r="D448" s="12" t="s">
        <v>56</v>
      </c>
      <c r="E448" s="13" t="s">
        <v>28</v>
      </c>
      <c r="F448" s="14">
        <v>0.4166666666666667</v>
      </c>
      <c r="G448" s="13"/>
    </row>
    <row r="449" spans="8:8" ht="32.25" customHeight="1">
      <c r="A449" s="11">
        <v>4.0</v>
      </c>
      <c r="B449" s="12" t="s">
        <v>478</v>
      </c>
      <c r="C449" s="13">
        <v>250987.0</v>
      </c>
      <c r="D449" s="12" t="s">
        <v>56</v>
      </c>
      <c r="E449" s="13" t="s">
        <v>28</v>
      </c>
      <c r="F449" s="14">
        <v>0.4166666666666667</v>
      </c>
      <c r="G449" s="13"/>
    </row>
    <row r="450" spans="8:8" ht="32.25" customHeight="1">
      <c r="A450" s="11">
        <v>5.0</v>
      </c>
      <c r="B450" s="12" t="s">
        <v>479</v>
      </c>
      <c r="C450" s="13">
        <v>250988.0</v>
      </c>
      <c r="D450" s="12" t="s">
        <v>56</v>
      </c>
      <c r="E450" s="13" t="s">
        <v>28</v>
      </c>
      <c r="F450" s="14">
        <v>0.4166666666666667</v>
      </c>
      <c r="G450" s="13"/>
    </row>
    <row r="451" spans="8:8" ht="32.25" customHeight="1">
      <c r="A451" s="11">
        <v>6.0</v>
      </c>
      <c r="B451" s="12" t="s">
        <v>480</v>
      </c>
      <c r="C451" s="13">
        <v>253098.0</v>
      </c>
      <c r="D451" s="12" t="s">
        <v>56</v>
      </c>
      <c r="E451" s="13" t="s">
        <v>28</v>
      </c>
      <c r="F451" s="14">
        <v>0.4166666666666667</v>
      </c>
      <c r="G451" s="13"/>
    </row>
    <row r="452" spans="8:8" ht="32.25" customHeight="1">
      <c r="A452" s="11">
        <v>7.0</v>
      </c>
      <c r="B452" s="12" t="s">
        <v>481</v>
      </c>
      <c r="C452" s="13">
        <v>250283.0</v>
      </c>
      <c r="D452" s="12" t="s">
        <v>27</v>
      </c>
      <c r="E452" s="13" t="s">
        <v>28</v>
      </c>
      <c r="F452" s="14">
        <v>0.4166666666666667</v>
      </c>
      <c r="G452" s="13"/>
    </row>
    <row r="453" spans="8:8" ht="32.25" customHeight="1">
      <c r="A453" s="11">
        <v>8.0</v>
      </c>
      <c r="B453" s="12" t="s">
        <v>482</v>
      </c>
      <c r="C453" s="13">
        <v>251143.0</v>
      </c>
      <c r="D453" s="12" t="s">
        <v>56</v>
      </c>
      <c r="E453" s="13" t="s">
        <v>28</v>
      </c>
      <c r="F453" s="14">
        <v>0.4166666666666667</v>
      </c>
      <c r="G453" s="13"/>
    </row>
    <row r="454" spans="8:8" ht="32.25" customHeight="1">
      <c r="A454" s="11">
        <v>9.0</v>
      </c>
      <c r="B454" s="12" t="s">
        <v>483</v>
      </c>
      <c r="C454" s="13">
        <v>251134.0</v>
      </c>
      <c r="D454" s="12" t="s">
        <v>56</v>
      </c>
      <c r="E454" s="13" t="s">
        <v>28</v>
      </c>
      <c r="F454" s="14">
        <v>0.4166666666666667</v>
      </c>
      <c r="G454" s="13"/>
    </row>
    <row r="455" spans="8:8" ht="32.25" customHeight="1">
      <c r="A455" s="11">
        <v>10.0</v>
      </c>
      <c r="B455" s="12" t="s">
        <v>484</v>
      </c>
      <c r="C455" s="13">
        <v>251204.0</v>
      </c>
      <c r="D455" s="12" t="s">
        <v>56</v>
      </c>
      <c r="E455" s="13" t="s">
        <v>28</v>
      </c>
      <c r="F455" s="14">
        <v>0.4166666666666667</v>
      </c>
      <c r="G455" s="13"/>
    </row>
    <row r="456" spans="8:8" ht="32.25" customHeight="1">
      <c r="A456" s="11">
        <v>11.0</v>
      </c>
      <c r="B456" s="12" t="s">
        <v>485</v>
      </c>
      <c r="C456" s="13">
        <v>251132.0</v>
      </c>
      <c r="D456" s="12" t="s">
        <v>56</v>
      </c>
      <c r="E456" s="13" t="s">
        <v>28</v>
      </c>
      <c r="F456" s="14">
        <v>0.4166666666666667</v>
      </c>
      <c r="G456" s="13"/>
    </row>
    <row r="457" spans="8:8" ht="32.25" customHeight="1">
      <c r="A457" s="11">
        <v>12.0</v>
      </c>
      <c r="B457" s="12" t="s">
        <v>486</v>
      </c>
      <c r="C457" s="13">
        <v>251137.0</v>
      </c>
      <c r="D457" s="12" t="s">
        <v>56</v>
      </c>
      <c r="E457" s="13" t="s">
        <v>28</v>
      </c>
      <c r="F457" s="14">
        <v>0.4166666666666667</v>
      </c>
      <c r="G457" s="13"/>
    </row>
    <row r="458" spans="8:8" ht="32.25" customHeight="1">
      <c r="A458" s="11">
        <v>13.0</v>
      </c>
      <c r="B458" s="12" t="s">
        <v>487</v>
      </c>
      <c r="C458" s="13">
        <v>251211.0</v>
      </c>
      <c r="D458" s="12" t="s">
        <v>56</v>
      </c>
      <c r="E458" s="13" t="s">
        <v>28</v>
      </c>
      <c r="F458" s="14">
        <v>0.4166666666666667</v>
      </c>
      <c r="G458" s="13"/>
    </row>
    <row r="459" spans="8:8" ht="32.25" customHeight="1">
      <c r="A459" s="11">
        <v>14.0</v>
      </c>
      <c r="B459" s="12" t="s">
        <v>488</v>
      </c>
      <c r="C459" s="13">
        <v>251153.0</v>
      </c>
      <c r="D459" s="12" t="s">
        <v>56</v>
      </c>
      <c r="E459" s="13" t="s">
        <v>28</v>
      </c>
      <c r="F459" s="14">
        <v>0.4166666666666667</v>
      </c>
      <c r="G459" s="13"/>
    </row>
    <row r="460" spans="8:8" ht="32.25" customHeight="1">
      <c r="A460" s="11">
        <v>15.0</v>
      </c>
      <c r="B460" s="12" t="s">
        <v>489</v>
      </c>
      <c r="C460" s="13">
        <v>251154.0</v>
      </c>
      <c r="D460" s="12" t="s">
        <v>56</v>
      </c>
      <c r="E460" s="13" t="s">
        <v>28</v>
      </c>
      <c r="F460" s="14">
        <v>0.4166666666666667</v>
      </c>
      <c r="G460" s="13"/>
    </row>
    <row r="461" spans="8:8" ht="32.25" customHeight="1">
      <c r="A461" s="11">
        <v>16.0</v>
      </c>
      <c r="B461" s="12" t="s">
        <v>490</v>
      </c>
      <c r="C461" s="13">
        <v>251148.0</v>
      </c>
      <c r="D461" s="12" t="s">
        <v>56</v>
      </c>
      <c r="E461" s="13" t="s">
        <v>28</v>
      </c>
      <c r="F461" s="14">
        <v>0.4166666666666667</v>
      </c>
      <c r="G461" s="13"/>
    </row>
    <row r="462" spans="8:8" ht="32.25" customHeight="1">
      <c r="A462" s="11">
        <v>17.0</v>
      </c>
      <c r="B462" s="12" t="s">
        <v>491</v>
      </c>
      <c r="C462" s="13">
        <v>251149.0</v>
      </c>
      <c r="D462" s="12" t="s">
        <v>56</v>
      </c>
      <c r="E462" s="13" t="s">
        <v>28</v>
      </c>
      <c r="F462" s="14">
        <v>0.4166666666666667</v>
      </c>
      <c r="G462" s="13"/>
    </row>
    <row r="463" spans="8:8" ht="32.25" customHeight="1">
      <c r="A463" s="11">
        <v>18.0</v>
      </c>
      <c r="B463" s="12" t="s">
        <v>492</v>
      </c>
      <c r="C463" s="13">
        <v>251150.0</v>
      </c>
      <c r="D463" s="12" t="s">
        <v>56</v>
      </c>
      <c r="E463" s="13" t="s">
        <v>28</v>
      </c>
      <c r="F463" s="14">
        <v>0.4166666666666667</v>
      </c>
      <c r="G463" s="13"/>
    </row>
    <row r="464" spans="8:8" ht="32.25" customHeight="1">
      <c r="A464" s="11">
        <v>19.0</v>
      </c>
      <c r="B464" s="12" t="s">
        <v>493</v>
      </c>
      <c r="C464" s="13">
        <v>251136.0</v>
      </c>
      <c r="D464" s="12" t="s">
        <v>56</v>
      </c>
      <c r="E464" s="13" t="s">
        <v>28</v>
      </c>
      <c r="F464" s="14">
        <v>0.4166666666666667</v>
      </c>
      <c r="G464" s="13"/>
    </row>
    <row r="465" spans="8:8" ht="32.25" customHeight="1">
      <c r="A465" s="11">
        <v>20.0</v>
      </c>
      <c r="B465" s="12" t="s">
        <v>494</v>
      </c>
      <c r="C465" s="13">
        <v>251141.0</v>
      </c>
      <c r="D465" s="12" t="s">
        <v>56</v>
      </c>
      <c r="E465" s="13" t="s">
        <v>28</v>
      </c>
      <c r="F465" s="14">
        <v>0.4166666666666667</v>
      </c>
      <c r="G465" s="13"/>
    </row>
    <row r="466" spans="8:8" ht="32.25" customHeight="1">
      <c r="A466" s="11">
        <v>21.0</v>
      </c>
      <c r="B466" s="12" t="s">
        <v>495</v>
      </c>
      <c r="C466" s="13">
        <v>251140.0</v>
      </c>
      <c r="D466" s="12" t="s">
        <v>56</v>
      </c>
      <c r="E466" s="13" t="s">
        <v>28</v>
      </c>
      <c r="F466" s="14">
        <v>0.4166666666666667</v>
      </c>
      <c r="G466" s="13"/>
    </row>
    <row r="467" spans="8:8" ht="32.25" customHeight="1">
      <c r="A467" s="11">
        <v>22.0</v>
      </c>
      <c r="B467" s="12" t="s">
        <v>496</v>
      </c>
      <c r="C467" s="13">
        <v>251147.0</v>
      </c>
      <c r="D467" s="12" t="s">
        <v>56</v>
      </c>
      <c r="E467" s="13" t="s">
        <v>28</v>
      </c>
      <c r="F467" s="14">
        <v>0.4166666666666667</v>
      </c>
      <c r="G467" s="13"/>
    </row>
    <row r="468" spans="8:8" ht="32.25" customHeight="1">
      <c r="A468" s="11">
        <v>23.0</v>
      </c>
      <c r="B468" s="12" t="s">
        <v>497</v>
      </c>
      <c r="C468" s="13">
        <v>250990.0</v>
      </c>
      <c r="D468" s="12" t="s">
        <v>56</v>
      </c>
      <c r="E468" s="13" t="s">
        <v>28</v>
      </c>
      <c r="F468" s="14">
        <v>0.4166666666666667</v>
      </c>
      <c r="G468" s="13"/>
    </row>
    <row r="469" spans="8:8" ht="32.25" customHeight="1">
      <c r="A469" s="11">
        <v>24.0</v>
      </c>
      <c r="B469" s="12" t="s">
        <v>498</v>
      </c>
      <c r="C469" s="13">
        <v>250993.0</v>
      </c>
      <c r="D469" s="12" t="s">
        <v>56</v>
      </c>
      <c r="E469" s="13" t="s">
        <v>28</v>
      </c>
      <c r="F469" s="14">
        <v>0.4166666666666667</v>
      </c>
      <c r="G469" s="13"/>
    </row>
    <row r="470" spans="8:8" ht="32.25" customHeight="1">
      <c r="A470" s="11">
        <v>25.0</v>
      </c>
      <c r="B470" s="12" t="s">
        <v>499</v>
      </c>
      <c r="C470" s="13">
        <v>250999.0</v>
      </c>
      <c r="D470" s="12" t="s">
        <v>56</v>
      </c>
      <c r="E470" s="13" t="s">
        <v>28</v>
      </c>
      <c r="F470" s="14">
        <v>0.4166666666666667</v>
      </c>
      <c r="G470" s="13"/>
    </row>
    <row r="471" spans="8:8" ht="32.25" customHeight="1">
      <c r="A471" s="8" t="s">
        <v>18</v>
      </c>
      <c r="B471" s="9" t="s">
        <v>19</v>
      </c>
      <c r="C471" s="9" t="s">
        <v>20</v>
      </c>
      <c r="D471" s="9" t="s">
        <v>21</v>
      </c>
      <c r="E471" s="9" t="s">
        <v>22</v>
      </c>
      <c r="F471" s="10" t="s">
        <v>23</v>
      </c>
      <c r="G471" s="9" t="s">
        <v>500</v>
      </c>
    </row>
    <row r="472" spans="8:8" ht="32.25" customHeight="1">
      <c r="A472" s="11">
        <v>1.0</v>
      </c>
      <c r="B472" s="12" t="s">
        <v>501</v>
      </c>
      <c r="C472" s="13">
        <v>251000.0</v>
      </c>
      <c r="D472" s="12" t="s">
        <v>56</v>
      </c>
      <c r="E472" s="13" t="s">
        <v>28</v>
      </c>
      <c r="F472" s="14">
        <v>0.4166666666666667</v>
      </c>
      <c r="G472" s="13"/>
    </row>
    <row r="473" spans="8:8" ht="32.25" customHeight="1">
      <c r="A473" s="11">
        <v>2.0</v>
      </c>
      <c r="B473" s="12" t="s">
        <v>502</v>
      </c>
      <c r="C473" s="13">
        <v>251001.0</v>
      </c>
      <c r="D473" s="12" t="s">
        <v>56</v>
      </c>
      <c r="E473" s="13" t="s">
        <v>28</v>
      </c>
      <c r="F473" s="14">
        <v>0.4166666666666667</v>
      </c>
      <c r="G473" s="13"/>
    </row>
    <row r="474" spans="8:8" ht="32.25" customHeight="1">
      <c r="A474" s="11">
        <v>3.0</v>
      </c>
      <c r="B474" s="12" t="s">
        <v>503</v>
      </c>
      <c r="C474" s="13">
        <v>251003.0</v>
      </c>
      <c r="D474" s="12" t="s">
        <v>56</v>
      </c>
      <c r="E474" s="13" t="s">
        <v>28</v>
      </c>
      <c r="F474" s="14">
        <v>0.4166666666666667</v>
      </c>
      <c r="G474" s="13"/>
    </row>
    <row r="475" spans="8:8" ht="32.25" customHeight="1">
      <c r="A475" s="11">
        <v>4.0</v>
      </c>
      <c r="B475" s="12" t="s">
        <v>504</v>
      </c>
      <c r="C475" s="13">
        <v>251006.0</v>
      </c>
      <c r="D475" s="12" t="s">
        <v>56</v>
      </c>
      <c r="E475" s="13" t="s">
        <v>28</v>
      </c>
      <c r="F475" s="14">
        <v>0.4166666666666667</v>
      </c>
      <c r="G475" s="13"/>
    </row>
    <row r="476" spans="8:8" ht="32.25" customHeight="1">
      <c r="A476" s="11">
        <v>5.0</v>
      </c>
      <c r="B476" s="12" t="s">
        <v>505</v>
      </c>
      <c r="C476" s="13">
        <v>251022.0</v>
      </c>
      <c r="D476" s="12" t="s">
        <v>56</v>
      </c>
      <c r="E476" s="13" t="s">
        <v>28</v>
      </c>
      <c r="F476" s="14">
        <v>0.4166666666666667</v>
      </c>
      <c r="G476" s="13"/>
    </row>
    <row r="477" spans="8:8" ht="32.25" customHeight="1">
      <c r="A477" s="11">
        <v>6.0</v>
      </c>
      <c r="B477" s="12" t="s">
        <v>506</v>
      </c>
      <c r="C477" s="13">
        <v>251025.0</v>
      </c>
      <c r="D477" s="12" t="s">
        <v>56</v>
      </c>
      <c r="E477" s="13" t="s">
        <v>28</v>
      </c>
      <c r="F477" s="14">
        <v>0.4166666666666667</v>
      </c>
      <c r="G477" s="13"/>
    </row>
    <row r="478" spans="8:8" ht="32.25" customHeight="1">
      <c r="A478" s="11">
        <v>7.0</v>
      </c>
      <c r="B478" s="12" t="s">
        <v>507</v>
      </c>
      <c r="C478" s="13">
        <v>251015.0</v>
      </c>
      <c r="D478" s="12" t="s">
        <v>56</v>
      </c>
      <c r="E478" s="13" t="s">
        <v>28</v>
      </c>
      <c r="F478" s="14">
        <v>0.4166666666666667</v>
      </c>
      <c r="G478" s="13"/>
    </row>
    <row r="479" spans="8:8" ht="32.25" customHeight="1">
      <c r="A479" s="11">
        <v>8.0</v>
      </c>
      <c r="B479" s="12" t="s">
        <v>508</v>
      </c>
      <c r="C479" s="13">
        <v>251011.0</v>
      </c>
      <c r="D479" s="12" t="s">
        <v>56</v>
      </c>
      <c r="E479" s="13" t="s">
        <v>28</v>
      </c>
      <c r="F479" s="14">
        <v>0.4166666666666667</v>
      </c>
      <c r="G479" s="13"/>
    </row>
    <row r="480" spans="8:8" ht="32.25" customHeight="1">
      <c r="A480" s="11">
        <v>9.0</v>
      </c>
      <c r="B480" s="12" t="s">
        <v>509</v>
      </c>
      <c r="C480" s="13">
        <v>251017.0</v>
      </c>
      <c r="D480" s="12" t="s">
        <v>56</v>
      </c>
      <c r="E480" s="13" t="s">
        <v>28</v>
      </c>
      <c r="F480" s="14">
        <v>0.4166666666666667</v>
      </c>
      <c r="G480" s="13"/>
    </row>
    <row r="481" spans="8:8" ht="32.25" customHeight="1">
      <c r="A481" s="11">
        <v>10.0</v>
      </c>
      <c r="B481" s="12" t="s">
        <v>510</v>
      </c>
      <c r="C481" s="13">
        <v>251023.0</v>
      </c>
      <c r="D481" s="12" t="s">
        <v>56</v>
      </c>
      <c r="E481" s="13" t="s">
        <v>28</v>
      </c>
      <c r="F481" s="14">
        <v>0.4166666666666667</v>
      </c>
      <c r="G481" s="13"/>
    </row>
    <row r="482" spans="8:8" ht="32.25" customHeight="1">
      <c r="A482" s="11">
        <v>11.0</v>
      </c>
      <c r="B482" s="12" t="s">
        <v>511</v>
      </c>
      <c r="C482" s="13">
        <v>251010.0</v>
      </c>
      <c r="D482" s="12" t="s">
        <v>56</v>
      </c>
      <c r="E482" s="13" t="s">
        <v>28</v>
      </c>
      <c r="F482" s="14">
        <v>0.4166666666666667</v>
      </c>
      <c r="G482" s="13"/>
    </row>
    <row r="483" spans="8:8" ht="32.25" customHeight="1">
      <c r="A483" s="11">
        <v>12.0</v>
      </c>
      <c r="B483" s="12" t="s">
        <v>512</v>
      </c>
      <c r="C483" s="13">
        <v>251009.0</v>
      </c>
      <c r="D483" s="12" t="s">
        <v>56</v>
      </c>
      <c r="E483" s="13" t="s">
        <v>28</v>
      </c>
      <c r="F483" s="14">
        <v>0.4166666666666667</v>
      </c>
      <c r="G483" s="13"/>
    </row>
    <row r="484" spans="8:8" ht="32.25" customHeight="1">
      <c r="A484" s="11">
        <v>13.0</v>
      </c>
      <c r="B484" s="12" t="s">
        <v>513</v>
      </c>
      <c r="C484" s="13">
        <v>251021.0</v>
      </c>
      <c r="D484" s="12" t="s">
        <v>56</v>
      </c>
      <c r="E484" s="13" t="s">
        <v>28</v>
      </c>
      <c r="F484" s="14">
        <v>0.4166666666666667</v>
      </c>
      <c r="G484" s="13"/>
    </row>
    <row r="485" spans="8:8" ht="32.25" customHeight="1">
      <c r="A485" s="11">
        <v>14.0</v>
      </c>
      <c r="B485" s="12" t="s">
        <v>514</v>
      </c>
      <c r="C485" s="13">
        <v>251008.0</v>
      </c>
      <c r="D485" s="12" t="s">
        <v>56</v>
      </c>
      <c r="E485" s="13" t="s">
        <v>28</v>
      </c>
      <c r="F485" s="14">
        <v>0.4166666666666667</v>
      </c>
      <c r="G485" s="13"/>
    </row>
    <row r="486" spans="8:8" ht="32.25" customHeight="1">
      <c r="A486" s="11">
        <v>15.0</v>
      </c>
      <c r="B486" s="12" t="s">
        <v>515</v>
      </c>
      <c r="C486" s="13">
        <v>251019.0</v>
      </c>
      <c r="D486" s="12" t="s">
        <v>56</v>
      </c>
      <c r="E486" s="13" t="s">
        <v>28</v>
      </c>
      <c r="F486" s="14">
        <v>0.4166666666666667</v>
      </c>
      <c r="G486" s="13"/>
    </row>
    <row r="487" spans="8:8" ht="32.25" customHeight="1">
      <c r="A487" s="11">
        <v>16.0</v>
      </c>
      <c r="B487" s="12" t="s">
        <v>516</v>
      </c>
      <c r="C487" s="13">
        <v>251085.0</v>
      </c>
      <c r="D487" s="12" t="s">
        <v>56</v>
      </c>
      <c r="E487" s="13" t="s">
        <v>28</v>
      </c>
      <c r="F487" s="14">
        <v>0.4166666666666667</v>
      </c>
      <c r="G487" s="13"/>
    </row>
    <row r="488" spans="8:8" ht="32.25" customHeight="1">
      <c r="A488" s="11">
        <v>17.0</v>
      </c>
      <c r="B488" s="12" t="s">
        <v>517</v>
      </c>
      <c r="C488" s="13">
        <v>251086.0</v>
      </c>
      <c r="D488" s="12" t="s">
        <v>56</v>
      </c>
      <c r="E488" s="13" t="s">
        <v>28</v>
      </c>
      <c r="F488" s="14">
        <v>0.4166666666666667</v>
      </c>
      <c r="G488" s="13"/>
    </row>
    <row r="489" spans="8:8" ht="32.25" customHeight="1">
      <c r="A489" s="11">
        <v>18.0</v>
      </c>
      <c r="B489" s="12" t="s">
        <v>518</v>
      </c>
      <c r="C489" s="13">
        <v>251179.0</v>
      </c>
      <c r="D489" s="12" t="s">
        <v>56</v>
      </c>
      <c r="E489" s="13" t="s">
        <v>28</v>
      </c>
      <c r="F489" s="14">
        <v>0.4166666666666667</v>
      </c>
      <c r="G489" s="13"/>
    </row>
    <row r="490" spans="8:8" ht="32.25" customHeight="1">
      <c r="A490" s="11">
        <v>19.0</v>
      </c>
      <c r="B490" s="12" t="s">
        <v>519</v>
      </c>
      <c r="C490" s="13">
        <v>251172.0</v>
      </c>
      <c r="D490" s="12" t="s">
        <v>56</v>
      </c>
      <c r="E490" s="13" t="s">
        <v>28</v>
      </c>
      <c r="F490" s="14">
        <v>0.4166666666666667</v>
      </c>
      <c r="G490" s="13"/>
    </row>
    <row r="491" spans="8:8" ht="32.25" customHeight="1">
      <c r="A491" s="11">
        <v>20.0</v>
      </c>
      <c r="B491" s="12" t="s">
        <v>520</v>
      </c>
      <c r="C491" s="13">
        <v>251186.0</v>
      </c>
      <c r="D491" s="12" t="s">
        <v>56</v>
      </c>
      <c r="E491" s="13" t="s">
        <v>28</v>
      </c>
      <c r="F491" s="14">
        <v>0.4166666666666667</v>
      </c>
      <c r="G491" s="13"/>
    </row>
    <row r="492" spans="8:8" ht="32.25" customHeight="1">
      <c r="A492" s="11">
        <v>21.0</v>
      </c>
      <c r="B492" s="12" t="s">
        <v>521</v>
      </c>
      <c r="C492" s="13">
        <v>251157.0</v>
      </c>
      <c r="D492" s="12" t="s">
        <v>56</v>
      </c>
      <c r="E492" s="13" t="s">
        <v>28</v>
      </c>
      <c r="F492" s="14">
        <v>0.4166666666666667</v>
      </c>
      <c r="G492" s="13"/>
    </row>
    <row r="493" spans="8:8" ht="32.25" customHeight="1">
      <c r="A493" s="11">
        <v>22.0</v>
      </c>
      <c r="B493" s="12" t="s">
        <v>522</v>
      </c>
      <c r="C493" s="13">
        <v>251194.0</v>
      </c>
      <c r="D493" s="12" t="s">
        <v>56</v>
      </c>
      <c r="E493" s="13" t="s">
        <v>28</v>
      </c>
      <c r="F493" s="14">
        <v>0.4166666666666667</v>
      </c>
      <c r="G493" s="13"/>
    </row>
    <row r="494" spans="8:8" ht="32.25" customHeight="1">
      <c r="A494" s="11">
        <v>23.0</v>
      </c>
      <c r="B494" s="12" t="s">
        <v>523</v>
      </c>
      <c r="C494" s="13">
        <v>251175.0</v>
      </c>
      <c r="D494" s="12" t="s">
        <v>56</v>
      </c>
      <c r="E494" s="13" t="s">
        <v>28</v>
      </c>
      <c r="F494" s="14">
        <v>0.4166666666666667</v>
      </c>
      <c r="G494" s="13"/>
    </row>
    <row r="495" spans="8:8" ht="32.25" customHeight="1">
      <c r="A495" s="11">
        <v>24.0</v>
      </c>
      <c r="B495" s="12" t="s">
        <v>524</v>
      </c>
      <c r="C495" s="13">
        <v>251174.0</v>
      </c>
      <c r="D495" s="12" t="s">
        <v>56</v>
      </c>
      <c r="E495" s="13" t="s">
        <v>28</v>
      </c>
      <c r="F495" s="14">
        <v>0.4166666666666667</v>
      </c>
      <c r="G495" s="13"/>
    </row>
    <row r="496" spans="8:8" ht="32.25" customHeight="1">
      <c r="A496" s="11">
        <v>25.0</v>
      </c>
      <c r="B496" s="12" t="s">
        <v>525</v>
      </c>
      <c r="C496" s="13">
        <v>251171.0</v>
      </c>
      <c r="D496" s="12" t="s">
        <v>56</v>
      </c>
      <c r="E496" s="13" t="s">
        <v>28</v>
      </c>
      <c r="F496" s="14">
        <v>0.4166666666666667</v>
      </c>
      <c r="G496" s="13"/>
    </row>
    <row r="497" spans="8:8" ht="32.25" customHeight="1">
      <c r="A497" s="8" t="s">
        <v>18</v>
      </c>
      <c r="B497" s="9" t="s">
        <v>19</v>
      </c>
      <c r="C497" s="9" t="s">
        <v>20</v>
      </c>
      <c r="D497" s="9" t="s">
        <v>21</v>
      </c>
      <c r="E497" s="9" t="s">
        <v>22</v>
      </c>
      <c r="F497" s="10" t="s">
        <v>23</v>
      </c>
      <c r="G497" s="9" t="s">
        <v>526</v>
      </c>
    </row>
    <row r="498" spans="8:8" ht="32.25" customHeight="1">
      <c r="A498" s="11">
        <v>1.0</v>
      </c>
      <c r="B498" s="12" t="s">
        <v>527</v>
      </c>
      <c r="C498" s="13">
        <v>251102.0</v>
      </c>
      <c r="D498" s="12" t="s">
        <v>56</v>
      </c>
      <c r="E498" s="13" t="s">
        <v>111</v>
      </c>
      <c r="F498" s="14">
        <v>0.4166666666666667</v>
      </c>
      <c r="G498" s="13"/>
    </row>
    <row r="499" spans="8:8" ht="32.25" customHeight="1">
      <c r="A499" s="11">
        <v>2.0</v>
      </c>
      <c r="B499" s="12" t="s">
        <v>528</v>
      </c>
      <c r="C499" s="13">
        <v>251101.0</v>
      </c>
      <c r="D499" s="12" t="s">
        <v>56</v>
      </c>
      <c r="E499" s="13" t="s">
        <v>111</v>
      </c>
      <c r="F499" s="14">
        <v>0.4166666666666667</v>
      </c>
      <c r="G499" s="13"/>
    </row>
    <row r="500" spans="8:8" ht="32.25" customHeight="1">
      <c r="A500" s="11">
        <v>3.0</v>
      </c>
      <c r="B500" s="12" t="s">
        <v>529</v>
      </c>
      <c r="C500" s="13">
        <v>251091.0</v>
      </c>
      <c r="D500" s="12" t="s">
        <v>56</v>
      </c>
      <c r="E500" s="13" t="s">
        <v>111</v>
      </c>
      <c r="F500" s="14">
        <v>0.4166666666666667</v>
      </c>
      <c r="G500" s="13"/>
    </row>
    <row r="501" spans="8:8" ht="32.25" customHeight="1">
      <c r="A501" s="11">
        <v>4.0</v>
      </c>
      <c r="B501" s="12" t="s">
        <v>530</v>
      </c>
      <c r="C501" s="13">
        <v>250117.0</v>
      </c>
      <c r="D501" s="12" t="s">
        <v>27</v>
      </c>
      <c r="E501" s="13" t="s">
        <v>111</v>
      </c>
      <c r="F501" s="14">
        <v>0.4166666666666667</v>
      </c>
      <c r="G501" s="13"/>
    </row>
    <row r="502" spans="8:8" ht="32.25" customHeight="1">
      <c r="A502" s="11">
        <v>5.0</v>
      </c>
      <c r="B502" s="12" t="s">
        <v>531</v>
      </c>
      <c r="C502" s="13">
        <v>250119.0</v>
      </c>
      <c r="D502" s="12" t="s">
        <v>27</v>
      </c>
      <c r="E502" s="13" t="s">
        <v>111</v>
      </c>
      <c r="F502" s="14">
        <v>0.4166666666666667</v>
      </c>
      <c r="G502" s="13"/>
    </row>
    <row r="503" spans="8:8" ht="32.25" customHeight="1">
      <c r="A503" s="11">
        <v>6.0</v>
      </c>
      <c r="B503" s="12" t="s">
        <v>532</v>
      </c>
      <c r="C503" s="13">
        <v>250120.0</v>
      </c>
      <c r="D503" s="12" t="s">
        <v>27</v>
      </c>
      <c r="E503" s="13" t="s">
        <v>111</v>
      </c>
      <c r="F503" s="14">
        <v>0.4166666666666667</v>
      </c>
      <c r="G503" s="13"/>
    </row>
    <row r="504" spans="8:8" ht="32.25" customHeight="1">
      <c r="A504" s="11">
        <v>7.0</v>
      </c>
      <c r="B504" s="12" t="s">
        <v>533</v>
      </c>
      <c r="C504" s="13">
        <v>250133.0</v>
      </c>
      <c r="D504" s="12" t="s">
        <v>27</v>
      </c>
      <c r="E504" s="13" t="s">
        <v>111</v>
      </c>
      <c r="F504" s="14">
        <v>0.4166666666666667</v>
      </c>
      <c r="G504" s="13"/>
    </row>
    <row r="505" spans="8:8" ht="32.25" customHeight="1">
      <c r="A505" s="11">
        <v>8.0</v>
      </c>
      <c r="B505" s="12" t="s">
        <v>534</v>
      </c>
      <c r="C505" s="13">
        <v>250265.0</v>
      </c>
      <c r="D505" s="12" t="s">
        <v>27</v>
      </c>
      <c r="E505" s="13" t="s">
        <v>111</v>
      </c>
      <c r="F505" s="14">
        <v>0.4166666666666667</v>
      </c>
      <c r="G505" s="13"/>
    </row>
    <row r="506" spans="8:8" ht="32.25" customHeight="1">
      <c r="A506" s="11">
        <v>9.0</v>
      </c>
      <c r="B506" s="12" t="s">
        <v>535</v>
      </c>
      <c r="C506" s="13">
        <v>250272.0</v>
      </c>
      <c r="D506" s="12" t="s">
        <v>27</v>
      </c>
      <c r="E506" s="13" t="s">
        <v>111</v>
      </c>
      <c r="F506" s="14">
        <v>0.4166666666666667</v>
      </c>
      <c r="G506" s="13"/>
    </row>
    <row r="507" spans="8:8" ht="32.25" customHeight="1">
      <c r="A507" s="11">
        <v>10.0</v>
      </c>
      <c r="B507" s="12" t="s">
        <v>536</v>
      </c>
      <c r="C507" s="13">
        <v>250281.0</v>
      </c>
      <c r="D507" s="12" t="s">
        <v>27</v>
      </c>
      <c r="E507" s="13" t="s">
        <v>111</v>
      </c>
      <c r="F507" s="14">
        <v>0.4166666666666667</v>
      </c>
      <c r="G507" s="13"/>
    </row>
    <row r="508" spans="8:8" ht="32.25" customHeight="1">
      <c r="A508" s="11">
        <v>11.0</v>
      </c>
      <c r="B508" s="12" t="s">
        <v>537</v>
      </c>
      <c r="C508" s="13">
        <v>250675.0</v>
      </c>
      <c r="D508" s="12" t="s">
        <v>56</v>
      </c>
      <c r="E508" s="13" t="s">
        <v>111</v>
      </c>
      <c r="F508" s="14">
        <v>0.4166666666666667</v>
      </c>
      <c r="G508" s="13"/>
    </row>
    <row r="509" spans="8:8" ht="32.25" customHeight="1">
      <c r="A509" s="11">
        <v>12.0</v>
      </c>
      <c r="B509" s="12" t="s">
        <v>538</v>
      </c>
      <c r="C509" s="13">
        <v>250684.0</v>
      </c>
      <c r="D509" s="12" t="s">
        <v>56</v>
      </c>
      <c r="E509" s="13" t="s">
        <v>111</v>
      </c>
      <c r="F509" s="14">
        <v>0.4166666666666667</v>
      </c>
      <c r="G509" s="13"/>
    </row>
    <row r="510" spans="8:8" ht="32.25" customHeight="1">
      <c r="A510" s="11">
        <v>13.0</v>
      </c>
      <c r="B510" s="12" t="s">
        <v>539</v>
      </c>
      <c r="C510" s="13">
        <v>250712.0</v>
      </c>
      <c r="D510" s="12" t="s">
        <v>56</v>
      </c>
      <c r="E510" s="13" t="s">
        <v>111</v>
      </c>
      <c r="F510" s="14">
        <v>0.4166666666666667</v>
      </c>
      <c r="G510" s="13"/>
    </row>
    <row r="511" spans="8:8" ht="32.25" customHeight="1">
      <c r="A511" s="11">
        <v>14.0</v>
      </c>
      <c r="B511" s="12" t="s">
        <v>540</v>
      </c>
      <c r="C511" s="13">
        <v>250714.0</v>
      </c>
      <c r="D511" s="12" t="s">
        <v>56</v>
      </c>
      <c r="E511" s="13" t="s">
        <v>111</v>
      </c>
      <c r="F511" s="14">
        <v>0.4166666666666667</v>
      </c>
      <c r="G511" s="13"/>
    </row>
    <row r="512" spans="8:8" ht="32.25" customHeight="1">
      <c r="A512" s="11">
        <v>15.0</v>
      </c>
      <c r="B512" s="12" t="s">
        <v>541</v>
      </c>
      <c r="C512" s="13">
        <v>250731.0</v>
      </c>
      <c r="D512" s="12" t="s">
        <v>56</v>
      </c>
      <c r="E512" s="13" t="s">
        <v>111</v>
      </c>
      <c r="F512" s="14">
        <v>0.4166666666666667</v>
      </c>
      <c r="G512" s="13"/>
    </row>
    <row r="513" spans="8:8" ht="32.25" customHeight="1">
      <c r="A513" s="11">
        <v>16.0</v>
      </c>
      <c r="B513" s="12" t="s">
        <v>542</v>
      </c>
      <c r="C513" s="13">
        <v>250661.0</v>
      </c>
      <c r="D513" s="12" t="s">
        <v>56</v>
      </c>
      <c r="E513" s="13" t="s">
        <v>111</v>
      </c>
      <c r="F513" s="14">
        <v>0.4166666666666667</v>
      </c>
      <c r="G513" s="13"/>
    </row>
    <row r="514" spans="8:8" ht="32.25" customHeight="1">
      <c r="A514" s="11">
        <v>17.0</v>
      </c>
      <c r="B514" s="12" t="s">
        <v>543</v>
      </c>
      <c r="C514" s="13">
        <v>250741.0</v>
      </c>
      <c r="D514" s="12" t="s">
        <v>56</v>
      </c>
      <c r="E514" s="13" t="s">
        <v>111</v>
      </c>
      <c r="F514" s="14">
        <v>0.4166666666666667</v>
      </c>
      <c r="G514" s="13"/>
    </row>
    <row r="515" spans="8:8" ht="32.25" customHeight="1">
      <c r="A515" s="11">
        <v>18.0</v>
      </c>
      <c r="B515" s="12" t="s">
        <v>544</v>
      </c>
      <c r="C515" s="13">
        <v>250768.0</v>
      </c>
      <c r="D515" s="12" t="s">
        <v>56</v>
      </c>
      <c r="E515" s="13" t="s">
        <v>111</v>
      </c>
      <c r="F515" s="14">
        <v>0.4166666666666667</v>
      </c>
      <c r="G515" s="13"/>
    </row>
    <row r="516" spans="8:8" ht="32.25" customHeight="1">
      <c r="A516" s="11">
        <v>19.0</v>
      </c>
      <c r="B516" s="12" t="s">
        <v>545</v>
      </c>
      <c r="C516" s="13">
        <v>250774.0</v>
      </c>
      <c r="D516" s="12" t="s">
        <v>56</v>
      </c>
      <c r="E516" s="13" t="s">
        <v>111</v>
      </c>
      <c r="F516" s="14">
        <v>0.4166666666666667</v>
      </c>
      <c r="G516" s="13"/>
    </row>
    <row r="517" spans="8:8" ht="32.25" customHeight="1">
      <c r="A517" s="11">
        <v>20.0</v>
      </c>
      <c r="B517" s="12" t="s">
        <v>546</v>
      </c>
      <c r="C517" s="13">
        <v>250777.0</v>
      </c>
      <c r="D517" s="12" t="s">
        <v>56</v>
      </c>
      <c r="E517" s="13" t="s">
        <v>111</v>
      </c>
      <c r="F517" s="14">
        <v>0.4166666666666667</v>
      </c>
      <c r="G517" s="13"/>
    </row>
    <row r="518" spans="8:8" ht="32.25" customHeight="1">
      <c r="A518" s="11">
        <v>21.0</v>
      </c>
      <c r="B518" s="12" t="s">
        <v>547</v>
      </c>
      <c r="C518" s="13">
        <v>250806.0</v>
      </c>
      <c r="D518" s="12" t="s">
        <v>56</v>
      </c>
      <c r="E518" s="13" t="s">
        <v>111</v>
      </c>
      <c r="F518" s="14">
        <v>0.4166666666666667</v>
      </c>
      <c r="G518" s="13"/>
    </row>
    <row r="519" spans="8:8" ht="32.25" customHeight="1">
      <c r="A519" s="11">
        <v>22.0</v>
      </c>
      <c r="B519" s="12" t="s">
        <v>548</v>
      </c>
      <c r="C519" s="13">
        <v>250870.0</v>
      </c>
      <c r="D519" s="12" t="s">
        <v>56</v>
      </c>
      <c r="E519" s="13" t="s">
        <v>111</v>
      </c>
      <c r="F519" s="14">
        <v>0.4166666666666667</v>
      </c>
      <c r="G519" s="13"/>
    </row>
    <row r="520" spans="8:8" ht="32.25" customHeight="1">
      <c r="A520" s="11">
        <v>23.0</v>
      </c>
      <c r="B520" s="12" t="s">
        <v>549</v>
      </c>
      <c r="C520" s="13">
        <v>250879.0</v>
      </c>
      <c r="D520" s="12" t="s">
        <v>56</v>
      </c>
      <c r="E520" s="13" t="s">
        <v>111</v>
      </c>
      <c r="F520" s="14">
        <v>0.4166666666666667</v>
      </c>
      <c r="G520" s="13"/>
    </row>
    <row r="521" spans="8:8" ht="32.25" customHeight="1">
      <c r="A521" s="11">
        <v>24.0</v>
      </c>
      <c r="B521" s="12" t="s">
        <v>550</v>
      </c>
      <c r="C521" s="13">
        <v>250936.0</v>
      </c>
      <c r="D521" s="12" t="s">
        <v>56</v>
      </c>
      <c r="E521" s="13" t="s">
        <v>111</v>
      </c>
      <c r="F521" s="14">
        <v>0.4166666666666667</v>
      </c>
      <c r="G521" s="13"/>
    </row>
    <row r="522" spans="8:8" ht="32.25" customHeight="1">
      <c r="A522" s="11">
        <v>25.0</v>
      </c>
      <c r="B522" s="12" t="s">
        <v>551</v>
      </c>
      <c r="C522" s="13">
        <v>250991.0</v>
      </c>
      <c r="D522" s="12" t="s">
        <v>56</v>
      </c>
      <c r="E522" s="13" t="s">
        <v>111</v>
      </c>
      <c r="F522" s="14">
        <v>0.4166666666666667</v>
      </c>
      <c r="G522" s="13"/>
    </row>
    <row r="523" spans="8:8" ht="32.25" customHeight="1">
      <c r="A523" s="8" t="s">
        <v>18</v>
      </c>
      <c r="B523" s="9" t="s">
        <v>19</v>
      </c>
      <c r="C523" s="9" t="s">
        <v>20</v>
      </c>
      <c r="D523" s="9" t="s">
        <v>21</v>
      </c>
      <c r="E523" s="9" t="s">
        <v>22</v>
      </c>
      <c r="F523" s="10" t="s">
        <v>23</v>
      </c>
      <c r="G523" s="9" t="s">
        <v>552</v>
      </c>
    </row>
    <row r="524" spans="8:8" ht="32.25" customHeight="1">
      <c r="A524" s="11">
        <v>1.0</v>
      </c>
      <c r="B524" s="12" t="s">
        <v>553</v>
      </c>
      <c r="C524" s="13">
        <v>250652.0</v>
      </c>
      <c r="D524" s="12" t="s">
        <v>56</v>
      </c>
      <c r="E524" s="13" t="s">
        <v>111</v>
      </c>
      <c r="F524" s="14">
        <v>0.4166666666666667</v>
      </c>
      <c r="G524" s="13"/>
    </row>
    <row r="525" spans="8:8" ht="32.25" customHeight="1">
      <c r="A525" s="11">
        <v>2.0</v>
      </c>
      <c r="B525" s="12" t="s">
        <v>554</v>
      </c>
      <c r="C525" s="13">
        <v>251012.0</v>
      </c>
      <c r="D525" s="12" t="s">
        <v>56</v>
      </c>
      <c r="E525" s="13" t="s">
        <v>111</v>
      </c>
      <c r="F525" s="14">
        <v>0.4166666666666667</v>
      </c>
      <c r="G525" s="13"/>
    </row>
    <row r="526" spans="8:8" ht="32.25" customHeight="1">
      <c r="A526" s="11">
        <v>3.0</v>
      </c>
      <c r="B526" s="12" t="s">
        <v>555</v>
      </c>
      <c r="C526" s="13">
        <v>250923.0</v>
      </c>
      <c r="D526" s="12" t="s">
        <v>56</v>
      </c>
      <c r="E526" s="13" t="s">
        <v>111</v>
      </c>
      <c r="F526" s="14">
        <v>0.4166666666666667</v>
      </c>
      <c r="G526" s="13"/>
    </row>
    <row r="527" spans="8:8" ht="32.25" customHeight="1">
      <c r="A527" s="11">
        <v>4.0</v>
      </c>
      <c r="B527" s="12" t="s">
        <v>556</v>
      </c>
      <c r="C527" s="13">
        <v>253027.0</v>
      </c>
      <c r="D527" s="12" t="s">
        <v>56</v>
      </c>
      <c r="E527" s="13" t="s">
        <v>111</v>
      </c>
      <c r="F527" s="14">
        <v>0.4166666666666667</v>
      </c>
      <c r="G527" s="13"/>
    </row>
    <row r="528" spans="8:8" ht="32.25" customHeight="1">
      <c r="A528" s="11">
        <v>5.0</v>
      </c>
      <c r="B528" s="12" t="s">
        <v>557</v>
      </c>
      <c r="C528" s="13">
        <v>253113.0</v>
      </c>
      <c r="D528" s="12" t="s">
        <v>27</v>
      </c>
      <c r="E528" s="13" t="s">
        <v>111</v>
      </c>
      <c r="F528" s="14">
        <v>0.4166666666666667</v>
      </c>
      <c r="G528" s="13"/>
    </row>
    <row r="529" spans="8:8" ht="32.25" customHeight="1">
      <c r="A529" s="11">
        <v>6.0</v>
      </c>
      <c r="B529" s="12" t="s">
        <v>558</v>
      </c>
      <c r="C529" s="13">
        <v>251005.0</v>
      </c>
      <c r="D529" s="12" t="s">
        <v>56</v>
      </c>
      <c r="E529" s="13" t="s">
        <v>111</v>
      </c>
      <c r="F529" s="14">
        <v>0.4166666666666667</v>
      </c>
      <c r="G529" s="13"/>
    </row>
    <row r="530" spans="8:8" ht="32.25" customHeight="1">
      <c r="A530" s="11">
        <v>7.0</v>
      </c>
      <c r="B530" s="12" t="s">
        <v>559</v>
      </c>
      <c r="C530" s="13">
        <v>250061.0</v>
      </c>
      <c r="D530" s="12" t="s">
        <v>27</v>
      </c>
      <c r="E530" s="13" t="s">
        <v>111</v>
      </c>
      <c r="F530" s="14">
        <v>0.4166666666666667</v>
      </c>
      <c r="G530" s="13"/>
    </row>
    <row r="531" spans="8:8" ht="32.25" customHeight="1">
      <c r="A531" s="11">
        <v>8.0</v>
      </c>
      <c r="B531" s="12" t="s">
        <v>560</v>
      </c>
      <c r="C531" s="13">
        <v>250062.0</v>
      </c>
      <c r="D531" s="12" t="s">
        <v>27</v>
      </c>
      <c r="E531" s="13" t="s">
        <v>111</v>
      </c>
      <c r="F531" s="14">
        <v>0.4166666666666667</v>
      </c>
      <c r="G531" s="13"/>
    </row>
    <row r="532" spans="8:8" ht="32.25" customHeight="1">
      <c r="A532" s="11">
        <v>9.0</v>
      </c>
      <c r="B532" s="12" t="s">
        <v>561</v>
      </c>
      <c r="C532" s="13">
        <v>250065.0</v>
      </c>
      <c r="D532" s="12" t="s">
        <v>27</v>
      </c>
      <c r="E532" s="13" t="s">
        <v>111</v>
      </c>
      <c r="F532" s="14">
        <v>0.4166666666666667</v>
      </c>
      <c r="G532" s="13"/>
    </row>
    <row r="533" spans="8:8" ht="32.25" customHeight="1">
      <c r="A533" s="11">
        <v>10.0</v>
      </c>
      <c r="B533" s="12" t="s">
        <v>562</v>
      </c>
      <c r="C533" s="13">
        <v>250067.0</v>
      </c>
      <c r="D533" s="12" t="s">
        <v>27</v>
      </c>
      <c r="E533" s="13" t="s">
        <v>111</v>
      </c>
      <c r="F533" s="14">
        <v>0.4166666666666667</v>
      </c>
      <c r="G533" s="13"/>
    </row>
    <row r="534" spans="8:8" ht="32.25" customHeight="1">
      <c r="A534" s="11">
        <v>11.0</v>
      </c>
      <c r="B534" s="12" t="s">
        <v>563</v>
      </c>
      <c r="C534" s="13">
        <v>250070.0</v>
      </c>
      <c r="D534" s="12" t="s">
        <v>27</v>
      </c>
      <c r="E534" s="13" t="s">
        <v>111</v>
      </c>
      <c r="F534" s="14">
        <v>0.4166666666666667</v>
      </c>
      <c r="G534" s="13"/>
    </row>
    <row r="535" spans="8:8" ht="32.25" customHeight="1">
      <c r="A535" s="11">
        <v>12.0</v>
      </c>
      <c r="B535" s="12" t="s">
        <v>564</v>
      </c>
      <c r="C535" s="13">
        <v>250075.0</v>
      </c>
      <c r="D535" s="12" t="s">
        <v>27</v>
      </c>
      <c r="E535" s="13" t="s">
        <v>111</v>
      </c>
      <c r="F535" s="14">
        <v>0.4166666666666667</v>
      </c>
      <c r="G535" s="13"/>
    </row>
    <row r="536" spans="8:8" ht="32.25" customHeight="1">
      <c r="A536" s="11">
        <v>13.0</v>
      </c>
      <c r="B536" s="12" t="s">
        <v>565</v>
      </c>
      <c r="C536" s="13">
        <v>250074.0</v>
      </c>
      <c r="D536" s="12" t="s">
        <v>27</v>
      </c>
      <c r="E536" s="13" t="s">
        <v>111</v>
      </c>
      <c r="F536" s="14">
        <v>0.4166666666666667</v>
      </c>
      <c r="G536" s="13"/>
    </row>
    <row r="537" spans="8:8" ht="32.25" customHeight="1">
      <c r="A537" s="11">
        <v>14.0</v>
      </c>
      <c r="B537" s="12" t="s">
        <v>566</v>
      </c>
      <c r="C537" s="13">
        <v>250076.0</v>
      </c>
      <c r="D537" s="12" t="s">
        <v>27</v>
      </c>
      <c r="E537" s="13" t="s">
        <v>111</v>
      </c>
      <c r="F537" s="14">
        <v>0.4166666666666667</v>
      </c>
      <c r="G537" s="13"/>
    </row>
    <row r="538" spans="8:8" ht="32.25" customHeight="1">
      <c r="A538" s="11">
        <v>15.0</v>
      </c>
      <c r="B538" s="12" t="s">
        <v>567</v>
      </c>
      <c r="C538" s="13">
        <v>250082.0</v>
      </c>
      <c r="D538" s="12" t="s">
        <v>27</v>
      </c>
      <c r="E538" s="13" t="s">
        <v>111</v>
      </c>
      <c r="F538" s="14">
        <v>0.4166666666666667</v>
      </c>
      <c r="G538" s="13"/>
    </row>
    <row r="539" spans="8:8" ht="32.25" customHeight="1">
      <c r="A539" s="11">
        <v>16.0</v>
      </c>
      <c r="B539" s="12" t="s">
        <v>568</v>
      </c>
      <c r="C539" s="13">
        <v>250079.0</v>
      </c>
      <c r="D539" s="12" t="s">
        <v>27</v>
      </c>
      <c r="E539" s="13" t="s">
        <v>111</v>
      </c>
      <c r="F539" s="14">
        <v>0.4166666666666667</v>
      </c>
      <c r="G539" s="13"/>
    </row>
    <row r="540" spans="8:8" ht="32.25" customHeight="1">
      <c r="A540" s="11">
        <v>17.0</v>
      </c>
      <c r="B540" s="12" t="s">
        <v>569</v>
      </c>
      <c r="C540" s="13">
        <v>250087.0</v>
      </c>
      <c r="D540" s="12" t="s">
        <v>27</v>
      </c>
      <c r="E540" s="13" t="s">
        <v>111</v>
      </c>
      <c r="F540" s="14">
        <v>0.4166666666666667</v>
      </c>
      <c r="G540" s="13"/>
    </row>
    <row r="541" spans="8:8" ht="32.25" customHeight="1">
      <c r="A541" s="11">
        <v>18.0</v>
      </c>
      <c r="B541" s="12" t="s">
        <v>570</v>
      </c>
      <c r="C541" s="13">
        <v>250090.0</v>
      </c>
      <c r="D541" s="12" t="s">
        <v>27</v>
      </c>
      <c r="E541" s="13" t="s">
        <v>111</v>
      </c>
      <c r="F541" s="14">
        <v>0.4166666666666667</v>
      </c>
      <c r="G541" s="13"/>
    </row>
    <row r="542" spans="8:8" ht="32.25" customHeight="1">
      <c r="A542" s="11">
        <v>19.0</v>
      </c>
      <c r="B542" s="12" t="s">
        <v>571</v>
      </c>
      <c r="C542" s="13">
        <v>250091.0</v>
      </c>
      <c r="D542" s="12" t="s">
        <v>27</v>
      </c>
      <c r="E542" s="13" t="s">
        <v>111</v>
      </c>
      <c r="F542" s="14">
        <v>0.4166666666666667</v>
      </c>
      <c r="G542" s="13"/>
    </row>
    <row r="543" spans="8:8" ht="32.25" customHeight="1">
      <c r="A543" s="11">
        <v>20.0</v>
      </c>
      <c r="B543" s="12" t="s">
        <v>572</v>
      </c>
      <c r="C543" s="13">
        <v>250096.0</v>
      </c>
      <c r="D543" s="12" t="s">
        <v>27</v>
      </c>
      <c r="E543" s="13" t="s">
        <v>111</v>
      </c>
      <c r="F543" s="14">
        <v>0.4166666666666667</v>
      </c>
      <c r="G543" s="13"/>
    </row>
    <row r="544" spans="8:8" ht="32.25" customHeight="1">
      <c r="A544" s="11">
        <v>21.0</v>
      </c>
      <c r="B544" s="12" t="s">
        <v>573</v>
      </c>
      <c r="C544" s="13">
        <v>250099.0</v>
      </c>
      <c r="D544" s="12" t="s">
        <v>27</v>
      </c>
      <c r="E544" s="13" t="s">
        <v>111</v>
      </c>
      <c r="F544" s="14">
        <v>0.4166666666666667</v>
      </c>
      <c r="G544" s="13"/>
    </row>
    <row r="545" spans="8:8" ht="32.25" customHeight="1">
      <c r="A545" s="11">
        <v>22.0</v>
      </c>
      <c r="B545" s="12" t="s">
        <v>574</v>
      </c>
      <c r="C545" s="13">
        <v>250098.0</v>
      </c>
      <c r="D545" s="12" t="s">
        <v>27</v>
      </c>
      <c r="E545" s="13" t="s">
        <v>111</v>
      </c>
      <c r="F545" s="14">
        <v>0.4166666666666667</v>
      </c>
      <c r="G545" s="13"/>
    </row>
    <row r="546" spans="8:8" ht="32.25" customHeight="1">
      <c r="A546" s="11">
        <v>23.0</v>
      </c>
      <c r="B546" s="12" t="s">
        <v>575</v>
      </c>
      <c r="C546" s="13">
        <v>250100.0</v>
      </c>
      <c r="D546" s="12" t="s">
        <v>27</v>
      </c>
      <c r="E546" s="13" t="s">
        <v>111</v>
      </c>
      <c r="F546" s="14">
        <v>0.4166666666666667</v>
      </c>
      <c r="G546" s="13"/>
    </row>
    <row r="547" spans="8:8" ht="32.25" customHeight="1">
      <c r="A547" s="11">
        <v>24.0</v>
      </c>
      <c r="B547" s="12" t="s">
        <v>576</v>
      </c>
      <c r="C547" s="13">
        <v>250103.0</v>
      </c>
      <c r="D547" s="12" t="s">
        <v>27</v>
      </c>
      <c r="E547" s="13" t="s">
        <v>111</v>
      </c>
      <c r="F547" s="14">
        <v>0.4166666666666667</v>
      </c>
      <c r="G547" s="13"/>
    </row>
    <row r="548" spans="8:8" ht="32.25" customHeight="1">
      <c r="A548" s="11">
        <v>25.0</v>
      </c>
      <c r="B548" s="12" t="s">
        <v>577</v>
      </c>
      <c r="C548" s="13">
        <v>250104.0</v>
      </c>
      <c r="D548" s="12" t="s">
        <v>27</v>
      </c>
      <c r="E548" s="13" t="s">
        <v>111</v>
      </c>
      <c r="F548" s="14">
        <v>0.4166666666666667</v>
      </c>
      <c r="G548" s="13"/>
    </row>
    <row r="549" spans="8:8" ht="32.25" customHeight="1">
      <c r="A549" s="8" t="s">
        <v>18</v>
      </c>
      <c r="B549" s="9" t="s">
        <v>19</v>
      </c>
      <c r="C549" s="9" t="s">
        <v>20</v>
      </c>
      <c r="D549" s="9" t="s">
        <v>21</v>
      </c>
      <c r="E549" s="9" t="s">
        <v>22</v>
      </c>
      <c r="F549" s="10" t="s">
        <v>23</v>
      </c>
      <c r="G549" s="9" t="s">
        <v>578</v>
      </c>
    </row>
    <row r="550" spans="8:8" ht="32.25" customHeight="1">
      <c r="A550" s="11">
        <v>1.0</v>
      </c>
      <c r="B550" s="12" t="s">
        <v>579</v>
      </c>
      <c r="C550" s="13">
        <v>250003.0</v>
      </c>
      <c r="D550" s="12" t="s">
        <v>27</v>
      </c>
      <c r="E550" s="13" t="s">
        <v>580</v>
      </c>
      <c r="F550" s="14">
        <v>0.4166666666666667</v>
      </c>
      <c r="G550" s="13"/>
    </row>
    <row r="551" spans="8:8" ht="32.25" customHeight="1">
      <c r="A551" s="11">
        <v>2.0</v>
      </c>
      <c r="B551" s="12" t="s">
        <v>581</v>
      </c>
      <c r="C551" s="13">
        <v>250010.0</v>
      </c>
      <c r="D551" s="12" t="s">
        <v>27</v>
      </c>
      <c r="E551" s="13" t="s">
        <v>580</v>
      </c>
      <c r="F551" s="14">
        <v>0.4166666666666667</v>
      </c>
      <c r="G551" s="13"/>
    </row>
    <row r="552" spans="8:8" ht="32.25" customHeight="1">
      <c r="A552" s="11">
        <v>3.0</v>
      </c>
      <c r="B552" s="12" t="s">
        <v>582</v>
      </c>
      <c r="C552" s="13">
        <v>250009.0</v>
      </c>
      <c r="D552" s="12" t="s">
        <v>27</v>
      </c>
      <c r="E552" s="13" t="s">
        <v>580</v>
      </c>
      <c r="F552" s="14">
        <v>0.4166666666666667</v>
      </c>
      <c r="G552" s="13"/>
    </row>
    <row r="553" spans="8:8" ht="32.25" customHeight="1">
      <c r="A553" s="11">
        <v>4.0</v>
      </c>
      <c r="B553" s="12" t="s">
        <v>583</v>
      </c>
      <c r="C553" s="13">
        <v>250034.0</v>
      </c>
      <c r="D553" s="12" t="s">
        <v>27</v>
      </c>
      <c r="E553" s="13" t="s">
        <v>580</v>
      </c>
      <c r="F553" s="14">
        <v>0.4166666666666667</v>
      </c>
      <c r="G553" s="13"/>
    </row>
    <row r="554" spans="8:8" ht="32.25" customHeight="1">
      <c r="A554" s="11">
        <v>5.0</v>
      </c>
      <c r="B554" s="12" t="s">
        <v>584</v>
      </c>
      <c r="C554" s="13">
        <v>250042.0</v>
      </c>
      <c r="D554" s="12" t="s">
        <v>27</v>
      </c>
      <c r="E554" s="13" t="s">
        <v>580</v>
      </c>
      <c r="F554" s="14">
        <v>0.4166666666666667</v>
      </c>
      <c r="G554" s="13"/>
    </row>
    <row r="555" spans="8:8" ht="32.25" customHeight="1">
      <c r="A555" s="11">
        <v>6.0</v>
      </c>
      <c r="B555" s="12" t="s">
        <v>585</v>
      </c>
      <c r="C555" s="13">
        <v>250013.0</v>
      </c>
      <c r="D555" s="12" t="s">
        <v>27</v>
      </c>
      <c r="E555" s="13" t="s">
        <v>580</v>
      </c>
      <c r="F555" s="14">
        <v>0.4166666666666667</v>
      </c>
      <c r="G555" s="13"/>
    </row>
    <row r="556" spans="8:8" ht="32.25" customHeight="1">
      <c r="A556" s="11">
        <v>7.0</v>
      </c>
      <c r="B556" s="12" t="s">
        <v>586</v>
      </c>
      <c r="C556" s="13">
        <v>250049.0</v>
      </c>
      <c r="D556" s="12" t="s">
        <v>27</v>
      </c>
      <c r="E556" s="13" t="s">
        <v>580</v>
      </c>
      <c r="F556" s="14">
        <v>0.4166666666666667</v>
      </c>
      <c r="G556" s="13"/>
    </row>
    <row r="557" spans="8:8" ht="32.25" customHeight="1">
      <c r="A557" s="11">
        <v>8.0</v>
      </c>
      <c r="B557" s="12" t="s">
        <v>587</v>
      </c>
      <c r="C557" s="13">
        <v>250046.0</v>
      </c>
      <c r="D557" s="12" t="s">
        <v>27</v>
      </c>
      <c r="E557" s="13" t="s">
        <v>580</v>
      </c>
      <c r="F557" s="14">
        <v>0.4166666666666667</v>
      </c>
      <c r="G557" s="13"/>
    </row>
    <row r="558" spans="8:8" ht="32.25" customHeight="1">
      <c r="A558" s="11">
        <v>9.0</v>
      </c>
      <c r="B558" s="12" t="s">
        <v>588</v>
      </c>
      <c r="C558" s="13">
        <v>250047.0</v>
      </c>
      <c r="D558" s="12" t="s">
        <v>27</v>
      </c>
      <c r="E558" s="13" t="s">
        <v>580</v>
      </c>
      <c r="F558" s="14">
        <v>0.4166666666666667</v>
      </c>
      <c r="G558" s="13"/>
    </row>
    <row r="559" spans="8:8" ht="32.25" customHeight="1">
      <c r="A559" s="11">
        <v>10.0</v>
      </c>
      <c r="B559" s="12" t="s">
        <v>589</v>
      </c>
      <c r="C559" s="13">
        <v>250052.0</v>
      </c>
      <c r="D559" s="12" t="s">
        <v>27</v>
      </c>
      <c r="E559" s="13" t="s">
        <v>580</v>
      </c>
      <c r="F559" s="14">
        <v>0.4166666666666667</v>
      </c>
      <c r="G559" s="13"/>
    </row>
    <row r="560" spans="8:8" ht="32.25" customHeight="1">
      <c r="A560" s="11">
        <v>11.0</v>
      </c>
      <c r="B560" s="12" t="s">
        <v>590</v>
      </c>
      <c r="C560" s="13">
        <v>250053.0</v>
      </c>
      <c r="D560" s="12" t="s">
        <v>27</v>
      </c>
      <c r="E560" s="13" t="s">
        <v>580</v>
      </c>
      <c r="F560" s="14">
        <v>0.4166666666666667</v>
      </c>
      <c r="G560" s="13"/>
    </row>
    <row r="561" spans="8:8" ht="32.25" customHeight="1">
      <c r="A561" s="11">
        <v>12.0</v>
      </c>
      <c r="B561" s="12" t="s">
        <v>591</v>
      </c>
      <c r="C561" s="13">
        <v>250017.0</v>
      </c>
      <c r="D561" s="12" t="s">
        <v>27</v>
      </c>
      <c r="E561" s="13" t="s">
        <v>580</v>
      </c>
      <c r="F561" s="14">
        <v>0.4166666666666667</v>
      </c>
      <c r="G561" s="13"/>
    </row>
    <row r="562" spans="8:8" ht="32.25" customHeight="1">
      <c r="A562" s="11">
        <v>13.0</v>
      </c>
      <c r="B562" s="12" t="s">
        <v>592</v>
      </c>
      <c r="C562" s="13">
        <v>250055.0</v>
      </c>
      <c r="D562" s="12" t="s">
        <v>27</v>
      </c>
      <c r="E562" s="13" t="s">
        <v>580</v>
      </c>
      <c r="F562" s="14">
        <v>0.4166666666666667</v>
      </c>
      <c r="G562" s="13"/>
    </row>
    <row r="563" spans="8:8" ht="32.25" customHeight="1">
      <c r="A563" s="11">
        <v>14.0</v>
      </c>
      <c r="B563" s="12" t="s">
        <v>593</v>
      </c>
      <c r="C563" s="13">
        <v>250056.0</v>
      </c>
      <c r="D563" s="12" t="s">
        <v>27</v>
      </c>
      <c r="E563" s="13" t="s">
        <v>580</v>
      </c>
      <c r="F563" s="14">
        <v>0.4166666666666667</v>
      </c>
      <c r="G563" s="13"/>
    </row>
    <row r="564" spans="8:8" ht="32.25" customHeight="1">
      <c r="A564" s="11">
        <v>15.0</v>
      </c>
      <c r="B564" s="12" t="s">
        <v>594</v>
      </c>
      <c r="C564" s="13">
        <v>250057.0</v>
      </c>
      <c r="D564" s="12" t="s">
        <v>27</v>
      </c>
      <c r="E564" s="13" t="s">
        <v>580</v>
      </c>
      <c r="F564" s="14">
        <v>0.4166666666666667</v>
      </c>
      <c r="G564" s="13"/>
    </row>
    <row r="565" spans="8:8" ht="32.25" customHeight="1">
      <c r="A565" s="11">
        <v>16.0</v>
      </c>
      <c r="B565" s="12" t="s">
        <v>595</v>
      </c>
      <c r="C565" s="13">
        <v>250059.0</v>
      </c>
      <c r="D565" s="12" t="s">
        <v>27</v>
      </c>
      <c r="E565" s="13" t="s">
        <v>580</v>
      </c>
      <c r="F565" s="14">
        <v>0.4166666666666667</v>
      </c>
      <c r="G565" s="13"/>
    </row>
    <row r="566" spans="8:8" ht="32.25" customHeight="1">
      <c r="A566" s="11">
        <v>17.0</v>
      </c>
      <c r="B566" s="12" t="s">
        <v>596</v>
      </c>
      <c r="C566" s="13">
        <v>250001.0</v>
      </c>
      <c r="D566" s="12" t="s">
        <v>27</v>
      </c>
      <c r="E566" s="13" t="s">
        <v>580</v>
      </c>
      <c r="F566" s="14">
        <v>0.4166666666666667</v>
      </c>
      <c r="G566" s="13"/>
    </row>
    <row r="567" spans="8:8" ht="32.25" customHeight="1">
      <c r="A567" s="11">
        <v>18.0</v>
      </c>
      <c r="B567" s="12" t="s">
        <v>597</v>
      </c>
      <c r="C567" s="13">
        <v>250063.0</v>
      </c>
      <c r="D567" s="12" t="s">
        <v>27</v>
      </c>
      <c r="E567" s="13" t="s">
        <v>580</v>
      </c>
      <c r="F567" s="14">
        <v>0.4166666666666667</v>
      </c>
      <c r="G567" s="13"/>
    </row>
    <row r="568" spans="8:8" ht="32.25" customHeight="1">
      <c r="A568" s="11">
        <v>19.0</v>
      </c>
      <c r="B568" s="12" t="s">
        <v>598</v>
      </c>
      <c r="C568" s="13">
        <v>250066.0</v>
      </c>
      <c r="D568" s="12" t="s">
        <v>27</v>
      </c>
      <c r="E568" s="13" t="s">
        <v>580</v>
      </c>
      <c r="F568" s="14">
        <v>0.4166666666666667</v>
      </c>
      <c r="G568" s="13"/>
    </row>
    <row r="569" spans="8:8" ht="32.25" customHeight="1">
      <c r="A569" s="11">
        <v>20.0</v>
      </c>
      <c r="B569" s="12" t="s">
        <v>599</v>
      </c>
      <c r="C569" s="13">
        <v>250068.0</v>
      </c>
      <c r="D569" s="12" t="s">
        <v>27</v>
      </c>
      <c r="E569" s="13" t="s">
        <v>580</v>
      </c>
      <c r="F569" s="14">
        <v>0.4166666666666667</v>
      </c>
      <c r="G569" s="13"/>
    </row>
    <row r="570" spans="8:8" ht="32.25" customHeight="1">
      <c r="A570" s="11">
        <v>21.0</v>
      </c>
      <c r="B570" s="12" t="s">
        <v>600</v>
      </c>
      <c r="C570" s="13">
        <v>250023.0</v>
      </c>
      <c r="D570" s="12" t="s">
        <v>27</v>
      </c>
      <c r="E570" s="13" t="s">
        <v>580</v>
      </c>
      <c r="F570" s="14">
        <v>0.4166666666666667</v>
      </c>
      <c r="G570" s="13"/>
    </row>
    <row r="571" spans="8:8" ht="32.25" customHeight="1">
      <c r="A571" s="11">
        <v>22.0</v>
      </c>
      <c r="B571" s="12" t="s">
        <v>601</v>
      </c>
      <c r="C571" s="13">
        <v>250085.0</v>
      </c>
      <c r="D571" s="12" t="s">
        <v>27</v>
      </c>
      <c r="E571" s="13" t="s">
        <v>580</v>
      </c>
      <c r="F571" s="14">
        <v>0.4166666666666667</v>
      </c>
      <c r="G571" s="13"/>
    </row>
    <row r="572" spans="8:8" ht="32.25" customHeight="1">
      <c r="A572" s="11">
        <v>23.0</v>
      </c>
      <c r="B572" s="12" t="s">
        <v>602</v>
      </c>
      <c r="C572" s="13">
        <v>250086.0</v>
      </c>
      <c r="D572" s="12" t="s">
        <v>27</v>
      </c>
      <c r="E572" s="13" t="s">
        <v>580</v>
      </c>
      <c r="F572" s="14">
        <v>0.4166666666666667</v>
      </c>
      <c r="G572" s="13"/>
    </row>
    <row r="573" spans="8:8" ht="32.25" customHeight="1">
      <c r="A573" s="11">
        <v>24.0</v>
      </c>
      <c r="B573" s="12" t="s">
        <v>603</v>
      </c>
      <c r="C573" s="13">
        <v>250092.0</v>
      </c>
      <c r="D573" s="12" t="s">
        <v>27</v>
      </c>
      <c r="E573" s="13" t="s">
        <v>580</v>
      </c>
      <c r="F573" s="14">
        <v>0.4166666666666667</v>
      </c>
      <c r="G573" s="13"/>
    </row>
    <row r="574" spans="8:8" ht="32.25" customHeight="1">
      <c r="A574" s="11">
        <v>25.0</v>
      </c>
      <c r="B574" s="12" t="s">
        <v>604</v>
      </c>
      <c r="C574" s="13">
        <v>250094.0</v>
      </c>
      <c r="D574" s="12" t="s">
        <v>27</v>
      </c>
      <c r="E574" s="13" t="s">
        <v>580</v>
      </c>
      <c r="F574" s="14">
        <v>0.4166666666666667</v>
      </c>
      <c r="G574" s="13"/>
    </row>
    <row r="575" spans="8:8" ht="32.25" customHeight="1">
      <c r="A575" s="11">
        <v>26.0</v>
      </c>
      <c r="B575" s="12" t="s">
        <v>605</v>
      </c>
      <c r="C575" s="13">
        <v>240345.0</v>
      </c>
      <c r="D575" s="12" t="s">
        <v>606</v>
      </c>
      <c r="E575" s="13" t="s">
        <v>580</v>
      </c>
      <c r="F575" s="14">
        <v>0.4166666666666667</v>
      </c>
      <c r="G575" s="13"/>
    </row>
    <row r="576" spans="8:8" ht="32.25" customHeight="1">
      <c r="A576" s="11">
        <v>27.0</v>
      </c>
      <c r="B576" s="12" t="s">
        <v>607</v>
      </c>
      <c r="C576" s="13">
        <v>241097.0</v>
      </c>
      <c r="D576" s="12" t="s">
        <v>606</v>
      </c>
      <c r="E576" s="13" t="s">
        <v>580</v>
      </c>
      <c r="F576" s="14">
        <v>0.4166666666666667</v>
      </c>
      <c r="G576" s="13"/>
    </row>
    <row r="577" spans="8:8" ht="32.25" customHeight="1">
      <c r="A577" s="11">
        <v>28.0</v>
      </c>
      <c r="B577" s="12" t="s">
        <v>608</v>
      </c>
      <c r="C577" s="13">
        <v>240545.0</v>
      </c>
      <c r="D577" s="12" t="s">
        <v>606</v>
      </c>
      <c r="E577" s="13" t="s">
        <v>580</v>
      </c>
      <c r="F577" s="14">
        <v>0.4166666666666667</v>
      </c>
      <c r="G577" s="13"/>
    </row>
    <row r="578" spans="8:8" ht="32.25" customHeight="1">
      <c r="A578" s="11">
        <v>29.0</v>
      </c>
      <c r="B578" s="12" t="s">
        <v>609</v>
      </c>
      <c r="C578" s="13">
        <v>240629.0</v>
      </c>
      <c r="D578" s="12" t="s">
        <v>606</v>
      </c>
      <c r="E578" s="13" t="s">
        <v>580</v>
      </c>
      <c r="F578" s="14">
        <v>0.4166666666666667</v>
      </c>
      <c r="G578" s="13"/>
    </row>
    <row r="579" spans="8:8" ht="32.25" customHeight="1">
      <c r="A579" s="11">
        <v>30.0</v>
      </c>
      <c r="B579" s="12" t="s">
        <v>610</v>
      </c>
      <c r="C579" s="13">
        <v>240610.0</v>
      </c>
      <c r="D579" s="12" t="s">
        <v>606</v>
      </c>
      <c r="E579" s="13" t="s">
        <v>580</v>
      </c>
      <c r="F579" s="14">
        <v>0.4166666666666667</v>
      </c>
      <c r="G579" s="13"/>
    </row>
    <row r="580" spans="8:8" ht="32.25" customHeight="1">
      <c r="A580" s="8" t="s">
        <v>18</v>
      </c>
      <c r="B580" s="9" t="s">
        <v>19</v>
      </c>
      <c r="C580" s="9" t="s">
        <v>20</v>
      </c>
      <c r="D580" s="9" t="s">
        <v>21</v>
      </c>
      <c r="E580" s="9" t="s">
        <v>22</v>
      </c>
      <c r="F580" s="10" t="s">
        <v>23</v>
      </c>
      <c r="G580" s="9" t="s">
        <v>611</v>
      </c>
    </row>
    <row r="581" spans="8:8" ht="32.25" customHeight="1">
      <c r="A581" s="11">
        <v>1.0</v>
      </c>
      <c r="B581" s="12" t="s">
        <v>612</v>
      </c>
      <c r="C581" s="13">
        <v>240684.0</v>
      </c>
      <c r="D581" s="12" t="s">
        <v>606</v>
      </c>
      <c r="E581" s="13" t="s">
        <v>580</v>
      </c>
      <c r="F581" s="14">
        <v>0.4166666666666667</v>
      </c>
      <c r="G581" s="13"/>
    </row>
    <row r="582" spans="8:8" ht="32.25" customHeight="1">
      <c r="A582" s="11">
        <v>2.0</v>
      </c>
      <c r="B582" s="12" t="s">
        <v>613</v>
      </c>
      <c r="C582" s="13">
        <v>240938.0</v>
      </c>
      <c r="D582" s="12" t="s">
        <v>606</v>
      </c>
      <c r="E582" s="13" t="s">
        <v>580</v>
      </c>
      <c r="F582" s="14">
        <v>0.4166666666666667</v>
      </c>
      <c r="G582" s="13"/>
    </row>
    <row r="583" spans="8:8" ht="32.25" customHeight="1">
      <c r="A583" s="11">
        <v>3.0</v>
      </c>
      <c r="B583" s="21" t="s">
        <v>614</v>
      </c>
      <c r="C583" s="22">
        <v>253055.0</v>
      </c>
      <c r="D583" s="12" t="s">
        <v>615</v>
      </c>
      <c r="E583" s="22" t="s">
        <v>580</v>
      </c>
      <c r="F583" s="14">
        <v>0.4166666666666667</v>
      </c>
      <c r="G583" s="22"/>
    </row>
    <row r="584" spans="8:8" ht="32.25" customHeight="1">
      <c r="A584" s="11">
        <v>4.0</v>
      </c>
      <c r="B584" s="12" t="s">
        <v>616</v>
      </c>
      <c r="C584" s="13">
        <v>251159.0</v>
      </c>
      <c r="D584" s="12" t="s">
        <v>56</v>
      </c>
      <c r="E584" s="13" t="s">
        <v>580</v>
      </c>
      <c r="F584" s="14">
        <v>0.4166666666666667</v>
      </c>
      <c r="G584" s="13"/>
    </row>
    <row r="585" spans="8:8" ht="32.25" customHeight="1">
      <c r="A585" s="11">
        <v>5.0</v>
      </c>
      <c r="B585" s="12" t="s">
        <v>617</v>
      </c>
      <c r="C585" s="13">
        <v>251155.0</v>
      </c>
      <c r="D585" s="12" t="s">
        <v>56</v>
      </c>
      <c r="E585" s="13" t="s">
        <v>580</v>
      </c>
      <c r="F585" s="14">
        <v>0.4166666666666667</v>
      </c>
      <c r="G585" s="13"/>
    </row>
    <row r="586" spans="8:8" ht="32.25" customHeight="1">
      <c r="A586" s="11">
        <v>6.0</v>
      </c>
      <c r="B586" s="12" t="s">
        <v>618</v>
      </c>
      <c r="C586" s="13">
        <v>250122.0</v>
      </c>
      <c r="D586" s="12" t="s">
        <v>27</v>
      </c>
      <c r="E586" s="13" t="s">
        <v>580</v>
      </c>
      <c r="F586" s="14">
        <v>0.4166666666666667</v>
      </c>
      <c r="G586" s="13"/>
    </row>
    <row r="587" spans="8:8" ht="32.25" customHeight="1">
      <c r="A587" s="11">
        <v>7.0</v>
      </c>
      <c r="B587" s="12" t="s">
        <v>619</v>
      </c>
      <c r="C587" s="13">
        <v>250124.0</v>
      </c>
      <c r="D587" s="12" t="s">
        <v>27</v>
      </c>
      <c r="E587" s="13" t="s">
        <v>580</v>
      </c>
      <c r="F587" s="14">
        <v>0.4166666666666667</v>
      </c>
      <c r="G587" s="13"/>
    </row>
    <row r="588" spans="8:8" ht="32.25" customHeight="1">
      <c r="A588" s="11">
        <v>8.0</v>
      </c>
      <c r="B588" s="12" t="s">
        <v>620</v>
      </c>
      <c r="C588" s="13">
        <v>250128.0</v>
      </c>
      <c r="D588" s="12" t="s">
        <v>27</v>
      </c>
      <c r="E588" s="13" t="s">
        <v>580</v>
      </c>
      <c r="F588" s="14">
        <v>0.4166666666666667</v>
      </c>
      <c r="G588" s="13"/>
    </row>
    <row r="589" spans="8:8" ht="32.25" customHeight="1">
      <c r="A589" s="11">
        <v>9.0</v>
      </c>
      <c r="B589" s="12" t="s">
        <v>621</v>
      </c>
      <c r="C589" s="13">
        <v>250129.0</v>
      </c>
      <c r="D589" s="12" t="s">
        <v>27</v>
      </c>
      <c r="E589" s="13" t="s">
        <v>580</v>
      </c>
      <c r="F589" s="14">
        <v>0.4166666666666667</v>
      </c>
      <c r="G589" s="13"/>
    </row>
    <row r="590" spans="8:8" ht="32.25" customHeight="1">
      <c r="A590" s="11">
        <v>10.0</v>
      </c>
      <c r="B590" s="12" t="s">
        <v>622</v>
      </c>
      <c r="C590" s="13">
        <v>250134.0</v>
      </c>
      <c r="D590" s="12" t="s">
        <v>27</v>
      </c>
      <c r="E590" s="13" t="s">
        <v>580</v>
      </c>
      <c r="F590" s="14">
        <v>0.4166666666666667</v>
      </c>
      <c r="G590" s="13"/>
    </row>
    <row r="591" spans="8:8" ht="32.25" customHeight="1">
      <c r="A591" s="11">
        <v>11.0</v>
      </c>
      <c r="B591" s="12" t="s">
        <v>623</v>
      </c>
      <c r="C591" s="13">
        <v>250138.0</v>
      </c>
      <c r="D591" s="12" t="s">
        <v>27</v>
      </c>
      <c r="E591" s="13" t="s">
        <v>580</v>
      </c>
      <c r="F591" s="14">
        <v>0.4166666666666667</v>
      </c>
      <c r="G591" s="13"/>
    </row>
    <row r="592" spans="8:8" ht="32.25" customHeight="1">
      <c r="A592" s="11">
        <v>12.0</v>
      </c>
      <c r="B592" s="12" t="s">
        <v>624</v>
      </c>
      <c r="C592" s="13">
        <v>250135.0</v>
      </c>
      <c r="D592" s="12" t="s">
        <v>27</v>
      </c>
      <c r="E592" s="13" t="s">
        <v>580</v>
      </c>
      <c r="F592" s="14">
        <v>0.4166666666666667</v>
      </c>
      <c r="G592" s="13"/>
    </row>
    <row r="593" spans="8:8" ht="32.25" customHeight="1">
      <c r="A593" s="11">
        <v>13.0</v>
      </c>
      <c r="B593" s="12" t="s">
        <v>625</v>
      </c>
      <c r="C593" s="13">
        <v>250141.0</v>
      </c>
      <c r="D593" s="12" t="s">
        <v>27</v>
      </c>
      <c r="E593" s="13" t="s">
        <v>580</v>
      </c>
      <c r="F593" s="14">
        <v>0.4166666666666667</v>
      </c>
      <c r="G593" s="13"/>
    </row>
    <row r="594" spans="8:8" ht="32.25" customHeight="1">
      <c r="A594" s="11">
        <v>14.0</v>
      </c>
      <c r="B594" s="12" t="s">
        <v>626</v>
      </c>
      <c r="C594" s="13">
        <v>250148.0</v>
      </c>
      <c r="D594" s="12" t="s">
        <v>27</v>
      </c>
      <c r="E594" s="13" t="s">
        <v>580</v>
      </c>
      <c r="F594" s="14">
        <v>0.4166666666666667</v>
      </c>
      <c r="G594" s="13"/>
    </row>
    <row r="595" spans="8:8" ht="32.25" customHeight="1">
      <c r="A595" s="11">
        <v>15.0</v>
      </c>
      <c r="B595" s="12" t="s">
        <v>627</v>
      </c>
      <c r="C595" s="13">
        <v>250147.0</v>
      </c>
      <c r="D595" s="12" t="s">
        <v>27</v>
      </c>
      <c r="E595" s="13" t="s">
        <v>580</v>
      </c>
      <c r="F595" s="14">
        <v>0.4166666666666667</v>
      </c>
      <c r="G595" s="13"/>
    </row>
    <row r="596" spans="8:8" ht="32.25" customHeight="1">
      <c r="A596" s="11">
        <v>16.0</v>
      </c>
      <c r="B596" s="12" t="s">
        <v>628</v>
      </c>
      <c r="C596" s="13">
        <v>241883.0</v>
      </c>
      <c r="D596" s="12" t="s">
        <v>606</v>
      </c>
      <c r="E596" s="13" t="s">
        <v>580</v>
      </c>
      <c r="F596" s="14">
        <v>0.4166666666666667</v>
      </c>
      <c r="G596" s="13"/>
    </row>
    <row r="597" spans="8:8" ht="32.25" customHeight="1">
      <c r="A597" s="11">
        <v>17.0</v>
      </c>
      <c r="B597" s="12" t="s">
        <v>629</v>
      </c>
      <c r="C597" s="13">
        <v>250154.0</v>
      </c>
      <c r="D597" s="12" t="s">
        <v>27</v>
      </c>
      <c r="E597" s="13" t="s">
        <v>580</v>
      </c>
      <c r="F597" s="14">
        <v>0.4166666666666667</v>
      </c>
      <c r="G597" s="13"/>
    </row>
    <row r="598" spans="8:8" ht="32.25" customHeight="1">
      <c r="A598" s="11">
        <v>18.0</v>
      </c>
      <c r="B598" s="12" t="s">
        <v>630</v>
      </c>
      <c r="C598" s="13">
        <v>250160.0</v>
      </c>
      <c r="D598" s="12" t="s">
        <v>27</v>
      </c>
      <c r="E598" s="13" t="s">
        <v>580</v>
      </c>
      <c r="F598" s="14">
        <v>0.4166666666666667</v>
      </c>
      <c r="G598" s="13"/>
    </row>
    <row r="599" spans="8:8" ht="32.25" customHeight="1">
      <c r="A599" s="11">
        <v>19.0</v>
      </c>
      <c r="B599" s="12" t="s">
        <v>631</v>
      </c>
      <c r="C599" s="13">
        <v>250161.0</v>
      </c>
      <c r="D599" s="12" t="s">
        <v>27</v>
      </c>
      <c r="E599" s="13" t="s">
        <v>580</v>
      </c>
      <c r="F599" s="14">
        <v>0.4166666666666667</v>
      </c>
      <c r="G599" s="13"/>
    </row>
    <row r="600" spans="8:8" ht="32.25" customHeight="1">
      <c r="A600" s="11">
        <v>20.0</v>
      </c>
      <c r="B600" s="12" t="s">
        <v>632</v>
      </c>
      <c r="C600" s="13">
        <v>250168.0</v>
      </c>
      <c r="D600" s="12" t="s">
        <v>27</v>
      </c>
      <c r="E600" s="13" t="s">
        <v>580</v>
      </c>
      <c r="F600" s="14">
        <v>0.4166666666666667</v>
      </c>
      <c r="G600" s="13"/>
    </row>
    <row r="601" spans="8:8" ht="32.25" customHeight="1">
      <c r="A601" s="11">
        <v>21.0</v>
      </c>
      <c r="B601" s="12" t="s">
        <v>633</v>
      </c>
      <c r="C601" s="13">
        <v>241878.0</v>
      </c>
      <c r="D601" s="12" t="s">
        <v>634</v>
      </c>
      <c r="E601" s="13" t="s">
        <v>580</v>
      </c>
      <c r="F601" s="14">
        <v>0.4166666666666667</v>
      </c>
      <c r="G601" s="13"/>
    </row>
    <row r="602" spans="8:8" ht="32.25" customHeight="1">
      <c r="A602" s="11">
        <v>22.0</v>
      </c>
      <c r="B602" s="12" t="s">
        <v>635</v>
      </c>
      <c r="C602" s="13">
        <v>250170.0</v>
      </c>
      <c r="D602" s="12" t="s">
        <v>27</v>
      </c>
      <c r="E602" s="13" t="s">
        <v>580</v>
      </c>
      <c r="F602" s="14">
        <v>0.4166666666666667</v>
      </c>
      <c r="G602" s="13"/>
    </row>
    <row r="603" spans="8:8" ht="32.25" customHeight="1">
      <c r="A603" s="11">
        <v>23.0</v>
      </c>
      <c r="B603" s="12" t="s">
        <v>636</v>
      </c>
      <c r="C603" s="13">
        <v>250184.0</v>
      </c>
      <c r="D603" s="12" t="s">
        <v>27</v>
      </c>
      <c r="E603" s="13" t="s">
        <v>580</v>
      </c>
      <c r="F603" s="14">
        <v>0.4166666666666667</v>
      </c>
      <c r="G603" s="13"/>
    </row>
    <row r="604" spans="8:8" ht="32.25" customHeight="1">
      <c r="A604" s="11">
        <v>24.0</v>
      </c>
      <c r="B604" s="12" t="s">
        <v>637</v>
      </c>
      <c r="C604" s="13">
        <v>250190.0</v>
      </c>
      <c r="D604" s="12" t="s">
        <v>27</v>
      </c>
      <c r="E604" s="13" t="s">
        <v>580</v>
      </c>
      <c r="F604" s="14">
        <v>0.4166666666666667</v>
      </c>
      <c r="G604" s="13"/>
    </row>
    <row r="605" spans="8:8" ht="32.25" customHeight="1">
      <c r="A605" s="11">
        <v>25.0</v>
      </c>
      <c r="B605" s="12" t="s">
        <v>638</v>
      </c>
      <c r="C605" s="13">
        <v>250193.0</v>
      </c>
      <c r="D605" s="12" t="s">
        <v>27</v>
      </c>
      <c r="E605" s="13" t="s">
        <v>580</v>
      </c>
      <c r="F605" s="14">
        <v>0.4166666666666667</v>
      </c>
      <c r="G605" s="13"/>
    </row>
    <row r="606" spans="8:8" ht="32.25" customHeight="1">
      <c r="A606" s="11">
        <v>26.0</v>
      </c>
      <c r="B606" s="12" t="s">
        <v>639</v>
      </c>
      <c r="C606" s="13">
        <v>240583.0</v>
      </c>
      <c r="D606" s="12" t="s">
        <v>606</v>
      </c>
      <c r="E606" s="13" t="s">
        <v>580</v>
      </c>
      <c r="F606" s="14">
        <v>0.4166666666666667</v>
      </c>
      <c r="G606" s="13"/>
    </row>
    <row r="607" spans="8:8" ht="32.25" customHeight="1">
      <c r="A607" s="11">
        <v>27.0</v>
      </c>
      <c r="B607" s="12" t="s">
        <v>640</v>
      </c>
      <c r="C607" s="13">
        <v>240667.0</v>
      </c>
      <c r="D607" s="12" t="s">
        <v>606</v>
      </c>
      <c r="E607" s="13" t="s">
        <v>580</v>
      </c>
      <c r="F607" s="14">
        <v>0.4166666666666667</v>
      </c>
      <c r="G607" s="13"/>
    </row>
    <row r="608" spans="8:8" ht="32.25" customHeight="1">
      <c r="A608" s="11">
        <v>28.0</v>
      </c>
      <c r="B608" s="12" t="s">
        <v>641</v>
      </c>
      <c r="C608" s="13">
        <v>240662.0</v>
      </c>
      <c r="D608" s="12" t="s">
        <v>606</v>
      </c>
      <c r="E608" s="13" t="s">
        <v>580</v>
      </c>
      <c r="F608" s="14">
        <v>0.4166666666666667</v>
      </c>
      <c r="G608" s="13"/>
    </row>
    <row r="609" spans="8:8" ht="32.25" customHeight="1">
      <c r="A609" s="11">
        <v>29.0</v>
      </c>
      <c r="B609" s="12" t="s">
        <v>642</v>
      </c>
      <c r="C609" s="13">
        <v>240916.0</v>
      </c>
      <c r="D609" s="12" t="s">
        <v>606</v>
      </c>
      <c r="E609" s="13" t="s">
        <v>580</v>
      </c>
      <c r="F609" s="14">
        <v>0.4166666666666667</v>
      </c>
      <c r="G609" s="13"/>
    </row>
    <row r="610" spans="8:8" ht="32.25" customHeight="1">
      <c r="A610" s="11">
        <v>30.0</v>
      </c>
      <c r="B610" s="12" t="s">
        <v>643</v>
      </c>
      <c r="C610" s="13">
        <v>240493.0</v>
      </c>
      <c r="D610" s="12" t="s">
        <v>606</v>
      </c>
      <c r="E610" s="13" t="s">
        <v>580</v>
      </c>
      <c r="F610" s="14">
        <v>0.4166666666666667</v>
      </c>
      <c r="G610" s="13"/>
    </row>
    <row r="611" spans="8:8" ht="32.25" customHeight="1">
      <c r="A611" s="8" t="s">
        <v>18</v>
      </c>
      <c r="B611" s="9" t="s">
        <v>19</v>
      </c>
      <c r="C611" s="9" t="s">
        <v>20</v>
      </c>
      <c r="D611" s="9" t="s">
        <v>21</v>
      </c>
      <c r="E611" s="9" t="s">
        <v>22</v>
      </c>
      <c r="F611" s="10" t="s">
        <v>23</v>
      </c>
      <c r="G611" s="9" t="s">
        <v>644</v>
      </c>
    </row>
    <row r="612" spans="8:8" ht="32.25" customHeight="1">
      <c r="A612" s="11">
        <v>1.0</v>
      </c>
      <c r="B612" s="12" t="s">
        <v>645</v>
      </c>
      <c r="C612" s="13">
        <v>251094.0</v>
      </c>
      <c r="D612" s="12" t="s">
        <v>56</v>
      </c>
      <c r="E612" s="13" t="s">
        <v>580</v>
      </c>
      <c r="F612" s="14">
        <v>0.4166666666666667</v>
      </c>
      <c r="G612" s="13"/>
    </row>
    <row r="613" spans="8:8" ht="32.25" customHeight="1">
      <c r="A613" s="11">
        <v>2.0</v>
      </c>
      <c r="B613" s="12" t="s">
        <v>646</v>
      </c>
      <c r="C613" s="13">
        <v>250666.0</v>
      </c>
      <c r="D613" s="12" t="s">
        <v>56</v>
      </c>
      <c r="E613" s="13" t="s">
        <v>580</v>
      </c>
      <c r="F613" s="14">
        <v>0.4166666666666667</v>
      </c>
      <c r="G613" s="13"/>
    </row>
    <row r="614" spans="8:8" ht="32.25" customHeight="1">
      <c r="A614" s="11">
        <v>3.0</v>
      </c>
      <c r="B614" s="12" t="s">
        <v>647</v>
      </c>
      <c r="C614" s="13">
        <v>250695.0</v>
      </c>
      <c r="D614" s="12" t="s">
        <v>56</v>
      </c>
      <c r="E614" s="13" t="s">
        <v>580</v>
      </c>
      <c r="F614" s="14">
        <v>0.4166666666666667</v>
      </c>
      <c r="G614" s="13"/>
    </row>
    <row r="615" spans="8:8" ht="32.25" customHeight="1">
      <c r="A615" s="11">
        <v>4.0</v>
      </c>
      <c r="B615" s="12" t="s">
        <v>648</v>
      </c>
      <c r="C615" s="13">
        <v>250702.0</v>
      </c>
      <c r="D615" s="12" t="s">
        <v>56</v>
      </c>
      <c r="E615" s="13" t="s">
        <v>580</v>
      </c>
      <c r="F615" s="14">
        <v>0.4166666666666667</v>
      </c>
      <c r="G615" s="13"/>
    </row>
    <row r="616" spans="8:8" ht="32.25" customHeight="1">
      <c r="A616" s="11">
        <v>5.0</v>
      </c>
      <c r="B616" s="12" t="s">
        <v>649</v>
      </c>
      <c r="C616" s="13">
        <v>251002.0</v>
      </c>
      <c r="D616" s="12" t="s">
        <v>56</v>
      </c>
      <c r="E616" s="13" t="s">
        <v>580</v>
      </c>
      <c r="F616" s="14">
        <v>0.4166666666666667</v>
      </c>
      <c r="G616" s="13"/>
    </row>
    <row r="617" spans="8:8" ht="32.25" customHeight="1">
      <c r="A617" s="11">
        <v>6.0</v>
      </c>
      <c r="B617" s="23" t="s">
        <v>650</v>
      </c>
      <c r="C617" s="24">
        <v>251927.0</v>
      </c>
      <c r="D617" s="19" t="s">
        <v>104</v>
      </c>
      <c r="E617" s="20" t="s">
        <v>580</v>
      </c>
      <c r="F617" s="14">
        <v>0.4166666666666667</v>
      </c>
      <c r="G617" s="20"/>
    </row>
    <row r="618" spans="8:8" ht="32.25" customHeight="1">
      <c r="A618" s="11">
        <v>7.0</v>
      </c>
      <c r="B618" s="19" t="s">
        <v>651</v>
      </c>
      <c r="C618" s="20">
        <v>240967.0</v>
      </c>
      <c r="D618" s="19" t="s">
        <v>606</v>
      </c>
      <c r="E618" s="20" t="s">
        <v>580</v>
      </c>
      <c r="F618" s="14">
        <v>0.4166666666666667</v>
      </c>
      <c r="G618" s="20"/>
    </row>
    <row r="619" spans="8:8" ht="32.25" customHeight="1">
      <c r="A619" s="11">
        <v>8.0</v>
      </c>
      <c r="B619" s="12" t="s">
        <v>652</v>
      </c>
      <c r="C619" s="13">
        <v>250691.0</v>
      </c>
      <c r="D619" s="12" t="s">
        <v>56</v>
      </c>
      <c r="E619" s="13" t="s">
        <v>580</v>
      </c>
      <c r="F619" s="14">
        <v>0.4166666666666667</v>
      </c>
      <c r="G619" s="13"/>
    </row>
    <row r="620" spans="8:8" ht="32.25" customHeight="1">
      <c r="A620" s="11">
        <v>9.0</v>
      </c>
      <c r="B620" s="12" t="s">
        <v>653</v>
      </c>
      <c r="C620" s="13">
        <v>250699.0</v>
      </c>
      <c r="D620" s="12" t="s">
        <v>56</v>
      </c>
      <c r="E620" s="13" t="s">
        <v>580</v>
      </c>
      <c r="F620" s="14">
        <v>0.4166666666666667</v>
      </c>
      <c r="G620" s="13"/>
    </row>
    <row r="621" spans="8:8" ht="32.25" customHeight="1">
      <c r="A621" s="11">
        <v>10.0</v>
      </c>
      <c r="B621" s="12" t="s">
        <v>654</v>
      </c>
      <c r="C621" s="13">
        <v>250655.0</v>
      </c>
      <c r="D621" s="12" t="s">
        <v>56</v>
      </c>
      <c r="E621" s="13" t="s">
        <v>580</v>
      </c>
      <c r="F621" s="14">
        <v>0.4166666666666667</v>
      </c>
      <c r="G621" s="13"/>
    </row>
    <row r="622" spans="8:8" ht="32.25" customHeight="1">
      <c r="A622" s="11">
        <v>11.0</v>
      </c>
      <c r="B622" s="12" t="s">
        <v>655</v>
      </c>
      <c r="C622" s="13">
        <v>250686.0</v>
      </c>
      <c r="D622" s="12" t="s">
        <v>56</v>
      </c>
      <c r="E622" s="13" t="s">
        <v>580</v>
      </c>
      <c r="F622" s="14">
        <v>0.4166666666666667</v>
      </c>
      <c r="G622" s="13"/>
    </row>
    <row r="623" spans="8:8" ht="32.25" customHeight="1">
      <c r="A623" s="11">
        <v>12.0</v>
      </c>
      <c r="B623" s="12" t="s">
        <v>656</v>
      </c>
      <c r="C623" s="13">
        <v>250696.0</v>
      </c>
      <c r="D623" s="12" t="s">
        <v>56</v>
      </c>
      <c r="E623" s="13" t="s">
        <v>580</v>
      </c>
      <c r="F623" s="14">
        <v>0.4166666666666667</v>
      </c>
      <c r="G623" s="13"/>
    </row>
    <row r="624" spans="8:8" ht="32.25" customHeight="1">
      <c r="A624" s="11">
        <v>13.0</v>
      </c>
      <c r="B624" s="12" t="s">
        <v>657</v>
      </c>
      <c r="C624" s="13">
        <v>250717.0</v>
      </c>
      <c r="D624" s="12" t="s">
        <v>56</v>
      </c>
      <c r="E624" s="13" t="s">
        <v>580</v>
      </c>
      <c r="F624" s="14">
        <v>0.4166666666666667</v>
      </c>
      <c r="G624" s="13"/>
    </row>
    <row r="625" spans="8:8" ht="32.25" customHeight="1">
      <c r="A625" s="11">
        <v>14.0</v>
      </c>
      <c r="B625" s="21" t="s">
        <v>658</v>
      </c>
      <c r="C625" s="22">
        <v>241091.0</v>
      </c>
      <c r="D625" s="21" t="s">
        <v>606</v>
      </c>
      <c r="E625" s="22" t="s">
        <v>580</v>
      </c>
      <c r="F625" s="14">
        <v>0.4166666666666667</v>
      </c>
      <c r="G625" s="22"/>
    </row>
    <row r="626" spans="8:8" ht="32.25" customHeight="1">
      <c r="A626" s="11">
        <v>15.0</v>
      </c>
      <c r="B626" s="12" t="s">
        <v>659</v>
      </c>
      <c r="C626" s="13">
        <v>250722.0</v>
      </c>
      <c r="D626" s="12" t="s">
        <v>56</v>
      </c>
      <c r="E626" s="13" t="s">
        <v>580</v>
      </c>
      <c r="F626" s="14">
        <v>0.4166666666666667</v>
      </c>
      <c r="G626" s="13"/>
    </row>
    <row r="627" spans="8:8" ht="32.25" customHeight="1">
      <c r="A627" s="11">
        <v>16.0</v>
      </c>
      <c r="B627" s="12" t="s">
        <v>660</v>
      </c>
      <c r="C627" s="13">
        <v>250723.0</v>
      </c>
      <c r="D627" s="12" t="s">
        <v>56</v>
      </c>
      <c r="E627" s="13" t="s">
        <v>580</v>
      </c>
      <c r="F627" s="14">
        <v>0.4166666666666667</v>
      </c>
      <c r="G627" s="13"/>
    </row>
    <row r="628" spans="8:8" ht="32.25" customHeight="1">
      <c r="A628" s="11">
        <v>17.0</v>
      </c>
      <c r="B628" s="12" t="s">
        <v>661</v>
      </c>
      <c r="C628" s="13">
        <v>250726.0</v>
      </c>
      <c r="D628" s="12" t="s">
        <v>56</v>
      </c>
      <c r="E628" s="13" t="s">
        <v>580</v>
      </c>
      <c r="F628" s="14">
        <v>0.4166666666666667</v>
      </c>
      <c r="G628" s="13"/>
    </row>
    <row r="629" spans="8:8" ht="32.25" customHeight="1">
      <c r="A629" s="11">
        <v>18.0</v>
      </c>
      <c r="B629" s="12" t="s">
        <v>662</v>
      </c>
      <c r="C629" s="13">
        <v>250727.0</v>
      </c>
      <c r="D629" s="12" t="s">
        <v>56</v>
      </c>
      <c r="E629" s="13" t="s">
        <v>580</v>
      </c>
      <c r="F629" s="14">
        <v>0.4166666666666667</v>
      </c>
      <c r="G629" s="13"/>
    </row>
    <row r="630" spans="8:8" ht="32.25" customHeight="1">
      <c r="A630" s="11">
        <v>19.0</v>
      </c>
      <c r="B630" s="12" t="s">
        <v>663</v>
      </c>
      <c r="C630" s="13">
        <v>250733.0</v>
      </c>
      <c r="D630" s="12" t="s">
        <v>56</v>
      </c>
      <c r="E630" s="13" t="s">
        <v>580</v>
      </c>
      <c r="F630" s="14">
        <v>0.4166666666666667</v>
      </c>
      <c r="G630" s="13"/>
    </row>
    <row r="631" spans="8:8" ht="32.25" customHeight="1">
      <c r="A631" s="11">
        <v>20.0</v>
      </c>
      <c r="B631" s="12" t="s">
        <v>664</v>
      </c>
      <c r="C631" s="13">
        <v>250734.0</v>
      </c>
      <c r="D631" s="12" t="s">
        <v>56</v>
      </c>
      <c r="E631" s="13" t="s">
        <v>580</v>
      </c>
      <c r="F631" s="14">
        <v>0.4166666666666667</v>
      </c>
      <c r="G631" s="13"/>
    </row>
    <row r="632" spans="8:8" ht="32.25" customHeight="1">
      <c r="A632" s="11">
        <v>21.0</v>
      </c>
      <c r="B632" s="12" t="s">
        <v>665</v>
      </c>
      <c r="C632" s="13">
        <v>250737.0</v>
      </c>
      <c r="D632" s="12" t="s">
        <v>56</v>
      </c>
      <c r="E632" s="13" t="s">
        <v>580</v>
      </c>
      <c r="F632" s="14">
        <v>0.4166666666666667</v>
      </c>
      <c r="G632" s="13"/>
    </row>
    <row r="633" spans="8:8" ht="32.25" customHeight="1">
      <c r="A633" s="11">
        <v>22.0</v>
      </c>
      <c r="B633" s="12" t="s">
        <v>666</v>
      </c>
      <c r="C633" s="13">
        <v>250738.0</v>
      </c>
      <c r="D633" s="12" t="s">
        <v>56</v>
      </c>
      <c r="E633" s="13" t="s">
        <v>580</v>
      </c>
      <c r="F633" s="14">
        <v>0.4166666666666667</v>
      </c>
      <c r="G633" s="13"/>
    </row>
    <row r="634" spans="8:8" ht="32.25" customHeight="1">
      <c r="A634" s="11">
        <v>23.0</v>
      </c>
      <c r="B634" s="12" t="s">
        <v>667</v>
      </c>
      <c r="C634" s="13">
        <v>250739.0</v>
      </c>
      <c r="D634" s="12" t="s">
        <v>56</v>
      </c>
      <c r="E634" s="13" t="s">
        <v>580</v>
      </c>
      <c r="F634" s="14">
        <v>0.4166666666666667</v>
      </c>
      <c r="G634" s="13"/>
    </row>
    <row r="635" spans="8:8" ht="32.25" customHeight="1">
      <c r="A635" s="11">
        <v>24.0</v>
      </c>
      <c r="B635" s="12" t="s">
        <v>668</v>
      </c>
      <c r="C635" s="13">
        <v>250743.0</v>
      </c>
      <c r="D635" s="12" t="s">
        <v>56</v>
      </c>
      <c r="E635" s="13" t="s">
        <v>580</v>
      </c>
      <c r="F635" s="14">
        <v>0.4166666666666667</v>
      </c>
      <c r="G635" s="13"/>
    </row>
    <row r="636" spans="8:8" ht="32.25" customHeight="1">
      <c r="A636" s="11">
        <v>25.0</v>
      </c>
      <c r="B636" s="12" t="s">
        <v>669</v>
      </c>
      <c r="C636" s="13">
        <v>250745.0</v>
      </c>
      <c r="D636" s="12" t="s">
        <v>56</v>
      </c>
      <c r="E636" s="13" t="s">
        <v>580</v>
      </c>
      <c r="F636" s="14">
        <v>0.4166666666666667</v>
      </c>
      <c r="G636" s="13"/>
    </row>
    <row r="637" spans="8:8" ht="32.25" customHeight="1">
      <c r="A637" s="11">
        <v>26.0</v>
      </c>
      <c r="B637" s="12" t="s">
        <v>670</v>
      </c>
      <c r="C637" s="13">
        <v>240907.0</v>
      </c>
      <c r="D637" s="12" t="s">
        <v>606</v>
      </c>
      <c r="E637" s="13" t="s">
        <v>580</v>
      </c>
      <c r="F637" s="14">
        <v>0.4166666666666667</v>
      </c>
      <c r="G637" s="13"/>
    </row>
    <row r="638" spans="8:8" ht="32.25" customHeight="1">
      <c r="A638" s="11">
        <v>27.0</v>
      </c>
      <c r="B638" s="12" t="s">
        <v>671</v>
      </c>
      <c r="C638" s="13">
        <v>241012.0</v>
      </c>
      <c r="D638" s="12" t="s">
        <v>606</v>
      </c>
      <c r="E638" s="13" t="s">
        <v>580</v>
      </c>
      <c r="F638" s="14">
        <v>0.4166666666666667</v>
      </c>
      <c r="G638" s="13"/>
    </row>
    <row r="639" spans="8:8" ht="32.25" customHeight="1">
      <c r="A639" s="11">
        <v>28.0</v>
      </c>
      <c r="B639" s="12" t="s">
        <v>672</v>
      </c>
      <c r="C639" s="13">
        <v>241018.0</v>
      </c>
      <c r="D639" s="12" t="s">
        <v>606</v>
      </c>
      <c r="E639" s="13" t="s">
        <v>580</v>
      </c>
      <c r="F639" s="14">
        <v>0.4166666666666667</v>
      </c>
      <c r="G639" s="13"/>
    </row>
    <row r="640" spans="8:8" ht="32.25" customHeight="1">
      <c r="A640" s="11">
        <v>29.0</v>
      </c>
      <c r="B640" s="12" t="s">
        <v>673</v>
      </c>
      <c r="C640" s="13">
        <v>240481.0</v>
      </c>
      <c r="D640" s="12" t="s">
        <v>606</v>
      </c>
      <c r="E640" s="13" t="s">
        <v>580</v>
      </c>
      <c r="F640" s="14">
        <v>0.4166666666666667</v>
      </c>
      <c r="G640" s="13"/>
    </row>
    <row r="641" spans="8:8" ht="32.25" customHeight="1">
      <c r="A641" s="11">
        <v>30.0</v>
      </c>
      <c r="B641" s="12" t="s">
        <v>674</v>
      </c>
      <c r="C641" s="13">
        <v>241079.0</v>
      </c>
      <c r="D641" s="12" t="s">
        <v>606</v>
      </c>
      <c r="E641" s="13" t="s">
        <v>580</v>
      </c>
      <c r="F641" s="14">
        <v>0.4166666666666667</v>
      </c>
      <c r="G641" s="13"/>
    </row>
    <row r="642" spans="8:8" ht="32.25" customHeight="1">
      <c r="A642" s="8" t="s">
        <v>18</v>
      </c>
      <c r="B642" s="9" t="s">
        <v>19</v>
      </c>
      <c r="C642" s="9" t="s">
        <v>20</v>
      </c>
      <c r="D642" s="9" t="s">
        <v>21</v>
      </c>
      <c r="E642" s="9" t="s">
        <v>22</v>
      </c>
      <c r="F642" s="10" t="s">
        <v>23</v>
      </c>
      <c r="G642" s="9" t="s">
        <v>675</v>
      </c>
    </row>
    <row r="643" spans="8:8" ht="32.25" customHeight="1">
      <c r="A643" s="11">
        <v>1.0</v>
      </c>
      <c r="B643" s="12" t="s">
        <v>676</v>
      </c>
      <c r="C643" s="13">
        <v>250756.0</v>
      </c>
      <c r="D643" s="12" t="s">
        <v>56</v>
      </c>
      <c r="E643" s="13" t="s">
        <v>580</v>
      </c>
      <c r="F643" s="14">
        <v>0.4166666666666667</v>
      </c>
      <c r="G643" s="13"/>
    </row>
    <row r="644" spans="8:8" ht="32.25" customHeight="1">
      <c r="A644" s="11">
        <v>2.0</v>
      </c>
      <c r="B644" s="12" t="s">
        <v>677</v>
      </c>
      <c r="C644" s="13">
        <v>250669.0</v>
      </c>
      <c r="D644" s="12" t="s">
        <v>56</v>
      </c>
      <c r="E644" s="13" t="s">
        <v>580</v>
      </c>
      <c r="F644" s="14">
        <v>0.4166666666666667</v>
      </c>
      <c r="G644" s="13"/>
    </row>
    <row r="645" spans="8:8" ht="32.25" customHeight="1">
      <c r="A645" s="11">
        <v>3.0</v>
      </c>
      <c r="B645" s="12" t="s">
        <v>678</v>
      </c>
      <c r="C645" s="13">
        <v>250752.0</v>
      </c>
      <c r="D645" s="12" t="s">
        <v>56</v>
      </c>
      <c r="E645" s="13" t="s">
        <v>580</v>
      </c>
      <c r="F645" s="14">
        <v>0.4166666666666667</v>
      </c>
      <c r="G645" s="13"/>
    </row>
    <row r="646" spans="8:8" ht="32.25" customHeight="1">
      <c r="A646" s="11">
        <v>4.0</v>
      </c>
      <c r="B646" s="12" t="s">
        <v>679</v>
      </c>
      <c r="C646" s="13">
        <v>250761.0</v>
      </c>
      <c r="D646" s="12" t="s">
        <v>56</v>
      </c>
      <c r="E646" s="13" t="s">
        <v>580</v>
      </c>
      <c r="F646" s="14">
        <v>0.4166666666666667</v>
      </c>
      <c r="G646" s="13"/>
    </row>
    <row r="647" spans="8:8" ht="32.25" customHeight="1">
      <c r="A647" s="11">
        <v>5.0</v>
      </c>
      <c r="B647" s="12" t="s">
        <v>680</v>
      </c>
      <c r="C647" s="13">
        <v>251223.0</v>
      </c>
      <c r="D647" s="12" t="s">
        <v>56</v>
      </c>
      <c r="E647" s="13" t="s">
        <v>580</v>
      </c>
      <c r="F647" s="14">
        <v>0.4166666666666667</v>
      </c>
      <c r="G647" s="13"/>
    </row>
    <row r="648" spans="8:8" ht="32.25" customHeight="1">
      <c r="A648" s="11">
        <v>6.0</v>
      </c>
      <c r="B648" s="12" t="s">
        <v>681</v>
      </c>
      <c r="C648" s="13">
        <v>251227.0</v>
      </c>
      <c r="D648" s="12" t="s">
        <v>56</v>
      </c>
      <c r="E648" s="13" t="s">
        <v>580</v>
      </c>
      <c r="F648" s="14">
        <v>0.4166666666666667</v>
      </c>
      <c r="G648" s="13"/>
    </row>
    <row r="649" spans="8:8" ht="32.25" customHeight="1">
      <c r="A649" s="11">
        <v>7.0</v>
      </c>
      <c r="B649" s="12" t="s">
        <v>682</v>
      </c>
      <c r="C649" s="13">
        <v>252871.0</v>
      </c>
      <c r="D649" s="12" t="s">
        <v>56</v>
      </c>
      <c r="E649" s="13" t="s">
        <v>580</v>
      </c>
      <c r="F649" s="14">
        <v>0.4166666666666667</v>
      </c>
      <c r="G649" s="13"/>
    </row>
    <row r="650" spans="8:8" ht="32.25" customHeight="1">
      <c r="A650" s="11">
        <v>8.0</v>
      </c>
      <c r="B650" s="12" t="s">
        <v>683</v>
      </c>
      <c r="C650" s="13">
        <v>251222.0</v>
      </c>
      <c r="D650" s="12" t="s">
        <v>56</v>
      </c>
      <c r="E650" s="13" t="s">
        <v>580</v>
      </c>
      <c r="F650" s="14">
        <v>0.4166666666666667</v>
      </c>
      <c r="G650" s="13"/>
    </row>
    <row r="651" spans="8:8" ht="32.25" customHeight="1">
      <c r="A651" s="11">
        <v>9.0</v>
      </c>
      <c r="B651" s="12" t="s">
        <v>684</v>
      </c>
      <c r="C651" s="13">
        <v>251230.0</v>
      </c>
      <c r="D651" s="12" t="s">
        <v>56</v>
      </c>
      <c r="E651" s="13" t="s">
        <v>580</v>
      </c>
      <c r="F651" s="14">
        <v>0.4166666666666667</v>
      </c>
      <c r="G651" s="13"/>
    </row>
    <row r="652" spans="8:8" ht="32.25" customHeight="1">
      <c r="A652" s="11">
        <v>10.0</v>
      </c>
      <c r="B652" s="12" t="s">
        <v>685</v>
      </c>
      <c r="C652" s="13">
        <v>251214.0</v>
      </c>
      <c r="D652" s="12" t="s">
        <v>56</v>
      </c>
      <c r="E652" s="13" t="s">
        <v>580</v>
      </c>
      <c r="F652" s="14">
        <v>0.4166666666666667</v>
      </c>
      <c r="G652" s="13"/>
    </row>
    <row r="653" spans="8:8" ht="32.25" customHeight="1">
      <c r="A653" s="11">
        <v>11.0</v>
      </c>
      <c r="B653" s="12" t="s">
        <v>686</v>
      </c>
      <c r="C653" s="13">
        <v>251120.0</v>
      </c>
      <c r="D653" s="12" t="s">
        <v>56</v>
      </c>
      <c r="E653" s="13" t="s">
        <v>580</v>
      </c>
      <c r="F653" s="14">
        <v>0.4166666666666667</v>
      </c>
      <c r="G653" s="13"/>
    </row>
    <row r="654" spans="8:8" ht="32.25" customHeight="1">
      <c r="A654" s="11">
        <v>12.0</v>
      </c>
      <c r="B654" s="12" t="s">
        <v>687</v>
      </c>
      <c r="C654" s="13">
        <v>240915.0</v>
      </c>
      <c r="D654" s="12" t="s">
        <v>606</v>
      </c>
      <c r="E654" s="13" t="s">
        <v>580</v>
      </c>
      <c r="F654" s="14">
        <v>0.4166666666666667</v>
      </c>
      <c r="G654" s="13"/>
    </row>
    <row r="655" spans="8:8" ht="32.25" customHeight="1">
      <c r="A655" s="11">
        <v>13.0</v>
      </c>
      <c r="B655" s="12" t="s">
        <v>688</v>
      </c>
      <c r="C655" s="13">
        <v>250646.0</v>
      </c>
      <c r="D655" s="12" t="s">
        <v>56</v>
      </c>
      <c r="E655" s="13" t="s">
        <v>580</v>
      </c>
      <c r="F655" s="14">
        <v>0.4166666666666667</v>
      </c>
      <c r="G655" s="13"/>
    </row>
    <row r="656" spans="8:8" ht="32.25" customHeight="1">
      <c r="A656" s="11">
        <v>14.0</v>
      </c>
      <c r="B656" s="12" t="s">
        <v>689</v>
      </c>
      <c r="C656" s="13">
        <v>250759.0</v>
      </c>
      <c r="D656" s="12" t="s">
        <v>56</v>
      </c>
      <c r="E656" s="13" t="s">
        <v>580</v>
      </c>
      <c r="F656" s="14">
        <v>0.4166666666666667</v>
      </c>
      <c r="G656" s="13"/>
    </row>
    <row r="657" spans="8:8" ht="32.25" customHeight="1">
      <c r="A657" s="11">
        <v>15.0</v>
      </c>
      <c r="B657" s="12" t="s">
        <v>690</v>
      </c>
      <c r="C657" s="13">
        <v>250770.0</v>
      </c>
      <c r="D657" s="12" t="s">
        <v>56</v>
      </c>
      <c r="E657" s="13" t="s">
        <v>580</v>
      </c>
      <c r="F657" s="14">
        <v>0.4166666666666667</v>
      </c>
      <c r="G657" s="13"/>
    </row>
    <row r="658" spans="8:8" ht="32.25" customHeight="1">
      <c r="A658" s="11">
        <v>16.0</v>
      </c>
      <c r="B658" s="12" t="s">
        <v>691</v>
      </c>
      <c r="C658" s="13">
        <v>250771.0</v>
      </c>
      <c r="D658" s="12" t="s">
        <v>56</v>
      </c>
      <c r="E658" s="13" t="s">
        <v>580</v>
      </c>
      <c r="F658" s="14">
        <v>0.4166666666666667</v>
      </c>
      <c r="G658" s="13"/>
    </row>
    <row r="659" spans="8:8" ht="32.25" customHeight="1">
      <c r="A659" s="11">
        <v>17.0</v>
      </c>
      <c r="B659" s="12" t="s">
        <v>692</v>
      </c>
      <c r="C659" s="13">
        <v>250778.0</v>
      </c>
      <c r="D659" s="12" t="s">
        <v>56</v>
      </c>
      <c r="E659" s="13" t="s">
        <v>580</v>
      </c>
      <c r="F659" s="14">
        <v>0.4166666666666667</v>
      </c>
      <c r="G659" s="13"/>
    </row>
    <row r="660" spans="8:8" ht="32.25" customHeight="1">
      <c r="A660" s="11">
        <v>18.0</v>
      </c>
      <c r="B660" s="12" t="s">
        <v>693</v>
      </c>
      <c r="C660" s="13">
        <v>250782.0</v>
      </c>
      <c r="D660" s="12" t="s">
        <v>56</v>
      </c>
      <c r="E660" s="13" t="s">
        <v>580</v>
      </c>
      <c r="F660" s="14">
        <v>0.4166666666666667</v>
      </c>
      <c r="G660" s="13"/>
    </row>
    <row r="661" spans="8:8" ht="32.25" customHeight="1">
      <c r="A661" s="11">
        <v>19.0</v>
      </c>
      <c r="B661" s="12" t="s">
        <v>694</v>
      </c>
      <c r="C661" s="13">
        <v>250785.0</v>
      </c>
      <c r="D661" s="12" t="s">
        <v>56</v>
      </c>
      <c r="E661" s="13" t="s">
        <v>580</v>
      </c>
      <c r="F661" s="14">
        <v>0.4166666666666667</v>
      </c>
      <c r="G661" s="13"/>
    </row>
    <row r="662" spans="8:8" ht="32.25" customHeight="1">
      <c r="A662" s="11">
        <v>20.0</v>
      </c>
      <c r="B662" s="12" t="s">
        <v>695</v>
      </c>
      <c r="C662" s="13">
        <v>250789.0</v>
      </c>
      <c r="D662" s="12" t="s">
        <v>56</v>
      </c>
      <c r="E662" s="13" t="s">
        <v>580</v>
      </c>
      <c r="F662" s="14">
        <v>0.4166666666666667</v>
      </c>
      <c r="G662" s="13"/>
    </row>
    <row r="663" spans="8:8" ht="32.25" customHeight="1">
      <c r="A663" s="11">
        <v>21.0</v>
      </c>
      <c r="B663" s="12" t="s">
        <v>696</v>
      </c>
      <c r="C663" s="13">
        <v>250801.0</v>
      </c>
      <c r="D663" s="12" t="s">
        <v>56</v>
      </c>
      <c r="E663" s="13" t="s">
        <v>580</v>
      </c>
      <c r="F663" s="14">
        <v>0.4166666666666667</v>
      </c>
      <c r="G663" s="13"/>
    </row>
    <row r="664" spans="8:8" ht="32.25" customHeight="1">
      <c r="A664" s="11">
        <v>22.0</v>
      </c>
      <c r="B664" s="12" t="s">
        <v>697</v>
      </c>
      <c r="C664" s="13">
        <v>250803.0</v>
      </c>
      <c r="D664" s="12" t="s">
        <v>56</v>
      </c>
      <c r="E664" s="13" t="s">
        <v>580</v>
      </c>
      <c r="F664" s="14">
        <v>0.4166666666666667</v>
      </c>
      <c r="G664" s="13"/>
    </row>
    <row r="665" spans="8:8" ht="32.25" customHeight="1">
      <c r="A665" s="11">
        <v>23.0</v>
      </c>
      <c r="B665" s="12" t="s">
        <v>698</v>
      </c>
      <c r="C665" s="13">
        <v>250831.0</v>
      </c>
      <c r="D665" s="12" t="s">
        <v>56</v>
      </c>
      <c r="E665" s="13" t="s">
        <v>580</v>
      </c>
      <c r="F665" s="14">
        <v>0.4166666666666667</v>
      </c>
      <c r="G665" s="13"/>
    </row>
    <row r="666" spans="8:8" ht="32.25" customHeight="1">
      <c r="A666" s="11">
        <v>24.0</v>
      </c>
      <c r="B666" s="12" t="s">
        <v>699</v>
      </c>
      <c r="C666" s="13">
        <v>250832.0</v>
      </c>
      <c r="D666" s="12" t="s">
        <v>56</v>
      </c>
      <c r="E666" s="13" t="s">
        <v>580</v>
      </c>
      <c r="F666" s="14">
        <v>0.4166666666666667</v>
      </c>
      <c r="G666" s="13"/>
    </row>
    <row r="667" spans="8:8" ht="32.25" customHeight="1">
      <c r="A667" s="11">
        <v>25.0</v>
      </c>
      <c r="B667" s="12" t="s">
        <v>700</v>
      </c>
      <c r="C667" s="13">
        <v>250829.0</v>
      </c>
      <c r="D667" s="12" t="s">
        <v>56</v>
      </c>
      <c r="E667" s="13" t="s">
        <v>580</v>
      </c>
      <c r="F667" s="14">
        <v>0.4166666666666667</v>
      </c>
      <c r="G667" s="13"/>
    </row>
    <row r="668" spans="8:8" ht="32.25" customHeight="1">
      <c r="A668" s="8" t="s">
        <v>18</v>
      </c>
      <c r="B668" s="9" t="s">
        <v>19</v>
      </c>
      <c r="C668" s="9" t="s">
        <v>20</v>
      </c>
      <c r="D668" s="9" t="s">
        <v>21</v>
      </c>
      <c r="E668" s="9" t="s">
        <v>22</v>
      </c>
      <c r="F668" s="10" t="s">
        <v>23</v>
      </c>
      <c r="G668" s="9" t="s">
        <v>701</v>
      </c>
    </row>
    <row r="669" spans="8:8" ht="32.25" customHeight="1">
      <c r="A669" s="11">
        <v>1.0</v>
      </c>
      <c r="B669" s="12" t="s">
        <v>702</v>
      </c>
      <c r="C669" s="13">
        <v>250835.0</v>
      </c>
      <c r="D669" s="12" t="s">
        <v>56</v>
      </c>
      <c r="E669" s="13" t="s">
        <v>580</v>
      </c>
      <c r="F669" s="14">
        <v>0.4166666666666667</v>
      </c>
      <c r="G669" s="13"/>
    </row>
    <row r="670" spans="8:8" ht="32.25" customHeight="1">
      <c r="A670" s="11">
        <v>2.0</v>
      </c>
      <c r="B670" s="12" t="s">
        <v>703</v>
      </c>
      <c r="C670" s="13">
        <v>250839.0</v>
      </c>
      <c r="D670" s="12" t="s">
        <v>56</v>
      </c>
      <c r="E670" s="13" t="s">
        <v>580</v>
      </c>
      <c r="F670" s="14">
        <v>0.4166666666666667</v>
      </c>
      <c r="G670" s="13"/>
    </row>
    <row r="671" spans="8:8" ht="32.25" customHeight="1">
      <c r="A671" s="11">
        <v>3.0</v>
      </c>
      <c r="B671" s="12" t="s">
        <v>704</v>
      </c>
      <c r="C671" s="13">
        <v>250846.0</v>
      </c>
      <c r="D671" s="12" t="s">
        <v>56</v>
      </c>
      <c r="E671" s="13" t="s">
        <v>580</v>
      </c>
      <c r="F671" s="14">
        <v>0.4166666666666667</v>
      </c>
      <c r="G671" s="13"/>
    </row>
    <row r="672" spans="8:8" ht="32.25" customHeight="1">
      <c r="A672" s="11">
        <v>4.0</v>
      </c>
      <c r="B672" s="12" t="s">
        <v>705</v>
      </c>
      <c r="C672" s="13">
        <v>250847.0</v>
      </c>
      <c r="D672" s="12" t="s">
        <v>56</v>
      </c>
      <c r="E672" s="13" t="s">
        <v>580</v>
      </c>
      <c r="F672" s="14">
        <v>0.4166666666666667</v>
      </c>
      <c r="G672" s="13"/>
    </row>
    <row r="673" spans="8:8" ht="32.25" customHeight="1">
      <c r="A673" s="11">
        <v>5.0</v>
      </c>
      <c r="B673" s="12" t="s">
        <v>706</v>
      </c>
      <c r="C673" s="13">
        <v>250849.0</v>
      </c>
      <c r="D673" s="12" t="s">
        <v>56</v>
      </c>
      <c r="E673" s="13" t="s">
        <v>580</v>
      </c>
      <c r="F673" s="14">
        <v>0.4166666666666667</v>
      </c>
      <c r="G673" s="13"/>
    </row>
    <row r="674" spans="8:8" ht="32.25" customHeight="1">
      <c r="A674" s="11">
        <v>6.0</v>
      </c>
      <c r="B674" s="12" t="s">
        <v>707</v>
      </c>
      <c r="C674" s="13">
        <v>250851.0</v>
      </c>
      <c r="D674" s="12" t="s">
        <v>56</v>
      </c>
      <c r="E674" s="13" t="s">
        <v>580</v>
      </c>
      <c r="F674" s="14">
        <v>0.4166666666666667</v>
      </c>
      <c r="G674" s="13"/>
    </row>
    <row r="675" spans="8:8" ht="32.25" customHeight="1">
      <c r="A675" s="11">
        <v>7.0</v>
      </c>
      <c r="B675" s="12" t="s">
        <v>708</v>
      </c>
      <c r="C675" s="13">
        <v>250856.0</v>
      </c>
      <c r="D675" s="12" t="s">
        <v>56</v>
      </c>
      <c r="E675" s="13" t="s">
        <v>580</v>
      </c>
      <c r="F675" s="14">
        <v>0.4166666666666667</v>
      </c>
      <c r="G675" s="13"/>
    </row>
    <row r="676" spans="8:8" ht="32.25" customHeight="1">
      <c r="A676" s="11">
        <v>8.0</v>
      </c>
      <c r="B676" s="12" t="s">
        <v>709</v>
      </c>
      <c r="C676" s="13">
        <v>250864.0</v>
      </c>
      <c r="D676" s="12" t="s">
        <v>56</v>
      </c>
      <c r="E676" s="13" t="s">
        <v>580</v>
      </c>
      <c r="F676" s="14">
        <v>0.4166666666666667</v>
      </c>
      <c r="G676" s="13"/>
    </row>
    <row r="677" spans="8:8" ht="32.25" customHeight="1">
      <c r="A677" s="11">
        <v>9.0</v>
      </c>
      <c r="B677" s="12" t="s">
        <v>710</v>
      </c>
      <c r="C677" s="13">
        <v>250869.0</v>
      </c>
      <c r="D677" s="12" t="s">
        <v>56</v>
      </c>
      <c r="E677" s="13" t="s">
        <v>580</v>
      </c>
      <c r="F677" s="14">
        <v>0.4166666666666667</v>
      </c>
      <c r="G677" s="13"/>
    </row>
    <row r="678" spans="8:8" ht="32.25" customHeight="1">
      <c r="A678" s="11">
        <v>10.0</v>
      </c>
      <c r="B678" s="12" t="s">
        <v>711</v>
      </c>
      <c r="C678" s="13">
        <v>250884.0</v>
      </c>
      <c r="D678" s="12" t="s">
        <v>56</v>
      </c>
      <c r="E678" s="13" t="s">
        <v>580</v>
      </c>
      <c r="F678" s="14">
        <v>0.4166666666666667</v>
      </c>
      <c r="G678" s="13"/>
    </row>
    <row r="679" spans="8:8" ht="32.25" customHeight="1">
      <c r="A679" s="11">
        <v>11.0</v>
      </c>
      <c r="B679" s="12" t="s">
        <v>712</v>
      </c>
      <c r="C679" s="13">
        <v>250882.0</v>
      </c>
      <c r="D679" s="12" t="s">
        <v>56</v>
      </c>
      <c r="E679" s="13" t="s">
        <v>580</v>
      </c>
      <c r="F679" s="14">
        <v>0.4166666666666667</v>
      </c>
      <c r="G679" s="13"/>
    </row>
    <row r="680" spans="8:8" ht="32.25" customHeight="1">
      <c r="A680" s="11">
        <v>12.0</v>
      </c>
      <c r="B680" s="12" t="s">
        <v>713</v>
      </c>
      <c r="C680" s="13">
        <v>253150.0</v>
      </c>
      <c r="D680" s="12" t="s">
        <v>56</v>
      </c>
      <c r="E680" s="13" t="s">
        <v>580</v>
      </c>
      <c r="F680" s="14">
        <v>0.4166666666666667</v>
      </c>
      <c r="G680" s="13"/>
    </row>
    <row r="681" spans="8:8" ht="32.25" customHeight="1">
      <c r="A681" s="11">
        <v>13.0</v>
      </c>
      <c r="B681" s="12" t="s">
        <v>714</v>
      </c>
      <c r="C681" s="13">
        <v>240810.0</v>
      </c>
      <c r="D681" s="12" t="s">
        <v>606</v>
      </c>
      <c r="E681" s="13" t="s">
        <v>580</v>
      </c>
      <c r="F681" s="14">
        <v>0.4166666666666667</v>
      </c>
      <c r="G681" s="13"/>
    </row>
    <row r="682" spans="8:8" ht="32.25" customHeight="1">
      <c r="A682" s="11">
        <v>14.0</v>
      </c>
      <c r="B682" s="12" t="s">
        <v>715</v>
      </c>
      <c r="C682" s="13">
        <v>240930.0</v>
      </c>
      <c r="D682" s="12" t="s">
        <v>606</v>
      </c>
      <c r="E682" s="13" t="s">
        <v>580</v>
      </c>
      <c r="F682" s="14">
        <v>0.4166666666666667</v>
      </c>
      <c r="G682" s="13"/>
    </row>
    <row r="683" spans="8:8" ht="32.25" customHeight="1">
      <c r="A683" s="11">
        <v>15.0</v>
      </c>
      <c r="B683" s="12" t="s">
        <v>716</v>
      </c>
      <c r="C683" s="13">
        <v>251220.0</v>
      </c>
      <c r="D683" s="12" t="s">
        <v>56</v>
      </c>
      <c r="E683" s="13" t="s">
        <v>580</v>
      </c>
      <c r="F683" s="14">
        <v>0.4166666666666667</v>
      </c>
      <c r="G683" s="13"/>
    </row>
    <row r="684" spans="8:8" ht="32.25" customHeight="1">
      <c r="A684" s="11">
        <v>16.0</v>
      </c>
      <c r="B684" s="12" t="s">
        <v>717</v>
      </c>
      <c r="C684" s="13">
        <v>251219.0</v>
      </c>
      <c r="D684" s="12" t="s">
        <v>56</v>
      </c>
      <c r="E684" s="13" t="s">
        <v>580</v>
      </c>
      <c r="F684" s="14">
        <v>0.4166666666666667</v>
      </c>
      <c r="G684" s="13"/>
    </row>
    <row r="685" spans="8:8" ht="32.25" customHeight="1">
      <c r="A685" s="11">
        <v>17.0</v>
      </c>
      <c r="B685" s="12" t="s">
        <v>718</v>
      </c>
      <c r="C685" s="13">
        <v>251229.0</v>
      </c>
      <c r="D685" s="12" t="s">
        <v>56</v>
      </c>
      <c r="E685" s="13" t="s">
        <v>580</v>
      </c>
      <c r="F685" s="14">
        <v>0.4166666666666667</v>
      </c>
      <c r="G685" s="13"/>
    </row>
    <row r="686" spans="8:8" ht="32.25" customHeight="1">
      <c r="A686" s="11">
        <v>18.0</v>
      </c>
      <c r="B686" s="12" t="s">
        <v>719</v>
      </c>
      <c r="C686" s="13">
        <v>251233.0</v>
      </c>
      <c r="D686" s="12" t="s">
        <v>56</v>
      </c>
      <c r="E686" s="13" t="s">
        <v>580</v>
      </c>
      <c r="F686" s="14">
        <v>0.4166666666666667</v>
      </c>
      <c r="G686" s="13"/>
    </row>
    <row r="687" spans="8:8" ht="32.25" customHeight="1">
      <c r="A687" s="11">
        <v>19.0</v>
      </c>
      <c r="B687" s="12" t="s">
        <v>720</v>
      </c>
      <c r="C687" s="13">
        <v>250892.0</v>
      </c>
      <c r="D687" s="12" t="s">
        <v>56</v>
      </c>
      <c r="E687" s="13" t="s">
        <v>580</v>
      </c>
      <c r="F687" s="14">
        <v>0.4166666666666667</v>
      </c>
      <c r="G687" s="13"/>
    </row>
    <row r="688" spans="8:8" ht="32.25" customHeight="1">
      <c r="A688" s="11">
        <v>20.0</v>
      </c>
      <c r="B688" s="12" t="s">
        <v>721</v>
      </c>
      <c r="C688" s="13">
        <v>250898.0</v>
      </c>
      <c r="D688" s="12" t="s">
        <v>56</v>
      </c>
      <c r="E688" s="13" t="s">
        <v>580</v>
      </c>
      <c r="F688" s="14">
        <v>0.4166666666666667</v>
      </c>
      <c r="G688" s="13"/>
    </row>
    <row r="689" spans="8:8" ht="32.25" customHeight="1">
      <c r="A689" s="11">
        <v>21.0</v>
      </c>
      <c r="B689" s="12" t="s">
        <v>722</v>
      </c>
      <c r="C689" s="13">
        <v>250909.0</v>
      </c>
      <c r="D689" s="12" t="s">
        <v>56</v>
      </c>
      <c r="E689" s="13" t="s">
        <v>580</v>
      </c>
      <c r="F689" s="14">
        <v>0.4166666666666667</v>
      </c>
      <c r="G689" s="13"/>
    </row>
    <row r="690" spans="8:8" ht="32.25" customHeight="1">
      <c r="A690" s="11">
        <v>22.0</v>
      </c>
      <c r="B690" s="12" t="s">
        <v>723</v>
      </c>
      <c r="C690" s="13">
        <v>250908.0</v>
      </c>
      <c r="D690" s="12" t="s">
        <v>56</v>
      </c>
      <c r="E690" s="13" t="s">
        <v>580</v>
      </c>
      <c r="F690" s="14">
        <v>0.4166666666666667</v>
      </c>
      <c r="G690" s="13"/>
    </row>
    <row r="691" spans="8:8" ht="32.25" customHeight="1">
      <c r="A691" s="11">
        <v>23.0</v>
      </c>
      <c r="B691" s="12" t="s">
        <v>724</v>
      </c>
      <c r="C691" s="13">
        <v>250906.0</v>
      </c>
      <c r="D691" s="12" t="s">
        <v>56</v>
      </c>
      <c r="E691" s="13" t="s">
        <v>580</v>
      </c>
      <c r="F691" s="14">
        <v>0.4166666666666667</v>
      </c>
      <c r="G691" s="13"/>
    </row>
    <row r="692" spans="8:8" ht="32.25" customHeight="1">
      <c r="A692" s="11">
        <v>24.0</v>
      </c>
      <c r="B692" s="12" t="s">
        <v>725</v>
      </c>
      <c r="C692" s="13">
        <v>250907.0</v>
      </c>
      <c r="D692" s="12" t="s">
        <v>56</v>
      </c>
      <c r="E692" s="13" t="s">
        <v>580</v>
      </c>
      <c r="F692" s="14">
        <v>0.4166666666666667</v>
      </c>
      <c r="G692" s="13"/>
    </row>
    <row r="693" spans="8:8" ht="32.25" customHeight="1">
      <c r="A693" s="11">
        <v>25.0</v>
      </c>
      <c r="B693" s="12" t="s">
        <v>726</v>
      </c>
      <c r="C693" s="13">
        <v>250920.0</v>
      </c>
      <c r="D693" s="12" t="s">
        <v>56</v>
      </c>
      <c r="E693" s="13" t="s">
        <v>580</v>
      </c>
      <c r="F693" s="14">
        <v>0.4166666666666667</v>
      </c>
      <c r="G693" s="13"/>
    </row>
    <row r="694" spans="8:8" ht="32.25" customHeight="1">
      <c r="A694" s="8" t="s">
        <v>18</v>
      </c>
      <c r="B694" s="9" t="s">
        <v>19</v>
      </c>
      <c r="C694" s="9" t="s">
        <v>20</v>
      </c>
      <c r="D694" s="9" t="s">
        <v>21</v>
      </c>
      <c r="E694" s="9" t="s">
        <v>22</v>
      </c>
      <c r="F694" s="10" t="s">
        <v>23</v>
      </c>
      <c r="G694" s="9" t="s">
        <v>727</v>
      </c>
    </row>
    <row r="695" spans="8:8" ht="32.25" customHeight="1">
      <c r="A695" s="11">
        <v>1.0</v>
      </c>
      <c r="B695" s="12" t="s">
        <v>728</v>
      </c>
      <c r="C695" s="13">
        <v>250941.0</v>
      </c>
      <c r="D695" s="12" t="s">
        <v>56</v>
      </c>
      <c r="E695" s="13" t="s">
        <v>580</v>
      </c>
      <c r="F695" s="14">
        <v>0.4166666666666667</v>
      </c>
      <c r="G695" s="13"/>
    </row>
    <row r="696" spans="8:8" ht="32.25" customHeight="1">
      <c r="A696" s="11">
        <v>2.0</v>
      </c>
      <c r="B696" s="12" t="s">
        <v>729</v>
      </c>
      <c r="C696" s="13">
        <v>250986.0</v>
      </c>
      <c r="D696" s="12" t="s">
        <v>56</v>
      </c>
      <c r="E696" s="13" t="s">
        <v>580</v>
      </c>
      <c r="F696" s="14">
        <v>0.4166666666666667</v>
      </c>
      <c r="G696" s="13"/>
    </row>
    <row r="697" spans="8:8" ht="32.25" customHeight="1">
      <c r="A697" s="11">
        <v>3.0</v>
      </c>
      <c r="B697" s="12" t="s">
        <v>730</v>
      </c>
      <c r="C697" s="13">
        <v>250992.0</v>
      </c>
      <c r="D697" s="12" t="s">
        <v>56</v>
      </c>
      <c r="E697" s="13" t="s">
        <v>580</v>
      </c>
      <c r="F697" s="14">
        <v>0.4166666666666667</v>
      </c>
      <c r="G697" s="13"/>
    </row>
    <row r="698" spans="8:8" ht="32.25" customHeight="1">
      <c r="A698" s="11">
        <v>4.0</v>
      </c>
      <c r="B698" s="12" t="s">
        <v>731</v>
      </c>
      <c r="C698" s="13">
        <v>251087.0</v>
      </c>
      <c r="D698" s="12" t="s">
        <v>56</v>
      </c>
      <c r="E698" s="13" t="s">
        <v>580</v>
      </c>
      <c r="F698" s="14">
        <v>0.4166666666666667</v>
      </c>
      <c r="G698" s="13"/>
    </row>
    <row r="699" spans="8:8" ht="32.25" customHeight="1">
      <c r="A699" s="11">
        <v>5.0</v>
      </c>
      <c r="B699" s="12" t="s">
        <v>732</v>
      </c>
      <c r="C699" s="13">
        <v>251090.0</v>
      </c>
      <c r="D699" s="12" t="s">
        <v>56</v>
      </c>
      <c r="E699" s="13" t="s">
        <v>580</v>
      </c>
      <c r="F699" s="14">
        <v>0.4166666666666667</v>
      </c>
      <c r="G699" s="13"/>
    </row>
    <row r="700" spans="8:8" ht="32.25" customHeight="1">
      <c r="A700" s="11">
        <v>6.0</v>
      </c>
      <c r="B700" s="12" t="s">
        <v>733</v>
      </c>
      <c r="C700" s="13">
        <v>251097.0</v>
      </c>
      <c r="D700" s="12" t="s">
        <v>56</v>
      </c>
      <c r="E700" s="13" t="s">
        <v>580</v>
      </c>
      <c r="F700" s="14">
        <v>0.4166666666666667</v>
      </c>
      <c r="G700" s="13"/>
    </row>
    <row r="701" spans="8:8" ht="32.25" customHeight="1">
      <c r="A701" s="11">
        <v>7.0</v>
      </c>
      <c r="B701" s="12" t="s">
        <v>734</v>
      </c>
      <c r="C701" s="13">
        <v>251095.0</v>
      </c>
      <c r="D701" s="12" t="s">
        <v>56</v>
      </c>
      <c r="E701" s="13" t="s">
        <v>580</v>
      </c>
      <c r="F701" s="14">
        <v>0.4166666666666667</v>
      </c>
      <c r="G701" s="13"/>
    </row>
    <row r="702" spans="8:8" ht="32.25" customHeight="1">
      <c r="A702" s="11">
        <v>8.0</v>
      </c>
      <c r="B702" s="12" t="s">
        <v>735</v>
      </c>
      <c r="C702" s="13">
        <v>250827.0</v>
      </c>
      <c r="D702" s="12" t="s">
        <v>56</v>
      </c>
      <c r="E702" s="13" t="s">
        <v>580</v>
      </c>
      <c r="F702" s="14">
        <v>0.4166666666666667</v>
      </c>
      <c r="G702" s="13"/>
    </row>
    <row r="703" spans="8:8" ht="32.25" customHeight="1">
      <c r="A703" s="11">
        <v>9.0</v>
      </c>
      <c r="B703" s="12" t="s">
        <v>736</v>
      </c>
      <c r="C703" s="13">
        <v>250710.0</v>
      </c>
      <c r="D703" s="12" t="s">
        <v>56</v>
      </c>
      <c r="E703" s="13" t="s">
        <v>580</v>
      </c>
      <c r="F703" s="14">
        <v>0.4166666666666667</v>
      </c>
      <c r="G703" s="13"/>
    </row>
    <row r="704" spans="8:8" ht="32.25" customHeight="1">
      <c r="A704" s="11">
        <v>10.0</v>
      </c>
      <c r="B704" s="12" t="s">
        <v>737</v>
      </c>
      <c r="C704" s="13">
        <v>250656.0</v>
      </c>
      <c r="D704" s="12" t="s">
        <v>56</v>
      </c>
      <c r="E704" s="13" t="s">
        <v>580</v>
      </c>
      <c r="F704" s="14">
        <v>0.4166666666666667</v>
      </c>
      <c r="G704" s="13"/>
    </row>
    <row r="705" spans="8:8" ht="32.25" customHeight="1">
      <c r="A705" s="11">
        <v>11.0</v>
      </c>
      <c r="B705" s="12" t="s">
        <v>738</v>
      </c>
      <c r="C705" s="13">
        <v>250651.0</v>
      </c>
      <c r="D705" s="12" t="s">
        <v>56</v>
      </c>
      <c r="E705" s="13" t="s">
        <v>580</v>
      </c>
      <c r="F705" s="14">
        <v>0.4166666666666667</v>
      </c>
      <c r="G705" s="13"/>
    </row>
    <row r="706" spans="8:8" ht="32.25" customHeight="1">
      <c r="A706" s="11">
        <v>12.0</v>
      </c>
      <c r="B706" s="12" t="s">
        <v>739</v>
      </c>
      <c r="C706" s="13">
        <v>250718.0</v>
      </c>
      <c r="D706" s="12" t="s">
        <v>56</v>
      </c>
      <c r="E706" s="13" t="s">
        <v>580</v>
      </c>
      <c r="F706" s="14">
        <v>0.4166666666666667</v>
      </c>
      <c r="G706" s="13"/>
    </row>
    <row r="707" spans="8:8" ht="32.25" customHeight="1">
      <c r="A707" s="11">
        <v>13.0</v>
      </c>
      <c r="B707" s="12" t="s">
        <v>740</v>
      </c>
      <c r="C707" s="13">
        <v>250724.0</v>
      </c>
      <c r="D707" s="12" t="s">
        <v>56</v>
      </c>
      <c r="E707" s="13" t="s">
        <v>580</v>
      </c>
      <c r="F707" s="14">
        <v>0.4166666666666667</v>
      </c>
      <c r="G707" s="13"/>
    </row>
    <row r="708" spans="8:8" ht="32.25" customHeight="1">
      <c r="A708" s="11">
        <v>14.0</v>
      </c>
      <c r="B708" s="12" t="s">
        <v>741</v>
      </c>
      <c r="C708" s="13">
        <v>250671.0</v>
      </c>
      <c r="D708" s="12" t="s">
        <v>56</v>
      </c>
      <c r="E708" s="13" t="s">
        <v>580</v>
      </c>
      <c r="F708" s="14">
        <v>0.4166666666666667</v>
      </c>
      <c r="G708" s="13"/>
    </row>
    <row r="709" spans="8:8" ht="32.25" customHeight="1">
      <c r="A709" s="11">
        <v>15.0</v>
      </c>
      <c r="B709" s="12" t="s">
        <v>742</v>
      </c>
      <c r="C709" s="13">
        <v>250670.0</v>
      </c>
      <c r="D709" s="12" t="s">
        <v>56</v>
      </c>
      <c r="E709" s="13" t="s">
        <v>580</v>
      </c>
      <c r="F709" s="14">
        <v>0.4166666666666667</v>
      </c>
      <c r="G709" s="13"/>
    </row>
    <row r="710" spans="8:8" ht="32.25" customHeight="1">
      <c r="A710" s="11">
        <v>16.0</v>
      </c>
      <c r="B710" s="12" t="s">
        <v>743</v>
      </c>
      <c r="C710" s="13">
        <v>250672.0</v>
      </c>
      <c r="D710" s="12" t="s">
        <v>56</v>
      </c>
      <c r="E710" s="13" t="s">
        <v>580</v>
      </c>
      <c r="F710" s="14">
        <v>0.4166666666666667</v>
      </c>
      <c r="G710" s="13"/>
    </row>
    <row r="711" spans="8:8" ht="32.25" customHeight="1">
      <c r="A711" s="11">
        <v>17.0</v>
      </c>
      <c r="B711" s="12" t="s">
        <v>744</v>
      </c>
      <c r="C711" s="13">
        <v>250938.0</v>
      </c>
      <c r="D711" s="12" t="s">
        <v>56</v>
      </c>
      <c r="E711" s="13" t="s">
        <v>580</v>
      </c>
      <c r="F711" s="14">
        <v>0.4166666666666667</v>
      </c>
      <c r="G711" s="13"/>
    </row>
    <row r="712" spans="8:8" ht="32.25" customHeight="1">
      <c r="A712" s="11">
        <v>18.0</v>
      </c>
      <c r="B712" s="12" t="s">
        <v>745</v>
      </c>
      <c r="C712" s="13">
        <v>250968.0</v>
      </c>
      <c r="D712" s="12" t="s">
        <v>56</v>
      </c>
      <c r="E712" s="13" t="s">
        <v>580</v>
      </c>
      <c r="F712" s="14">
        <v>0.4166666666666667</v>
      </c>
      <c r="G712" s="13"/>
    </row>
    <row r="713" spans="8:8" ht="32.25" customHeight="1">
      <c r="A713" s="11">
        <v>19.0</v>
      </c>
      <c r="B713" s="12" t="s">
        <v>746</v>
      </c>
      <c r="C713" s="13">
        <v>253129.0</v>
      </c>
      <c r="D713" s="12" t="s">
        <v>27</v>
      </c>
      <c r="E713" s="13" t="s">
        <v>580</v>
      </c>
      <c r="F713" s="14">
        <v>0.4166666666666667</v>
      </c>
      <c r="G713" s="13"/>
    </row>
    <row r="714" spans="8:8" ht="32.25" customHeight="1">
      <c r="A714" s="11">
        <v>20.0</v>
      </c>
      <c r="B714" s="12" t="s">
        <v>747</v>
      </c>
      <c r="C714" s="13">
        <v>253159.0</v>
      </c>
      <c r="D714" s="12" t="s">
        <v>27</v>
      </c>
      <c r="E714" s="13" t="s">
        <v>580</v>
      </c>
      <c r="F714" s="14">
        <v>0.4166666666666667</v>
      </c>
      <c r="G714" s="13"/>
    </row>
    <row r="715" spans="8:8" ht="32.25" customHeight="1">
      <c r="A715" s="11">
        <v>21.0</v>
      </c>
      <c r="B715" s="12" t="s">
        <v>748</v>
      </c>
      <c r="C715" s="13">
        <v>251107.0</v>
      </c>
      <c r="D715" s="12" t="s">
        <v>56</v>
      </c>
      <c r="E715" s="13" t="s">
        <v>580</v>
      </c>
      <c r="F715" s="14">
        <v>0.4166666666666667</v>
      </c>
      <c r="G715" s="13"/>
    </row>
    <row r="716" spans="8:8" ht="32.25" customHeight="1">
      <c r="A716" s="11">
        <v>22.0</v>
      </c>
      <c r="B716" s="12" t="s">
        <v>749</v>
      </c>
      <c r="C716" s="13">
        <v>251182.0</v>
      </c>
      <c r="D716" s="12" t="s">
        <v>56</v>
      </c>
      <c r="E716" s="13" t="s">
        <v>580</v>
      </c>
      <c r="F716" s="14">
        <v>0.4166666666666667</v>
      </c>
      <c r="G716" s="13"/>
    </row>
    <row r="717" spans="8:8" ht="32.25" customHeight="1">
      <c r="A717" s="11">
        <v>23.0</v>
      </c>
      <c r="B717" s="12" t="s">
        <v>750</v>
      </c>
      <c r="C717" s="13">
        <v>251142.0</v>
      </c>
      <c r="D717" s="12" t="s">
        <v>56</v>
      </c>
      <c r="E717" s="13" t="s">
        <v>580</v>
      </c>
      <c r="F717" s="14">
        <v>0.4166666666666667</v>
      </c>
      <c r="G717" s="13"/>
    </row>
    <row r="718" spans="8:8" ht="32.25" customHeight="1">
      <c r="A718" s="11">
        <v>24.0</v>
      </c>
      <c r="B718" s="12" t="s">
        <v>751</v>
      </c>
      <c r="C718" s="13">
        <v>251144.0</v>
      </c>
      <c r="D718" s="12" t="s">
        <v>56</v>
      </c>
      <c r="E718" s="13" t="s">
        <v>580</v>
      </c>
      <c r="F718" s="14">
        <v>0.4166666666666667</v>
      </c>
      <c r="G718" s="13"/>
    </row>
    <row r="719" spans="8:8" ht="32.25" customHeight="1">
      <c r="A719" s="11">
        <v>25.0</v>
      </c>
      <c r="B719" s="12" t="s">
        <v>752</v>
      </c>
      <c r="C719" s="13">
        <v>251212.0</v>
      </c>
      <c r="D719" s="12" t="s">
        <v>56</v>
      </c>
      <c r="E719" s="13" t="s">
        <v>580</v>
      </c>
      <c r="F719" s="14">
        <v>0.4166666666666667</v>
      </c>
      <c r="G719" s="13"/>
    </row>
    <row r="720" spans="8:8" ht="32.25" customHeight="1">
      <c r="A720" s="8" t="s">
        <v>18</v>
      </c>
      <c r="B720" s="9" t="s">
        <v>19</v>
      </c>
      <c r="C720" s="9" t="s">
        <v>20</v>
      </c>
      <c r="D720" s="9" t="s">
        <v>21</v>
      </c>
      <c r="E720" s="9" t="s">
        <v>22</v>
      </c>
      <c r="F720" s="10" t="s">
        <v>23</v>
      </c>
      <c r="G720" s="9" t="s">
        <v>753</v>
      </c>
    </row>
    <row r="721" spans="8:8" ht="32.25" customHeight="1">
      <c r="A721" s="11">
        <v>1.0</v>
      </c>
      <c r="B721" s="12" t="s">
        <v>754</v>
      </c>
      <c r="C721" s="13">
        <v>251127.0</v>
      </c>
      <c r="D721" s="12" t="s">
        <v>56</v>
      </c>
      <c r="E721" s="13" t="s">
        <v>580</v>
      </c>
      <c r="F721" s="14">
        <v>0.4166666666666667</v>
      </c>
      <c r="G721" s="13"/>
    </row>
    <row r="722" spans="8:8" ht="32.25" customHeight="1">
      <c r="A722" s="11">
        <v>2.0</v>
      </c>
      <c r="B722" s="12" t="s">
        <v>755</v>
      </c>
      <c r="C722" s="13">
        <v>250200.0</v>
      </c>
      <c r="D722" s="12" t="s">
        <v>27</v>
      </c>
      <c r="E722" s="13" t="s">
        <v>580</v>
      </c>
      <c r="F722" s="14">
        <v>0.4166666666666667</v>
      </c>
      <c r="G722" s="13"/>
    </row>
    <row r="723" spans="8:8" ht="32.25" customHeight="1">
      <c r="A723" s="11">
        <v>3.0</v>
      </c>
      <c r="B723" s="12" t="s">
        <v>756</v>
      </c>
      <c r="C723" s="13">
        <v>250201.0</v>
      </c>
      <c r="D723" s="12" t="s">
        <v>27</v>
      </c>
      <c r="E723" s="13" t="s">
        <v>580</v>
      </c>
      <c r="F723" s="14">
        <v>0.4166666666666667</v>
      </c>
      <c r="G723" s="13"/>
    </row>
    <row r="724" spans="8:8" ht="32.25" customHeight="1">
      <c r="A724" s="11">
        <v>4.0</v>
      </c>
      <c r="B724" s="12" t="s">
        <v>757</v>
      </c>
      <c r="C724" s="13">
        <v>250212.0</v>
      </c>
      <c r="D724" s="12" t="s">
        <v>27</v>
      </c>
      <c r="E724" s="13" t="s">
        <v>580</v>
      </c>
      <c r="F724" s="14">
        <v>0.4166666666666667</v>
      </c>
      <c r="G724" s="13"/>
    </row>
    <row r="725" spans="8:8" ht="32.25" customHeight="1">
      <c r="A725" s="11">
        <v>5.0</v>
      </c>
      <c r="B725" s="12" t="s">
        <v>758</v>
      </c>
      <c r="C725" s="13">
        <v>250222.0</v>
      </c>
      <c r="D725" s="12" t="s">
        <v>27</v>
      </c>
      <c r="E725" s="13" t="s">
        <v>580</v>
      </c>
      <c r="F725" s="14">
        <v>0.4166666666666667</v>
      </c>
      <c r="G725" s="13"/>
    </row>
    <row r="726" spans="8:8" ht="32.25" customHeight="1">
      <c r="A726" s="11">
        <v>6.0</v>
      </c>
      <c r="B726" s="12" t="s">
        <v>759</v>
      </c>
      <c r="C726" s="13">
        <v>250217.0</v>
      </c>
      <c r="D726" s="12" t="s">
        <v>27</v>
      </c>
      <c r="E726" s="13" t="s">
        <v>580</v>
      </c>
      <c r="F726" s="14">
        <v>0.4166666666666667</v>
      </c>
      <c r="G726" s="13"/>
    </row>
    <row r="727" spans="8:8" ht="32.25" customHeight="1">
      <c r="A727" s="11">
        <v>7.0</v>
      </c>
      <c r="B727" s="12" t="s">
        <v>760</v>
      </c>
      <c r="C727" s="13">
        <v>250232.0</v>
      </c>
      <c r="D727" s="12" t="s">
        <v>27</v>
      </c>
      <c r="E727" s="13" t="s">
        <v>580</v>
      </c>
      <c r="F727" s="14">
        <v>0.4166666666666667</v>
      </c>
      <c r="G727" s="13"/>
    </row>
    <row r="728" spans="8:8" ht="32.25" customHeight="1">
      <c r="A728" s="11">
        <v>8.0</v>
      </c>
      <c r="B728" s="12" t="s">
        <v>761</v>
      </c>
      <c r="C728" s="13">
        <v>250237.0</v>
      </c>
      <c r="D728" s="12" t="s">
        <v>27</v>
      </c>
      <c r="E728" s="13" t="s">
        <v>580</v>
      </c>
      <c r="F728" s="14">
        <v>0.4166666666666667</v>
      </c>
      <c r="G728" s="13"/>
    </row>
    <row r="729" spans="8:8" ht="32.25" customHeight="1">
      <c r="A729" s="11">
        <v>9.0</v>
      </c>
      <c r="B729" s="12" t="s">
        <v>762</v>
      </c>
      <c r="C729" s="13">
        <v>250249.0</v>
      </c>
      <c r="D729" s="12" t="s">
        <v>27</v>
      </c>
      <c r="E729" s="13" t="s">
        <v>580</v>
      </c>
      <c r="F729" s="14">
        <v>0.4166666666666667</v>
      </c>
      <c r="G729" s="13"/>
    </row>
    <row r="730" spans="8:8" ht="32.25" customHeight="1">
      <c r="A730" s="11">
        <v>10.0</v>
      </c>
      <c r="B730" s="12" t="s">
        <v>763</v>
      </c>
      <c r="C730" s="13">
        <v>250253.0</v>
      </c>
      <c r="D730" s="12" t="s">
        <v>27</v>
      </c>
      <c r="E730" s="13" t="s">
        <v>580</v>
      </c>
      <c r="F730" s="14">
        <v>0.4166666666666667</v>
      </c>
      <c r="G730" s="13"/>
    </row>
    <row r="731" spans="8:8" ht="32.25" customHeight="1">
      <c r="A731" s="11">
        <v>11.0</v>
      </c>
      <c r="B731" s="12" t="s">
        <v>764</v>
      </c>
      <c r="C731" s="13">
        <v>250254.0</v>
      </c>
      <c r="D731" s="12" t="s">
        <v>27</v>
      </c>
      <c r="E731" s="13" t="s">
        <v>580</v>
      </c>
      <c r="F731" s="14">
        <v>0.4166666666666667</v>
      </c>
      <c r="G731" s="13"/>
    </row>
    <row r="732" spans="8:8" ht="32.25" customHeight="1">
      <c r="A732" s="11">
        <v>12.0</v>
      </c>
      <c r="B732" s="12" t="s">
        <v>765</v>
      </c>
      <c r="C732" s="13">
        <v>250256.0</v>
      </c>
      <c r="D732" s="12" t="s">
        <v>27</v>
      </c>
      <c r="E732" s="13" t="s">
        <v>580</v>
      </c>
      <c r="F732" s="14">
        <v>0.4166666666666667</v>
      </c>
      <c r="G732" s="13"/>
    </row>
    <row r="733" spans="8:8" ht="32.25" customHeight="1">
      <c r="A733" s="11">
        <v>13.0</v>
      </c>
      <c r="B733" s="12" t="s">
        <v>766</v>
      </c>
      <c r="C733" s="13">
        <v>250270.0</v>
      </c>
      <c r="D733" s="12" t="s">
        <v>27</v>
      </c>
      <c r="E733" s="13" t="s">
        <v>580</v>
      </c>
      <c r="F733" s="14">
        <v>0.4166666666666667</v>
      </c>
      <c r="G733" s="13"/>
    </row>
    <row r="734" spans="8:8" ht="32.25" customHeight="1">
      <c r="A734" s="11">
        <v>14.0</v>
      </c>
      <c r="B734" s="12" t="s">
        <v>767</v>
      </c>
      <c r="C734" s="13">
        <v>250269.0</v>
      </c>
      <c r="D734" s="12" t="s">
        <v>27</v>
      </c>
      <c r="E734" s="13" t="s">
        <v>580</v>
      </c>
      <c r="F734" s="14">
        <v>0.4166666666666667</v>
      </c>
      <c r="G734" s="13"/>
    </row>
    <row r="735" spans="8:8" ht="32.25" customHeight="1">
      <c r="A735" s="11">
        <v>15.0</v>
      </c>
      <c r="B735" s="12" t="s">
        <v>768</v>
      </c>
      <c r="C735" s="13">
        <v>250257.0</v>
      </c>
      <c r="D735" s="12" t="s">
        <v>27</v>
      </c>
      <c r="E735" s="13" t="s">
        <v>580</v>
      </c>
      <c r="F735" s="14">
        <v>0.4166666666666667</v>
      </c>
      <c r="G735" s="13"/>
    </row>
    <row r="736" spans="8:8" ht="32.25" customHeight="1">
      <c r="A736" s="11">
        <v>16.0</v>
      </c>
      <c r="B736" s="12" t="s">
        <v>769</v>
      </c>
      <c r="C736" s="13">
        <v>250262.0</v>
      </c>
      <c r="D736" s="12" t="s">
        <v>27</v>
      </c>
      <c r="E736" s="13" t="s">
        <v>580</v>
      </c>
      <c r="F736" s="14">
        <v>0.4166666666666667</v>
      </c>
      <c r="G736" s="13"/>
    </row>
    <row r="737" spans="8:8" ht="32.25" customHeight="1">
      <c r="A737" s="11">
        <v>17.0</v>
      </c>
      <c r="B737" s="12" t="s">
        <v>770</v>
      </c>
      <c r="C737" s="13">
        <v>250275.0</v>
      </c>
      <c r="D737" s="12" t="s">
        <v>27</v>
      </c>
      <c r="E737" s="13" t="s">
        <v>580</v>
      </c>
      <c r="F737" s="14">
        <v>0.4166666666666667</v>
      </c>
      <c r="G737" s="13"/>
    </row>
    <row r="738" spans="8:8" ht="32.25" customHeight="1">
      <c r="A738" s="11">
        <v>18.0</v>
      </c>
      <c r="B738" s="12" t="s">
        <v>771</v>
      </c>
      <c r="C738" s="13">
        <v>250285.0</v>
      </c>
      <c r="D738" s="12" t="s">
        <v>27</v>
      </c>
      <c r="E738" s="13" t="s">
        <v>580</v>
      </c>
      <c r="F738" s="14">
        <v>0.4166666666666667</v>
      </c>
      <c r="G738" s="13"/>
    </row>
    <row r="739" spans="8:8" ht="32.25" customHeight="1">
      <c r="A739" s="11">
        <v>19.0</v>
      </c>
      <c r="B739" s="12" t="s">
        <v>772</v>
      </c>
      <c r="C739" s="13">
        <v>250288.0</v>
      </c>
      <c r="D739" s="12" t="s">
        <v>27</v>
      </c>
      <c r="E739" s="13" t="s">
        <v>580</v>
      </c>
      <c r="F739" s="14">
        <v>0.4166666666666667</v>
      </c>
      <c r="G739" s="13"/>
    </row>
    <row r="740" spans="8:8" ht="32.25" customHeight="1">
      <c r="A740" s="11">
        <v>20.0</v>
      </c>
      <c r="B740" s="12" t="s">
        <v>773</v>
      </c>
      <c r="C740" s="13">
        <v>250294.0</v>
      </c>
      <c r="D740" s="12" t="s">
        <v>27</v>
      </c>
      <c r="E740" s="13" t="s">
        <v>580</v>
      </c>
      <c r="F740" s="14">
        <v>0.4166666666666667</v>
      </c>
      <c r="G740" s="13"/>
    </row>
    <row r="741" spans="8:8" ht="32.25" customHeight="1">
      <c r="A741" s="11">
        <v>21.0</v>
      </c>
      <c r="B741" s="12" t="s">
        <v>774</v>
      </c>
      <c r="C741" s="13">
        <v>250303.0</v>
      </c>
      <c r="D741" s="12" t="s">
        <v>27</v>
      </c>
      <c r="E741" s="13" t="s">
        <v>580</v>
      </c>
      <c r="F741" s="14">
        <v>0.4166666666666667</v>
      </c>
      <c r="G741" s="13"/>
    </row>
    <row r="742" spans="8:8" ht="32.25" customHeight="1">
      <c r="A742" s="11">
        <v>22.0</v>
      </c>
      <c r="B742" s="12" t="s">
        <v>775</v>
      </c>
      <c r="C742" s="13">
        <v>250317.0</v>
      </c>
      <c r="D742" s="12" t="s">
        <v>27</v>
      </c>
      <c r="E742" s="13" t="s">
        <v>580</v>
      </c>
      <c r="F742" s="14">
        <v>0.4166666666666667</v>
      </c>
      <c r="G742" s="13"/>
    </row>
    <row r="743" spans="8:8" ht="32.25" customHeight="1">
      <c r="A743" s="11">
        <v>23.0</v>
      </c>
      <c r="B743" s="12" t="s">
        <v>776</v>
      </c>
      <c r="C743" s="13">
        <v>250319.0</v>
      </c>
      <c r="D743" s="12" t="s">
        <v>27</v>
      </c>
      <c r="E743" s="13" t="s">
        <v>580</v>
      </c>
      <c r="F743" s="14">
        <v>0.4166666666666667</v>
      </c>
      <c r="G743" s="13"/>
    </row>
    <row r="744" spans="8:8" ht="32.25" customHeight="1">
      <c r="A744" s="11">
        <v>24.0</v>
      </c>
      <c r="B744" s="12" t="s">
        <v>777</v>
      </c>
      <c r="C744" s="13">
        <v>250088.0</v>
      </c>
      <c r="D744" s="12" t="s">
        <v>27</v>
      </c>
      <c r="E744" s="13" t="s">
        <v>580</v>
      </c>
      <c r="F744" s="14">
        <v>0.4166666666666667</v>
      </c>
      <c r="G744" s="13"/>
    </row>
    <row r="745" spans="8:8" ht="32.25" customHeight="1">
      <c r="A745" s="11">
        <v>25.0</v>
      </c>
      <c r="B745" s="12" t="s">
        <v>778</v>
      </c>
      <c r="C745" s="13">
        <v>250106.0</v>
      </c>
      <c r="D745" s="12" t="s">
        <v>27</v>
      </c>
      <c r="E745" s="13" t="s">
        <v>580</v>
      </c>
      <c r="F745" s="14">
        <v>0.4166666666666667</v>
      </c>
      <c r="G745" s="13"/>
    </row>
    <row r="746" spans="8:8" ht="32.25" customHeight="1">
      <c r="A746" s="8" t="s">
        <v>18</v>
      </c>
      <c r="B746" s="9" t="s">
        <v>19</v>
      </c>
      <c r="C746" s="9" t="s">
        <v>20</v>
      </c>
      <c r="D746" s="9" t="s">
        <v>21</v>
      </c>
      <c r="E746" s="9" t="s">
        <v>22</v>
      </c>
      <c r="F746" s="10" t="s">
        <v>23</v>
      </c>
      <c r="G746" s="9" t="s">
        <v>779</v>
      </c>
    </row>
    <row r="747" spans="8:8" ht="32.25" customHeight="1">
      <c r="A747" s="13">
        <v>1.0</v>
      </c>
      <c r="B747" s="19" t="s">
        <v>780</v>
      </c>
      <c r="C747" s="20">
        <v>240524.0</v>
      </c>
      <c r="D747" s="19" t="s">
        <v>606</v>
      </c>
      <c r="E747" s="20" t="s">
        <v>781</v>
      </c>
      <c r="F747" s="14">
        <v>0.4166666666666667</v>
      </c>
      <c r="G747" s="13"/>
    </row>
    <row r="748" spans="8:8" ht="32.25" customHeight="1">
      <c r="A748" s="24">
        <v>2.0</v>
      </c>
      <c r="B748" s="21" t="s">
        <v>782</v>
      </c>
      <c r="C748" s="22">
        <v>240679.0</v>
      </c>
      <c r="D748" s="21" t="s">
        <v>606</v>
      </c>
      <c r="E748" s="22" t="s">
        <v>781</v>
      </c>
      <c r="F748" s="14">
        <v>0.4166666666666667</v>
      </c>
      <c r="G748" s="25"/>
    </row>
    <row r="749" spans="8:8" ht="32.25" customHeight="1">
      <c r="A749" s="13">
        <v>3.0</v>
      </c>
      <c r="B749" s="21" t="s">
        <v>783</v>
      </c>
      <c r="C749" s="22">
        <v>240775.0</v>
      </c>
      <c r="D749" s="21" t="s">
        <v>606</v>
      </c>
      <c r="E749" s="22" t="s">
        <v>781</v>
      </c>
      <c r="F749" s="14">
        <v>0.4166666666666667</v>
      </c>
      <c r="G749" s="25"/>
    </row>
    <row r="750" spans="8:8" ht="32.25" customHeight="1">
      <c r="A750" s="24">
        <v>4.0</v>
      </c>
      <c r="B750" s="21" t="s">
        <v>784</v>
      </c>
      <c r="C750" s="22">
        <v>240792.0</v>
      </c>
      <c r="D750" s="21" t="s">
        <v>606</v>
      </c>
      <c r="E750" s="22" t="s">
        <v>781</v>
      </c>
      <c r="F750" s="14">
        <v>0.4166666666666667</v>
      </c>
      <c r="G750" s="25"/>
    </row>
    <row r="751" spans="8:8" ht="32.25" customHeight="1">
      <c r="A751" s="13">
        <v>5.0</v>
      </c>
      <c r="B751" s="21" t="s">
        <v>785</v>
      </c>
      <c r="C751" s="22">
        <v>240859.0</v>
      </c>
      <c r="D751" s="21" t="s">
        <v>606</v>
      </c>
      <c r="E751" s="22" t="s">
        <v>781</v>
      </c>
      <c r="F751" s="14">
        <v>0.4166666666666667</v>
      </c>
      <c r="G751" s="25"/>
    </row>
    <row r="752" spans="8:8" ht="32.25" customHeight="1">
      <c r="A752" s="24">
        <v>6.0</v>
      </c>
      <c r="B752" s="21" t="s">
        <v>786</v>
      </c>
      <c r="C752" s="22">
        <v>240739.0</v>
      </c>
      <c r="D752" s="21" t="s">
        <v>606</v>
      </c>
      <c r="E752" s="22" t="s">
        <v>781</v>
      </c>
      <c r="F752" s="14">
        <v>0.4166666666666667</v>
      </c>
      <c r="G752" s="25"/>
    </row>
    <row r="753" spans="8:8" ht="32.25" customHeight="1">
      <c r="A753" s="13">
        <v>7.0</v>
      </c>
      <c r="B753" s="12" t="s">
        <v>787</v>
      </c>
      <c r="C753" s="13">
        <v>240979.0</v>
      </c>
      <c r="D753" s="12" t="s">
        <v>606</v>
      </c>
      <c r="E753" s="13" t="s">
        <v>781</v>
      </c>
      <c r="F753" s="14">
        <v>0.4166666666666667</v>
      </c>
      <c r="G753" s="25"/>
    </row>
    <row r="754" spans="8:8" ht="32.25" customHeight="1">
      <c r="A754" s="24">
        <v>8.0</v>
      </c>
      <c r="B754" s="21" t="s">
        <v>788</v>
      </c>
      <c r="C754" s="22">
        <v>240743.0</v>
      </c>
      <c r="D754" s="21" t="s">
        <v>606</v>
      </c>
      <c r="E754" s="22" t="s">
        <v>781</v>
      </c>
      <c r="F754" s="14">
        <v>0.4166666666666667</v>
      </c>
      <c r="G754" s="25"/>
    </row>
    <row r="755" spans="8:8" ht="32.25" customHeight="1">
      <c r="A755" s="13">
        <v>9.0</v>
      </c>
      <c r="B755" s="21" t="s">
        <v>789</v>
      </c>
      <c r="C755" s="22">
        <v>240971.0</v>
      </c>
      <c r="D755" s="21" t="s">
        <v>606</v>
      </c>
      <c r="E755" s="22" t="s">
        <v>781</v>
      </c>
      <c r="F755" s="14">
        <v>0.4166666666666667</v>
      </c>
      <c r="G755" s="25"/>
    </row>
    <row r="756" spans="8:8" ht="32.25" customHeight="1">
      <c r="A756" s="24">
        <v>10.0</v>
      </c>
      <c r="B756" s="21" t="s">
        <v>790</v>
      </c>
      <c r="C756" s="22">
        <v>241093.0</v>
      </c>
      <c r="D756" s="21" t="s">
        <v>606</v>
      </c>
      <c r="E756" s="22" t="s">
        <v>781</v>
      </c>
      <c r="F756" s="14">
        <v>0.4166666666666667</v>
      </c>
      <c r="G756" s="25"/>
    </row>
    <row r="757" spans="8:8" ht="32.25" customHeight="1">
      <c r="A757" s="13">
        <v>11.0</v>
      </c>
      <c r="B757" s="21" t="s">
        <v>791</v>
      </c>
      <c r="C757" s="22">
        <v>241112.0</v>
      </c>
      <c r="D757" s="21" t="s">
        <v>606</v>
      </c>
      <c r="E757" s="22" t="s">
        <v>781</v>
      </c>
      <c r="F757" s="14">
        <v>0.4166666666666667</v>
      </c>
      <c r="G757" s="25"/>
    </row>
    <row r="758" spans="8:8" ht="32.25" customHeight="1">
      <c r="A758" s="24">
        <v>12.0</v>
      </c>
      <c r="B758" s="21" t="s">
        <v>792</v>
      </c>
      <c r="C758" s="22">
        <v>241131.0</v>
      </c>
      <c r="D758" s="21" t="s">
        <v>606</v>
      </c>
      <c r="E758" s="22" t="s">
        <v>781</v>
      </c>
      <c r="F758" s="14">
        <v>0.4166666666666667</v>
      </c>
      <c r="G758" s="25"/>
    </row>
    <row r="759" spans="8:8" ht="32.25" customHeight="1">
      <c r="A759" s="13">
        <v>13.0</v>
      </c>
      <c r="B759" s="21" t="s">
        <v>793</v>
      </c>
      <c r="C759" s="22">
        <v>241132.0</v>
      </c>
      <c r="D759" s="21" t="s">
        <v>606</v>
      </c>
      <c r="E759" s="22" t="s">
        <v>781</v>
      </c>
      <c r="F759" s="14">
        <v>0.4166666666666667</v>
      </c>
      <c r="G759" s="25"/>
    </row>
    <row r="760" spans="8:8" ht="32.25" customHeight="1">
      <c r="A760" s="24">
        <v>14.0</v>
      </c>
      <c r="B760" s="21" t="s">
        <v>794</v>
      </c>
      <c r="C760" s="22">
        <v>241069.0</v>
      </c>
      <c r="D760" s="21" t="s">
        <v>606</v>
      </c>
      <c r="E760" s="22" t="s">
        <v>781</v>
      </c>
      <c r="F760" s="14">
        <v>0.4166666666666667</v>
      </c>
      <c r="G760" s="25"/>
    </row>
    <row r="761" spans="8:8" ht="32.25" customHeight="1">
      <c r="A761" s="13">
        <v>15.0</v>
      </c>
      <c r="B761" s="21" t="s">
        <v>795</v>
      </c>
      <c r="C761" s="22">
        <v>240986.0</v>
      </c>
      <c r="D761" s="21" t="s">
        <v>606</v>
      </c>
      <c r="E761" s="22" t="s">
        <v>781</v>
      </c>
      <c r="F761" s="14">
        <v>0.4166666666666667</v>
      </c>
      <c r="G761" s="25"/>
    </row>
    <row r="762" spans="8:8" ht="32.25" customHeight="1">
      <c r="A762" s="24">
        <v>16.0</v>
      </c>
      <c r="B762" s="21" t="s">
        <v>796</v>
      </c>
      <c r="C762" s="22">
        <v>240995.0</v>
      </c>
      <c r="D762" s="21" t="s">
        <v>606</v>
      </c>
      <c r="E762" s="22" t="s">
        <v>781</v>
      </c>
      <c r="F762" s="14">
        <v>0.4166666666666667</v>
      </c>
      <c r="G762" s="25"/>
    </row>
    <row r="763" spans="8:8" ht="32.25" customHeight="1">
      <c r="A763" s="13">
        <v>17.0</v>
      </c>
      <c r="B763" s="21" t="s">
        <v>797</v>
      </c>
      <c r="C763" s="22">
        <v>241007.0</v>
      </c>
      <c r="D763" s="21" t="s">
        <v>606</v>
      </c>
      <c r="E763" s="22" t="s">
        <v>781</v>
      </c>
      <c r="F763" s="14">
        <v>0.4166666666666667</v>
      </c>
      <c r="G763" s="25"/>
    </row>
    <row r="764" spans="8:8" ht="32.25" customHeight="1">
      <c r="A764" s="24">
        <v>18.0</v>
      </c>
      <c r="B764" s="21" t="s">
        <v>798</v>
      </c>
      <c r="C764" s="22">
        <v>241066.0</v>
      </c>
      <c r="D764" s="21" t="s">
        <v>606</v>
      </c>
      <c r="E764" s="22" t="s">
        <v>781</v>
      </c>
      <c r="F764" s="14">
        <v>0.4166666666666667</v>
      </c>
      <c r="G764" s="25"/>
    </row>
    <row r="765" spans="8:8" ht="32.25" customHeight="1">
      <c r="A765" s="13">
        <v>19.0</v>
      </c>
      <c r="B765" s="21" t="s">
        <v>799</v>
      </c>
      <c r="C765" s="22">
        <v>241067.0</v>
      </c>
      <c r="D765" s="21" t="s">
        <v>606</v>
      </c>
      <c r="E765" s="22" t="s">
        <v>781</v>
      </c>
      <c r="F765" s="14">
        <v>0.4166666666666667</v>
      </c>
      <c r="G765" s="25"/>
    </row>
    <row r="766" spans="8:8" ht="32.25" customHeight="1">
      <c r="A766" s="24">
        <v>20.0</v>
      </c>
      <c r="B766" s="21" t="s">
        <v>800</v>
      </c>
      <c r="C766" s="22">
        <v>241041.0</v>
      </c>
      <c r="D766" s="21" t="s">
        <v>606</v>
      </c>
      <c r="E766" s="22" t="s">
        <v>781</v>
      </c>
      <c r="F766" s="14">
        <v>0.4166666666666667</v>
      </c>
      <c r="G766" s="25"/>
    </row>
    <row r="767" spans="8:8" ht="32.25" customHeight="1">
      <c r="A767" s="13">
        <v>21.0</v>
      </c>
      <c r="B767" s="12" t="s">
        <v>801</v>
      </c>
      <c r="C767" s="13">
        <v>241044.0</v>
      </c>
      <c r="D767" s="12" t="s">
        <v>606</v>
      </c>
      <c r="E767" s="13" t="s">
        <v>781</v>
      </c>
      <c r="F767" s="14">
        <v>0.4166666666666667</v>
      </c>
      <c r="G767" s="25"/>
    </row>
    <row r="768" spans="8:8" ht="32.25" customHeight="1">
      <c r="A768" s="24">
        <v>22.0</v>
      </c>
      <c r="B768" s="21" t="s">
        <v>802</v>
      </c>
      <c r="C768" s="22">
        <v>241055.0</v>
      </c>
      <c r="D768" s="21" t="s">
        <v>606</v>
      </c>
      <c r="E768" s="22" t="s">
        <v>781</v>
      </c>
      <c r="F768" s="14">
        <v>0.4166666666666667</v>
      </c>
      <c r="G768" s="25"/>
    </row>
    <row r="769" spans="8:8" ht="32.25" customHeight="1">
      <c r="A769" s="13">
        <v>23.0</v>
      </c>
      <c r="B769" s="21" t="s">
        <v>803</v>
      </c>
      <c r="C769" s="22">
        <v>240801.0</v>
      </c>
      <c r="D769" s="21" t="s">
        <v>606</v>
      </c>
      <c r="E769" s="22" t="s">
        <v>781</v>
      </c>
      <c r="F769" s="14">
        <v>0.4166666666666667</v>
      </c>
      <c r="G769" s="25"/>
    </row>
    <row r="770" spans="8:8" ht="32.25" customHeight="1">
      <c r="A770" s="24">
        <v>24.0</v>
      </c>
      <c r="B770" s="21" t="s">
        <v>804</v>
      </c>
      <c r="C770" s="22">
        <v>240711.0</v>
      </c>
      <c r="D770" s="21" t="s">
        <v>606</v>
      </c>
      <c r="E770" s="22" t="s">
        <v>781</v>
      </c>
      <c r="F770" s="14">
        <v>0.4166666666666667</v>
      </c>
      <c r="G770" s="25"/>
    </row>
    <row r="771" spans="8:8" ht="32.25" customHeight="1">
      <c r="A771" s="13">
        <v>25.0</v>
      </c>
      <c r="B771" s="21" t="s">
        <v>805</v>
      </c>
      <c r="C771" s="22">
        <v>240713.0</v>
      </c>
      <c r="D771" s="21" t="s">
        <v>606</v>
      </c>
      <c r="E771" s="22" t="s">
        <v>781</v>
      </c>
      <c r="F771" s="14">
        <v>0.4166666666666667</v>
      </c>
      <c r="G771" s="25"/>
    </row>
    <row r="772" spans="8:8" ht="32.25" customHeight="1">
      <c r="A772" s="24">
        <v>26.0</v>
      </c>
      <c r="B772" s="21" t="s">
        <v>806</v>
      </c>
      <c r="C772" s="22">
        <v>241034.0</v>
      </c>
      <c r="D772" s="21" t="s">
        <v>606</v>
      </c>
      <c r="E772" s="22" t="s">
        <v>781</v>
      </c>
      <c r="F772" s="14">
        <v>0.4166666666666667</v>
      </c>
      <c r="G772" s="25"/>
    </row>
    <row r="773" spans="8:8" ht="32.25" customHeight="1">
      <c r="A773" s="13">
        <v>27.0</v>
      </c>
      <c r="B773" s="21" t="s">
        <v>807</v>
      </c>
      <c r="C773" s="22">
        <v>240118.0</v>
      </c>
      <c r="D773" s="21" t="s">
        <v>606</v>
      </c>
      <c r="E773" s="22" t="s">
        <v>781</v>
      </c>
      <c r="F773" s="14">
        <v>0.4166666666666667</v>
      </c>
      <c r="G773" s="25"/>
    </row>
    <row r="774" spans="8:8" ht="32.25" customHeight="1">
      <c r="A774" s="8" t="s">
        <v>18</v>
      </c>
      <c r="B774" s="9" t="s">
        <v>19</v>
      </c>
      <c r="C774" s="9" t="s">
        <v>20</v>
      </c>
      <c r="D774" s="9" t="s">
        <v>21</v>
      </c>
      <c r="E774" s="9" t="s">
        <v>22</v>
      </c>
      <c r="F774" s="10" t="s">
        <v>23</v>
      </c>
      <c r="G774" s="9" t="s">
        <v>808</v>
      </c>
    </row>
    <row r="775" spans="8:8" ht="32.25" customHeight="1">
      <c r="A775" s="22">
        <v>1.0</v>
      </c>
      <c r="B775" s="21" t="s">
        <v>809</v>
      </c>
      <c r="C775" s="22">
        <v>240707.0</v>
      </c>
      <c r="D775" s="21" t="s">
        <v>606</v>
      </c>
      <c r="E775" s="22" t="s">
        <v>781</v>
      </c>
      <c r="F775" s="14">
        <v>0.4166666666666667</v>
      </c>
      <c r="G775" s="13"/>
    </row>
    <row r="776" spans="8:8" ht="32.25" customHeight="1">
      <c r="A776" s="22">
        <v>2.0</v>
      </c>
      <c r="B776" s="21" t="s">
        <v>810</v>
      </c>
      <c r="C776" s="22">
        <v>240784.0</v>
      </c>
      <c r="D776" s="21" t="s">
        <v>606</v>
      </c>
      <c r="E776" s="22" t="s">
        <v>781</v>
      </c>
      <c r="F776" s="14">
        <v>0.4166666666666667</v>
      </c>
      <c r="G776" s="25"/>
    </row>
    <row r="777" spans="8:8" ht="32.25" customHeight="1">
      <c r="A777" s="22">
        <v>3.0</v>
      </c>
      <c r="B777" s="12" t="s">
        <v>811</v>
      </c>
      <c r="C777" s="13">
        <v>240875.0</v>
      </c>
      <c r="D777" s="12" t="s">
        <v>606</v>
      </c>
      <c r="E777" s="13" t="s">
        <v>781</v>
      </c>
      <c r="F777" s="14">
        <v>0.4166666666666667</v>
      </c>
      <c r="G777" s="25"/>
    </row>
    <row r="778" spans="8:8" ht="32.25" customHeight="1">
      <c r="A778" s="22">
        <v>4.0</v>
      </c>
      <c r="B778" s="12" t="s">
        <v>812</v>
      </c>
      <c r="C778" s="13">
        <v>240751.0</v>
      </c>
      <c r="D778" s="12" t="s">
        <v>606</v>
      </c>
      <c r="E778" s="13" t="s">
        <v>781</v>
      </c>
      <c r="F778" s="14">
        <v>0.4166666666666667</v>
      </c>
      <c r="G778" s="25"/>
    </row>
    <row r="779" spans="8:8" ht="32.25" customHeight="1">
      <c r="A779" s="22">
        <v>5.0</v>
      </c>
      <c r="B779" s="19" t="s">
        <v>813</v>
      </c>
      <c r="C779" s="20">
        <v>240677.0</v>
      </c>
      <c r="D779" s="12" t="s">
        <v>606</v>
      </c>
      <c r="E779" s="20" t="s">
        <v>781</v>
      </c>
      <c r="F779" s="14">
        <v>0.4166666666666667</v>
      </c>
      <c r="G779" s="25"/>
    </row>
    <row r="780" spans="8:8" ht="32.25" customHeight="1">
      <c r="A780" s="22">
        <v>6.0</v>
      </c>
      <c r="B780" s="21" t="s">
        <v>814</v>
      </c>
      <c r="C780" s="22">
        <v>240660.0</v>
      </c>
      <c r="D780" s="21" t="s">
        <v>606</v>
      </c>
      <c r="E780" s="22" t="s">
        <v>781</v>
      </c>
      <c r="F780" s="14">
        <v>0.4166666666666667</v>
      </c>
      <c r="G780" s="25"/>
    </row>
    <row r="781" spans="8:8" ht="32.25" customHeight="1">
      <c r="A781" s="22">
        <v>7.0</v>
      </c>
      <c r="B781" s="21" t="s">
        <v>815</v>
      </c>
      <c r="C781" s="22">
        <v>240670.0</v>
      </c>
      <c r="D781" s="21" t="s">
        <v>606</v>
      </c>
      <c r="E781" s="22" t="s">
        <v>781</v>
      </c>
      <c r="F781" s="14">
        <v>0.4166666666666667</v>
      </c>
      <c r="G781" s="25"/>
    </row>
    <row r="782" spans="8:8" ht="32.25" customHeight="1">
      <c r="A782" s="22">
        <v>8.0</v>
      </c>
      <c r="B782" s="21" t="s">
        <v>816</v>
      </c>
      <c r="C782" s="22">
        <v>240607.0</v>
      </c>
      <c r="D782" s="21" t="s">
        <v>606</v>
      </c>
      <c r="E782" s="22" t="s">
        <v>781</v>
      </c>
      <c r="F782" s="14">
        <v>0.4166666666666667</v>
      </c>
      <c r="G782" s="25"/>
    </row>
    <row r="783" spans="8:8" ht="32.25" customHeight="1">
      <c r="A783" s="22">
        <v>9.0</v>
      </c>
      <c r="B783" s="21" t="s">
        <v>817</v>
      </c>
      <c r="C783" s="22">
        <v>240812.0</v>
      </c>
      <c r="D783" s="21" t="s">
        <v>606</v>
      </c>
      <c r="E783" s="22" t="s">
        <v>781</v>
      </c>
      <c r="F783" s="14">
        <v>0.4166666666666667</v>
      </c>
      <c r="G783" s="25"/>
    </row>
    <row r="784" spans="8:8" ht="32.25" customHeight="1">
      <c r="A784" s="22">
        <v>10.0</v>
      </c>
      <c r="B784" s="21" t="s">
        <v>818</v>
      </c>
      <c r="C784" s="22">
        <v>240500.0</v>
      </c>
      <c r="D784" s="21" t="s">
        <v>606</v>
      </c>
      <c r="E784" s="22" t="s">
        <v>781</v>
      </c>
      <c r="F784" s="14">
        <v>0.4166666666666667</v>
      </c>
      <c r="G784" s="25"/>
    </row>
    <row r="785" spans="8:8" ht="32.25" customHeight="1">
      <c r="A785" s="22">
        <v>11.0</v>
      </c>
      <c r="B785" s="21" t="s">
        <v>819</v>
      </c>
      <c r="C785" s="22">
        <v>240501.0</v>
      </c>
      <c r="D785" s="21" t="s">
        <v>606</v>
      </c>
      <c r="E785" s="22" t="s">
        <v>781</v>
      </c>
      <c r="F785" s="14">
        <v>0.4166666666666667</v>
      </c>
      <c r="G785" s="25"/>
    </row>
    <row r="786" spans="8:8" ht="32.25" customHeight="1">
      <c r="A786" s="22">
        <v>12.0</v>
      </c>
      <c r="B786" s="21" t="s">
        <v>820</v>
      </c>
      <c r="C786" s="22">
        <v>241068.0</v>
      </c>
      <c r="D786" s="21" t="s">
        <v>606</v>
      </c>
      <c r="E786" s="22" t="s">
        <v>781</v>
      </c>
      <c r="F786" s="14">
        <v>0.4166666666666667</v>
      </c>
      <c r="G786" s="25"/>
    </row>
    <row r="787" spans="8:8" ht="32.25" customHeight="1">
      <c r="A787" s="22">
        <v>13.0</v>
      </c>
      <c r="B787" s="12" t="s">
        <v>821</v>
      </c>
      <c r="C787" s="13">
        <v>240621.0</v>
      </c>
      <c r="D787" s="12" t="s">
        <v>606</v>
      </c>
      <c r="E787" s="13" t="s">
        <v>781</v>
      </c>
      <c r="F787" s="14">
        <v>0.4166666666666667</v>
      </c>
      <c r="G787" s="25"/>
    </row>
    <row r="788" spans="8:8" ht="32.25" customHeight="1">
      <c r="A788" s="22">
        <v>14.0</v>
      </c>
      <c r="B788" s="12" t="s">
        <v>822</v>
      </c>
      <c r="C788" s="13">
        <v>241057.0</v>
      </c>
      <c r="D788" s="12" t="s">
        <v>606</v>
      </c>
      <c r="E788" s="13" t="s">
        <v>781</v>
      </c>
      <c r="F788" s="14">
        <v>0.4166666666666667</v>
      </c>
      <c r="G788" s="25"/>
    </row>
    <row r="789" spans="8:8" ht="32.25" customHeight="1">
      <c r="A789" s="22">
        <v>15.0</v>
      </c>
      <c r="B789" s="12" t="s">
        <v>823</v>
      </c>
      <c r="C789" s="13">
        <v>241076.0</v>
      </c>
      <c r="D789" s="12" t="s">
        <v>606</v>
      </c>
      <c r="E789" s="13" t="s">
        <v>781</v>
      </c>
      <c r="F789" s="14">
        <v>0.4166666666666667</v>
      </c>
      <c r="G789" s="25"/>
    </row>
    <row r="790" spans="8:8" ht="32.25" customHeight="1">
      <c r="A790" s="22">
        <v>16.0</v>
      </c>
      <c r="B790" s="12" t="s">
        <v>824</v>
      </c>
      <c r="C790" s="13">
        <v>241095.0</v>
      </c>
      <c r="D790" s="12" t="s">
        <v>606</v>
      </c>
      <c r="E790" s="13" t="s">
        <v>781</v>
      </c>
      <c r="F790" s="14">
        <v>0.4166666666666667</v>
      </c>
      <c r="G790" s="25"/>
    </row>
    <row r="791" spans="8:8" ht="32.25" customHeight="1">
      <c r="A791" s="22">
        <v>17.0</v>
      </c>
      <c r="B791" s="12" t="s">
        <v>825</v>
      </c>
      <c r="C791" s="13">
        <v>241114.0</v>
      </c>
      <c r="D791" s="12" t="s">
        <v>606</v>
      </c>
      <c r="E791" s="13" t="s">
        <v>781</v>
      </c>
      <c r="F791" s="14">
        <v>0.4166666666666667</v>
      </c>
      <c r="G791" s="25"/>
    </row>
    <row r="792" spans="8:8" ht="32.25" customHeight="1">
      <c r="A792" s="22">
        <v>18.0</v>
      </c>
      <c r="B792" s="16" t="s">
        <v>826</v>
      </c>
      <c r="C792" s="17">
        <v>240760.0</v>
      </c>
      <c r="D792" s="16" t="s">
        <v>606</v>
      </c>
      <c r="E792" s="17" t="s">
        <v>781</v>
      </c>
      <c r="F792" s="14">
        <v>0.4166666666666667</v>
      </c>
      <c r="G792" s="25"/>
    </row>
    <row r="793" spans="8:8" ht="32.25" customHeight="1">
      <c r="A793" s="22">
        <v>19.0</v>
      </c>
      <c r="B793" s="16" t="s">
        <v>827</v>
      </c>
      <c r="C793" s="17">
        <v>240765.0</v>
      </c>
      <c r="D793" s="16" t="s">
        <v>606</v>
      </c>
      <c r="E793" s="17" t="s">
        <v>781</v>
      </c>
      <c r="F793" s="14">
        <v>0.4166666666666667</v>
      </c>
      <c r="G793" s="25"/>
    </row>
    <row r="794" spans="8:8" ht="32.25" customHeight="1">
      <c r="A794" s="22">
        <v>20.0</v>
      </c>
      <c r="B794" s="16" t="s">
        <v>828</v>
      </c>
      <c r="C794" s="17">
        <v>240942.0</v>
      </c>
      <c r="D794" s="16" t="s">
        <v>606</v>
      </c>
      <c r="E794" s="17" t="s">
        <v>781</v>
      </c>
      <c r="F794" s="14">
        <v>0.4166666666666667</v>
      </c>
      <c r="G794" s="25"/>
    </row>
    <row r="795" spans="8:8" ht="32.25" customHeight="1">
      <c r="A795" s="22">
        <v>21.0</v>
      </c>
      <c r="B795" s="16" t="s">
        <v>829</v>
      </c>
      <c r="C795" s="17">
        <v>240966.0</v>
      </c>
      <c r="D795" s="16" t="s">
        <v>606</v>
      </c>
      <c r="E795" s="17" t="s">
        <v>781</v>
      </c>
      <c r="F795" s="14">
        <v>0.4166666666666667</v>
      </c>
      <c r="G795" s="25"/>
    </row>
    <row r="796" spans="8:8" ht="32.25" customHeight="1">
      <c r="A796" s="22">
        <v>22.0</v>
      </c>
      <c r="B796" s="16" t="s">
        <v>830</v>
      </c>
      <c r="C796" s="17">
        <v>240981.0</v>
      </c>
      <c r="D796" s="16" t="s">
        <v>606</v>
      </c>
      <c r="E796" s="17" t="s">
        <v>781</v>
      </c>
      <c r="F796" s="14">
        <v>0.4166666666666667</v>
      </c>
      <c r="G796" s="25"/>
    </row>
    <row r="797" spans="8:8" ht="32.25" customHeight="1">
      <c r="A797" s="22">
        <v>23.0</v>
      </c>
      <c r="B797" s="16" t="s">
        <v>831</v>
      </c>
      <c r="C797" s="17">
        <v>240983.0</v>
      </c>
      <c r="D797" s="16" t="s">
        <v>606</v>
      </c>
      <c r="E797" s="17" t="s">
        <v>781</v>
      </c>
      <c r="F797" s="14">
        <v>0.4166666666666667</v>
      </c>
      <c r="G797" s="25"/>
    </row>
    <row r="798" spans="8:8" ht="32.25" customHeight="1">
      <c r="A798" s="22">
        <v>24.0</v>
      </c>
      <c r="B798" s="16" t="s">
        <v>832</v>
      </c>
      <c r="C798" s="17">
        <v>241003.0</v>
      </c>
      <c r="D798" s="16" t="s">
        <v>606</v>
      </c>
      <c r="E798" s="17" t="s">
        <v>781</v>
      </c>
      <c r="F798" s="14">
        <v>0.4166666666666667</v>
      </c>
      <c r="G798" s="25"/>
    </row>
    <row r="799" spans="8:8" ht="32.25" customHeight="1">
      <c r="A799" s="22">
        <v>25.0</v>
      </c>
      <c r="B799" s="16" t="s">
        <v>833</v>
      </c>
      <c r="C799" s="17">
        <v>241062.0</v>
      </c>
      <c r="D799" s="16" t="s">
        <v>606</v>
      </c>
      <c r="E799" s="17" t="s">
        <v>781</v>
      </c>
      <c r="F799" s="14">
        <v>0.4166666666666667</v>
      </c>
      <c r="G799" s="25"/>
    </row>
    <row r="800" spans="8:8" ht="32.25" customHeight="1">
      <c r="A800" s="22">
        <v>26.0</v>
      </c>
      <c r="B800" s="16" t="s">
        <v>834</v>
      </c>
      <c r="C800" s="17">
        <v>240550.0</v>
      </c>
      <c r="D800" s="16" t="s">
        <v>606</v>
      </c>
      <c r="E800" s="17" t="s">
        <v>781</v>
      </c>
      <c r="F800" s="14">
        <v>0.4166666666666667</v>
      </c>
      <c r="G800" s="25"/>
    </row>
    <row r="801" spans="8:8" ht="32.25" customHeight="1">
      <c r="A801" s="22">
        <v>27.0</v>
      </c>
      <c r="B801" s="16" t="s">
        <v>835</v>
      </c>
      <c r="C801" s="17">
        <v>241049.0</v>
      </c>
      <c r="D801" s="16" t="s">
        <v>606</v>
      </c>
      <c r="E801" s="17" t="s">
        <v>781</v>
      </c>
      <c r="F801" s="14">
        <v>0.4166666666666667</v>
      </c>
      <c r="G801" s="25"/>
    </row>
    <row r="802" spans="8:8" ht="32.25" customHeight="1">
      <c r="A802" s="22">
        <v>28.0</v>
      </c>
      <c r="B802" s="16" t="s">
        <v>836</v>
      </c>
      <c r="C802" s="17">
        <v>240719.0</v>
      </c>
      <c r="D802" s="16" t="s">
        <v>606</v>
      </c>
      <c r="E802" s="17" t="s">
        <v>781</v>
      </c>
      <c r="F802" s="14">
        <v>0.4166666666666667</v>
      </c>
      <c r="G802" s="25"/>
    </row>
    <row r="803" spans="8:8" ht="32.25" customHeight="1">
      <c r="A803" s="8" t="s">
        <v>18</v>
      </c>
      <c r="B803" s="9" t="s">
        <v>19</v>
      </c>
      <c r="C803" s="9" t="s">
        <v>20</v>
      </c>
      <c r="D803" s="9" t="s">
        <v>21</v>
      </c>
      <c r="E803" s="9" t="s">
        <v>22</v>
      </c>
      <c r="F803" s="10" t="s">
        <v>23</v>
      </c>
      <c r="G803" s="9" t="s">
        <v>837</v>
      </c>
    </row>
    <row r="804" spans="8:8" ht="32.25" customHeight="1">
      <c r="A804" s="22">
        <v>1.0</v>
      </c>
      <c r="B804" s="12" t="s">
        <v>838</v>
      </c>
      <c r="C804" s="13">
        <v>240657.0</v>
      </c>
      <c r="D804" s="12" t="s">
        <v>606</v>
      </c>
      <c r="E804" s="13" t="s">
        <v>781</v>
      </c>
      <c r="F804" s="14">
        <v>0.4166666666666667</v>
      </c>
      <c r="G804" s="13"/>
    </row>
    <row r="805" spans="8:8" ht="32.25" customHeight="1">
      <c r="A805" s="22">
        <v>2.0</v>
      </c>
      <c r="B805" s="12" t="s">
        <v>839</v>
      </c>
      <c r="C805" s="13">
        <v>240490.0</v>
      </c>
      <c r="D805" s="12" t="s">
        <v>606</v>
      </c>
      <c r="E805" s="13" t="s">
        <v>781</v>
      </c>
      <c r="F805" s="14">
        <v>0.4166666666666667</v>
      </c>
      <c r="G805" s="25"/>
    </row>
    <row r="806" spans="8:8" ht="32.25" customHeight="1">
      <c r="A806" s="22">
        <v>3.0</v>
      </c>
      <c r="B806" s="12" t="s">
        <v>840</v>
      </c>
      <c r="C806" s="13">
        <v>240883.0</v>
      </c>
      <c r="D806" s="12" t="s">
        <v>606</v>
      </c>
      <c r="E806" s="13" t="s">
        <v>781</v>
      </c>
      <c r="F806" s="14">
        <v>0.4166666666666667</v>
      </c>
      <c r="G806" s="25"/>
    </row>
    <row r="807" spans="8:8" ht="32.25" customHeight="1">
      <c r="A807" s="22">
        <v>4.0</v>
      </c>
      <c r="B807" s="12" t="s">
        <v>841</v>
      </c>
      <c r="C807" s="13">
        <v>240504.0</v>
      </c>
      <c r="D807" s="12" t="s">
        <v>606</v>
      </c>
      <c r="E807" s="13" t="s">
        <v>781</v>
      </c>
      <c r="F807" s="14">
        <v>0.4166666666666667</v>
      </c>
      <c r="G807" s="25"/>
    </row>
    <row r="808" spans="8:8" ht="32.25" customHeight="1">
      <c r="A808" s="22">
        <v>5.0</v>
      </c>
      <c r="B808" s="12" t="s">
        <v>842</v>
      </c>
      <c r="C808" s="13">
        <v>241082.0</v>
      </c>
      <c r="D808" s="12" t="s">
        <v>606</v>
      </c>
      <c r="E808" s="13" t="s">
        <v>781</v>
      </c>
      <c r="F808" s="14">
        <v>0.4166666666666667</v>
      </c>
      <c r="G808" s="25"/>
    </row>
    <row r="809" spans="8:8" ht="32.25" customHeight="1">
      <c r="A809" s="22">
        <v>6.0</v>
      </c>
      <c r="B809" s="12" t="s">
        <v>843</v>
      </c>
      <c r="C809" s="13">
        <v>240484.0</v>
      </c>
      <c r="D809" s="12" t="s">
        <v>606</v>
      </c>
      <c r="E809" s="13" t="s">
        <v>781</v>
      </c>
      <c r="F809" s="14">
        <v>0.4166666666666667</v>
      </c>
      <c r="G809" s="25"/>
    </row>
    <row r="810" spans="8:8" ht="32.25" customHeight="1">
      <c r="A810" s="22">
        <v>7.0</v>
      </c>
      <c r="B810" s="12" t="s">
        <v>844</v>
      </c>
      <c r="C810" s="13">
        <v>240618.0</v>
      </c>
      <c r="D810" s="12" t="s">
        <v>606</v>
      </c>
      <c r="E810" s="13" t="s">
        <v>781</v>
      </c>
      <c r="F810" s="14">
        <v>0.4166666666666667</v>
      </c>
      <c r="G810" s="25"/>
    </row>
    <row r="811" spans="8:8" ht="32.25" customHeight="1">
      <c r="A811" s="22">
        <v>8.0</v>
      </c>
      <c r="B811" s="12" t="s">
        <v>845</v>
      </c>
      <c r="C811" s="13">
        <v>240888.0</v>
      </c>
      <c r="D811" s="12" t="s">
        <v>606</v>
      </c>
      <c r="E811" s="13" t="s">
        <v>781</v>
      </c>
      <c r="F811" s="14">
        <v>0.4166666666666667</v>
      </c>
      <c r="G811" s="25"/>
    </row>
    <row r="812" spans="8:8" ht="32.25" customHeight="1">
      <c r="A812" s="22">
        <v>9.0</v>
      </c>
      <c r="B812" s="12" t="s">
        <v>846</v>
      </c>
      <c r="C812" s="13">
        <v>241862.0</v>
      </c>
      <c r="D812" s="12" t="s">
        <v>606</v>
      </c>
      <c r="E812" s="13" t="s">
        <v>781</v>
      </c>
      <c r="F812" s="14">
        <v>0.4166666666666667</v>
      </c>
      <c r="G812" s="25"/>
    </row>
    <row r="813" spans="8:8" ht="32.25" customHeight="1">
      <c r="A813" s="22">
        <v>10.0</v>
      </c>
      <c r="B813" s="12" t="s">
        <v>847</v>
      </c>
      <c r="C813" s="13">
        <v>241054.0</v>
      </c>
      <c r="D813" s="12" t="s">
        <v>606</v>
      </c>
      <c r="E813" s="13" t="s">
        <v>781</v>
      </c>
      <c r="F813" s="14">
        <v>0.4166666666666667</v>
      </c>
      <c r="G813" s="25"/>
    </row>
    <row r="814" spans="8:8" ht="32.25" customHeight="1">
      <c r="A814" s="22">
        <v>11.0</v>
      </c>
      <c r="B814" s="26" t="s">
        <v>848</v>
      </c>
      <c r="C814" s="27">
        <v>240496.0</v>
      </c>
      <c r="D814" s="26" t="s">
        <v>606</v>
      </c>
      <c r="E814" s="27" t="s">
        <v>781</v>
      </c>
      <c r="F814" s="14">
        <v>0.4166666666666667</v>
      </c>
      <c r="G814" s="25"/>
    </row>
    <row r="815" spans="8:8" ht="32.25" customHeight="1">
      <c r="A815" s="22">
        <v>12.0</v>
      </c>
      <c r="B815" s="21" t="s">
        <v>849</v>
      </c>
      <c r="C815" s="22">
        <v>240818.0</v>
      </c>
      <c r="D815" s="21" t="s">
        <v>606</v>
      </c>
      <c r="E815" s="22" t="s">
        <v>781</v>
      </c>
      <c r="F815" s="14">
        <v>0.4166666666666667</v>
      </c>
      <c r="G815" s="25"/>
    </row>
    <row r="816" spans="8:8" ht="32.25" customHeight="1">
      <c r="A816" s="22">
        <v>13.0</v>
      </c>
      <c r="B816" s="12" t="s">
        <v>850</v>
      </c>
      <c r="C816" s="13">
        <v>240932.0</v>
      </c>
      <c r="D816" s="12" t="s">
        <v>606</v>
      </c>
      <c r="E816" s="13" t="s">
        <v>781</v>
      </c>
      <c r="F816" s="14">
        <v>0.4166666666666667</v>
      </c>
      <c r="G816" s="25"/>
    </row>
    <row r="817" spans="8:8" ht="32.25" customHeight="1">
      <c r="A817" s="22">
        <v>14.0</v>
      </c>
      <c r="B817" s="12" t="s">
        <v>851</v>
      </c>
      <c r="C817" s="13">
        <v>240913.0</v>
      </c>
      <c r="D817" s="12" t="s">
        <v>606</v>
      </c>
      <c r="E817" s="13" t="s">
        <v>781</v>
      </c>
      <c r="F817" s="14">
        <v>0.4166666666666667</v>
      </c>
      <c r="G817" s="25"/>
    </row>
    <row r="818" spans="8:8" ht="32.25" customHeight="1">
      <c r="A818" s="22">
        <v>15.0</v>
      </c>
      <c r="B818" s="12" t="s">
        <v>852</v>
      </c>
      <c r="C818" s="13">
        <v>241101.0</v>
      </c>
      <c r="D818" s="12" t="s">
        <v>606</v>
      </c>
      <c r="E818" s="13" t="s">
        <v>781</v>
      </c>
      <c r="F818" s="14">
        <v>0.4166666666666667</v>
      </c>
      <c r="G818" s="25"/>
    </row>
    <row r="819" spans="8:8" ht="32.25" customHeight="1">
      <c r="A819" s="22">
        <v>16.0</v>
      </c>
      <c r="B819" s="12" t="s">
        <v>853</v>
      </c>
      <c r="C819" s="13">
        <v>240697.0</v>
      </c>
      <c r="D819" s="12" t="s">
        <v>606</v>
      </c>
      <c r="E819" s="13" t="s">
        <v>781</v>
      </c>
      <c r="F819" s="14">
        <v>0.4166666666666667</v>
      </c>
      <c r="G819" s="25"/>
    </row>
    <row r="820" spans="8:8" ht="32.25" customHeight="1">
      <c r="A820" s="22">
        <v>17.0</v>
      </c>
      <c r="B820" s="21" t="s">
        <v>854</v>
      </c>
      <c r="C820" s="22">
        <v>240613.0</v>
      </c>
      <c r="D820" s="21" t="s">
        <v>606</v>
      </c>
      <c r="E820" s="22" t="s">
        <v>781</v>
      </c>
      <c r="F820" s="14">
        <v>0.4166666666666667</v>
      </c>
      <c r="G820" s="25"/>
    </row>
    <row r="821" spans="8:8" ht="32.25" customHeight="1">
      <c r="A821" s="22">
        <v>18.0</v>
      </c>
      <c r="B821" s="21" t="s">
        <v>855</v>
      </c>
      <c r="C821" s="22">
        <v>240616.0</v>
      </c>
      <c r="D821" s="21" t="s">
        <v>606</v>
      </c>
      <c r="E821" s="22" t="s">
        <v>781</v>
      </c>
      <c r="F821" s="14">
        <v>0.4166666666666667</v>
      </c>
      <c r="G821" s="25"/>
    </row>
    <row r="822" spans="8:8" ht="32.25" customHeight="1">
      <c r="A822" s="22">
        <v>19.0</v>
      </c>
      <c r="B822" s="21" t="s">
        <v>856</v>
      </c>
      <c r="C822" s="22">
        <v>240702.0</v>
      </c>
      <c r="D822" s="21" t="s">
        <v>606</v>
      </c>
      <c r="E822" s="22" t="s">
        <v>781</v>
      </c>
      <c r="F822" s="14">
        <v>0.4166666666666667</v>
      </c>
      <c r="G822" s="25"/>
    </row>
    <row r="823" spans="8:8" ht="32.25" customHeight="1">
      <c r="A823" s="22">
        <v>20.0</v>
      </c>
      <c r="B823" s="21" t="s">
        <v>857</v>
      </c>
      <c r="C823" s="22">
        <v>240586.0</v>
      </c>
      <c r="D823" s="21" t="s">
        <v>606</v>
      </c>
      <c r="E823" s="22" t="s">
        <v>781</v>
      </c>
      <c r="F823" s="14">
        <v>0.4166666666666667</v>
      </c>
      <c r="G823" s="25"/>
    </row>
    <row r="824" spans="8:8" ht="32.25" customHeight="1">
      <c r="A824" s="22">
        <v>21.0</v>
      </c>
      <c r="B824" s="21" t="s">
        <v>858</v>
      </c>
      <c r="C824" s="22">
        <v>240590.0</v>
      </c>
      <c r="D824" s="21" t="s">
        <v>606</v>
      </c>
      <c r="E824" s="22" t="s">
        <v>781</v>
      </c>
      <c r="F824" s="14">
        <v>0.4166666666666667</v>
      </c>
      <c r="G824" s="25"/>
    </row>
    <row r="825" spans="8:8" ht="32.25" customHeight="1">
      <c r="A825" s="22">
        <v>22.0</v>
      </c>
      <c r="B825" s="21" t="s">
        <v>859</v>
      </c>
      <c r="C825" s="22">
        <v>240894.0</v>
      </c>
      <c r="D825" s="21" t="s">
        <v>606</v>
      </c>
      <c r="E825" s="22" t="s">
        <v>781</v>
      </c>
      <c r="F825" s="14">
        <v>0.4166666666666667</v>
      </c>
      <c r="G825" s="25"/>
    </row>
    <row r="826" spans="8:8" ht="32.25" customHeight="1">
      <c r="A826" s="22">
        <v>23.0</v>
      </c>
      <c r="B826" s="21" t="s">
        <v>860</v>
      </c>
      <c r="C826" s="22">
        <v>240975.0</v>
      </c>
      <c r="D826" s="21" t="s">
        <v>606</v>
      </c>
      <c r="E826" s="22" t="s">
        <v>781</v>
      </c>
      <c r="F826" s="14">
        <v>0.4166666666666667</v>
      </c>
      <c r="G826" s="25"/>
    </row>
    <row r="827" spans="8:8" ht="32.25" customHeight="1">
      <c r="A827" s="22">
        <v>24.0</v>
      </c>
      <c r="B827" s="12" t="s">
        <v>861</v>
      </c>
      <c r="C827" s="13">
        <v>240742.0</v>
      </c>
      <c r="D827" s="12" t="s">
        <v>606</v>
      </c>
      <c r="E827" s="13" t="s">
        <v>781</v>
      </c>
      <c r="F827" s="14">
        <v>0.4166666666666667</v>
      </c>
      <c r="G827" s="25"/>
    </row>
    <row r="828" spans="8:8" ht="32.25" customHeight="1">
      <c r="A828" s="22">
        <v>25.0</v>
      </c>
      <c r="B828" s="21" t="s">
        <v>862</v>
      </c>
      <c r="C828" s="22">
        <v>240774.0</v>
      </c>
      <c r="D828" s="21" t="s">
        <v>606</v>
      </c>
      <c r="E828" s="22" t="s">
        <v>781</v>
      </c>
      <c r="F828" s="14">
        <v>0.4166666666666667</v>
      </c>
      <c r="G828" s="25"/>
    </row>
    <row r="829" spans="8:8" ht="32.25" customHeight="1">
      <c r="A829" s="22">
        <v>26.0</v>
      </c>
      <c r="B829" s="21" t="s">
        <v>863</v>
      </c>
      <c r="C829" s="22">
        <v>240563.0</v>
      </c>
      <c r="D829" s="21" t="s">
        <v>606</v>
      </c>
      <c r="E829" s="22" t="s">
        <v>781</v>
      </c>
      <c r="F829" s="14">
        <v>0.4166666666666667</v>
      </c>
      <c r="G829" s="25"/>
    </row>
    <row r="830" spans="8:8" ht="32.25" customHeight="1">
      <c r="A830" s="22">
        <v>27.0</v>
      </c>
      <c r="B830" s="21" t="s">
        <v>864</v>
      </c>
      <c r="C830" s="22">
        <v>240892.0</v>
      </c>
      <c r="D830" s="21" t="s">
        <v>606</v>
      </c>
      <c r="E830" s="22" t="s">
        <v>781</v>
      </c>
      <c r="F830" s="14">
        <v>0.4166666666666667</v>
      </c>
      <c r="G830" s="25"/>
    </row>
    <row r="831" spans="8:8" ht="32.25" customHeight="1">
      <c r="A831" s="22">
        <v>28.0</v>
      </c>
      <c r="B831" s="21" t="s">
        <v>865</v>
      </c>
      <c r="C831" s="22">
        <v>241885.0</v>
      </c>
      <c r="D831" s="21" t="s">
        <v>606</v>
      </c>
      <c r="E831" s="22" t="s">
        <v>781</v>
      </c>
      <c r="F831" s="14">
        <v>0.4166666666666667</v>
      </c>
      <c r="G831" s="25"/>
    </row>
    <row r="832" spans="8:8" ht="32.25" customHeight="1">
      <c r="A832" s="8" t="s">
        <v>18</v>
      </c>
      <c r="B832" s="9" t="s">
        <v>19</v>
      </c>
      <c r="C832" s="9" t="s">
        <v>20</v>
      </c>
      <c r="D832" s="9" t="s">
        <v>21</v>
      </c>
      <c r="E832" s="9" t="s">
        <v>22</v>
      </c>
      <c r="F832" s="10" t="s">
        <v>23</v>
      </c>
      <c r="G832" s="9" t="s">
        <v>866</v>
      </c>
    </row>
    <row r="833" spans="8:8" ht="32.25" customHeight="1">
      <c r="A833" s="13">
        <v>1.0</v>
      </c>
      <c r="B833" s="21" t="s">
        <v>867</v>
      </c>
      <c r="C833" s="22">
        <v>240782.0</v>
      </c>
      <c r="D833" s="21" t="s">
        <v>606</v>
      </c>
      <c r="E833" s="22" t="s">
        <v>781</v>
      </c>
      <c r="F833" s="14">
        <v>0.4166666666666667</v>
      </c>
      <c r="G833" s="13"/>
    </row>
    <row r="834" spans="8:8" ht="32.25" customHeight="1">
      <c r="A834" s="13">
        <v>2.0</v>
      </c>
      <c r="B834" s="21" t="s">
        <v>868</v>
      </c>
      <c r="C834" s="22">
        <v>240788.0</v>
      </c>
      <c r="D834" s="21" t="s">
        <v>606</v>
      </c>
      <c r="E834" s="22" t="s">
        <v>781</v>
      </c>
      <c r="F834" s="14">
        <v>0.4166666666666667</v>
      </c>
      <c r="G834" s="25"/>
    </row>
    <row r="835" spans="8:8" ht="32.25" customHeight="1">
      <c r="A835" s="13">
        <v>3.0</v>
      </c>
      <c r="B835" s="21" t="s">
        <v>869</v>
      </c>
      <c r="C835" s="22">
        <v>240793.0</v>
      </c>
      <c r="D835" s="21" t="s">
        <v>606</v>
      </c>
      <c r="E835" s="22" t="s">
        <v>781</v>
      </c>
      <c r="F835" s="14">
        <v>0.4166666666666667</v>
      </c>
      <c r="G835" s="25"/>
    </row>
    <row r="836" spans="8:8" ht="32.25" customHeight="1">
      <c r="A836" s="13">
        <v>4.0</v>
      </c>
      <c r="B836" s="21" t="s">
        <v>870</v>
      </c>
      <c r="C836" s="22">
        <v>240800.0</v>
      </c>
      <c r="D836" s="21" t="s">
        <v>606</v>
      </c>
      <c r="E836" s="22" t="s">
        <v>781</v>
      </c>
      <c r="F836" s="14">
        <v>0.4166666666666667</v>
      </c>
      <c r="G836" s="25"/>
    </row>
    <row r="837" spans="8:8" ht="32.25" customHeight="1">
      <c r="A837" s="13">
        <v>5.0</v>
      </c>
      <c r="B837" s="21" t="s">
        <v>871</v>
      </c>
      <c r="C837" s="22">
        <v>253151.0</v>
      </c>
      <c r="D837" s="21" t="s">
        <v>56</v>
      </c>
      <c r="E837" s="13" t="s">
        <v>781</v>
      </c>
      <c r="F837" s="14">
        <v>0.4166666666666667</v>
      </c>
      <c r="G837" s="25"/>
    </row>
    <row r="838" spans="8:8" ht="32.25" customHeight="1">
      <c r="A838" s="13">
        <v>6.0</v>
      </c>
      <c r="B838" s="21" t="s">
        <v>872</v>
      </c>
      <c r="C838" s="22">
        <v>240857.0</v>
      </c>
      <c r="D838" s="21" t="s">
        <v>606</v>
      </c>
      <c r="E838" s="22" t="s">
        <v>781</v>
      </c>
      <c r="F838" s="14">
        <v>0.4166666666666667</v>
      </c>
      <c r="G838" s="25"/>
    </row>
    <row r="839" spans="8:8" ht="32.25" customHeight="1">
      <c r="A839" s="13">
        <v>7.0</v>
      </c>
      <c r="B839" s="21" t="s">
        <v>873</v>
      </c>
      <c r="C839" s="22">
        <v>240787.0</v>
      </c>
      <c r="D839" s="21" t="s">
        <v>606</v>
      </c>
      <c r="E839" s="22" t="s">
        <v>781</v>
      </c>
      <c r="F839" s="14">
        <v>0.4166666666666667</v>
      </c>
      <c r="G839" s="25"/>
    </row>
    <row r="840" spans="8:8" ht="32.25" customHeight="1">
      <c r="A840" s="13">
        <v>8.0</v>
      </c>
      <c r="B840" s="21" t="s">
        <v>874</v>
      </c>
      <c r="C840" s="22">
        <v>241102.0</v>
      </c>
      <c r="D840" s="21" t="s">
        <v>606</v>
      </c>
      <c r="E840" s="22" t="s">
        <v>781</v>
      </c>
      <c r="F840" s="14">
        <v>0.4166666666666667</v>
      </c>
      <c r="G840" s="25"/>
    </row>
    <row r="841" spans="8:8" ht="32.25" customHeight="1">
      <c r="A841" s="13">
        <v>9.0</v>
      </c>
      <c r="B841" s="21" t="s">
        <v>875</v>
      </c>
      <c r="C841" s="22">
        <v>240638.0</v>
      </c>
      <c r="D841" s="21" t="s">
        <v>606</v>
      </c>
      <c r="E841" s="22" t="s">
        <v>781</v>
      </c>
      <c r="F841" s="14">
        <v>0.4166666666666667</v>
      </c>
      <c r="G841" s="25"/>
    </row>
    <row r="842" spans="8:8" ht="32.25" customHeight="1">
      <c r="A842" s="13">
        <v>10.0</v>
      </c>
      <c r="B842" s="21" t="s">
        <v>876</v>
      </c>
      <c r="C842" s="22">
        <v>240560.0</v>
      </c>
      <c r="D842" s="21" t="s">
        <v>606</v>
      </c>
      <c r="E842" s="22" t="s">
        <v>781</v>
      </c>
      <c r="F842" s="14">
        <v>0.4166666666666667</v>
      </c>
      <c r="G842" s="25"/>
    </row>
    <row r="843" spans="8:8" ht="32.25" customHeight="1">
      <c r="A843" s="13">
        <v>11.0</v>
      </c>
      <c r="B843" s="21" t="s">
        <v>877</v>
      </c>
      <c r="C843" s="22">
        <v>240829.0</v>
      </c>
      <c r="D843" s="21" t="s">
        <v>606</v>
      </c>
      <c r="E843" s="22" t="s">
        <v>781</v>
      </c>
      <c r="F843" s="14">
        <v>0.4166666666666667</v>
      </c>
      <c r="G843" s="25"/>
    </row>
    <row r="844" spans="8:8" ht="32.25" customHeight="1">
      <c r="A844" s="13">
        <v>12.0</v>
      </c>
      <c r="B844" s="21" t="s">
        <v>878</v>
      </c>
      <c r="C844" s="22">
        <v>240830.0</v>
      </c>
      <c r="D844" s="21" t="s">
        <v>606</v>
      </c>
      <c r="E844" s="22" t="s">
        <v>781</v>
      </c>
      <c r="F844" s="14">
        <v>0.4166666666666667</v>
      </c>
      <c r="G844" s="25"/>
    </row>
    <row r="845" spans="8:8" ht="32.25" customHeight="1">
      <c r="A845" s="13">
        <v>13.0</v>
      </c>
      <c r="B845" s="21" t="s">
        <v>879</v>
      </c>
      <c r="C845" s="22">
        <v>240833.0</v>
      </c>
      <c r="D845" s="21" t="s">
        <v>606</v>
      </c>
      <c r="E845" s="22" t="s">
        <v>781</v>
      </c>
      <c r="F845" s="14">
        <v>0.4166666666666667</v>
      </c>
      <c r="G845" s="25"/>
    </row>
    <row r="846" spans="8:8" ht="32.25" customHeight="1">
      <c r="A846" s="13">
        <v>14.0</v>
      </c>
      <c r="B846" s="21" t="s">
        <v>880</v>
      </c>
      <c r="C846" s="22">
        <v>240853.0</v>
      </c>
      <c r="D846" s="21" t="s">
        <v>606</v>
      </c>
      <c r="E846" s="22" t="s">
        <v>781</v>
      </c>
      <c r="F846" s="14">
        <v>0.4166666666666667</v>
      </c>
      <c r="G846" s="25"/>
    </row>
    <row r="847" spans="8:8" ht="32.25" customHeight="1">
      <c r="A847" s="13">
        <v>15.0</v>
      </c>
      <c r="B847" s="21" t="s">
        <v>881</v>
      </c>
      <c r="C847" s="22">
        <v>240855.0</v>
      </c>
      <c r="D847" s="21" t="s">
        <v>606</v>
      </c>
      <c r="E847" s="22" t="s">
        <v>781</v>
      </c>
      <c r="F847" s="14">
        <v>0.4166666666666667</v>
      </c>
      <c r="G847" s="25"/>
    </row>
    <row r="848" spans="8:8" ht="32.25" customHeight="1">
      <c r="A848" s="13">
        <v>16.0</v>
      </c>
      <c r="B848" s="21" t="s">
        <v>882</v>
      </c>
      <c r="C848" s="22">
        <v>240860.0</v>
      </c>
      <c r="D848" s="21" t="s">
        <v>606</v>
      </c>
      <c r="E848" s="22" t="s">
        <v>781</v>
      </c>
      <c r="F848" s="14">
        <v>0.4166666666666667</v>
      </c>
      <c r="G848" s="25"/>
    </row>
    <row r="849" spans="8:8" ht="32.25" customHeight="1">
      <c r="A849" s="13">
        <v>17.0</v>
      </c>
      <c r="B849" s="21" t="s">
        <v>883</v>
      </c>
      <c r="C849" s="22">
        <v>240862.0</v>
      </c>
      <c r="D849" s="21" t="s">
        <v>606</v>
      </c>
      <c r="E849" s="22" t="s">
        <v>781</v>
      </c>
      <c r="F849" s="14">
        <v>0.4166666666666667</v>
      </c>
      <c r="G849" s="25"/>
    </row>
    <row r="850" spans="8:8" ht="32.25" customHeight="1">
      <c r="A850" s="13">
        <v>18.0</v>
      </c>
      <c r="B850" s="21" t="s">
        <v>884</v>
      </c>
      <c r="C850" s="22">
        <v>240864.0</v>
      </c>
      <c r="D850" s="21" t="s">
        <v>606</v>
      </c>
      <c r="E850" s="22" t="s">
        <v>781</v>
      </c>
      <c r="F850" s="14">
        <v>0.4166666666666667</v>
      </c>
      <c r="G850" s="25"/>
    </row>
    <row r="851" spans="8:8" ht="32.25" customHeight="1">
      <c r="A851" s="13">
        <v>19.0</v>
      </c>
      <c r="B851" s="21" t="s">
        <v>885</v>
      </c>
      <c r="C851" s="22">
        <v>240686.0</v>
      </c>
      <c r="D851" s="21" t="s">
        <v>606</v>
      </c>
      <c r="E851" s="22" t="s">
        <v>781</v>
      </c>
      <c r="F851" s="14">
        <v>0.4166666666666667</v>
      </c>
      <c r="G851" s="25"/>
    </row>
    <row r="852" spans="8:8" ht="32.25" customHeight="1">
      <c r="A852" s="13">
        <v>20.0</v>
      </c>
      <c r="B852" s="21" t="s">
        <v>886</v>
      </c>
      <c r="C852" s="22">
        <v>240642.0</v>
      </c>
      <c r="D852" s="21" t="s">
        <v>606</v>
      </c>
      <c r="E852" s="22" t="s">
        <v>781</v>
      </c>
      <c r="F852" s="14">
        <v>0.4166666666666667</v>
      </c>
      <c r="G852" s="25"/>
    </row>
    <row r="853" spans="8:8" ht="32.25" customHeight="1">
      <c r="A853" s="13">
        <v>21.0</v>
      </c>
      <c r="B853" s="21" t="s">
        <v>887</v>
      </c>
      <c r="C853" s="22">
        <v>240664.0</v>
      </c>
      <c r="D853" s="21" t="s">
        <v>606</v>
      </c>
      <c r="E853" s="22" t="s">
        <v>781</v>
      </c>
      <c r="F853" s="14">
        <v>0.4166666666666667</v>
      </c>
      <c r="G853" s="25"/>
    </row>
    <row r="854" spans="8:8" ht="32.25" customHeight="1">
      <c r="A854" s="13">
        <v>22.0</v>
      </c>
      <c r="B854" s="21" t="s">
        <v>888</v>
      </c>
      <c r="C854" s="22">
        <v>240672.0</v>
      </c>
      <c r="D854" s="21" t="s">
        <v>606</v>
      </c>
      <c r="E854" s="22" t="s">
        <v>781</v>
      </c>
      <c r="F854" s="14">
        <v>0.4166666666666667</v>
      </c>
      <c r="G854" s="25"/>
    </row>
    <row r="855" spans="8:8" ht="32.25" customHeight="1">
      <c r="A855" s="13">
        <v>23.0</v>
      </c>
      <c r="B855" s="21" t="s">
        <v>889</v>
      </c>
      <c r="C855" s="22">
        <v>240694.0</v>
      </c>
      <c r="D855" s="21" t="s">
        <v>606</v>
      </c>
      <c r="E855" s="22" t="s">
        <v>781</v>
      </c>
      <c r="F855" s="14">
        <v>0.4166666666666667</v>
      </c>
      <c r="G855" s="25"/>
    </row>
    <row r="856" spans="8:8" ht="32.25" customHeight="1">
      <c r="A856" s="13">
        <v>24.0</v>
      </c>
      <c r="B856" s="21" t="s">
        <v>890</v>
      </c>
      <c r="C856" s="22">
        <v>240731.0</v>
      </c>
      <c r="D856" s="21" t="s">
        <v>606</v>
      </c>
      <c r="E856" s="22" t="s">
        <v>781</v>
      </c>
      <c r="F856" s="14">
        <v>0.4166666666666667</v>
      </c>
      <c r="G856" s="25"/>
    </row>
    <row r="857" spans="8:8" ht="32.25" customHeight="1">
      <c r="A857" s="13">
        <v>25.0</v>
      </c>
      <c r="B857" s="21" t="s">
        <v>891</v>
      </c>
      <c r="C857" s="22">
        <v>240733.0</v>
      </c>
      <c r="D857" s="21" t="s">
        <v>606</v>
      </c>
      <c r="E857" s="22" t="s">
        <v>781</v>
      </c>
      <c r="F857" s="14">
        <v>0.4166666666666667</v>
      </c>
      <c r="G857" s="25"/>
    </row>
    <row r="858" spans="8:8" ht="32.25" customHeight="1">
      <c r="A858" s="13">
        <v>26.0</v>
      </c>
      <c r="B858" s="21" t="s">
        <v>892</v>
      </c>
      <c r="C858" s="22">
        <v>240727.0</v>
      </c>
      <c r="D858" s="21" t="s">
        <v>606</v>
      </c>
      <c r="E858" s="22" t="s">
        <v>781</v>
      </c>
      <c r="F858" s="14">
        <v>0.4166666666666667</v>
      </c>
      <c r="G858" s="25"/>
    </row>
    <row r="859" spans="8:8" ht="32.25" customHeight="1">
      <c r="A859" s="13">
        <v>27.0</v>
      </c>
      <c r="B859" s="21" t="s">
        <v>893</v>
      </c>
      <c r="C859" s="22">
        <v>241099.0</v>
      </c>
      <c r="D859" s="21" t="s">
        <v>606</v>
      </c>
      <c r="E859" s="22" t="s">
        <v>781</v>
      </c>
      <c r="F859" s="14">
        <v>0.4166666666666667</v>
      </c>
      <c r="G859" s="25"/>
    </row>
    <row r="860" spans="8:8" ht="32.25" customHeight="1">
      <c r="A860" s="13">
        <v>28.0</v>
      </c>
      <c r="B860" s="21" t="s">
        <v>894</v>
      </c>
      <c r="C860" s="22">
        <v>241022.0</v>
      </c>
      <c r="D860" s="21" t="s">
        <v>606</v>
      </c>
      <c r="E860" s="22" t="s">
        <v>781</v>
      </c>
      <c r="F860" s="14">
        <v>0.4166666666666667</v>
      </c>
      <c r="G860" s="25"/>
    </row>
    <row r="861" spans="8:8" ht="32.25" customHeight="1">
      <c r="A861" s="8" t="s">
        <v>18</v>
      </c>
      <c r="B861" s="9" t="s">
        <v>19</v>
      </c>
      <c r="C861" s="9" t="s">
        <v>20</v>
      </c>
      <c r="D861" s="9" t="s">
        <v>21</v>
      </c>
      <c r="E861" s="9" t="s">
        <v>22</v>
      </c>
      <c r="F861" s="10" t="s">
        <v>23</v>
      </c>
      <c r="G861" s="9" t="s">
        <v>895</v>
      </c>
    </row>
    <row r="862" spans="8:8" ht="32.25" customHeight="1">
      <c r="A862" s="22">
        <v>1.0</v>
      </c>
      <c r="B862" s="21" t="s">
        <v>896</v>
      </c>
      <c r="C862" s="22">
        <v>240735.0</v>
      </c>
      <c r="D862" s="21" t="s">
        <v>606</v>
      </c>
      <c r="E862" s="22" t="s">
        <v>781</v>
      </c>
      <c r="F862" s="14">
        <v>0.4166666666666667</v>
      </c>
      <c r="G862" s="13"/>
    </row>
    <row r="863" spans="8:8" ht="32.25" customHeight="1">
      <c r="A863" s="22">
        <v>2.0</v>
      </c>
      <c r="B863" s="21" t="s">
        <v>897</v>
      </c>
      <c r="C863" s="22">
        <v>240757.0</v>
      </c>
      <c r="D863" s="21" t="s">
        <v>606</v>
      </c>
      <c r="E863" s="22" t="s">
        <v>781</v>
      </c>
      <c r="F863" s="14">
        <v>0.4166666666666667</v>
      </c>
      <c r="G863" s="25"/>
    </row>
    <row r="864" spans="8:8" ht="32.25" customHeight="1">
      <c r="A864" s="22">
        <v>3.0</v>
      </c>
      <c r="B864" s="21" t="s">
        <v>898</v>
      </c>
      <c r="C864" s="22">
        <v>240848.0</v>
      </c>
      <c r="D864" s="21" t="s">
        <v>606</v>
      </c>
      <c r="E864" s="22" t="s">
        <v>781</v>
      </c>
      <c r="F864" s="14">
        <v>0.4166666666666667</v>
      </c>
      <c r="G864" s="25"/>
    </row>
    <row r="865" spans="8:8" ht="32.25" customHeight="1">
      <c r="A865" s="22">
        <v>4.0</v>
      </c>
      <c r="B865" s="21" t="s">
        <v>899</v>
      </c>
      <c r="C865" s="22">
        <v>240847.0</v>
      </c>
      <c r="D865" s="21" t="s">
        <v>606</v>
      </c>
      <c r="E865" s="22" t="s">
        <v>781</v>
      </c>
      <c r="F865" s="14">
        <v>0.4166666666666667</v>
      </c>
      <c r="G865" s="25"/>
    </row>
    <row r="866" spans="8:8" ht="32.25" customHeight="1">
      <c r="A866" s="22">
        <v>5.0</v>
      </c>
      <c r="B866" s="21" t="s">
        <v>900</v>
      </c>
      <c r="C866" s="22">
        <v>241071.0</v>
      </c>
      <c r="D866" s="21" t="s">
        <v>606</v>
      </c>
      <c r="E866" s="22" t="s">
        <v>781</v>
      </c>
      <c r="F866" s="14">
        <v>0.4166666666666667</v>
      </c>
      <c r="G866" s="25"/>
    </row>
    <row r="867" spans="8:8" ht="32.25" customHeight="1">
      <c r="A867" s="22">
        <v>6.0</v>
      </c>
      <c r="B867" s="21" t="s">
        <v>901</v>
      </c>
      <c r="C867" s="22">
        <v>240749.0</v>
      </c>
      <c r="D867" s="21" t="s">
        <v>606</v>
      </c>
      <c r="E867" s="13" t="s">
        <v>781</v>
      </c>
      <c r="F867" s="14">
        <v>0.4166666666666667</v>
      </c>
      <c r="G867" s="25"/>
    </row>
    <row r="868" spans="8:8" ht="32.25" customHeight="1">
      <c r="A868" s="22">
        <v>7.0</v>
      </c>
      <c r="B868" s="21" t="s">
        <v>902</v>
      </c>
      <c r="C868" s="22">
        <v>240759.0</v>
      </c>
      <c r="D868" s="21" t="s">
        <v>606</v>
      </c>
      <c r="E868" s="22" t="s">
        <v>781</v>
      </c>
      <c r="F868" s="14">
        <v>0.4166666666666667</v>
      </c>
      <c r="G868" s="25"/>
    </row>
    <row r="869" spans="8:8" ht="32.25" customHeight="1">
      <c r="A869" s="22">
        <v>8.0</v>
      </c>
      <c r="B869" s="21" t="s">
        <v>903</v>
      </c>
      <c r="C869" s="22">
        <v>241029.0</v>
      </c>
      <c r="D869" s="21" t="s">
        <v>606</v>
      </c>
      <c r="E869" s="22" t="s">
        <v>781</v>
      </c>
      <c r="F869" s="14">
        <v>0.4166666666666667</v>
      </c>
      <c r="G869" s="25"/>
    </row>
    <row r="870" spans="8:8" ht="32.25" customHeight="1">
      <c r="A870" s="22">
        <v>9.0</v>
      </c>
      <c r="B870" s="12" t="s">
        <v>904</v>
      </c>
      <c r="C870" s="13">
        <v>240982.0</v>
      </c>
      <c r="D870" s="12" t="s">
        <v>606</v>
      </c>
      <c r="E870" s="13" t="s">
        <v>781</v>
      </c>
      <c r="F870" s="14">
        <v>0.4166666666666667</v>
      </c>
      <c r="G870" s="25"/>
    </row>
    <row r="871" spans="8:8" ht="32.25" customHeight="1">
      <c r="A871" s="22">
        <v>10.0</v>
      </c>
      <c r="B871" s="21" t="s">
        <v>905</v>
      </c>
      <c r="C871" s="22">
        <v>241028.0</v>
      </c>
      <c r="D871" s="21" t="s">
        <v>606</v>
      </c>
      <c r="E871" s="22" t="s">
        <v>781</v>
      </c>
      <c r="F871" s="14">
        <v>0.4166666666666667</v>
      </c>
      <c r="G871" s="25"/>
    </row>
    <row r="872" spans="8:8" ht="32.25" customHeight="1">
      <c r="A872" s="22">
        <v>11.0</v>
      </c>
      <c r="B872" s="21" t="s">
        <v>906</v>
      </c>
      <c r="C872" s="22">
        <v>241032.0</v>
      </c>
      <c r="D872" s="21" t="s">
        <v>606</v>
      </c>
      <c r="E872" s="22" t="s">
        <v>781</v>
      </c>
      <c r="F872" s="14">
        <v>0.4166666666666667</v>
      </c>
      <c r="G872" s="25"/>
    </row>
    <row r="873" spans="8:8" ht="32.25" customHeight="1">
      <c r="A873" s="22">
        <v>12.0</v>
      </c>
      <c r="B873" s="12" t="s">
        <v>907</v>
      </c>
      <c r="C873" s="13">
        <v>240706.0</v>
      </c>
      <c r="D873" s="12" t="s">
        <v>606</v>
      </c>
      <c r="E873" s="13" t="s">
        <v>781</v>
      </c>
      <c r="F873" s="14">
        <v>0.4166666666666667</v>
      </c>
      <c r="G873" s="25"/>
    </row>
    <row r="874" spans="8:8" ht="32.25" customHeight="1">
      <c r="A874" s="22">
        <v>13.0</v>
      </c>
      <c r="B874" s="12" t="s">
        <v>908</v>
      </c>
      <c r="C874" s="13">
        <v>240750.0</v>
      </c>
      <c r="D874" s="12" t="s">
        <v>606</v>
      </c>
      <c r="E874" s="13" t="s">
        <v>781</v>
      </c>
      <c r="F874" s="14">
        <v>0.4166666666666667</v>
      </c>
      <c r="G874" s="25"/>
    </row>
    <row r="875" spans="8:8" ht="32.25" customHeight="1">
      <c r="A875" s="22">
        <v>14.0</v>
      </c>
      <c r="B875" s="23" t="s">
        <v>909</v>
      </c>
      <c r="C875" s="24">
        <v>240658.0</v>
      </c>
      <c r="D875" s="23" t="s">
        <v>606</v>
      </c>
      <c r="E875" s="24" t="s">
        <v>781</v>
      </c>
      <c r="F875" s="14">
        <v>0.4166666666666667</v>
      </c>
      <c r="G875" s="25"/>
    </row>
    <row r="876" spans="8:8" ht="32.25" customHeight="1">
      <c r="A876" s="22">
        <v>15.0</v>
      </c>
      <c r="B876" s="12" t="s">
        <v>910</v>
      </c>
      <c r="C876" s="13">
        <v>241086.0</v>
      </c>
      <c r="D876" s="12" t="s">
        <v>606</v>
      </c>
      <c r="E876" s="13" t="s">
        <v>781</v>
      </c>
      <c r="F876" s="14">
        <v>0.4166666666666667</v>
      </c>
      <c r="G876" s="25"/>
    </row>
    <row r="877" spans="8:8" ht="32.25" customHeight="1">
      <c r="A877" s="22">
        <v>16.0</v>
      </c>
      <c r="B877" s="12" t="s">
        <v>911</v>
      </c>
      <c r="C877" s="13">
        <v>241088.0</v>
      </c>
      <c r="D877" s="12" t="s">
        <v>606</v>
      </c>
      <c r="E877" s="13" t="s">
        <v>781</v>
      </c>
      <c r="F877" s="14">
        <v>0.4166666666666667</v>
      </c>
      <c r="G877" s="25"/>
    </row>
    <row r="878" spans="8:8" ht="32.25" customHeight="1">
      <c r="A878" s="22">
        <v>17.0</v>
      </c>
      <c r="B878" s="12" t="s">
        <v>912</v>
      </c>
      <c r="C878" s="13">
        <v>241111.0</v>
      </c>
      <c r="D878" s="12" t="s">
        <v>606</v>
      </c>
      <c r="E878" s="13" t="s">
        <v>781</v>
      </c>
      <c r="F878" s="14">
        <v>0.4166666666666667</v>
      </c>
      <c r="G878" s="25"/>
    </row>
    <row r="879" spans="8:8" ht="32.25" customHeight="1">
      <c r="A879" s="22">
        <v>18.0</v>
      </c>
      <c r="B879" s="12" t="s">
        <v>913</v>
      </c>
      <c r="C879" s="13">
        <v>241120.0</v>
      </c>
      <c r="D879" s="12" t="s">
        <v>606</v>
      </c>
      <c r="E879" s="13" t="s">
        <v>781</v>
      </c>
      <c r="F879" s="14">
        <v>0.4166666666666667</v>
      </c>
      <c r="G879" s="25"/>
    </row>
    <row r="880" spans="8:8" ht="32.25" customHeight="1">
      <c r="A880" s="22">
        <v>19.0</v>
      </c>
      <c r="B880" s="12" t="s">
        <v>914</v>
      </c>
      <c r="C880" s="13">
        <v>240820.0</v>
      </c>
      <c r="D880" s="12" t="s">
        <v>606</v>
      </c>
      <c r="E880" s="13" t="s">
        <v>781</v>
      </c>
      <c r="F880" s="14">
        <v>0.4166666666666667</v>
      </c>
      <c r="G880" s="25"/>
    </row>
    <row r="881" spans="8:8" ht="32.25" customHeight="1">
      <c r="A881" s="22">
        <v>20.0</v>
      </c>
      <c r="B881" s="12" t="s">
        <v>915</v>
      </c>
      <c r="C881" s="13">
        <v>240763.0</v>
      </c>
      <c r="D881" s="12" t="s">
        <v>606</v>
      </c>
      <c r="E881" s="13" t="s">
        <v>781</v>
      </c>
      <c r="F881" s="14">
        <v>0.4166666666666667</v>
      </c>
      <c r="G881" s="25"/>
    </row>
    <row r="882" spans="8:8" ht="32.25" customHeight="1">
      <c r="A882" s="22">
        <v>21.0</v>
      </c>
      <c r="B882" s="12" t="s">
        <v>916</v>
      </c>
      <c r="C882" s="13">
        <v>240890.0</v>
      </c>
      <c r="D882" s="12" t="s">
        <v>606</v>
      </c>
      <c r="E882" s="13" t="s">
        <v>781</v>
      </c>
      <c r="F882" s="14">
        <v>0.4166666666666667</v>
      </c>
      <c r="G882" s="25"/>
    </row>
    <row r="883" spans="8:8" ht="32.25" customHeight="1">
      <c r="A883" s="22">
        <v>22.0</v>
      </c>
      <c r="B883" s="12" t="s">
        <v>917</v>
      </c>
      <c r="C883" s="13">
        <v>240889.0</v>
      </c>
      <c r="D883" s="12" t="s">
        <v>606</v>
      </c>
      <c r="E883" s="13" t="s">
        <v>781</v>
      </c>
      <c r="F883" s="14">
        <v>0.4166666666666667</v>
      </c>
      <c r="G883" s="25"/>
    </row>
    <row r="884" spans="8:8" ht="32.25" customHeight="1">
      <c r="A884" s="22">
        <v>23.0</v>
      </c>
      <c r="B884" s="12" t="s">
        <v>918</v>
      </c>
      <c r="C884" s="13">
        <v>240959.0</v>
      </c>
      <c r="D884" s="12" t="s">
        <v>606</v>
      </c>
      <c r="E884" s="13" t="s">
        <v>781</v>
      </c>
      <c r="F884" s="14">
        <v>0.4166666666666667</v>
      </c>
      <c r="G884" s="25"/>
    </row>
    <row r="885" spans="8:8" ht="32.25" customHeight="1">
      <c r="A885" s="22">
        <v>24.0</v>
      </c>
      <c r="B885" s="12" t="s">
        <v>919</v>
      </c>
      <c r="C885" s="13">
        <v>240960.0</v>
      </c>
      <c r="D885" s="12" t="s">
        <v>606</v>
      </c>
      <c r="E885" s="13" t="s">
        <v>781</v>
      </c>
      <c r="F885" s="14">
        <v>0.4166666666666667</v>
      </c>
      <c r="G885" s="25"/>
    </row>
    <row r="886" spans="8:8" ht="32.25" customHeight="1">
      <c r="A886" s="22">
        <v>25.0</v>
      </c>
      <c r="B886" s="12" t="s">
        <v>920</v>
      </c>
      <c r="C886" s="13">
        <v>241008.0</v>
      </c>
      <c r="D886" s="12" t="s">
        <v>606</v>
      </c>
      <c r="E886" s="13" t="s">
        <v>781</v>
      </c>
      <c r="F886" s="14">
        <v>0.4166666666666667</v>
      </c>
      <c r="G886" s="25"/>
    </row>
    <row r="887" spans="8:8" ht="32.25" customHeight="1">
      <c r="A887" s="22">
        <v>26.0</v>
      </c>
      <c r="B887" s="21" t="s">
        <v>921</v>
      </c>
      <c r="C887" s="22">
        <v>240634.0</v>
      </c>
      <c r="D887" s="21" t="s">
        <v>606</v>
      </c>
      <c r="E887" s="22" t="s">
        <v>781</v>
      </c>
      <c r="F887" s="14">
        <v>0.4166666666666667</v>
      </c>
      <c r="G887" s="25"/>
    </row>
    <row r="888" spans="8:8" ht="32.25" customHeight="1">
      <c r="A888" s="22">
        <v>27.0</v>
      </c>
      <c r="B888" s="21" t="s">
        <v>922</v>
      </c>
      <c r="C888" s="22">
        <v>240683.0</v>
      </c>
      <c r="D888" s="21" t="s">
        <v>606</v>
      </c>
      <c r="E888" s="22" t="s">
        <v>781</v>
      </c>
      <c r="F888" s="14">
        <v>0.4166666666666667</v>
      </c>
      <c r="G888" s="25"/>
    </row>
    <row r="889" spans="8:8" ht="32.25" customHeight="1">
      <c r="A889" s="22">
        <v>28.0</v>
      </c>
      <c r="B889" s="21" t="s">
        <v>923</v>
      </c>
      <c r="C889" s="22">
        <v>240949.0</v>
      </c>
      <c r="D889" s="21" t="s">
        <v>606</v>
      </c>
      <c r="E889" s="22" t="s">
        <v>781</v>
      </c>
      <c r="F889" s="14">
        <v>0.4166666666666667</v>
      </c>
      <c r="G889" s="25"/>
    </row>
    <row r="890" spans="8:8" ht="32.25" customHeight="1">
      <c r="A890" s="8" t="s">
        <v>18</v>
      </c>
      <c r="B890" s="9" t="s">
        <v>19</v>
      </c>
      <c r="C890" s="9" t="s">
        <v>20</v>
      </c>
      <c r="D890" s="9" t="s">
        <v>21</v>
      </c>
      <c r="E890" s="9" t="s">
        <v>22</v>
      </c>
      <c r="F890" s="10" t="s">
        <v>23</v>
      </c>
      <c r="G890" s="9" t="s">
        <v>924</v>
      </c>
    </row>
    <row r="891" spans="8:8" ht="32.25" customHeight="1">
      <c r="A891" s="11">
        <v>1.0</v>
      </c>
      <c r="B891" s="12" t="s">
        <v>925</v>
      </c>
      <c r="C891" s="13">
        <v>241059.0</v>
      </c>
      <c r="D891" s="12" t="s">
        <v>606</v>
      </c>
      <c r="E891" s="13" t="s">
        <v>781</v>
      </c>
      <c r="F891" s="14">
        <v>0.4166666666666667</v>
      </c>
      <c r="G891" s="13"/>
    </row>
    <row r="892" spans="8:8" ht="32.25" customHeight="1">
      <c r="A892" s="11">
        <v>2.0</v>
      </c>
      <c r="B892" s="21" t="s">
        <v>926</v>
      </c>
      <c r="C892" s="22">
        <v>240609.0</v>
      </c>
      <c r="D892" s="21" t="s">
        <v>606</v>
      </c>
      <c r="E892" s="22" t="s">
        <v>781</v>
      </c>
      <c r="F892" s="14">
        <v>0.4166666666666667</v>
      </c>
      <c r="G892" s="25"/>
    </row>
    <row r="893" spans="8:8" ht="32.25" customHeight="1">
      <c r="A893" s="11">
        <v>3.0</v>
      </c>
      <c r="B893" s="21" t="s">
        <v>927</v>
      </c>
      <c r="C893" s="22">
        <v>240593.0</v>
      </c>
      <c r="D893" s="21" t="s">
        <v>606</v>
      </c>
      <c r="E893" s="22" t="s">
        <v>781</v>
      </c>
      <c r="F893" s="14">
        <v>0.4166666666666667</v>
      </c>
      <c r="G893" s="25"/>
    </row>
    <row r="894" spans="8:8" ht="32.25" customHeight="1">
      <c r="A894" s="11">
        <v>4.0</v>
      </c>
      <c r="B894" s="21" t="s">
        <v>928</v>
      </c>
      <c r="C894" s="22">
        <v>240596.0</v>
      </c>
      <c r="D894" s="21" t="s">
        <v>606</v>
      </c>
      <c r="E894" s="22" t="s">
        <v>781</v>
      </c>
      <c r="F894" s="14">
        <v>0.4166666666666667</v>
      </c>
      <c r="G894" s="25"/>
    </row>
    <row r="895" spans="8:8" ht="32.25" customHeight="1">
      <c r="A895" s="11">
        <v>5.0</v>
      </c>
      <c r="B895" s="21" t="s">
        <v>929</v>
      </c>
      <c r="C895" s="22">
        <v>240626.0</v>
      </c>
      <c r="D895" s="21" t="s">
        <v>606</v>
      </c>
      <c r="E895" s="13" t="s">
        <v>781</v>
      </c>
      <c r="F895" s="14">
        <v>0.4166666666666667</v>
      </c>
      <c r="G895" s="25"/>
    </row>
    <row r="896" spans="8:8" ht="32.25" customHeight="1">
      <c r="A896" s="11">
        <v>6.0</v>
      </c>
      <c r="B896" s="21" t="s">
        <v>930</v>
      </c>
      <c r="C896" s="22">
        <v>241887.0</v>
      </c>
      <c r="D896" s="21" t="s">
        <v>606</v>
      </c>
      <c r="E896" s="22" t="s">
        <v>781</v>
      </c>
      <c r="F896" s="14">
        <v>0.4166666666666667</v>
      </c>
      <c r="G896" s="25"/>
    </row>
    <row r="897" spans="8:8" ht="32.25" customHeight="1">
      <c r="A897" s="11">
        <v>7.0</v>
      </c>
      <c r="B897" s="21" t="s">
        <v>931</v>
      </c>
      <c r="C897" s="22">
        <v>240630.0</v>
      </c>
      <c r="D897" s="21" t="s">
        <v>606</v>
      </c>
      <c r="E897" s="22" t="s">
        <v>781</v>
      </c>
      <c r="F897" s="14">
        <v>0.4166666666666667</v>
      </c>
      <c r="G897" s="25"/>
    </row>
    <row r="898" spans="8:8" ht="32.25" customHeight="1">
      <c r="A898" s="11">
        <v>8.0</v>
      </c>
      <c r="B898" s="21" t="s">
        <v>932</v>
      </c>
      <c r="C898" s="22">
        <v>241013.0</v>
      </c>
      <c r="D898" s="21" t="s">
        <v>606</v>
      </c>
      <c r="E898" s="22" t="s">
        <v>781</v>
      </c>
      <c r="F898" s="14">
        <v>0.4166666666666667</v>
      </c>
      <c r="G898" s="25"/>
    </row>
    <row r="899" spans="8:8" ht="32.25" customHeight="1">
      <c r="A899" s="11">
        <v>9.0</v>
      </c>
      <c r="B899" s="21" t="s">
        <v>933</v>
      </c>
      <c r="C899" s="22">
        <v>241014.0</v>
      </c>
      <c r="D899" s="21" t="s">
        <v>606</v>
      </c>
      <c r="E899" s="22" t="s">
        <v>781</v>
      </c>
      <c r="F899" s="14">
        <v>0.4166666666666667</v>
      </c>
      <c r="G899" s="25"/>
    </row>
    <row r="900" spans="8:8" ht="32.25" customHeight="1">
      <c r="A900" s="11">
        <v>10.0</v>
      </c>
      <c r="B900" s="21" t="s">
        <v>934</v>
      </c>
      <c r="C900" s="22">
        <v>241030.0</v>
      </c>
      <c r="D900" s="21" t="s">
        <v>606</v>
      </c>
      <c r="E900" s="22" t="s">
        <v>781</v>
      </c>
      <c r="F900" s="14">
        <v>0.4166666666666667</v>
      </c>
      <c r="G900" s="25"/>
    </row>
    <row r="901" spans="8:8" ht="32.25" customHeight="1">
      <c r="A901" s="11">
        <v>11.0</v>
      </c>
      <c r="B901" s="21" t="s">
        <v>935</v>
      </c>
      <c r="C901" s="22">
        <v>241031.0</v>
      </c>
      <c r="D901" s="21" t="s">
        <v>606</v>
      </c>
      <c r="E901" s="22" t="s">
        <v>781</v>
      </c>
      <c r="F901" s="14">
        <v>0.4166666666666667</v>
      </c>
      <c r="G901" s="25"/>
    </row>
    <row r="902" spans="8:8" ht="32.25" customHeight="1">
      <c r="A902" s="11">
        <v>12.0</v>
      </c>
      <c r="B902" s="21" t="s">
        <v>936</v>
      </c>
      <c r="C902" s="22">
        <v>241048.0</v>
      </c>
      <c r="D902" s="21" t="s">
        <v>606</v>
      </c>
      <c r="E902" s="22" t="s">
        <v>781</v>
      </c>
      <c r="F902" s="14">
        <v>0.4166666666666667</v>
      </c>
      <c r="G902" s="25"/>
    </row>
    <row r="903" spans="8:8" ht="32.25" customHeight="1">
      <c r="A903" s="11">
        <v>13.0</v>
      </c>
      <c r="B903" s="21" t="s">
        <v>937</v>
      </c>
      <c r="C903" s="22">
        <v>240871.0</v>
      </c>
      <c r="D903" s="21" t="s">
        <v>606</v>
      </c>
      <c r="E903" s="22" t="s">
        <v>781</v>
      </c>
      <c r="F903" s="14">
        <v>0.4166666666666667</v>
      </c>
      <c r="G903" s="25"/>
    </row>
    <row r="904" spans="8:8" ht="32.25" customHeight="1">
      <c r="A904" s="11">
        <v>14.0</v>
      </c>
      <c r="B904" s="21" t="s">
        <v>938</v>
      </c>
      <c r="C904" s="22">
        <v>240714.0</v>
      </c>
      <c r="D904" s="21" t="s">
        <v>606</v>
      </c>
      <c r="E904" s="22" t="s">
        <v>781</v>
      </c>
      <c r="F904" s="14">
        <v>0.4166666666666667</v>
      </c>
      <c r="G904" s="25"/>
    </row>
    <row r="905" spans="8:8" ht="32.25" customHeight="1">
      <c r="A905" s="11">
        <v>15.0</v>
      </c>
      <c r="B905" s="21" t="s">
        <v>939</v>
      </c>
      <c r="C905" s="22">
        <v>240720.0</v>
      </c>
      <c r="D905" s="21" t="s">
        <v>606</v>
      </c>
      <c r="E905" s="22" t="s">
        <v>781</v>
      </c>
      <c r="F905" s="14">
        <v>0.4166666666666667</v>
      </c>
      <c r="G905" s="25"/>
    </row>
    <row r="906" spans="8:8" ht="32.25" customHeight="1">
      <c r="A906" s="11">
        <v>16.0</v>
      </c>
      <c r="B906" s="12" t="s">
        <v>940</v>
      </c>
      <c r="C906" s="13">
        <v>240957.0</v>
      </c>
      <c r="D906" s="12" t="s">
        <v>606</v>
      </c>
      <c r="E906" s="13" t="s">
        <v>781</v>
      </c>
      <c r="F906" s="14">
        <v>0.4166666666666667</v>
      </c>
      <c r="G906" s="25"/>
    </row>
    <row r="907" spans="8:8" ht="32.25" customHeight="1">
      <c r="A907" s="11">
        <v>17.0</v>
      </c>
      <c r="B907" s="21" t="s">
        <v>941</v>
      </c>
      <c r="C907" s="22">
        <v>240708.0</v>
      </c>
      <c r="D907" s="21" t="s">
        <v>606</v>
      </c>
      <c r="E907" s="22" t="s">
        <v>781</v>
      </c>
      <c r="F907" s="14">
        <v>0.4166666666666667</v>
      </c>
      <c r="G907" s="25"/>
    </row>
    <row r="908" spans="8:8" ht="32.25" customHeight="1">
      <c r="A908" s="11">
        <v>18.0</v>
      </c>
      <c r="B908" s="12" t="s">
        <v>942</v>
      </c>
      <c r="C908" s="13">
        <v>240492.0</v>
      </c>
      <c r="D908" s="12" t="s">
        <v>606</v>
      </c>
      <c r="E908" s="13" t="s">
        <v>781</v>
      </c>
      <c r="F908" s="14">
        <v>0.4166666666666667</v>
      </c>
      <c r="G908" s="25"/>
    </row>
    <row r="909" spans="8:8" ht="32.25" customHeight="1">
      <c r="A909" s="11">
        <v>19.0</v>
      </c>
      <c r="B909" s="21" t="s">
        <v>943</v>
      </c>
      <c r="C909" s="22">
        <v>240778.0</v>
      </c>
      <c r="D909" s="21" t="s">
        <v>606</v>
      </c>
      <c r="E909" s="22" t="s">
        <v>781</v>
      </c>
      <c r="F909" s="14">
        <v>0.4166666666666667</v>
      </c>
      <c r="G909" s="25"/>
    </row>
    <row r="910" spans="8:8" ht="32.25" customHeight="1">
      <c r="A910" s="11">
        <v>20.0</v>
      </c>
      <c r="B910" s="21" t="s">
        <v>944</v>
      </c>
      <c r="C910" s="22">
        <v>240722.0</v>
      </c>
      <c r="D910" s="21" t="s">
        <v>606</v>
      </c>
      <c r="E910" s="22" t="s">
        <v>781</v>
      </c>
      <c r="F910" s="14">
        <v>0.4166666666666667</v>
      </c>
      <c r="G910" s="25"/>
    </row>
    <row r="911" spans="8:8" ht="32.25" customHeight="1">
      <c r="A911" s="11">
        <v>21.0</v>
      </c>
      <c r="B911" s="21" t="s">
        <v>945</v>
      </c>
      <c r="C911" s="22">
        <v>240584.0</v>
      </c>
      <c r="D911" s="21" t="s">
        <v>606</v>
      </c>
      <c r="E911" s="22" t="s">
        <v>781</v>
      </c>
      <c r="F911" s="14">
        <v>0.4166666666666667</v>
      </c>
      <c r="G911" s="25"/>
    </row>
    <row r="912" spans="8:8" ht="32.25" customHeight="1">
      <c r="A912" s="11">
        <v>22.0</v>
      </c>
      <c r="B912" s="21" t="s">
        <v>946</v>
      </c>
      <c r="C912" s="22">
        <v>240646.0</v>
      </c>
      <c r="D912" s="21" t="s">
        <v>606</v>
      </c>
      <c r="E912" s="22" t="s">
        <v>781</v>
      </c>
      <c r="F912" s="14">
        <v>0.4166666666666667</v>
      </c>
      <c r="G912" s="25"/>
    </row>
    <row r="913" spans="8:8" ht="32.25" customHeight="1">
      <c r="A913" s="11">
        <v>23.0</v>
      </c>
      <c r="B913" s="21" t="s">
        <v>947</v>
      </c>
      <c r="C913" s="22">
        <v>240647.0</v>
      </c>
      <c r="D913" s="21" t="s">
        <v>606</v>
      </c>
      <c r="E913" s="22" t="s">
        <v>781</v>
      </c>
      <c r="F913" s="14">
        <v>0.4166666666666667</v>
      </c>
      <c r="G913" s="25"/>
    </row>
    <row r="914" spans="8:8" ht="32.25" customHeight="1">
      <c r="A914" s="11">
        <v>24.0</v>
      </c>
      <c r="B914" s="21" t="s">
        <v>948</v>
      </c>
      <c r="C914" s="22">
        <v>240649.0</v>
      </c>
      <c r="D914" s="21" t="s">
        <v>606</v>
      </c>
      <c r="E914" s="22" t="s">
        <v>781</v>
      </c>
      <c r="F914" s="14">
        <v>0.4166666666666667</v>
      </c>
      <c r="G914" s="25"/>
    </row>
    <row r="915" spans="8:8" ht="32.25" customHeight="1">
      <c r="A915" s="11">
        <v>25.0</v>
      </c>
      <c r="B915" s="21" t="s">
        <v>949</v>
      </c>
      <c r="C915" s="22">
        <v>240652.0</v>
      </c>
      <c r="D915" s="21" t="s">
        <v>606</v>
      </c>
      <c r="E915" s="22" t="s">
        <v>781</v>
      </c>
      <c r="F915" s="14">
        <v>0.4166666666666667</v>
      </c>
      <c r="G915" s="25"/>
    </row>
    <row r="916" spans="8:8" ht="32.25" customHeight="1">
      <c r="A916" s="11">
        <v>26.0</v>
      </c>
      <c r="B916" s="21" t="s">
        <v>950</v>
      </c>
      <c r="C916" s="22">
        <v>240654.0</v>
      </c>
      <c r="D916" s="21" t="s">
        <v>606</v>
      </c>
      <c r="E916" s="22" t="s">
        <v>781</v>
      </c>
      <c r="F916" s="14">
        <v>0.4166666666666667</v>
      </c>
      <c r="G916" s="25"/>
    </row>
    <row r="917" spans="8:8" ht="32.25" customHeight="1">
      <c r="A917" s="11">
        <v>27.0</v>
      </c>
      <c r="B917" s="21" t="s">
        <v>951</v>
      </c>
      <c r="C917" s="22">
        <v>240978.0</v>
      </c>
      <c r="D917" s="21" t="s">
        <v>606</v>
      </c>
      <c r="E917" s="22" t="s">
        <v>781</v>
      </c>
      <c r="F917" s="14">
        <v>0.4166666666666667</v>
      </c>
      <c r="G917" s="25"/>
    </row>
    <row r="918" spans="8:8" ht="32.25" customHeight="1">
      <c r="A918" s="11">
        <v>28.0</v>
      </c>
      <c r="B918" s="21" t="s">
        <v>952</v>
      </c>
      <c r="C918" s="22">
        <v>240656.0</v>
      </c>
      <c r="D918" s="21" t="s">
        <v>606</v>
      </c>
      <c r="E918" s="22" t="s">
        <v>781</v>
      </c>
      <c r="F918" s="14">
        <v>0.4166666666666667</v>
      </c>
      <c r="G918" s="25"/>
    </row>
    <row r="919" spans="8:8" ht="32.25" customHeight="1">
      <c r="A919" s="8" t="s">
        <v>18</v>
      </c>
      <c r="B919" s="9" t="s">
        <v>19</v>
      </c>
      <c r="C919" s="9" t="s">
        <v>20</v>
      </c>
      <c r="D919" s="9" t="s">
        <v>21</v>
      </c>
      <c r="E919" s="9" t="s">
        <v>22</v>
      </c>
      <c r="F919" s="10" t="s">
        <v>23</v>
      </c>
      <c r="G919" s="9" t="s">
        <v>953</v>
      </c>
    </row>
    <row r="920" spans="8:8" ht="32.25" customHeight="1">
      <c r="A920" s="22">
        <v>1.0</v>
      </c>
      <c r="B920" s="21" t="s">
        <v>954</v>
      </c>
      <c r="C920" s="22">
        <v>240617.0</v>
      </c>
      <c r="D920" s="21" t="s">
        <v>606</v>
      </c>
      <c r="E920" s="22" t="s">
        <v>781</v>
      </c>
      <c r="F920" s="14">
        <v>0.4166666666666667</v>
      </c>
      <c r="G920" s="13"/>
    </row>
    <row r="921" spans="8:8" ht="32.25" customHeight="1">
      <c r="A921" s="22">
        <v>2.0</v>
      </c>
      <c r="B921" s="21" t="s">
        <v>955</v>
      </c>
      <c r="C921" s="22">
        <v>240648.0</v>
      </c>
      <c r="D921" s="21" t="s">
        <v>606</v>
      </c>
      <c r="E921" s="22" t="s">
        <v>781</v>
      </c>
      <c r="F921" s="14">
        <v>0.4166666666666667</v>
      </c>
      <c r="G921" s="25"/>
    </row>
    <row r="922" spans="8:8" ht="32.25" customHeight="1">
      <c r="A922" s="22">
        <v>3.0</v>
      </c>
      <c r="B922" s="21" t="s">
        <v>956</v>
      </c>
      <c r="C922" s="22">
        <v>240527.0</v>
      </c>
      <c r="D922" s="21" t="s">
        <v>606</v>
      </c>
      <c r="E922" s="22" t="s">
        <v>781</v>
      </c>
      <c r="F922" s="14">
        <v>0.4166666666666667</v>
      </c>
      <c r="G922" s="25"/>
    </row>
    <row r="923" spans="8:8" ht="32.25" customHeight="1">
      <c r="A923" s="22">
        <v>4.0</v>
      </c>
      <c r="B923" s="21" t="s">
        <v>957</v>
      </c>
      <c r="C923" s="22">
        <v>240487.0</v>
      </c>
      <c r="D923" s="21" t="s">
        <v>606</v>
      </c>
      <c r="E923" s="22" t="s">
        <v>781</v>
      </c>
      <c r="F923" s="14">
        <v>0.4166666666666667</v>
      </c>
      <c r="G923" s="25"/>
    </row>
    <row r="924" spans="8:8" ht="32.25" customHeight="1">
      <c r="A924" s="22">
        <v>5.0</v>
      </c>
      <c r="B924" s="21" t="s">
        <v>958</v>
      </c>
      <c r="C924" s="22">
        <v>240495.0</v>
      </c>
      <c r="D924" s="21" t="s">
        <v>606</v>
      </c>
      <c r="E924" s="22" t="s">
        <v>781</v>
      </c>
      <c r="F924" s="14">
        <v>0.4166666666666667</v>
      </c>
      <c r="G924" s="25"/>
    </row>
    <row r="925" spans="8:8" ht="32.25" customHeight="1">
      <c r="A925" s="22">
        <v>6.0</v>
      </c>
      <c r="B925" s="21" t="s">
        <v>959</v>
      </c>
      <c r="C925" s="22">
        <v>240531.0</v>
      </c>
      <c r="D925" s="21" t="s">
        <v>606</v>
      </c>
      <c r="E925" s="22" t="s">
        <v>781</v>
      </c>
      <c r="F925" s="14">
        <v>0.4166666666666667</v>
      </c>
      <c r="G925" s="25"/>
    </row>
    <row r="926" spans="8:8" ht="32.25" customHeight="1">
      <c r="A926" s="22">
        <v>7.0</v>
      </c>
      <c r="B926" s="21" t="s">
        <v>960</v>
      </c>
      <c r="C926" s="22">
        <v>240674.0</v>
      </c>
      <c r="D926" s="21" t="s">
        <v>606</v>
      </c>
      <c r="E926" s="22" t="s">
        <v>781</v>
      </c>
      <c r="F926" s="14">
        <v>0.4166666666666667</v>
      </c>
      <c r="G926" s="25"/>
    </row>
    <row r="927" spans="8:8" ht="32.25" customHeight="1">
      <c r="A927" s="22">
        <v>8.0</v>
      </c>
      <c r="B927" s="21" t="s">
        <v>961</v>
      </c>
      <c r="C927" s="22">
        <v>240968.0</v>
      </c>
      <c r="D927" s="21" t="s">
        <v>606</v>
      </c>
      <c r="E927" s="13" t="s">
        <v>781</v>
      </c>
      <c r="F927" s="14">
        <v>0.4166666666666667</v>
      </c>
      <c r="G927" s="25"/>
    </row>
    <row r="928" spans="8:8" ht="32.25" customHeight="1">
      <c r="A928" s="22">
        <v>9.0</v>
      </c>
      <c r="B928" s="12" t="s">
        <v>962</v>
      </c>
      <c r="C928" s="13">
        <v>240768.0</v>
      </c>
      <c r="D928" s="12" t="s">
        <v>606</v>
      </c>
      <c r="E928" s="13" t="s">
        <v>781</v>
      </c>
      <c r="F928" s="14">
        <v>0.4166666666666667</v>
      </c>
      <c r="G928" s="25"/>
    </row>
    <row r="929" spans="8:8" ht="32.25" customHeight="1">
      <c r="A929" s="22">
        <v>10.0</v>
      </c>
      <c r="B929" s="23" t="s">
        <v>963</v>
      </c>
      <c r="C929" s="20">
        <v>240808.0</v>
      </c>
      <c r="D929" s="19" t="s">
        <v>606</v>
      </c>
      <c r="E929" s="20" t="s">
        <v>781</v>
      </c>
      <c r="F929" s="14">
        <v>0.4166666666666667</v>
      </c>
      <c r="G929" s="25"/>
    </row>
    <row r="930" spans="8:8" ht="32.25" customHeight="1">
      <c r="A930" s="22">
        <v>11.0</v>
      </c>
      <c r="B930" s="12" t="s">
        <v>964</v>
      </c>
      <c r="C930" s="13">
        <v>240780.0</v>
      </c>
      <c r="D930" s="12" t="s">
        <v>606</v>
      </c>
      <c r="E930" s="13" t="s">
        <v>781</v>
      </c>
      <c r="F930" s="14">
        <v>0.4166666666666667</v>
      </c>
      <c r="G930" s="25"/>
    </row>
    <row r="931" spans="8:8" ht="32.25" customHeight="1">
      <c r="A931" s="22">
        <v>12.0</v>
      </c>
      <c r="B931" s="21" t="s">
        <v>965</v>
      </c>
      <c r="C931" s="22">
        <v>240685.0</v>
      </c>
      <c r="D931" s="21" t="s">
        <v>606</v>
      </c>
      <c r="E931" s="22" t="s">
        <v>781</v>
      </c>
      <c r="F931" s="14">
        <v>0.4166666666666667</v>
      </c>
      <c r="G931" s="25"/>
    </row>
    <row r="932" spans="8:8" ht="32.25" customHeight="1">
      <c r="A932" s="22">
        <v>13.0</v>
      </c>
      <c r="B932" s="21" t="s">
        <v>966</v>
      </c>
      <c r="C932" s="22">
        <v>241021.0</v>
      </c>
      <c r="D932" s="21" t="s">
        <v>606</v>
      </c>
      <c r="E932" s="22" t="s">
        <v>781</v>
      </c>
      <c r="F932" s="14">
        <v>0.4166666666666667</v>
      </c>
      <c r="G932" s="25"/>
    </row>
    <row r="933" spans="8:8" ht="32.25" customHeight="1">
      <c r="A933" s="22">
        <v>14.0</v>
      </c>
      <c r="B933" s="21" t="s">
        <v>967</v>
      </c>
      <c r="C933" s="22">
        <v>240668.0</v>
      </c>
      <c r="D933" s="21" t="s">
        <v>606</v>
      </c>
      <c r="E933" s="22" t="s">
        <v>781</v>
      </c>
      <c r="F933" s="14">
        <v>0.4166666666666667</v>
      </c>
      <c r="G933" s="25"/>
    </row>
    <row r="934" spans="8:8" ht="32.25" customHeight="1">
      <c r="A934" s="22">
        <v>15.0</v>
      </c>
      <c r="B934" s="21" t="s">
        <v>968</v>
      </c>
      <c r="C934" s="22">
        <v>240575.0</v>
      </c>
      <c r="D934" s="21" t="s">
        <v>606</v>
      </c>
      <c r="E934" s="22" t="s">
        <v>781</v>
      </c>
      <c r="F934" s="14">
        <v>0.4166666666666667</v>
      </c>
      <c r="G934" s="25"/>
    </row>
    <row r="935" spans="8:8" ht="32.25" customHeight="1">
      <c r="A935" s="22">
        <v>16.0</v>
      </c>
      <c r="B935" s="21" t="s">
        <v>969</v>
      </c>
      <c r="C935" s="22">
        <v>240604.0</v>
      </c>
      <c r="D935" s="21" t="s">
        <v>606</v>
      </c>
      <c r="E935" s="22" t="s">
        <v>781</v>
      </c>
      <c r="F935" s="14">
        <v>0.4166666666666667</v>
      </c>
      <c r="G935" s="25"/>
    </row>
    <row r="936" spans="8:8" ht="32.25" customHeight="1">
      <c r="A936" s="22">
        <v>17.0</v>
      </c>
      <c r="B936" s="21" t="s">
        <v>970</v>
      </c>
      <c r="C936" s="22">
        <v>240494.0</v>
      </c>
      <c r="D936" s="21" t="s">
        <v>606</v>
      </c>
      <c r="E936" s="22" t="s">
        <v>781</v>
      </c>
      <c r="F936" s="14">
        <v>0.4166666666666667</v>
      </c>
      <c r="G936" s="25"/>
    </row>
    <row r="937" spans="8:8" ht="32.25" customHeight="1">
      <c r="A937" s="22">
        <v>18.0</v>
      </c>
      <c r="B937" s="21" t="s">
        <v>971</v>
      </c>
      <c r="C937" s="22">
        <v>240624.0</v>
      </c>
      <c r="D937" s="21" t="s">
        <v>606</v>
      </c>
      <c r="E937" s="22" t="s">
        <v>781</v>
      </c>
      <c r="F937" s="14">
        <v>0.4166666666666667</v>
      </c>
      <c r="G937" s="25"/>
    </row>
    <row r="938" spans="8:8" ht="32.25" customHeight="1">
      <c r="A938" s="22">
        <v>19.0</v>
      </c>
      <c r="B938" s="21" t="s">
        <v>972</v>
      </c>
      <c r="C938" s="22">
        <v>240509.0</v>
      </c>
      <c r="D938" s="21" t="s">
        <v>606</v>
      </c>
      <c r="E938" s="22" t="s">
        <v>781</v>
      </c>
      <c r="F938" s="14">
        <v>0.4166666666666667</v>
      </c>
      <c r="G938" s="25"/>
    </row>
    <row r="939" spans="8:8" ht="32.25" customHeight="1">
      <c r="A939" s="22">
        <v>20.0</v>
      </c>
      <c r="B939" s="21" t="s">
        <v>973</v>
      </c>
      <c r="C939" s="22">
        <v>240653.0</v>
      </c>
      <c r="D939" s="21" t="s">
        <v>606</v>
      </c>
      <c r="E939" s="22" t="s">
        <v>781</v>
      </c>
      <c r="F939" s="14">
        <v>0.4166666666666667</v>
      </c>
      <c r="G939" s="25"/>
    </row>
    <row r="940" spans="8:8" ht="32.25" customHeight="1">
      <c r="A940" s="22">
        <v>21.0</v>
      </c>
      <c r="B940" s="21" t="s">
        <v>974</v>
      </c>
      <c r="C940" s="22">
        <v>240721.0</v>
      </c>
      <c r="D940" s="21" t="s">
        <v>606</v>
      </c>
      <c r="E940" s="22" t="s">
        <v>781</v>
      </c>
      <c r="F940" s="14">
        <v>0.4166666666666667</v>
      </c>
      <c r="G940" s="25"/>
    </row>
    <row r="941" spans="8:8" ht="32.25" customHeight="1">
      <c r="A941" s="22">
        <v>22.0</v>
      </c>
      <c r="B941" s="21" t="s">
        <v>975</v>
      </c>
      <c r="C941" s="22">
        <v>240724.0</v>
      </c>
      <c r="D941" s="21" t="s">
        <v>606</v>
      </c>
      <c r="E941" s="22" t="s">
        <v>781</v>
      </c>
      <c r="F941" s="14">
        <v>0.4166666666666667</v>
      </c>
      <c r="G941" s="25"/>
    </row>
    <row r="942" spans="8:8" ht="32.25" customHeight="1">
      <c r="A942" s="22">
        <v>23.0</v>
      </c>
      <c r="B942" s="21" t="s">
        <v>976</v>
      </c>
      <c r="C942" s="22">
        <v>240726.0</v>
      </c>
      <c r="D942" s="21" t="s">
        <v>606</v>
      </c>
      <c r="E942" s="22" t="s">
        <v>781</v>
      </c>
      <c r="F942" s="14">
        <v>0.4166666666666667</v>
      </c>
      <c r="G942" s="25"/>
    </row>
    <row r="943" spans="8:8" ht="32.25" customHeight="1">
      <c r="A943" s="22">
        <v>24.0</v>
      </c>
      <c r="B943" s="21" t="s">
        <v>977</v>
      </c>
      <c r="C943" s="22">
        <v>240873.0</v>
      </c>
      <c r="D943" s="21" t="s">
        <v>606</v>
      </c>
      <c r="E943" s="22" t="s">
        <v>781</v>
      </c>
      <c r="F943" s="14">
        <v>0.4166666666666667</v>
      </c>
      <c r="G943" s="25"/>
    </row>
    <row r="944" spans="8:8" ht="32.25" customHeight="1">
      <c r="A944" s="22">
        <v>25.0</v>
      </c>
      <c r="B944" s="21" t="s">
        <v>978</v>
      </c>
      <c r="C944" s="22">
        <v>240754.0</v>
      </c>
      <c r="D944" s="21" t="s">
        <v>606</v>
      </c>
      <c r="E944" s="22" t="s">
        <v>781</v>
      </c>
      <c r="F944" s="14">
        <v>0.4166666666666667</v>
      </c>
      <c r="G944" s="25"/>
    </row>
    <row r="945" spans="8:8" ht="32.25" customHeight="1">
      <c r="A945" s="22">
        <v>26.0</v>
      </c>
      <c r="B945" s="21" t="s">
        <v>979</v>
      </c>
      <c r="C945" s="22">
        <v>241080.0</v>
      </c>
      <c r="D945" s="21" t="s">
        <v>606</v>
      </c>
      <c r="E945" s="13" t="s">
        <v>781</v>
      </c>
      <c r="F945" s="14">
        <v>0.4166666666666667</v>
      </c>
      <c r="G945" s="25"/>
    </row>
    <row r="946" spans="8:8" ht="32.25" customHeight="1">
      <c r="A946" s="22">
        <v>27.0</v>
      </c>
      <c r="B946" s="21" t="s">
        <v>980</v>
      </c>
      <c r="C946" s="22">
        <v>240789.0</v>
      </c>
      <c r="D946" s="21" t="s">
        <v>606</v>
      </c>
      <c r="E946" s="22" t="s">
        <v>781</v>
      </c>
      <c r="F946" s="14">
        <v>0.4166666666666667</v>
      </c>
      <c r="G946" s="25"/>
    </row>
    <row r="947" spans="8:8" ht="32.25" customHeight="1">
      <c r="A947" s="22">
        <v>28.0</v>
      </c>
      <c r="B947" s="21" t="s">
        <v>981</v>
      </c>
      <c r="C947" s="22">
        <v>240640.0</v>
      </c>
      <c r="D947" s="21" t="s">
        <v>606</v>
      </c>
      <c r="E947" s="22" t="s">
        <v>781</v>
      </c>
      <c r="F947" s="14">
        <v>0.4166666666666667</v>
      </c>
      <c r="G947" s="25"/>
    </row>
    <row r="948" spans="8:8" ht="32.25" customHeight="1">
      <c r="A948" s="8" t="s">
        <v>18</v>
      </c>
      <c r="B948" s="9" t="s">
        <v>19</v>
      </c>
      <c r="C948" s="9" t="s">
        <v>20</v>
      </c>
      <c r="D948" s="9" t="s">
        <v>21</v>
      </c>
      <c r="E948" s="9" t="s">
        <v>22</v>
      </c>
      <c r="F948" s="10" t="s">
        <v>23</v>
      </c>
      <c r="G948" s="9" t="s">
        <v>982</v>
      </c>
    </row>
    <row r="949" spans="8:8" ht="32.25" customHeight="1">
      <c r="A949" s="22">
        <v>1.0</v>
      </c>
      <c r="B949" s="21" t="s">
        <v>983</v>
      </c>
      <c r="C949" s="22">
        <v>253202.0</v>
      </c>
      <c r="D949" s="21" t="s">
        <v>56</v>
      </c>
      <c r="E949" s="22" t="s">
        <v>984</v>
      </c>
      <c r="F949" s="14">
        <v>0.4166666666666667</v>
      </c>
      <c r="G949" s="13"/>
    </row>
    <row r="950" spans="8:8" ht="32.25" customHeight="1">
      <c r="A950" s="22">
        <v>2.0</v>
      </c>
      <c r="B950" s="21" t="s">
        <v>985</v>
      </c>
      <c r="C950" s="22">
        <v>253195.0</v>
      </c>
      <c r="D950" s="21" t="s">
        <v>56</v>
      </c>
      <c r="E950" s="22" t="s">
        <v>984</v>
      </c>
      <c r="F950" s="14">
        <v>0.4166666666666667</v>
      </c>
      <c r="G950" s="25"/>
    </row>
    <row r="951" spans="8:8" ht="32.25" customHeight="1">
      <c r="A951" s="22">
        <v>3.0</v>
      </c>
      <c r="B951" s="21" t="s">
        <v>986</v>
      </c>
      <c r="C951" s="22">
        <v>253194.0</v>
      </c>
      <c r="D951" s="21" t="s">
        <v>56</v>
      </c>
      <c r="E951" s="22" t="s">
        <v>984</v>
      </c>
      <c r="F951" s="14">
        <v>0.4166666666666667</v>
      </c>
      <c r="G951" s="25"/>
    </row>
    <row r="952" spans="8:8" ht="32.25" customHeight="1">
      <c r="A952" s="22">
        <v>4.0</v>
      </c>
      <c r="B952" s="21" t="s">
        <v>987</v>
      </c>
      <c r="C952" s="22">
        <v>253096.0</v>
      </c>
      <c r="D952" s="21" t="s">
        <v>56</v>
      </c>
      <c r="E952" s="22" t="s">
        <v>984</v>
      </c>
      <c r="F952" s="14">
        <v>0.4166666666666667</v>
      </c>
      <c r="G952" s="25"/>
    </row>
    <row r="953" spans="8:8" ht="32.25" customHeight="1">
      <c r="A953" s="22">
        <v>5.0</v>
      </c>
      <c r="B953" s="21" t="s">
        <v>988</v>
      </c>
      <c r="C953" s="22">
        <v>251024.0</v>
      </c>
      <c r="D953" s="21" t="s">
        <v>56</v>
      </c>
      <c r="E953" s="22" t="s">
        <v>984</v>
      </c>
      <c r="F953" s="14">
        <v>0.4166666666666667</v>
      </c>
      <c r="G953" s="25"/>
    </row>
    <row r="954" spans="8:8" ht="32.25" customHeight="1">
      <c r="A954" s="22">
        <v>6.0</v>
      </c>
      <c r="B954" s="21" t="s">
        <v>989</v>
      </c>
      <c r="C954" s="22">
        <v>253199.0</v>
      </c>
      <c r="D954" s="21" t="s">
        <v>56</v>
      </c>
      <c r="E954" s="22" t="s">
        <v>984</v>
      </c>
      <c r="F954" s="14">
        <v>0.4166666666666667</v>
      </c>
      <c r="G954" s="25"/>
    </row>
    <row r="955" spans="8:8" ht="32.25" hidden="1" customHeight="1">
      <c r="A955" s="22"/>
      <c r="B955" s="22"/>
      <c r="C955" s="22"/>
      <c r="D955" s="22"/>
      <c r="E955" s="13"/>
      <c r="F955" s="14"/>
      <c r="G955" s="25"/>
    </row>
    <row r="956" spans="8:8" ht="32.25" hidden="1" customHeight="1">
      <c r="A956" s="22"/>
      <c r="B956" s="22"/>
      <c r="C956" s="22"/>
      <c r="D956" s="22"/>
      <c r="E956" s="13"/>
      <c r="F956" s="14"/>
      <c r="G956" s="25"/>
    </row>
    <row r="957" spans="8:8" ht="32.25" hidden="1" customHeight="1">
      <c r="A957" s="22"/>
      <c r="B957" s="22"/>
      <c r="C957" s="22"/>
      <c r="D957" s="22"/>
      <c r="E957" s="13"/>
      <c r="F957" s="14"/>
      <c r="G957" s="25"/>
    </row>
    <row r="958" spans="8:8" ht="32.25" hidden="1" customHeight="1">
      <c r="A958" s="22"/>
      <c r="B958" s="22"/>
      <c r="C958" s="22"/>
      <c r="D958" s="22"/>
      <c r="E958" s="13"/>
      <c r="F958" s="14"/>
      <c r="G958" s="25"/>
    </row>
    <row r="959" spans="8:8" ht="32.25" hidden="1" customHeight="1">
      <c r="A959" s="22"/>
      <c r="B959" s="22"/>
      <c r="C959" s="22"/>
      <c r="D959" s="22"/>
      <c r="E959" s="13"/>
      <c r="F959" s="14"/>
      <c r="G959" s="25"/>
    </row>
    <row r="960" spans="8:8" ht="32.25" hidden="1" customHeight="1">
      <c r="A960" s="22"/>
      <c r="B960" s="22"/>
      <c r="C960" s="22"/>
      <c r="D960" s="22"/>
      <c r="E960" s="13"/>
      <c r="F960" s="14"/>
      <c r="G960" s="25"/>
    </row>
    <row r="961" spans="8:8" ht="32.25" hidden="1" customHeight="1">
      <c r="A961" s="22"/>
      <c r="B961" s="22"/>
      <c r="C961" s="22"/>
      <c r="D961" s="22"/>
      <c r="E961" s="13"/>
      <c r="F961" s="14"/>
      <c r="G961" s="25"/>
    </row>
    <row r="962" spans="8:8" ht="32.25" hidden="1" customHeight="1">
      <c r="A962" s="22"/>
      <c r="B962" s="22"/>
      <c r="C962" s="22"/>
      <c r="D962" s="22"/>
      <c r="E962" s="13"/>
      <c r="F962" s="14"/>
      <c r="G962" s="25"/>
    </row>
    <row r="963" spans="8:8" ht="32.25" hidden="1" customHeight="1">
      <c r="A963" s="28"/>
      <c r="B963" s="29"/>
      <c r="C963" s="29"/>
      <c r="D963" s="29"/>
      <c r="E963" s="29"/>
      <c r="F963" s="30">
        <v>36.0</v>
      </c>
      <c r="G963" s="29"/>
    </row>
    <row r="964" spans="8:8" ht="32.25" hidden="1" customHeight="1">
      <c r="A964" s="28"/>
      <c r="B964" s="29"/>
      <c r="C964" s="29"/>
      <c r="D964" s="29"/>
      <c r="E964" s="29"/>
      <c r="F964" s="30"/>
      <c r="G964" s="29"/>
    </row>
    <row r="965" spans="8:8" ht="32.25" customHeight="1">
      <c r="A965" s="8" t="s">
        <v>18</v>
      </c>
      <c r="B965" s="9" t="s">
        <v>19</v>
      </c>
      <c r="C965" s="9" t="s">
        <v>20</v>
      </c>
      <c r="D965" s="9" t="s">
        <v>21</v>
      </c>
      <c r="E965" s="9" t="s">
        <v>22</v>
      </c>
      <c r="F965" s="10" t="s">
        <v>23</v>
      </c>
      <c r="G965" s="9" t="s">
        <v>25</v>
      </c>
    </row>
    <row r="966" spans="8:8" ht="32.25" customHeight="1">
      <c r="A966" s="11">
        <v>1.0</v>
      </c>
      <c r="B966" s="12" t="s">
        <v>990</v>
      </c>
      <c r="C966" s="13">
        <v>250329.0</v>
      </c>
      <c r="D966" s="12" t="s">
        <v>94</v>
      </c>
      <c r="E966" s="13" t="s">
        <v>28</v>
      </c>
      <c r="F966" s="14">
        <v>0.5208333333333334</v>
      </c>
      <c r="G966" s="13"/>
    </row>
    <row r="967" spans="8:8" ht="32.25" customHeight="1">
      <c r="A967" s="11">
        <v>2.0</v>
      </c>
      <c r="B967" s="12" t="s">
        <v>991</v>
      </c>
      <c r="C967" s="13">
        <v>250352.0</v>
      </c>
      <c r="D967" s="12" t="s">
        <v>94</v>
      </c>
      <c r="E967" s="13" t="s">
        <v>28</v>
      </c>
      <c r="F967" s="14">
        <v>0.5208333333333334</v>
      </c>
      <c r="G967" s="13"/>
    </row>
    <row r="968" spans="8:8" ht="32.25" customHeight="1">
      <c r="A968" s="11">
        <v>3.0</v>
      </c>
      <c r="B968" s="12" t="s">
        <v>992</v>
      </c>
      <c r="C968" s="13">
        <v>250358.0</v>
      </c>
      <c r="D968" s="12" t="s">
        <v>94</v>
      </c>
      <c r="E968" s="13" t="s">
        <v>28</v>
      </c>
      <c r="F968" s="14">
        <v>0.5208333333333334</v>
      </c>
      <c r="G968" s="13"/>
    </row>
    <row r="969" spans="8:8" ht="32.25" customHeight="1">
      <c r="A969" s="11">
        <v>4.0</v>
      </c>
      <c r="B969" s="12" t="s">
        <v>993</v>
      </c>
      <c r="C969" s="13">
        <v>250334.0</v>
      </c>
      <c r="D969" s="12" t="s">
        <v>94</v>
      </c>
      <c r="E969" s="13" t="s">
        <v>28</v>
      </c>
      <c r="F969" s="14">
        <v>0.5208333333333334</v>
      </c>
      <c r="G969" s="13"/>
    </row>
    <row r="970" spans="8:8" ht="32.25" customHeight="1">
      <c r="A970" s="11">
        <v>5.0</v>
      </c>
      <c r="B970" s="12" t="s">
        <v>994</v>
      </c>
      <c r="C970" s="13">
        <v>250359.0</v>
      </c>
      <c r="D970" s="12" t="s">
        <v>94</v>
      </c>
      <c r="E970" s="13" t="s">
        <v>28</v>
      </c>
      <c r="F970" s="14">
        <v>0.5208333333333334</v>
      </c>
      <c r="G970" s="13"/>
    </row>
    <row r="971" spans="8:8" ht="32.25" customHeight="1">
      <c r="A971" s="11">
        <v>6.0</v>
      </c>
      <c r="B971" s="12" t="s">
        <v>995</v>
      </c>
      <c r="C971" s="13">
        <v>250364.0</v>
      </c>
      <c r="D971" s="12" t="s">
        <v>94</v>
      </c>
      <c r="E971" s="13" t="s">
        <v>28</v>
      </c>
      <c r="F971" s="14">
        <v>0.5208333333333334</v>
      </c>
      <c r="G971" s="13"/>
    </row>
    <row r="972" spans="8:8" ht="32.25" customHeight="1">
      <c r="A972" s="11">
        <v>7.0</v>
      </c>
      <c r="B972" s="12" t="s">
        <v>996</v>
      </c>
      <c r="C972" s="13">
        <v>250356.0</v>
      </c>
      <c r="D972" s="12" t="s">
        <v>94</v>
      </c>
      <c r="E972" s="13" t="s">
        <v>28</v>
      </c>
      <c r="F972" s="14">
        <v>0.5208333333333334</v>
      </c>
      <c r="G972" s="13"/>
    </row>
    <row r="973" spans="8:8" ht="32.25" customHeight="1">
      <c r="A973" s="11">
        <v>8.0</v>
      </c>
      <c r="B973" s="12" t="s">
        <v>997</v>
      </c>
      <c r="C973" s="13">
        <v>250367.0</v>
      </c>
      <c r="D973" s="12" t="s">
        <v>94</v>
      </c>
      <c r="E973" s="13" t="s">
        <v>28</v>
      </c>
      <c r="F973" s="14">
        <v>0.5208333333333334</v>
      </c>
      <c r="G973" s="13"/>
    </row>
    <row r="974" spans="8:8" ht="32.25" customHeight="1">
      <c r="A974" s="11">
        <v>9.0</v>
      </c>
      <c r="B974" s="12" t="s">
        <v>998</v>
      </c>
      <c r="C974" s="13">
        <v>250357.0</v>
      </c>
      <c r="D974" s="12" t="s">
        <v>94</v>
      </c>
      <c r="E974" s="13" t="s">
        <v>28</v>
      </c>
      <c r="F974" s="14">
        <v>0.5208333333333334</v>
      </c>
      <c r="G974" s="13"/>
    </row>
    <row r="975" spans="8:8" ht="32.25" customHeight="1">
      <c r="A975" s="11">
        <v>10.0</v>
      </c>
      <c r="B975" s="12" t="s">
        <v>999</v>
      </c>
      <c r="C975" s="13">
        <v>250332.0</v>
      </c>
      <c r="D975" s="12" t="s">
        <v>94</v>
      </c>
      <c r="E975" s="13" t="s">
        <v>28</v>
      </c>
      <c r="F975" s="14">
        <v>0.5208333333333334</v>
      </c>
      <c r="G975" s="13"/>
    </row>
    <row r="976" spans="8:8" ht="32.25" customHeight="1">
      <c r="A976" s="11">
        <v>11.0</v>
      </c>
      <c r="B976" s="12" t="s">
        <v>1000</v>
      </c>
      <c r="C976" s="13">
        <v>250331.0</v>
      </c>
      <c r="D976" s="12" t="s">
        <v>94</v>
      </c>
      <c r="E976" s="13" t="s">
        <v>28</v>
      </c>
      <c r="F976" s="14">
        <v>0.5208333333333334</v>
      </c>
      <c r="G976" s="13"/>
    </row>
    <row r="977" spans="8:8" ht="32.25" customHeight="1">
      <c r="A977" s="11">
        <v>12.0</v>
      </c>
      <c r="B977" s="12" t="s">
        <v>1001</v>
      </c>
      <c r="C977" s="13">
        <v>250365.0</v>
      </c>
      <c r="D977" s="12" t="s">
        <v>94</v>
      </c>
      <c r="E977" s="13" t="s">
        <v>28</v>
      </c>
      <c r="F977" s="14">
        <v>0.5208333333333334</v>
      </c>
      <c r="G977" s="13"/>
    </row>
    <row r="978" spans="8:8" ht="32.25" customHeight="1">
      <c r="A978" s="11">
        <v>13.0</v>
      </c>
      <c r="B978" s="12" t="s">
        <v>1002</v>
      </c>
      <c r="C978" s="13">
        <v>250361.0</v>
      </c>
      <c r="D978" s="12" t="s">
        <v>94</v>
      </c>
      <c r="E978" s="13" t="s">
        <v>28</v>
      </c>
      <c r="F978" s="14">
        <v>0.5208333333333334</v>
      </c>
      <c r="G978" s="13"/>
    </row>
    <row r="979" spans="8:8" ht="32.25" customHeight="1">
      <c r="A979" s="11">
        <v>14.0</v>
      </c>
      <c r="B979" s="12" t="s">
        <v>1003</v>
      </c>
      <c r="C979" s="13">
        <v>250368.0</v>
      </c>
      <c r="D979" s="12" t="s">
        <v>94</v>
      </c>
      <c r="E979" s="13" t="s">
        <v>28</v>
      </c>
      <c r="F979" s="14">
        <v>0.5208333333333334</v>
      </c>
      <c r="G979" s="13"/>
    </row>
    <row r="980" spans="8:8" ht="32.25" customHeight="1">
      <c r="A980" s="11">
        <v>15.0</v>
      </c>
      <c r="B980" s="12" t="s">
        <v>1004</v>
      </c>
      <c r="C980" s="13">
        <v>250325.0</v>
      </c>
      <c r="D980" s="12" t="s">
        <v>94</v>
      </c>
      <c r="E980" s="13" t="s">
        <v>28</v>
      </c>
      <c r="F980" s="14">
        <v>0.5208333333333334</v>
      </c>
      <c r="G980" s="13"/>
    </row>
    <row r="981" spans="8:8" ht="32.25" customHeight="1">
      <c r="A981" s="11">
        <v>16.0</v>
      </c>
      <c r="B981" s="12" t="s">
        <v>1005</v>
      </c>
      <c r="C981" s="13">
        <v>250369.0</v>
      </c>
      <c r="D981" s="12" t="s">
        <v>94</v>
      </c>
      <c r="E981" s="13" t="s">
        <v>28</v>
      </c>
      <c r="F981" s="14">
        <v>0.5208333333333334</v>
      </c>
      <c r="G981" s="13"/>
    </row>
    <row r="982" spans="8:8" ht="32.25" customHeight="1">
      <c r="A982" s="11">
        <v>17.0</v>
      </c>
      <c r="B982" s="12" t="s">
        <v>1006</v>
      </c>
      <c r="C982" s="13">
        <v>250375.0</v>
      </c>
      <c r="D982" s="12" t="s">
        <v>94</v>
      </c>
      <c r="E982" s="13" t="s">
        <v>28</v>
      </c>
      <c r="F982" s="14">
        <v>0.5208333333333334</v>
      </c>
      <c r="G982" s="13"/>
    </row>
    <row r="983" spans="8:8" ht="32.25" customHeight="1">
      <c r="A983" s="11">
        <v>18.0</v>
      </c>
      <c r="B983" s="12" t="s">
        <v>1007</v>
      </c>
      <c r="C983" s="13">
        <v>250804.0</v>
      </c>
      <c r="D983" s="12" t="s">
        <v>56</v>
      </c>
      <c r="E983" s="13" t="s">
        <v>28</v>
      </c>
      <c r="F983" s="14">
        <v>0.5208333333333334</v>
      </c>
      <c r="G983" s="13"/>
    </row>
    <row r="984" spans="8:8" ht="32.25" customHeight="1">
      <c r="A984" s="11">
        <v>19.0</v>
      </c>
      <c r="B984" s="12" t="s">
        <v>1008</v>
      </c>
      <c r="C984" s="13">
        <v>250371.0</v>
      </c>
      <c r="D984" s="12" t="s">
        <v>94</v>
      </c>
      <c r="E984" s="13" t="s">
        <v>28</v>
      </c>
      <c r="F984" s="14">
        <v>0.5208333333333334</v>
      </c>
      <c r="G984" s="13"/>
    </row>
    <row r="985" spans="8:8" ht="32.25" customHeight="1">
      <c r="A985" s="11">
        <v>20.0</v>
      </c>
      <c r="B985" s="12" t="s">
        <v>1009</v>
      </c>
      <c r="C985" s="13">
        <v>250372.0</v>
      </c>
      <c r="D985" s="12" t="s">
        <v>94</v>
      </c>
      <c r="E985" s="13" t="s">
        <v>28</v>
      </c>
      <c r="F985" s="14">
        <v>0.5208333333333334</v>
      </c>
      <c r="G985" s="13"/>
    </row>
    <row r="986" spans="8:8" ht="32.25" customHeight="1">
      <c r="A986" s="11">
        <v>21.0</v>
      </c>
      <c r="B986" s="12" t="s">
        <v>1010</v>
      </c>
      <c r="C986" s="13">
        <v>250044.0</v>
      </c>
      <c r="D986" s="12" t="s">
        <v>94</v>
      </c>
      <c r="E986" s="13" t="s">
        <v>28</v>
      </c>
      <c r="F986" s="14">
        <v>0.5208333333333334</v>
      </c>
      <c r="G986" s="13"/>
    </row>
    <row r="987" spans="8:8" ht="32.25" customHeight="1">
      <c r="A987" s="11">
        <v>22.0</v>
      </c>
      <c r="B987" s="12" t="s">
        <v>1011</v>
      </c>
      <c r="C987" s="13">
        <v>250373.0</v>
      </c>
      <c r="D987" s="12" t="s">
        <v>94</v>
      </c>
      <c r="E987" s="13" t="s">
        <v>28</v>
      </c>
      <c r="F987" s="14">
        <v>0.5208333333333334</v>
      </c>
      <c r="G987" s="13"/>
    </row>
    <row r="988" spans="8:8" ht="32.25" customHeight="1">
      <c r="A988" s="11">
        <v>23.0</v>
      </c>
      <c r="B988" s="12" t="s">
        <v>1012</v>
      </c>
      <c r="C988" s="13">
        <v>250374.0</v>
      </c>
      <c r="D988" s="12" t="s">
        <v>94</v>
      </c>
      <c r="E988" s="13" t="s">
        <v>28</v>
      </c>
      <c r="F988" s="14">
        <v>0.5208333333333334</v>
      </c>
      <c r="G988" s="13"/>
    </row>
    <row r="989" spans="8:8" ht="32.25" customHeight="1">
      <c r="A989" s="11">
        <v>24.0</v>
      </c>
      <c r="B989" s="12" t="s">
        <v>1013</v>
      </c>
      <c r="C989" s="13">
        <v>250378.0</v>
      </c>
      <c r="D989" s="12" t="s">
        <v>94</v>
      </c>
      <c r="E989" s="13" t="s">
        <v>28</v>
      </c>
      <c r="F989" s="14">
        <v>0.5208333333333334</v>
      </c>
      <c r="G989" s="13"/>
    </row>
    <row r="990" spans="8:8" ht="32.25" customHeight="1">
      <c r="A990" s="11">
        <v>25.0</v>
      </c>
      <c r="B990" s="12" t="s">
        <v>1014</v>
      </c>
      <c r="C990" s="13">
        <v>250338.0</v>
      </c>
      <c r="D990" s="12" t="s">
        <v>94</v>
      </c>
      <c r="E990" s="13" t="s">
        <v>28</v>
      </c>
      <c r="F990" s="14">
        <v>0.5208333333333334</v>
      </c>
      <c r="G990" s="13"/>
    </row>
    <row r="991" spans="8:8" ht="32.25" customHeight="1">
      <c r="A991" s="8" t="s">
        <v>18</v>
      </c>
      <c r="B991" s="9" t="s">
        <v>19</v>
      </c>
      <c r="C991" s="9" t="s">
        <v>20</v>
      </c>
      <c r="D991" s="9" t="s">
        <v>21</v>
      </c>
      <c r="E991" s="9" t="s">
        <v>22</v>
      </c>
      <c r="F991" s="10" t="s">
        <v>23</v>
      </c>
      <c r="G991" s="9" t="s">
        <v>53</v>
      </c>
    </row>
    <row r="992" spans="8:8" ht="32.25" customHeight="1">
      <c r="A992" s="11">
        <v>1.0</v>
      </c>
      <c r="B992" s="12" t="s">
        <v>1015</v>
      </c>
      <c r="C992" s="13">
        <v>250590.0</v>
      </c>
      <c r="D992" s="12" t="s">
        <v>94</v>
      </c>
      <c r="E992" s="13" t="s">
        <v>28</v>
      </c>
      <c r="F992" s="14">
        <v>0.5208333333333334</v>
      </c>
      <c r="G992" s="13"/>
    </row>
    <row r="993" spans="8:8" ht="32.25" customHeight="1">
      <c r="A993" s="11">
        <v>2.0</v>
      </c>
      <c r="B993" s="12" t="s">
        <v>1016</v>
      </c>
      <c r="C993" s="13">
        <v>250330.0</v>
      </c>
      <c r="D993" s="12" t="s">
        <v>94</v>
      </c>
      <c r="E993" s="13" t="s">
        <v>28</v>
      </c>
      <c r="F993" s="14">
        <v>0.5208333333333334</v>
      </c>
      <c r="G993" s="13"/>
    </row>
    <row r="994" spans="8:8" ht="32.25" customHeight="1">
      <c r="A994" s="11">
        <v>3.0</v>
      </c>
      <c r="B994" s="12" t="s">
        <v>1017</v>
      </c>
      <c r="C994" s="13">
        <v>250377.0</v>
      </c>
      <c r="D994" s="12" t="s">
        <v>94</v>
      </c>
      <c r="E994" s="13" t="s">
        <v>28</v>
      </c>
      <c r="F994" s="14">
        <v>0.5208333333333334</v>
      </c>
      <c r="G994" s="13"/>
    </row>
    <row r="995" spans="8:8" ht="32.25" customHeight="1">
      <c r="A995" s="11">
        <v>4.0</v>
      </c>
      <c r="B995" s="12" t="s">
        <v>1018</v>
      </c>
      <c r="C995" s="13">
        <v>250379.0</v>
      </c>
      <c r="D995" s="12" t="s">
        <v>94</v>
      </c>
      <c r="E995" s="13" t="s">
        <v>28</v>
      </c>
      <c r="F995" s="14">
        <v>0.5208333333333334</v>
      </c>
      <c r="G995" s="13"/>
    </row>
    <row r="996" spans="8:8" ht="32.25" customHeight="1">
      <c r="A996" s="11">
        <v>5.0</v>
      </c>
      <c r="B996" s="12" t="s">
        <v>1019</v>
      </c>
      <c r="C996" s="13">
        <v>250381.0</v>
      </c>
      <c r="D996" s="12" t="s">
        <v>94</v>
      </c>
      <c r="E996" s="13" t="s">
        <v>28</v>
      </c>
      <c r="F996" s="14">
        <v>0.5208333333333334</v>
      </c>
      <c r="G996" s="13"/>
    </row>
    <row r="997" spans="8:8" ht="32.25" customHeight="1">
      <c r="A997" s="11">
        <v>6.0</v>
      </c>
      <c r="B997" s="12" t="s">
        <v>1020</v>
      </c>
      <c r="C997" s="13">
        <v>250382.0</v>
      </c>
      <c r="D997" s="12" t="s">
        <v>94</v>
      </c>
      <c r="E997" s="13" t="s">
        <v>28</v>
      </c>
      <c r="F997" s="14">
        <v>0.5208333333333334</v>
      </c>
      <c r="G997" s="13"/>
    </row>
    <row r="998" spans="8:8" ht="32.25" customHeight="1">
      <c r="A998" s="11">
        <v>7.0</v>
      </c>
      <c r="B998" s="12" t="s">
        <v>1021</v>
      </c>
      <c r="C998" s="13">
        <v>250340.0</v>
      </c>
      <c r="D998" s="12" t="s">
        <v>94</v>
      </c>
      <c r="E998" s="13" t="s">
        <v>28</v>
      </c>
      <c r="F998" s="14">
        <v>0.5208333333333334</v>
      </c>
      <c r="G998" s="13"/>
    </row>
    <row r="999" spans="8:8" ht="32.25" customHeight="1">
      <c r="A999" s="11">
        <v>8.0</v>
      </c>
      <c r="B999" s="12" t="s">
        <v>1022</v>
      </c>
      <c r="C999" s="13">
        <v>250383.0</v>
      </c>
      <c r="D999" s="12" t="s">
        <v>94</v>
      </c>
      <c r="E999" s="13" t="s">
        <v>28</v>
      </c>
      <c r="F999" s="14">
        <v>0.5208333333333334</v>
      </c>
      <c r="G999" s="13"/>
    </row>
    <row r="1000" spans="8:8" ht="32.25" customHeight="1">
      <c r="A1000" s="11">
        <v>9.0</v>
      </c>
      <c r="B1000" s="12" t="s">
        <v>1023</v>
      </c>
      <c r="C1000" s="13">
        <v>250387.0</v>
      </c>
      <c r="D1000" s="12" t="s">
        <v>94</v>
      </c>
      <c r="E1000" s="13" t="s">
        <v>28</v>
      </c>
      <c r="F1000" s="14">
        <v>0.5208333333333334</v>
      </c>
      <c r="G1000" s="13"/>
    </row>
    <row r="1001" spans="8:8" ht="32.25" customHeight="1">
      <c r="A1001" s="11">
        <v>10.0</v>
      </c>
      <c r="B1001" s="12" t="s">
        <v>1024</v>
      </c>
      <c r="C1001" s="13">
        <v>250388.0</v>
      </c>
      <c r="D1001" s="12" t="s">
        <v>94</v>
      </c>
      <c r="E1001" s="13" t="s">
        <v>28</v>
      </c>
      <c r="F1001" s="14">
        <v>0.5208333333333334</v>
      </c>
      <c r="G1001" s="13"/>
    </row>
    <row r="1002" spans="8:8" ht="32.25" customHeight="1">
      <c r="A1002" s="11">
        <v>11.0</v>
      </c>
      <c r="B1002" s="12" t="s">
        <v>1025</v>
      </c>
      <c r="C1002" s="13">
        <v>250390.0</v>
      </c>
      <c r="D1002" s="12" t="s">
        <v>94</v>
      </c>
      <c r="E1002" s="13" t="s">
        <v>28</v>
      </c>
      <c r="F1002" s="14">
        <v>0.5208333333333334</v>
      </c>
      <c r="G1002" s="13"/>
    </row>
    <row r="1003" spans="8:8" ht="32.25" customHeight="1">
      <c r="A1003" s="11">
        <v>12.0</v>
      </c>
      <c r="B1003" s="12" t="s">
        <v>1026</v>
      </c>
      <c r="C1003" s="13">
        <v>252981.0</v>
      </c>
      <c r="D1003" s="12" t="s">
        <v>56</v>
      </c>
      <c r="E1003" s="13" t="s">
        <v>28</v>
      </c>
      <c r="F1003" s="14">
        <v>0.5208333333333334</v>
      </c>
      <c r="G1003" s="13"/>
    </row>
    <row r="1004" spans="8:8" ht="32.25" customHeight="1">
      <c r="A1004" s="11">
        <v>13.0</v>
      </c>
      <c r="B1004" s="12" t="s">
        <v>1027</v>
      </c>
      <c r="C1004" s="13">
        <v>240813.0</v>
      </c>
      <c r="D1004" s="12" t="s">
        <v>606</v>
      </c>
      <c r="E1004" s="13" t="s">
        <v>28</v>
      </c>
      <c r="F1004" s="14">
        <v>0.5208333333333334</v>
      </c>
      <c r="G1004" s="13"/>
    </row>
    <row r="1005" spans="8:8" ht="32.25" customHeight="1">
      <c r="A1005" s="11">
        <v>14.0</v>
      </c>
      <c r="B1005" s="12" t="s">
        <v>1028</v>
      </c>
      <c r="C1005" s="13">
        <v>251027.0</v>
      </c>
      <c r="D1005" s="12" t="s">
        <v>56</v>
      </c>
      <c r="E1005" s="13" t="s">
        <v>28</v>
      </c>
      <c r="F1005" s="14">
        <v>0.5208333333333334</v>
      </c>
      <c r="G1005" s="13"/>
    </row>
    <row r="1006" spans="8:8" ht="32.25" customHeight="1">
      <c r="A1006" s="11">
        <v>15.0</v>
      </c>
      <c r="B1006" s="12" t="s">
        <v>1029</v>
      </c>
      <c r="C1006" s="13">
        <v>253099.0</v>
      </c>
      <c r="D1006" s="12" t="s">
        <v>56</v>
      </c>
      <c r="E1006" s="13" t="s">
        <v>28</v>
      </c>
      <c r="F1006" s="14">
        <v>0.5208333333333334</v>
      </c>
      <c r="G1006" s="13"/>
    </row>
    <row r="1007" spans="8:8" ht="32.25" customHeight="1">
      <c r="A1007" s="11">
        <v>16.0</v>
      </c>
      <c r="B1007" s="12" t="s">
        <v>1030</v>
      </c>
      <c r="C1007" s="13">
        <v>250306.0</v>
      </c>
      <c r="D1007" s="12" t="s">
        <v>27</v>
      </c>
      <c r="E1007" s="13" t="s">
        <v>28</v>
      </c>
      <c r="F1007" s="14">
        <v>0.5208333333333334</v>
      </c>
      <c r="G1007" s="13"/>
    </row>
    <row r="1008" spans="8:8" ht="32.25" customHeight="1">
      <c r="A1008" s="11">
        <v>17.0</v>
      </c>
      <c r="B1008" s="12" t="s">
        <v>1031</v>
      </c>
      <c r="C1008" s="13">
        <v>250308.0</v>
      </c>
      <c r="D1008" s="12" t="s">
        <v>27</v>
      </c>
      <c r="E1008" s="13" t="s">
        <v>28</v>
      </c>
      <c r="F1008" s="14">
        <v>0.5208333333333334</v>
      </c>
      <c r="G1008" s="13"/>
    </row>
    <row r="1009" spans="8:8" ht="32.25" customHeight="1">
      <c r="A1009" s="11">
        <v>18.0</v>
      </c>
      <c r="B1009" s="12" t="s">
        <v>1032</v>
      </c>
      <c r="C1009" s="13">
        <v>251050.0</v>
      </c>
      <c r="D1009" s="12" t="s">
        <v>56</v>
      </c>
      <c r="E1009" s="13" t="s">
        <v>28</v>
      </c>
      <c r="F1009" s="14">
        <v>0.5208333333333334</v>
      </c>
      <c r="G1009" s="13"/>
    </row>
    <row r="1010" spans="8:8" ht="32.25" customHeight="1">
      <c r="A1010" s="11">
        <v>19.0</v>
      </c>
      <c r="B1010" s="12" t="s">
        <v>1033</v>
      </c>
      <c r="C1010" s="13">
        <v>251057.0</v>
      </c>
      <c r="D1010" s="12" t="s">
        <v>56</v>
      </c>
      <c r="E1010" s="13" t="s">
        <v>28</v>
      </c>
      <c r="F1010" s="14">
        <v>0.5208333333333334</v>
      </c>
      <c r="G1010" s="13"/>
    </row>
    <row r="1011" spans="8:8" ht="32.25" customHeight="1">
      <c r="A1011" s="11">
        <v>20.0</v>
      </c>
      <c r="B1011" s="12" t="s">
        <v>1034</v>
      </c>
      <c r="C1011" s="13">
        <v>251039.0</v>
      </c>
      <c r="D1011" s="12" t="s">
        <v>56</v>
      </c>
      <c r="E1011" s="13" t="s">
        <v>28</v>
      </c>
      <c r="F1011" s="14">
        <v>0.5208333333333334</v>
      </c>
      <c r="G1011" s="13"/>
    </row>
    <row r="1012" spans="8:8" ht="32.25" customHeight="1">
      <c r="A1012" s="11">
        <v>21.0</v>
      </c>
      <c r="B1012" s="12" t="s">
        <v>1035</v>
      </c>
      <c r="C1012" s="13">
        <v>251183.0</v>
      </c>
      <c r="D1012" s="12" t="s">
        <v>56</v>
      </c>
      <c r="E1012" s="13" t="s">
        <v>28</v>
      </c>
      <c r="F1012" s="14">
        <v>0.5208333333333334</v>
      </c>
      <c r="G1012" s="13"/>
    </row>
    <row r="1013" spans="8:8" ht="32.25" customHeight="1">
      <c r="A1013" s="11">
        <v>22.0</v>
      </c>
      <c r="B1013" s="12" t="s">
        <v>1036</v>
      </c>
      <c r="C1013" s="13">
        <v>251231.0</v>
      </c>
      <c r="D1013" s="12" t="s">
        <v>56</v>
      </c>
      <c r="E1013" s="13" t="s">
        <v>28</v>
      </c>
      <c r="F1013" s="14">
        <v>0.5208333333333334</v>
      </c>
      <c r="G1013" s="13"/>
    </row>
    <row r="1014" spans="8:8" ht="32.25" customHeight="1">
      <c r="A1014" s="11">
        <v>23.0</v>
      </c>
      <c r="B1014" s="12" t="s">
        <v>1037</v>
      </c>
      <c r="C1014" s="13">
        <v>251062.0</v>
      </c>
      <c r="D1014" s="12" t="s">
        <v>56</v>
      </c>
      <c r="E1014" s="13" t="s">
        <v>28</v>
      </c>
      <c r="F1014" s="14">
        <v>0.5208333333333334</v>
      </c>
      <c r="G1014" s="13"/>
    </row>
    <row r="1015" spans="8:8" ht="32.25" customHeight="1">
      <c r="A1015" s="11">
        <v>24.0</v>
      </c>
      <c r="B1015" s="12" t="s">
        <v>1038</v>
      </c>
      <c r="C1015" s="13">
        <v>251168.0</v>
      </c>
      <c r="D1015" s="12" t="s">
        <v>56</v>
      </c>
      <c r="E1015" s="13" t="s">
        <v>28</v>
      </c>
      <c r="F1015" s="14">
        <v>0.5208333333333334</v>
      </c>
      <c r="G1015" s="13"/>
    </row>
    <row r="1016" spans="8:8" ht="32.25" customHeight="1">
      <c r="A1016" s="11">
        <v>25.0</v>
      </c>
      <c r="B1016" s="12" t="s">
        <v>1039</v>
      </c>
      <c r="C1016" s="13">
        <v>251176.0</v>
      </c>
      <c r="D1016" s="12" t="s">
        <v>56</v>
      </c>
      <c r="E1016" s="13" t="s">
        <v>28</v>
      </c>
      <c r="F1016" s="14">
        <v>0.5208333333333334</v>
      </c>
      <c r="G1016" s="13"/>
    </row>
    <row r="1017" spans="8:8" ht="32.25" customHeight="1">
      <c r="A1017" s="8" t="s">
        <v>18</v>
      </c>
      <c r="B1017" s="9" t="s">
        <v>19</v>
      </c>
      <c r="C1017" s="9" t="s">
        <v>20</v>
      </c>
      <c r="D1017" s="9" t="s">
        <v>21</v>
      </c>
      <c r="E1017" s="9" t="s">
        <v>22</v>
      </c>
      <c r="F1017" s="10" t="s">
        <v>23</v>
      </c>
      <c r="G1017" s="9" t="s">
        <v>80</v>
      </c>
    </row>
    <row r="1018" spans="8:8" ht="32.25" customHeight="1">
      <c r="A1018" s="11">
        <v>1.0</v>
      </c>
      <c r="B1018" s="12" t="s">
        <v>1040</v>
      </c>
      <c r="C1018" s="13">
        <v>250343.0</v>
      </c>
      <c r="D1018" s="12" t="s">
        <v>94</v>
      </c>
      <c r="E1018" s="13" t="s">
        <v>111</v>
      </c>
      <c r="F1018" s="14">
        <v>0.5208333333333334</v>
      </c>
      <c r="G1018" s="13"/>
    </row>
    <row r="1019" spans="8:8" ht="32.25" customHeight="1">
      <c r="A1019" s="11">
        <v>2.0</v>
      </c>
      <c r="B1019" s="12" t="s">
        <v>1041</v>
      </c>
      <c r="C1019" s="13">
        <v>250344.0</v>
      </c>
      <c r="D1019" s="12" t="s">
        <v>94</v>
      </c>
      <c r="E1019" s="13" t="s">
        <v>111</v>
      </c>
      <c r="F1019" s="14">
        <v>0.5208333333333334</v>
      </c>
      <c r="G1019" s="13"/>
    </row>
    <row r="1020" spans="8:8" ht="32.25" customHeight="1">
      <c r="A1020" s="11">
        <v>3.0</v>
      </c>
      <c r="B1020" s="12" t="s">
        <v>1042</v>
      </c>
      <c r="C1020" s="13">
        <v>250342.0</v>
      </c>
      <c r="D1020" s="12" t="s">
        <v>94</v>
      </c>
      <c r="E1020" s="13" t="s">
        <v>111</v>
      </c>
      <c r="F1020" s="14">
        <v>0.5208333333333334</v>
      </c>
      <c r="G1020" s="13"/>
    </row>
    <row r="1021" spans="8:8" ht="32.25" customHeight="1">
      <c r="A1021" s="11">
        <v>4.0</v>
      </c>
      <c r="B1021" s="12" t="s">
        <v>1043</v>
      </c>
      <c r="C1021" s="13">
        <v>250391.0</v>
      </c>
      <c r="D1021" s="12" t="s">
        <v>94</v>
      </c>
      <c r="E1021" s="13" t="s">
        <v>111</v>
      </c>
      <c r="F1021" s="14">
        <v>0.5208333333333334</v>
      </c>
      <c r="G1021" s="13"/>
    </row>
    <row r="1022" spans="8:8" ht="32.25" customHeight="1">
      <c r="A1022" s="11">
        <v>5.0</v>
      </c>
      <c r="B1022" s="12" t="s">
        <v>1044</v>
      </c>
      <c r="C1022" s="13">
        <v>250392.0</v>
      </c>
      <c r="D1022" s="12" t="s">
        <v>94</v>
      </c>
      <c r="E1022" s="13" t="s">
        <v>111</v>
      </c>
      <c r="F1022" s="14">
        <v>0.5208333333333334</v>
      </c>
      <c r="G1022" s="13"/>
    </row>
    <row r="1023" spans="8:8" ht="32.25" customHeight="1">
      <c r="A1023" s="11">
        <v>6.0</v>
      </c>
      <c r="B1023" s="12" t="s">
        <v>1045</v>
      </c>
      <c r="C1023" s="13">
        <v>250393.0</v>
      </c>
      <c r="D1023" s="12" t="s">
        <v>94</v>
      </c>
      <c r="E1023" s="13" t="s">
        <v>111</v>
      </c>
      <c r="F1023" s="14">
        <v>0.5208333333333334</v>
      </c>
      <c r="G1023" s="13"/>
    </row>
    <row r="1024" spans="8:8" ht="32.25" customHeight="1">
      <c r="A1024" s="11">
        <v>7.0</v>
      </c>
      <c r="B1024" s="12" t="s">
        <v>1046</v>
      </c>
      <c r="C1024" s="13">
        <v>250394.0</v>
      </c>
      <c r="D1024" s="12" t="s">
        <v>94</v>
      </c>
      <c r="E1024" s="13" t="s">
        <v>111</v>
      </c>
      <c r="F1024" s="14">
        <v>0.5208333333333334</v>
      </c>
      <c r="G1024" s="13"/>
    </row>
    <row r="1025" spans="8:8" ht="32.25" customHeight="1">
      <c r="A1025" s="11">
        <v>8.0</v>
      </c>
      <c r="B1025" s="12" t="s">
        <v>1047</v>
      </c>
      <c r="C1025" s="13">
        <v>250398.0</v>
      </c>
      <c r="D1025" s="12" t="s">
        <v>94</v>
      </c>
      <c r="E1025" s="13" t="s">
        <v>111</v>
      </c>
      <c r="F1025" s="14">
        <v>0.5208333333333334</v>
      </c>
      <c r="G1025" s="13"/>
    </row>
    <row r="1026" spans="8:8" ht="32.25" customHeight="1">
      <c r="A1026" s="11">
        <v>9.0</v>
      </c>
      <c r="B1026" s="12" t="s">
        <v>1048</v>
      </c>
      <c r="C1026" s="13">
        <v>250397.0</v>
      </c>
      <c r="D1026" s="12" t="s">
        <v>94</v>
      </c>
      <c r="E1026" s="13" t="s">
        <v>111</v>
      </c>
      <c r="F1026" s="14">
        <v>0.5208333333333334</v>
      </c>
      <c r="G1026" s="13"/>
    </row>
    <row r="1027" spans="8:8" ht="32.25" customHeight="1">
      <c r="A1027" s="11">
        <v>10.0</v>
      </c>
      <c r="B1027" s="12" t="s">
        <v>1049</v>
      </c>
      <c r="C1027" s="13">
        <v>250402.0</v>
      </c>
      <c r="D1027" s="12" t="s">
        <v>94</v>
      </c>
      <c r="E1027" s="13" t="s">
        <v>111</v>
      </c>
      <c r="F1027" s="14">
        <v>0.5208333333333334</v>
      </c>
      <c r="G1027" s="13"/>
    </row>
    <row r="1028" spans="8:8" ht="32.25" customHeight="1">
      <c r="A1028" s="11">
        <v>11.0</v>
      </c>
      <c r="B1028" s="12" t="s">
        <v>1050</v>
      </c>
      <c r="C1028" s="13">
        <v>250403.0</v>
      </c>
      <c r="D1028" s="12" t="s">
        <v>94</v>
      </c>
      <c r="E1028" s="13" t="s">
        <v>111</v>
      </c>
      <c r="F1028" s="14">
        <v>0.5208333333333334</v>
      </c>
      <c r="G1028" s="13"/>
    </row>
    <row r="1029" spans="8:8" ht="32.25" customHeight="1">
      <c r="A1029" s="11">
        <v>12.0</v>
      </c>
      <c r="B1029" s="12" t="s">
        <v>1051</v>
      </c>
      <c r="C1029" s="13">
        <v>250404.0</v>
      </c>
      <c r="D1029" s="12" t="s">
        <v>94</v>
      </c>
      <c r="E1029" s="13" t="s">
        <v>111</v>
      </c>
      <c r="F1029" s="14">
        <v>0.5208333333333334</v>
      </c>
      <c r="G1029" s="13"/>
    </row>
    <row r="1030" spans="8:8" ht="32.25" customHeight="1">
      <c r="A1030" s="11">
        <v>13.0</v>
      </c>
      <c r="B1030" s="12" t="s">
        <v>1052</v>
      </c>
      <c r="C1030" s="13">
        <v>250405.0</v>
      </c>
      <c r="D1030" s="12" t="s">
        <v>94</v>
      </c>
      <c r="E1030" s="13" t="s">
        <v>111</v>
      </c>
      <c r="F1030" s="14">
        <v>0.5208333333333334</v>
      </c>
      <c r="G1030" s="13"/>
    </row>
    <row r="1031" spans="8:8" ht="32.25" customHeight="1">
      <c r="A1031" s="11">
        <v>14.0</v>
      </c>
      <c r="B1031" s="12" t="s">
        <v>1053</v>
      </c>
      <c r="C1031" s="13">
        <v>250410.0</v>
      </c>
      <c r="D1031" s="12" t="s">
        <v>94</v>
      </c>
      <c r="E1031" s="13" t="s">
        <v>111</v>
      </c>
      <c r="F1031" s="14">
        <v>0.5208333333333334</v>
      </c>
      <c r="G1031" s="13"/>
    </row>
    <row r="1032" spans="8:8" ht="32.25" customHeight="1">
      <c r="A1032" s="11">
        <v>15.0</v>
      </c>
      <c r="B1032" s="12" t="s">
        <v>1054</v>
      </c>
      <c r="C1032" s="13">
        <v>250408.0</v>
      </c>
      <c r="D1032" s="12" t="s">
        <v>94</v>
      </c>
      <c r="E1032" s="13" t="s">
        <v>111</v>
      </c>
      <c r="F1032" s="14">
        <v>0.5208333333333334</v>
      </c>
      <c r="G1032" s="13"/>
    </row>
    <row r="1033" spans="8:8" ht="32.25" customHeight="1">
      <c r="A1033" s="11">
        <v>16.0</v>
      </c>
      <c r="B1033" s="12" t="s">
        <v>1055</v>
      </c>
      <c r="C1033" s="13">
        <v>250413.0</v>
      </c>
      <c r="D1033" s="12" t="s">
        <v>94</v>
      </c>
      <c r="E1033" s="13" t="s">
        <v>111</v>
      </c>
      <c r="F1033" s="14">
        <v>0.5208333333333334</v>
      </c>
      <c r="G1033" s="13"/>
    </row>
    <row r="1034" spans="8:8" ht="32.25" customHeight="1">
      <c r="A1034" s="11">
        <v>17.0</v>
      </c>
      <c r="B1034" s="12" t="s">
        <v>1056</v>
      </c>
      <c r="C1034" s="13">
        <v>250412.0</v>
      </c>
      <c r="D1034" s="12" t="s">
        <v>94</v>
      </c>
      <c r="E1034" s="13" t="s">
        <v>111</v>
      </c>
      <c r="F1034" s="14">
        <v>0.5208333333333334</v>
      </c>
      <c r="G1034" s="13"/>
    </row>
    <row r="1035" spans="8:8" ht="32.25" customHeight="1">
      <c r="A1035" s="11">
        <v>18.0</v>
      </c>
      <c r="B1035" s="12" t="s">
        <v>1057</v>
      </c>
      <c r="C1035" s="13">
        <v>250411.0</v>
      </c>
      <c r="D1035" s="12" t="s">
        <v>94</v>
      </c>
      <c r="E1035" s="13" t="s">
        <v>111</v>
      </c>
      <c r="F1035" s="14">
        <v>0.5208333333333334</v>
      </c>
      <c r="G1035" s="13"/>
    </row>
    <row r="1036" spans="8:8" ht="32.25" customHeight="1">
      <c r="A1036" s="11">
        <v>19.0</v>
      </c>
      <c r="B1036" s="12" t="s">
        <v>1058</v>
      </c>
      <c r="C1036" s="13">
        <v>250409.0</v>
      </c>
      <c r="D1036" s="12" t="s">
        <v>94</v>
      </c>
      <c r="E1036" s="13" t="s">
        <v>111</v>
      </c>
      <c r="F1036" s="14">
        <v>0.5208333333333334</v>
      </c>
      <c r="G1036" s="13"/>
    </row>
    <row r="1037" spans="8:8" ht="32.25" customHeight="1">
      <c r="A1037" s="11">
        <v>20.0</v>
      </c>
      <c r="B1037" s="12" t="s">
        <v>1059</v>
      </c>
      <c r="C1037" s="13">
        <v>250172.0</v>
      </c>
      <c r="D1037" s="12" t="s">
        <v>27</v>
      </c>
      <c r="E1037" s="13" t="s">
        <v>111</v>
      </c>
      <c r="F1037" s="14">
        <v>0.5208333333333334</v>
      </c>
      <c r="G1037" s="13"/>
    </row>
    <row r="1038" spans="8:8" ht="32.25" customHeight="1">
      <c r="A1038" s="11">
        <v>21.0</v>
      </c>
      <c r="B1038" s="12" t="s">
        <v>1060</v>
      </c>
      <c r="C1038" s="13">
        <v>250859.0</v>
      </c>
      <c r="D1038" s="12" t="s">
        <v>56</v>
      </c>
      <c r="E1038" s="13" t="s">
        <v>111</v>
      </c>
      <c r="F1038" s="14">
        <v>0.5208333333333334</v>
      </c>
      <c r="G1038" s="13"/>
    </row>
    <row r="1039" spans="8:8" ht="32.25" customHeight="1">
      <c r="A1039" s="11">
        <v>22.0</v>
      </c>
      <c r="B1039" s="12" t="s">
        <v>1061</v>
      </c>
      <c r="C1039" s="13">
        <v>250396.0</v>
      </c>
      <c r="D1039" s="12" t="s">
        <v>94</v>
      </c>
      <c r="E1039" s="13" t="s">
        <v>111</v>
      </c>
      <c r="F1039" s="14">
        <v>0.5208333333333334</v>
      </c>
      <c r="G1039" s="13"/>
    </row>
    <row r="1040" spans="8:8" ht="32.25" customHeight="1">
      <c r="A1040" s="11">
        <v>23.0</v>
      </c>
      <c r="B1040" s="31" t="s">
        <v>1062</v>
      </c>
      <c r="C1040" s="32">
        <v>240891.0</v>
      </c>
      <c r="D1040" s="12" t="s">
        <v>1063</v>
      </c>
      <c r="E1040" s="13" t="s">
        <v>111</v>
      </c>
      <c r="F1040" s="14">
        <v>0.5208333333333334</v>
      </c>
      <c r="G1040" s="13"/>
    </row>
    <row r="1041" spans="8:8" ht="32.25" customHeight="1">
      <c r="A1041" s="11">
        <v>24.0</v>
      </c>
      <c r="B1041" s="31" t="s">
        <v>1064</v>
      </c>
      <c r="C1041" s="32">
        <v>241970.0</v>
      </c>
      <c r="D1041" s="12" t="s">
        <v>1065</v>
      </c>
      <c r="E1041" s="13" t="s">
        <v>111</v>
      </c>
      <c r="F1041" s="14">
        <v>0.5208333333333334</v>
      </c>
      <c r="G1041" s="13"/>
    </row>
    <row r="1042" spans="8:8" ht="32.25" customHeight="1">
      <c r="A1042" s="8" t="s">
        <v>18</v>
      </c>
      <c r="B1042" s="9" t="s">
        <v>19</v>
      </c>
      <c r="C1042" s="9" t="s">
        <v>20</v>
      </c>
      <c r="D1042" s="9" t="s">
        <v>21</v>
      </c>
      <c r="E1042" s="9" t="s">
        <v>22</v>
      </c>
      <c r="F1042" s="10" t="s">
        <v>23</v>
      </c>
      <c r="G1042" s="9" t="s">
        <v>109</v>
      </c>
    </row>
    <row r="1043" spans="8:8" ht="32.25" customHeight="1">
      <c r="A1043" s="11">
        <v>1.0</v>
      </c>
      <c r="B1043" s="12" t="s">
        <v>1066</v>
      </c>
      <c r="C1043" s="13">
        <v>250406.0</v>
      </c>
      <c r="D1043" s="12" t="s">
        <v>94</v>
      </c>
      <c r="E1043" s="13" t="s">
        <v>28</v>
      </c>
      <c r="F1043" s="14">
        <v>0.5208333333333334</v>
      </c>
      <c r="G1043" s="13"/>
    </row>
    <row r="1044" spans="8:8" ht="32.25" customHeight="1">
      <c r="A1044" s="11">
        <v>2.0</v>
      </c>
      <c r="B1044" s="12" t="s">
        <v>1067</v>
      </c>
      <c r="C1044" s="13">
        <v>250407.0</v>
      </c>
      <c r="D1044" s="12" t="s">
        <v>94</v>
      </c>
      <c r="E1044" s="13" t="s">
        <v>28</v>
      </c>
      <c r="F1044" s="14">
        <v>0.5208333333333334</v>
      </c>
      <c r="G1044" s="13"/>
    </row>
    <row r="1045" spans="8:8" ht="32.25" customHeight="1">
      <c r="A1045" s="11">
        <v>3.0</v>
      </c>
      <c r="B1045" s="12" t="s">
        <v>1068</v>
      </c>
      <c r="C1045" s="13">
        <v>250414.0</v>
      </c>
      <c r="D1045" s="12" t="s">
        <v>94</v>
      </c>
      <c r="E1045" s="13" t="s">
        <v>28</v>
      </c>
      <c r="F1045" s="14">
        <v>0.5208333333333334</v>
      </c>
      <c r="G1045" s="13"/>
    </row>
    <row r="1046" spans="8:8" ht="32.25" customHeight="1">
      <c r="A1046" s="11">
        <v>4.0</v>
      </c>
      <c r="B1046" s="12" t="s">
        <v>1069</v>
      </c>
      <c r="C1046" s="13">
        <v>250415.0</v>
      </c>
      <c r="D1046" s="12" t="s">
        <v>94</v>
      </c>
      <c r="E1046" s="13" t="s">
        <v>28</v>
      </c>
      <c r="F1046" s="14">
        <v>0.5208333333333334</v>
      </c>
      <c r="G1046" s="13"/>
    </row>
    <row r="1047" spans="8:8" ht="32.25" customHeight="1">
      <c r="A1047" s="11">
        <v>5.0</v>
      </c>
      <c r="B1047" s="12" t="s">
        <v>1070</v>
      </c>
      <c r="C1047" s="13">
        <v>250416.0</v>
      </c>
      <c r="D1047" s="12" t="s">
        <v>94</v>
      </c>
      <c r="E1047" s="13" t="s">
        <v>28</v>
      </c>
      <c r="F1047" s="14">
        <v>0.5208333333333334</v>
      </c>
      <c r="G1047" s="13"/>
    </row>
    <row r="1048" spans="8:8" ht="32.25" customHeight="1">
      <c r="A1048" s="11">
        <v>6.0</v>
      </c>
      <c r="B1048" s="12" t="s">
        <v>1071</v>
      </c>
      <c r="C1048" s="13">
        <v>250418.0</v>
      </c>
      <c r="D1048" s="12" t="s">
        <v>94</v>
      </c>
      <c r="E1048" s="13" t="s">
        <v>28</v>
      </c>
      <c r="F1048" s="14">
        <v>0.5208333333333334</v>
      </c>
      <c r="G1048" s="13"/>
    </row>
    <row r="1049" spans="8:8" ht="32.25" customHeight="1">
      <c r="A1049" s="11">
        <v>7.0</v>
      </c>
      <c r="B1049" s="12" t="s">
        <v>1072</v>
      </c>
      <c r="C1049" s="13">
        <v>250419.0</v>
      </c>
      <c r="D1049" s="12" t="s">
        <v>94</v>
      </c>
      <c r="E1049" s="13" t="s">
        <v>28</v>
      </c>
      <c r="F1049" s="14">
        <v>0.5208333333333334</v>
      </c>
      <c r="G1049" s="13"/>
    </row>
    <row r="1050" spans="8:8" ht="32.25" customHeight="1">
      <c r="A1050" s="11">
        <v>8.0</v>
      </c>
      <c r="B1050" s="12" t="s">
        <v>1073</v>
      </c>
      <c r="C1050" s="13">
        <v>250420.0</v>
      </c>
      <c r="D1050" s="12" t="s">
        <v>94</v>
      </c>
      <c r="E1050" s="13" t="s">
        <v>28</v>
      </c>
      <c r="F1050" s="14">
        <v>0.5208333333333334</v>
      </c>
      <c r="G1050" s="13"/>
    </row>
    <row r="1051" spans="8:8" ht="32.25" customHeight="1">
      <c r="A1051" s="11">
        <v>9.0</v>
      </c>
      <c r="B1051" s="12" t="s">
        <v>1074</v>
      </c>
      <c r="C1051" s="13">
        <v>250421.0</v>
      </c>
      <c r="D1051" s="12" t="s">
        <v>94</v>
      </c>
      <c r="E1051" s="13" t="s">
        <v>28</v>
      </c>
      <c r="F1051" s="14">
        <v>0.5208333333333334</v>
      </c>
      <c r="G1051" s="13"/>
    </row>
    <row r="1052" spans="8:8" ht="32.25" customHeight="1">
      <c r="A1052" s="11">
        <v>10.0</v>
      </c>
      <c r="B1052" s="12" t="s">
        <v>1075</v>
      </c>
      <c r="C1052" s="13">
        <v>250423.0</v>
      </c>
      <c r="D1052" s="12" t="s">
        <v>94</v>
      </c>
      <c r="E1052" s="13" t="s">
        <v>28</v>
      </c>
      <c r="F1052" s="14">
        <v>0.5208333333333334</v>
      </c>
      <c r="G1052" s="13"/>
    </row>
    <row r="1053" spans="8:8" ht="32.25" customHeight="1">
      <c r="A1053" s="11">
        <v>11.0</v>
      </c>
      <c r="B1053" s="12" t="s">
        <v>1076</v>
      </c>
      <c r="C1053" s="13">
        <v>252819.0</v>
      </c>
      <c r="D1053" s="12" t="s">
        <v>94</v>
      </c>
      <c r="E1053" s="13" t="s">
        <v>28</v>
      </c>
      <c r="F1053" s="14">
        <v>0.5208333333333334</v>
      </c>
      <c r="G1053" s="13"/>
    </row>
    <row r="1054" spans="8:8" ht="32.25" customHeight="1">
      <c r="A1054" s="11">
        <v>12.0</v>
      </c>
      <c r="B1054" s="12" t="s">
        <v>1077</v>
      </c>
      <c r="C1054" s="13">
        <v>250425.0</v>
      </c>
      <c r="D1054" s="12" t="s">
        <v>94</v>
      </c>
      <c r="E1054" s="13" t="s">
        <v>28</v>
      </c>
      <c r="F1054" s="14">
        <v>0.5208333333333334</v>
      </c>
      <c r="G1054" s="13"/>
    </row>
    <row r="1055" spans="8:8" ht="32.25" customHeight="1">
      <c r="A1055" s="11">
        <v>13.0</v>
      </c>
      <c r="B1055" s="12" t="s">
        <v>1078</v>
      </c>
      <c r="C1055" s="13">
        <v>250427.0</v>
      </c>
      <c r="D1055" s="12" t="s">
        <v>94</v>
      </c>
      <c r="E1055" s="13" t="s">
        <v>28</v>
      </c>
      <c r="F1055" s="14">
        <v>0.5208333333333334</v>
      </c>
      <c r="G1055" s="13"/>
    </row>
    <row r="1056" spans="8:8" ht="32.25" customHeight="1">
      <c r="A1056" s="11">
        <v>14.0</v>
      </c>
      <c r="B1056" s="12" t="s">
        <v>1079</v>
      </c>
      <c r="C1056" s="13">
        <v>250430.0</v>
      </c>
      <c r="D1056" s="12" t="s">
        <v>94</v>
      </c>
      <c r="E1056" s="13" t="s">
        <v>28</v>
      </c>
      <c r="F1056" s="14">
        <v>0.5208333333333334</v>
      </c>
      <c r="G1056" s="13"/>
    </row>
    <row r="1057" spans="8:8" ht="32.25" customHeight="1">
      <c r="A1057" s="11">
        <v>15.0</v>
      </c>
      <c r="B1057" s="12" t="s">
        <v>1080</v>
      </c>
      <c r="C1057" s="13">
        <v>250432.0</v>
      </c>
      <c r="D1057" s="12" t="s">
        <v>94</v>
      </c>
      <c r="E1057" s="13" t="s">
        <v>28</v>
      </c>
      <c r="F1057" s="14">
        <v>0.5208333333333334</v>
      </c>
      <c r="G1057" s="13"/>
    </row>
    <row r="1058" spans="8:8" ht="32.25" customHeight="1">
      <c r="A1058" s="11">
        <v>16.0</v>
      </c>
      <c r="B1058" s="12" t="s">
        <v>1081</v>
      </c>
      <c r="C1058" s="13">
        <v>250434.0</v>
      </c>
      <c r="D1058" s="12" t="s">
        <v>94</v>
      </c>
      <c r="E1058" s="13" t="s">
        <v>28</v>
      </c>
      <c r="F1058" s="14">
        <v>0.5208333333333334</v>
      </c>
      <c r="G1058" s="13"/>
    </row>
    <row r="1059" spans="8:8" ht="32.25" customHeight="1">
      <c r="A1059" s="11">
        <v>17.0</v>
      </c>
      <c r="B1059" s="12" t="s">
        <v>1082</v>
      </c>
      <c r="C1059" s="13">
        <v>250435.0</v>
      </c>
      <c r="D1059" s="12" t="s">
        <v>94</v>
      </c>
      <c r="E1059" s="13" t="s">
        <v>28</v>
      </c>
      <c r="F1059" s="14">
        <v>0.5208333333333334</v>
      </c>
      <c r="G1059" s="13"/>
    </row>
    <row r="1060" spans="8:8" ht="32.25" customHeight="1">
      <c r="A1060" s="11">
        <v>18.0</v>
      </c>
      <c r="B1060" s="12" t="s">
        <v>1083</v>
      </c>
      <c r="C1060" s="13">
        <v>250437.0</v>
      </c>
      <c r="D1060" s="12" t="s">
        <v>94</v>
      </c>
      <c r="E1060" s="13" t="s">
        <v>28</v>
      </c>
      <c r="F1060" s="14">
        <v>0.5208333333333334</v>
      </c>
      <c r="G1060" s="13"/>
    </row>
    <row r="1061" spans="8:8" ht="32.25" customHeight="1">
      <c r="A1061" s="11">
        <v>19.0</v>
      </c>
      <c r="B1061" s="12" t="s">
        <v>1084</v>
      </c>
      <c r="C1061" s="13">
        <v>251004.0</v>
      </c>
      <c r="D1061" s="12" t="s">
        <v>56</v>
      </c>
      <c r="E1061" s="13" t="s">
        <v>28</v>
      </c>
      <c r="F1061" s="14">
        <v>0.5208333333333334</v>
      </c>
      <c r="G1061" s="13"/>
    </row>
    <row r="1062" spans="8:8" ht="32.25" customHeight="1">
      <c r="A1062" s="11">
        <v>20.0</v>
      </c>
      <c r="B1062" s="19" t="s">
        <v>1085</v>
      </c>
      <c r="C1062" s="20">
        <v>250982.0</v>
      </c>
      <c r="D1062" s="19" t="s">
        <v>56</v>
      </c>
      <c r="E1062" s="20" t="s">
        <v>28</v>
      </c>
      <c r="F1062" s="14">
        <v>0.5208333333333334</v>
      </c>
      <c r="G1062" s="20"/>
    </row>
    <row r="1063" spans="8:8" ht="32.25" customHeight="1">
      <c r="A1063" s="11">
        <v>21.0</v>
      </c>
      <c r="B1063" s="12" t="s">
        <v>1086</v>
      </c>
      <c r="C1063" s="13">
        <v>250445.0</v>
      </c>
      <c r="D1063" s="12" t="s">
        <v>94</v>
      </c>
      <c r="E1063" s="13" t="s">
        <v>28</v>
      </c>
      <c r="F1063" s="14">
        <v>0.5208333333333334</v>
      </c>
      <c r="G1063" s="13"/>
    </row>
    <row r="1064" spans="8:8" ht="32.25" customHeight="1">
      <c r="A1064" s="11">
        <v>22.0</v>
      </c>
      <c r="B1064" s="12" t="s">
        <v>1087</v>
      </c>
      <c r="C1064" s="13">
        <v>250441.0</v>
      </c>
      <c r="D1064" s="12" t="s">
        <v>94</v>
      </c>
      <c r="E1064" s="13" t="s">
        <v>28</v>
      </c>
      <c r="F1064" s="14">
        <v>0.5208333333333334</v>
      </c>
      <c r="G1064" s="13"/>
    </row>
    <row r="1065" spans="8:8" ht="32.25" customHeight="1">
      <c r="A1065" s="11">
        <v>23.0</v>
      </c>
      <c r="B1065" s="12" t="s">
        <v>1088</v>
      </c>
      <c r="C1065" s="13">
        <v>250440.0</v>
      </c>
      <c r="D1065" s="12" t="s">
        <v>94</v>
      </c>
      <c r="E1065" s="13" t="s">
        <v>28</v>
      </c>
      <c r="F1065" s="14">
        <v>0.5208333333333334</v>
      </c>
      <c r="G1065" s="13"/>
    </row>
    <row r="1066" spans="8:8" ht="32.25" customHeight="1">
      <c r="A1066" s="11">
        <v>24.0</v>
      </c>
      <c r="B1066" s="12" t="s">
        <v>1089</v>
      </c>
      <c r="C1066" s="13">
        <v>250442.0</v>
      </c>
      <c r="D1066" s="12" t="s">
        <v>94</v>
      </c>
      <c r="E1066" s="13" t="s">
        <v>28</v>
      </c>
      <c r="F1066" s="14">
        <v>0.5208333333333334</v>
      </c>
      <c r="G1066" s="13"/>
    </row>
    <row r="1067" spans="8:8" ht="32.25" customHeight="1">
      <c r="A1067" s="11">
        <v>25.0</v>
      </c>
      <c r="B1067" s="12" t="s">
        <v>1090</v>
      </c>
      <c r="C1067" s="13">
        <v>250453.0</v>
      </c>
      <c r="D1067" s="12" t="s">
        <v>94</v>
      </c>
      <c r="E1067" s="13" t="s">
        <v>28</v>
      </c>
      <c r="F1067" s="14">
        <v>0.5208333333333334</v>
      </c>
      <c r="G1067" s="13"/>
    </row>
    <row r="1068" spans="8:8" ht="32.25" customHeight="1">
      <c r="A1068" s="8" t="s">
        <v>18</v>
      </c>
      <c r="B1068" s="9" t="s">
        <v>19</v>
      </c>
      <c r="C1068" s="9" t="s">
        <v>20</v>
      </c>
      <c r="D1068" s="9" t="s">
        <v>21</v>
      </c>
      <c r="E1068" s="9" t="s">
        <v>22</v>
      </c>
      <c r="F1068" s="10" t="s">
        <v>23</v>
      </c>
      <c r="G1068" s="9" t="s">
        <v>136</v>
      </c>
    </row>
    <row r="1069" spans="8:8" ht="32.25" customHeight="1">
      <c r="A1069" s="11">
        <v>1.0</v>
      </c>
      <c r="B1069" s="12" t="s">
        <v>1091</v>
      </c>
      <c r="C1069" s="13">
        <v>250454.0</v>
      </c>
      <c r="D1069" s="12" t="s">
        <v>94</v>
      </c>
      <c r="E1069" s="13" t="s">
        <v>28</v>
      </c>
      <c r="F1069" s="14">
        <v>0.5208333333333334</v>
      </c>
      <c r="G1069" s="13"/>
    </row>
    <row r="1070" spans="8:8" ht="32.25" customHeight="1">
      <c r="A1070" s="11">
        <v>2.0</v>
      </c>
      <c r="B1070" s="12" t="s">
        <v>1092</v>
      </c>
      <c r="C1070" s="13">
        <v>250451.0</v>
      </c>
      <c r="D1070" s="12" t="s">
        <v>94</v>
      </c>
      <c r="E1070" s="13" t="s">
        <v>28</v>
      </c>
      <c r="F1070" s="14">
        <v>0.5208333333333334</v>
      </c>
      <c r="G1070" s="13"/>
    </row>
    <row r="1071" spans="8:8" ht="32.25" customHeight="1">
      <c r="A1071" s="11">
        <v>3.0</v>
      </c>
      <c r="B1071" s="12" t="s">
        <v>1093</v>
      </c>
      <c r="C1071" s="13">
        <v>250456.0</v>
      </c>
      <c r="D1071" s="12" t="s">
        <v>94</v>
      </c>
      <c r="E1071" s="13" t="s">
        <v>28</v>
      </c>
      <c r="F1071" s="14">
        <v>0.5208333333333334</v>
      </c>
      <c r="G1071" s="13"/>
    </row>
    <row r="1072" spans="8:8" ht="32.25" customHeight="1">
      <c r="A1072" s="11">
        <v>4.0</v>
      </c>
      <c r="B1072" s="12" t="s">
        <v>1094</v>
      </c>
      <c r="C1072" s="13">
        <v>250458.0</v>
      </c>
      <c r="D1072" s="12" t="s">
        <v>94</v>
      </c>
      <c r="E1072" s="13" t="s">
        <v>28</v>
      </c>
      <c r="F1072" s="14">
        <v>0.5208333333333334</v>
      </c>
      <c r="G1072" s="13"/>
    </row>
    <row r="1073" spans="8:8" ht="32.25" customHeight="1">
      <c r="A1073" s="11">
        <v>5.0</v>
      </c>
      <c r="B1073" s="12" t="s">
        <v>1095</v>
      </c>
      <c r="C1073" s="13">
        <v>250459.0</v>
      </c>
      <c r="D1073" s="12" t="s">
        <v>94</v>
      </c>
      <c r="E1073" s="13" t="s">
        <v>28</v>
      </c>
      <c r="F1073" s="14">
        <v>0.5208333333333334</v>
      </c>
      <c r="G1073" s="13"/>
    </row>
    <row r="1074" spans="8:8" ht="32.25" customHeight="1">
      <c r="A1074" s="11">
        <v>6.0</v>
      </c>
      <c r="B1074" s="12" t="s">
        <v>1096</v>
      </c>
      <c r="C1074" s="13">
        <v>250460.0</v>
      </c>
      <c r="D1074" s="12" t="s">
        <v>94</v>
      </c>
      <c r="E1074" s="13" t="s">
        <v>28</v>
      </c>
      <c r="F1074" s="14">
        <v>0.5208333333333334</v>
      </c>
      <c r="G1074" s="13"/>
    </row>
    <row r="1075" spans="8:8" ht="32.25" customHeight="1">
      <c r="A1075" s="11">
        <v>7.0</v>
      </c>
      <c r="B1075" s="12" t="s">
        <v>1097</v>
      </c>
      <c r="C1075" s="13">
        <v>250462.0</v>
      </c>
      <c r="D1075" s="12" t="s">
        <v>94</v>
      </c>
      <c r="E1075" s="13" t="s">
        <v>28</v>
      </c>
      <c r="F1075" s="14">
        <v>0.5208333333333334</v>
      </c>
      <c r="G1075" s="13"/>
    </row>
    <row r="1076" spans="8:8" ht="32.25" customHeight="1">
      <c r="A1076" s="11">
        <v>8.0</v>
      </c>
      <c r="B1076" s="12" t="s">
        <v>1098</v>
      </c>
      <c r="C1076" s="13">
        <v>250464.0</v>
      </c>
      <c r="D1076" s="12" t="s">
        <v>94</v>
      </c>
      <c r="E1076" s="13" t="s">
        <v>28</v>
      </c>
      <c r="F1076" s="14">
        <v>0.5208333333333334</v>
      </c>
      <c r="G1076" s="13"/>
    </row>
    <row r="1077" spans="8:8" ht="32.25" customHeight="1">
      <c r="A1077" s="11">
        <v>9.0</v>
      </c>
      <c r="B1077" s="12" t="s">
        <v>1099</v>
      </c>
      <c r="C1077" s="13">
        <v>250470.0</v>
      </c>
      <c r="D1077" s="12" t="s">
        <v>94</v>
      </c>
      <c r="E1077" s="13" t="s">
        <v>28</v>
      </c>
      <c r="F1077" s="14">
        <v>0.5208333333333334</v>
      </c>
      <c r="G1077" s="13"/>
    </row>
    <row r="1078" spans="8:8" ht="32.25" customHeight="1">
      <c r="A1078" s="11">
        <v>10.0</v>
      </c>
      <c r="B1078" s="12" t="s">
        <v>1100</v>
      </c>
      <c r="C1078" s="13">
        <v>250469.0</v>
      </c>
      <c r="D1078" s="12" t="s">
        <v>94</v>
      </c>
      <c r="E1078" s="13" t="s">
        <v>28</v>
      </c>
      <c r="F1078" s="14">
        <v>0.5208333333333334</v>
      </c>
      <c r="G1078" s="13"/>
    </row>
    <row r="1079" spans="8:8" ht="32.25" customHeight="1">
      <c r="A1079" s="11">
        <v>11.0</v>
      </c>
      <c r="B1079" s="12" t="s">
        <v>1101</v>
      </c>
      <c r="C1079" s="13">
        <v>250142.0</v>
      </c>
      <c r="D1079" s="12" t="s">
        <v>94</v>
      </c>
      <c r="E1079" s="13" t="s">
        <v>28</v>
      </c>
      <c r="F1079" s="14">
        <v>0.5208333333333334</v>
      </c>
      <c r="G1079" s="13"/>
    </row>
    <row r="1080" spans="8:8" ht="32.25" customHeight="1">
      <c r="A1080" s="11">
        <v>12.0</v>
      </c>
      <c r="B1080" s="12" t="s">
        <v>1102</v>
      </c>
      <c r="C1080" s="13">
        <v>250471.0</v>
      </c>
      <c r="D1080" s="12" t="s">
        <v>94</v>
      </c>
      <c r="E1080" s="13" t="s">
        <v>28</v>
      </c>
      <c r="F1080" s="14">
        <v>0.5208333333333334</v>
      </c>
      <c r="G1080" s="13"/>
    </row>
    <row r="1081" spans="8:8" ht="32.25" customHeight="1">
      <c r="A1081" s="11">
        <v>13.0</v>
      </c>
      <c r="B1081" s="12" t="s">
        <v>1103</v>
      </c>
      <c r="C1081" s="13">
        <v>250472.0</v>
      </c>
      <c r="D1081" s="12" t="s">
        <v>94</v>
      </c>
      <c r="E1081" s="13" t="s">
        <v>28</v>
      </c>
      <c r="F1081" s="14">
        <v>0.5208333333333334</v>
      </c>
      <c r="G1081" s="13"/>
    </row>
    <row r="1082" spans="8:8" ht="32.25" customHeight="1">
      <c r="A1082" s="11">
        <v>14.0</v>
      </c>
      <c r="B1082" s="12" t="s">
        <v>1104</v>
      </c>
      <c r="C1082" s="13">
        <v>250400.0</v>
      </c>
      <c r="D1082" s="12" t="s">
        <v>94</v>
      </c>
      <c r="E1082" s="13" t="s">
        <v>28</v>
      </c>
      <c r="F1082" s="14">
        <v>0.5208333333333334</v>
      </c>
      <c r="G1082" s="13"/>
    </row>
    <row r="1083" spans="8:8" ht="32.25" customHeight="1">
      <c r="A1083" s="11">
        <v>15.0</v>
      </c>
      <c r="B1083" s="12" t="s">
        <v>1105</v>
      </c>
      <c r="C1083" s="13">
        <v>250144.0</v>
      </c>
      <c r="D1083" s="12" t="s">
        <v>94</v>
      </c>
      <c r="E1083" s="13" t="s">
        <v>28</v>
      </c>
      <c r="F1083" s="14">
        <v>0.5208333333333334</v>
      </c>
      <c r="G1083" s="13"/>
    </row>
    <row r="1084" spans="8:8" ht="32.25" customHeight="1">
      <c r="A1084" s="11">
        <v>16.0</v>
      </c>
      <c r="B1084" s="12" t="s">
        <v>1106</v>
      </c>
      <c r="C1084" s="13">
        <v>250475.0</v>
      </c>
      <c r="D1084" s="12" t="s">
        <v>94</v>
      </c>
      <c r="E1084" s="13" t="s">
        <v>28</v>
      </c>
      <c r="F1084" s="14">
        <v>0.5208333333333334</v>
      </c>
      <c r="G1084" s="13"/>
    </row>
    <row r="1085" spans="8:8" ht="32.25" customHeight="1">
      <c r="A1085" s="11">
        <v>17.0</v>
      </c>
      <c r="B1085" s="12" t="s">
        <v>1107</v>
      </c>
      <c r="C1085" s="13">
        <v>250478.0</v>
      </c>
      <c r="D1085" s="12" t="s">
        <v>94</v>
      </c>
      <c r="E1085" s="13" t="s">
        <v>28</v>
      </c>
      <c r="F1085" s="14">
        <v>0.5208333333333334</v>
      </c>
      <c r="G1085" s="13"/>
    </row>
    <row r="1086" spans="8:8" ht="32.25" customHeight="1">
      <c r="A1086" s="11">
        <v>18.0</v>
      </c>
      <c r="B1086" s="12" t="s">
        <v>1108</v>
      </c>
      <c r="C1086" s="13">
        <v>250479.0</v>
      </c>
      <c r="D1086" s="12" t="s">
        <v>94</v>
      </c>
      <c r="E1086" s="13" t="s">
        <v>28</v>
      </c>
      <c r="F1086" s="14">
        <v>0.5208333333333334</v>
      </c>
      <c r="G1086" s="13"/>
    </row>
    <row r="1087" spans="8:8" ht="32.25" customHeight="1">
      <c r="A1087" s="11">
        <v>19.0</v>
      </c>
      <c r="B1087" s="12" t="s">
        <v>1109</v>
      </c>
      <c r="C1087" s="13">
        <v>250480.0</v>
      </c>
      <c r="D1087" s="12" t="s">
        <v>94</v>
      </c>
      <c r="E1087" s="13" t="s">
        <v>28</v>
      </c>
      <c r="F1087" s="14">
        <v>0.5208333333333334</v>
      </c>
      <c r="G1087" s="13"/>
    </row>
    <row r="1088" spans="8:8" ht="32.25" customHeight="1">
      <c r="A1088" s="11">
        <v>20.0</v>
      </c>
      <c r="B1088" s="12" t="s">
        <v>1110</v>
      </c>
      <c r="C1088" s="13">
        <v>250481.0</v>
      </c>
      <c r="D1088" s="12" t="s">
        <v>94</v>
      </c>
      <c r="E1088" s="13" t="s">
        <v>28</v>
      </c>
      <c r="F1088" s="14">
        <v>0.5208333333333334</v>
      </c>
      <c r="G1088" s="13"/>
    </row>
    <row r="1089" spans="8:8" ht="32.25" customHeight="1">
      <c r="A1089" s="11">
        <v>21.0</v>
      </c>
      <c r="B1089" s="12" t="s">
        <v>1111</v>
      </c>
      <c r="C1089" s="13">
        <v>250484.0</v>
      </c>
      <c r="D1089" s="12" t="s">
        <v>94</v>
      </c>
      <c r="E1089" s="13" t="s">
        <v>28</v>
      </c>
      <c r="F1089" s="14">
        <v>0.5208333333333334</v>
      </c>
      <c r="G1089" s="13"/>
    </row>
    <row r="1090" spans="8:8" ht="32.25" customHeight="1">
      <c r="A1090" s="11">
        <v>22.0</v>
      </c>
      <c r="B1090" s="12" t="s">
        <v>1112</v>
      </c>
      <c r="C1090" s="13">
        <v>250490.0</v>
      </c>
      <c r="D1090" s="12" t="s">
        <v>94</v>
      </c>
      <c r="E1090" s="13" t="s">
        <v>28</v>
      </c>
      <c r="F1090" s="14">
        <v>0.5208333333333334</v>
      </c>
      <c r="G1090" s="13"/>
    </row>
    <row r="1091" spans="8:8" ht="32.25" customHeight="1">
      <c r="A1091" s="11">
        <v>23.0</v>
      </c>
      <c r="B1091" s="12" t="s">
        <v>1113</v>
      </c>
      <c r="C1091" s="13">
        <v>250489.0</v>
      </c>
      <c r="D1091" s="12" t="s">
        <v>94</v>
      </c>
      <c r="E1091" s="13" t="s">
        <v>28</v>
      </c>
      <c r="F1091" s="14">
        <v>0.5208333333333334</v>
      </c>
      <c r="G1091" s="13"/>
    </row>
    <row r="1092" spans="8:8" ht="32.25" customHeight="1">
      <c r="A1092" s="11">
        <v>24.0</v>
      </c>
      <c r="B1092" s="12" t="s">
        <v>1114</v>
      </c>
      <c r="C1092" s="13">
        <v>250491.0</v>
      </c>
      <c r="D1092" s="12" t="s">
        <v>94</v>
      </c>
      <c r="E1092" s="13" t="s">
        <v>28</v>
      </c>
      <c r="F1092" s="14">
        <v>0.5208333333333334</v>
      </c>
      <c r="G1092" s="13"/>
    </row>
    <row r="1093" spans="8:8" ht="32.25" customHeight="1">
      <c r="A1093" s="11">
        <v>25.0</v>
      </c>
      <c r="B1093" s="12" t="s">
        <v>1115</v>
      </c>
      <c r="C1093" s="13">
        <v>250486.0</v>
      </c>
      <c r="D1093" s="12" t="s">
        <v>94</v>
      </c>
      <c r="E1093" s="13" t="s">
        <v>28</v>
      </c>
      <c r="F1093" s="14">
        <v>0.5208333333333334</v>
      </c>
      <c r="G1093" s="13"/>
    </row>
    <row r="1094" spans="8:8" ht="32.25" customHeight="1">
      <c r="A1094" s="8" t="s">
        <v>18</v>
      </c>
      <c r="B1094" s="9" t="s">
        <v>19</v>
      </c>
      <c r="C1094" s="9" t="s">
        <v>20</v>
      </c>
      <c r="D1094" s="9" t="s">
        <v>21</v>
      </c>
      <c r="E1094" s="9" t="s">
        <v>22</v>
      </c>
      <c r="F1094" s="10" t="s">
        <v>23</v>
      </c>
      <c r="G1094" s="9" t="s">
        <v>162</v>
      </c>
    </row>
    <row r="1095" spans="8:8" ht="32.25" customHeight="1">
      <c r="A1095" s="11">
        <v>1.0</v>
      </c>
      <c r="B1095" s="12" t="s">
        <v>1116</v>
      </c>
      <c r="C1095" s="13">
        <v>250483.0</v>
      </c>
      <c r="D1095" s="12" t="s">
        <v>94</v>
      </c>
      <c r="E1095" s="13" t="s">
        <v>28</v>
      </c>
      <c r="F1095" s="14">
        <v>0.5208333333333334</v>
      </c>
      <c r="G1095" s="13"/>
    </row>
    <row r="1096" spans="8:8" ht="32.25" customHeight="1">
      <c r="A1096" s="11">
        <v>2.0</v>
      </c>
      <c r="B1096" s="12" t="s">
        <v>1117</v>
      </c>
      <c r="C1096" s="13">
        <v>250487.0</v>
      </c>
      <c r="D1096" s="12" t="s">
        <v>94</v>
      </c>
      <c r="E1096" s="13" t="s">
        <v>28</v>
      </c>
      <c r="F1096" s="14">
        <v>0.5208333333333334</v>
      </c>
      <c r="G1096" s="13"/>
    </row>
    <row r="1097" spans="8:8" ht="32.25" customHeight="1">
      <c r="A1097" s="11">
        <v>3.0</v>
      </c>
      <c r="B1097" s="12" t="s">
        <v>1118</v>
      </c>
      <c r="C1097" s="13">
        <v>250493.0</v>
      </c>
      <c r="D1097" s="12" t="s">
        <v>94</v>
      </c>
      <c r="E1097" s="13" t="s">
        <v>28</v>
      </c>
      <c r="F1097" s="14">
        <v>0.5208333333333334</v>
      </c>
      <c r="G1097" s="13"/>
    </row>
    <row r="1098" spans="8:8" ht="32.25" customHeight="1">
      <c r="A1098" s="11">
        <v>4.0</v>
      </c>
      <c r="B1098" s="12" t="s">
        <v>1119</v>
      </c>
      <c r="C1098" s="13">
        <v>250492.0</v>
      </c>
      <c r="D1098" s="12" t="s">
        <v>94</v>
      </c>
      <c r="E1098" s="13" t="s">
        <v>28</v>
      </c>
      <c r="F1098" s="14">
        <v>0.5208333333333334</v>
      </c>
      <c r="G1098" s="13"/>
    </row>
    <row r="1099" spans="8:8" ht="32.25" customHeight="1">
      <c r="A1099" s="11">
        <v>5.0</v>
      </c>
      <c r="B1099" s="12" t="s">
        <v>1120</v>
      </c>
      <c r="C1099" s="13">
        <v>250494.0</v>
      </c>
      <c r="D1099" s="12" t="s">
        <v>94</v>
      </c>
      <c r="E1099" s="13" t="s">
        <v>28</v>
      </c>
      <c r="F1099" s="14">
        <v>0.5208333333333334</v>
      </c>
      <c r="G1099" s="13"/>
    </row>
    <row r="1100" spans="8:8" ht="32.25" customHeight="1">
      <c r="A1100" s="11">
        <v>6.0</v>
      </c>
      <c r="B1100" s="12" t="s">
        <v>1121</v>
      </c>
      <c r="C1100" s="13">
        <v>250497.0</v>
      </c>
      <c r="D1100" s="12" t="s">
        <v>94</v>
      </c>
      <c r="E1100" s="13" t="s">
        <v>28</v>
      </c>
      <c r="F1100" s="14">
        <v>0.5208333333333334</v>
      </c>
      <c r="G1100" s="13"/>
    </row>
    <row r="1101" spans="8:8" ht="32.25" customHeight="1">
      <c r="A1101" s="11">
        <v>7.0</v>
      </c>
      <c r="B1101" s="12" t="s">
        <v>1122</v>
      </c>
      <c r="C1101" s="13">
        <v>250499.0</v>
      </c>
      <c r="D1101" s="12" t="s">
        <v>94</v>
      </c>
      <c r="E1101" s="13" t="s">
        <v>28</v>
      </c>
      <c r="F1101" s="14">
        <v>0.5208333333333334</v>
      </c>
      <c r="G1101" s="13"/>
    </row>
    <row r="1102" spans="8:8" ht="32.25" customHeight="1">
      <c r="A1102" s="11">
        <v>8.0</v>
      </c>
      <c r="B1102" s="12" t="s">
        <v>1123</v>
      </c>
      <c r="C1102" s="13">
        <v>250500.0</v>
      </c>
      <c r="D1102" s="12" t="s">
        <v>94</v>
      </c>
      <c r="E1102" s="13" t="s">
        <v>28</v>
      </c>
      <c r="F1102" s="14">
        <v>0.5208333333333334</v>
      </c>
      <c r="G1102" s="13"/>
    </row>
    <row r="1103" spans="8:8" ht="32.25" customHeight="1">
      <c r="A1103" s="11">
        <v>9.0</v>
      </c>
      <c r="B1103" s="12" t="s">
        <v>1124</v>
      </c>
      <c r="C1103" s="13">
        <v>250764.0</v>
      </c>
      <c r="D1103" s="12" t="s">
        <v>56</v>
      </c>
      <c r="E1103" s="13" t="s">
        <v>28</v>
      </c>
      <c r="F1103" s="14">
        <v>0.5208333333333334</v>
      </c>
      <c r="G1103" s="13"/>
    </row>
    <row r="1104" spans="8:8" ht="32.25" customHeight="1">
      <c r="A1104" s="11">
        <v>10.0</v>
      </c>
      <c r="B1104" s="12" t="s">
        <v>1125</v>
      </c>
      <c r="C1104" s="13">
        <v>250501.0</v>
      </c>
      <c r="D1104" s="12" t="s">
        <v>94</v>
      </c>
      <c r="E1104" s="13" t="s">
        <v>28</v>
      </c>
      <c r="F1104" s="14">
        <v>0.5208333333333334</v>
      </c>
      <c r="G1104" s="13"/>
    </row>
    <row r="1105" spans="8:8" ht="32.25" customHeight="1">
      <c r="A1105" s="11">
        <v>11.0</v>
      </c>
      <c r="B1105" s="12" t="s">
        <v>1126</v>
      </c>
      <c r="C1105" s="13">
        <v>250504.0</v>
      </c>
      <c r="D1105" s="12" t="s">
        <v>94</v>
      </c>
      <c r="E1105" s="13" t="s">
        <v>28</v>
      </c>
      <c r="F1105" s="14">
        <v>0.5208333333333334</v>
      </c>
      <c r="G1105" s="13"/>
    </row>
    <row r="1106" spans="8:8" ht="32.25" customHeight="1">
      <c r="A1106" s="11">
        <v>12.0</v>
      </c>
      <c r="B1106" s="12" t="s">
        <v>1127</v>
      </c>
      <c r="C1106" s="13">
        <v>250503.0</v>
      </c>
      <c r="D1106" s="12" t="s">
        <v>94</v>
      </c>
      <c r="E1106" s="13" t="s">
        <v>28</v>
      </c>
      <c r="F1106" s="14">
        <v>0.5208333333333334</v>
      </c>
      <c r="G1106" s="13"/>
    </row>
    <row r="1107" spans="8:8" ht="32.25" customHeight="1">
      <c r="A1107" s="11">
        <v>13.0</v>
      </c>
      <c r="B1107" s="12" t="s">
        <v>1128</v>
      </c>
      <c r="C1107" s="13">
        <v>250505.0</v>
      </c>
      <c r="D1107" s="12" t="s">
        <v>94</v>
      </c>
      <c r="E1107" s="13" t="s">
        <v>28</v>
      </c>
      <c r="F1107" s="14">
        <v>0.5208333333333334</v>
      </c>
      <c r="G1107" s="13"/>
    </row>
    <row r="1108" spans="8:8" ht="32.25" customHeight="1">
      <c r="A1108" s="11">
        <v>14.0</v>
      </c>
      <c r="B1108" s="12" t="s">
        <v>1129</v>
      </c>
      <c r="C1108" s="13">
        <v>250509.0</v>
      </c>
      <c r="D1108" s="12" t="s">
        <v>94</v>
      </c>
      <c r="E1108" s="13" t="s">
        <v>28</v>
      </c>
      <c r="F1108" s="14">
        <v>0.5208333333333334</v>
      </c>
      <c r="G1108" s="13"/>
    </row>
    <row r="1109" spans="8:8" ht="32.25" customHeight="1">
      <c r="A1109" s="11">
        <v>15.0</v>
      </c>
      <c r="B1109" s="12" t="s">
        <v>1130</v>
      </c>
      <c r="C1109" s="13">
        <v>250507.0</v>
      </c>
      <c r="D1109" s="12" t="s">
        <v>94</v>
      </c>
      <c r="E1109" s="13" t="s">
        <v>28</v>
      </c>
      <c r="F1109" s="14">
        <v>0.5208333333333334</v>
      </c>
      <c r="G1109" s="13"/>
    </row>
    <row r="1110" spans="8:8" ht="32.25" customHeight="1">
      <c r="A1110" s="11">
        <v>16.0</v>
      </c>
      <c r="B1110" s="12" t="s">
        <v>1131</v>
      </c>
      <c r="C1110" s="13">
        <v>250191.0</v>
      </c>
      <c r="D1110" s="12" t="s">
        <v>94</v>
      </c>
      <c r="E1110" s="13" t="s">
        <v>28</v>
      </c>
      <c r="F1110" s="14">
        <v>0.5208333333333334</v>
      </c>
      <c r="G1110" s="13"/>
    </row>
    <row r="1111" spans="8:8" ht="32.25" customHeight="1">
      <c r="A1111" s="11">
        <v>17.0</v>
      </c>
      <c r="B1111" s="12" t="s">
        <v>1132</v>
      </c>
      <c r="C1111" s="13">
        <v>250506.0</v>
      </c>
      <c r="D1111" s="12" t="s">
        <v>94</v>
      </c>
      <c r="E1111" s="13" t="s">
        <v>28</v>
      </c>
      <c r="F1111" s="14">
        <v>0.5208333333333334</v>
      </c>
      <c r="G1111" s="13"/>
    </row>
    <row r="1112" spans="8:8" ht="32.25" customHeight="1">
      <c r="A1112" s="11">
        <v>18.0</v>
      </c>
      <c r="B1112" s="12" t="s">
        <v>1133</v>
      </c>
      <c r="C1112" s="13">
        <v>250511.0</v>
      </c>
      <c r="D1112" s="12" t="s">
        <v>94</v>
      </c>
      <c r="E1112" s="13" t="s">
        <v>28</v>
      </c>
      <c r="F1112" s="14">
        <v>0.5208333333333334</v>
      </c>
      <c r="G1112" s="13"/>
    </row>
    <row r="1113" spans="8:8" ht="32.25" customHeight="1">
      <c r="A1113" s="11">
        <v>19.0</v>
      </c>
      <c r="B1113" s="12" t="s">
        <v>1134</v>
      </c>
      <c r="C1113" s="13">
        <v>250512.0</v>
      </c>
      <c r="D1113" s="12" t="s">
        <v>94</v>
      </c>
      <c r="E1113" s="13" t="s">
        <v>28</v>
      </c>
      <c r="F1113" s="14">
        <v>0.5208333333333334</v>
      </c>
      <c r="G1113" s="13"/>
    </row>
    <row r="1114" spans="8:8" ht="32.25" customHeight="1">
      <c r="A1114" s="11">
        <v>20.0</v>
      </c>
      <c r="B1114" s="12" t="s">
        <v>1135</v>
      </c>
      <c r="C1114" s="13">
        <v>250513.0</v>
      </c>
      <c r="D1114" s="12" t="s">
        <v>94</v>
      </c>
      <c r="E1114" s="13" t="s">
        <v>28</v>
      </c>
      <c r="F1114" s="14">
        <v>0.5208333333333334</v>
      </c>
      <c r="G1114" s="13"/>
    </row>
    <row r="1115" spans="8:8" ht="32.25" customHeight="1">
      <c r="A1115" s="11">
        <v>21.0</v>
      </c>
      <c r="B1115" s="12" t="s">
        <v>1136</v>
      </c>
      <c r="C1115" s="13">
        <v>250514.0</v>
      </c>
      <c r="D1115" s="12" t="s">
        <v>94</v>
      </c>
      <c r="E1115" s="13" t="s">
        <v>28</v>
      </c>
      <c r="F1115" s="14">
        <v>0.5208333333333334</v>
      </c>
      <c r="G1115" s="13"/>
    </row>
    <row r="1116" spans="8:8" ht="32.25" customHeight="1">
      <c r="A1116" s="11">
        <v>22.0</v>
      </c>
      <c r="B1116" s="12" t="s">
        <v>1137</v>
      </c>
      <c r="C1116" s="13">
        <v>250515.0</v>
      </c>
      <c r="D1116" s="12" t="s">
        <v>94</v>
      </c>
      <c r="E1116" s="13" t="s">
        <v>28</v>
      </c>
      <c r="F1116" s="14">
        <v>0.5208333333333334</v>
      </c>
      <c r="G1116" s="13"/>
    </row>
    <row r="1117" spans="8:8" ht="32.25" customHeight="1">
      <c r="A1117" s="11">
        <v>23.0</v>
      </c>
      <c r="B1117" s="12" t="s">
        <v>1138</v>
      </c>
      <c r="C1117" s="13">
        <v>250516.0</v>
      </c>
      <c r="D1117" s="12" t="s">
        <v>94</v>
      </c>
      <c r="E1117" s="13" t="s">
        <v>28</v>
      </c>
      <c r="F1117" s="14">
        <v>0.5208333333333334</v>
      </c>
      <c r="G1117" s="13"/>
    </row>
    <row r="1118" spans="8:8" ht="32.25" customHeight="1">
      <c r="A1118" s="11">
        <v>24.0</v>
      </c>
      <c r="B1118" s="12" t="s">
        <v>1139</v>
      </c>
      <c r="C1118" s="13">
        <v>250517.0</v>
      </c>
      <c r="D1118" s="12" t="s">
        <v>94</v>
      </c>
      <c r="E1118" s="13" t="s">
        <v>28</v>
      </c>
      <c r="F1118" s="14">
        <v>0.5208333333333334</v>
      </c>
      <c r="G1118" s="13"/>
    </row>
    <row r="1119" spans="8:8" ht="32.25" customHeight="1">
      <c r="A1119" s="11">
        <v>25.0</v>
      </c>
      <c r="B1119" s="12" t="s">
        <v>1140</v>
      </c>
      <c r="C1119" s="13">
        <v>250518.0</v>
      </c>
      <c r="D1119" s="12" t="s">
        <v>94</v>
      </c>
      <c r="E1119" s="13" t="s">
        <v>28</v>
      </c>
      <c r="F1119" s="14">
        <v>0.5208333333333334</v>
      </c>
      <c r="G1119" s="13"/>
    </row>
    <row r="1120" spans="8:8" ht="32.25" customHeight="1">
      <c r="A1120" s="8" t="s">
        <v>18</v>
      </c>
      <c r="B1120" s="9" t="s">
        <v>19</v>
      </c>
      <c r="C1120" s="9" t="s">
        <v>20</v>
      </c>
      <c r="D1120" s="9" t="s">
        <v>21</v>
      </c>
      <c r="E1120" s="9" t="s">
        <v>22</v>
      </c>
      <c r="F1120" s="10" t="s">
        <v>23</v>
      </c>
      <c r="G1120" s="9" t="s">
        <v>188</v>
      </c>
    </row>
    <row r="1121" spans="8:8" ht="32.25" customHeight="1">
      <c r="A1121" s="11">
        <v>1.0</v>
      </c>
      <c r="B1121" s="12" t="s">
        <v>1141</v>
      </c>
      <c r="C1121" s="13">
        <v>250519.0</v>
      </c>
      <c r="D1121" s="12" t="s">
        <v>94</v>
      </c>
      <c r="E1121" s="13" t="s">
        <v>28</v>
      </c>
      <c r="F1121" s="14">
        <v>0.5208333333333334</v>
      </c>
      <c r="G1121" s="13"/>
    </row>
    <row r="1122" spans="8:8" ht="32.25" customHeight="1">
      <c r="A1122" s="11">
        <v>2.0</v>
      </c>
      <c r="B1122" s="12" t="s">
        <v>1142</v>
      </c>
      <c r="C1122" s="13">
        <v>250520.0</v>
      </c>
      <c r="D1122" s="12" t="s">
        <v>94</v>
      </c>
      <c r="E1122" s="13" t="s">
        <v>28</v>
      </c>
      <c r="F1122" s="14">
        <v>0.5208333333333334</v>
      </c>
      <c r="G1122" s="13"/>
    </row>
    <row r="1123" spans="8:8" ht="32.25" customHeight="1">
      <c r="A1123" s="11">
        <v>3.0</v>
      </c>
      <c r="B1123" s="12" t="s">
        <v>1143</v>
      </c>
      <c r="C1123" s="13">
        <v>250521.0</v>
      </c>
      <c r="D1123" s="12" t="s">
        <v>94</v>
      </c>
      <c r="E1123" s="13" t="s">
        <v>28</v>
      </c>
      <c r="F1123" s="14">
        <v>0.5208333333333334</v>
      </c>
      <c r="G1123" s="13"/>
    </row>
    <row r="1124" spans="8:8" ht="32.25" customHeight="1">
      <c r="A1124" s="11">
        <v>4.0</v>
      </c>
      <c r="B1124" s="12" t="s">
        <v>1144</v>
      </c>
      <c r="C1124" s="13">
        <v>250522.0</v>
      </c>
      <c r="D1124" s="12" t="s">
        <v>94</v>
      </c>
      <c r="E1124" s="13" t="s">
        <v>28</v>
      </c>
      <c r="F1124" s="14">
        <v>0.5208333333333334</v>
      </c>
      <c r="G1124" s="13"/>
    </row>
    <row r="1125" spans="8:8" ht="32.25" customHeight="1">
      <c r="A1125" s="11">
        <v>5.0</v>
      </c>
      <c r="B1125" s="12" t="s">
        <v>1145</v>
      </c>
      <c r="C1125" s="13">
        <v>250523.0</v>
      </c>
      <c r="D1125" s="12" t="s">
        <v>94</v>
      </c>
      <c r="E1125" s="13" t="s">
        <v>28</v>
      </c>
      <c r="F1125" s="14">
        <v>0.5208333333333334</v>
      </c>
      <c r="G1125" s="13"/>
    </row>
    <row r="1126" spans="8:8" ht="32.25" customHeight="1">
      <c r="A1126" s="11">
        <v>6.0</v>
      </c>
      <c r="B1126" s="12" t="s">
        <v>1146</v>
      </c>
      <c r="C1126" s="13">
        <v>250524.0</v>
      </c>
      <c r="D1126" s="12" t="s">
        <v>94</v>
      </c>
      <c r="E1126" s="13" t="s">
        <v>28</v>
      </c>
      <c r="F1126" s="14">
        <v>0.5208333333333334</v>
      </c>
      <c r="G1126" s="13"/>
    </row>
    <row r="1127" spans="8:8" ht="32.25" customHeight="1">
      <c r="A1127" s="11">
        <v>7.0</v>
      </c>
      <c r="B1127" s="12" t="s">
        <v>1147</v>
      </c>
      <c r="C1127" s="13">
        <v>250525.0</v>
      </c>
      <c r="D1127" s="12" t="s">
        <v>94</v>
      </c>
      <c r="E1127" s="13" t="s">
        <v>28</v>
      </c>
      <c r="F1127" s="14">
        <v>0.5208333333333334</v>
      </c>
      <c r="G1127" s="13"/>
    </row>
    <row r="1128" spans="8:8" ht="32.25" customHeight="1">
      <c r="A1128" s="11">
        <v>8.0</v>
      </c>
      <c r="B1128" s="12" t="s">
        <v>1148</v>
      </c>
      <c r="C1128" s="13">
        <v>250545.0</v>
      </c>
      <c r="D1128" s="12" t="s">
        <v>94</v>
      </c>
      <c r="E1128" s="13" t="s">
        <v>28</v>
      </c>
      <c r="F1128" s="14">
        <v>0.5208333333333334</v>
      </c>
      <c r="G1128" s="13"/>
    </row>
    <row r="1129" spans="8:8" ht="32.25" customHeight="1">
      <c r="A1129" s="11">
        <v>9.0</v>
      </c>
      <c r="B1129" s="12" t="s">
        <v>1149</v>
      </c>
      <c r="C1129" s="13">
        <v>250527.0</v>
      </c>
      <c r="D1129" s="12" t="s">
        <v>94</v>
      </c>
      <c r="E1129" s="13" t="s">
        <v>28</v>
      </c>
      <c r="F1129" s="14">
        <v>0.5208333333333334</v>
      </c>
      <c r="G1129" s="13"/>
    </row>
    <row r="1130" spans="8:8" ht="32.25" customHeight="1">
      <c r="A1130" s="11">
        <v>10.0</v>
      </c>
      <c r="B1130" s="12" t="s">
        <v>1150</v>
      </c>
      <c r="C1130" s="13">
        <v>250547.0</v>
      </c>
      <c r="D1130" s="12" t="s">
        <v>94</v>
      </c>
      <c r="E1130" s="13" t="s">
        <v>28</v>
      </c>
      <c r="F1130" s="14">
        <v>0.5208333333333334</v>
      </c>
      <c r="G1130" s="13"/>
    </row>
    <row r="1131" spans="8:8" ht="32.25" customHeight="1">
      <c r="A1131" s="11">
        <v>11.0</v>
      </c>
      <c r="B1131" s="12" t="s">
        <v>1151</v>
      </c>
      <c r="C1131" s="13">
        <v>250530.0</v>
      </c>
      <c r="D1131" s="12" t="s">
        <v>94</v>
      </c>
      <c r="E1131" s="13" t="s">
        <v>28</v>
      </c>
      <c r="F1131" s="14">
        <v>0.5208333333333334</v>
      </c>
      <c r="G1131" s="13"/>
    </row>
    <row r="1132" spans="8:8" ht="32.25" customHeight="1">
      <c r="A1132" s="11">
        <v>12.0</v>
      </c>
      <c r="B1132" s="12" t="s">
        <v>1152</v>
      </c>
      <c r="C1132" s="13">
        <v>250538.0</v>
      </c>
      <c r="D1132" s="12" t="s">
        <v>94</v>
      </c>
      <c r="E1132" s="13" t="s">
        <v>28</v>
      </c>
      <c r="F1132" s="14">
        <v>0.5208333333333334</v>
      </c>
      <c r="G1132" s="13"/>
    </row>
    <row r="1133" spans="8:8" ht="32.25" customHeight="1">
      <c r="A1133" s="11">
        <v>13.0</v>
      </c>
      <c r="B1133" s="12" t="s">
        <v>1153</v>
      </c>
      <c r="C1133" s="13">
        <v>250540.0</v>
      </c>
      <c r="D1133" s="12" t="s">
        <v>94</v>
      </c>
      <c r="E1133" s="13" t="s">
        <v>28</v>
      </c>
      <c r="F1133" s="14">
        <v>0.5208333333333334</v>
      </c>
      <c r="G1133" s="13"/>
    </row>
    <row r="1134" spans="8:8" ht="32.25" customHeight="1">
      <c r="A1134" s="11">
        <v>14.0</v>
      </c>
      <c r="B1134" s="12" t="s">
        <v>1154</v>
      </c>
      <c r="C1134" s="13">
        <v>250539.0</v>
      </c>
      <c r="D1134" s="12" t="s">
        <v>94</v>
      </c>
      <c r="E1134" s="13" t="s">
        <v>28</v>
      </c>
      <c r="F1134" s="14">
        <v>0.5208333333333334</v>
      </c>
      <c r="G1134" s="13"/>
    </row>
    <row r="1135" spans="8:8" ht="32.25" customHeight="1">
      <c r="A1135" s="11">
        <v>15.0</v>
      </c>
      <c r="B1135" s="12" t="s">
        <v>1155</v>
      </c>
      <c r="C1135" s="13">
        <v>250546.0</v>
      </c>
      <c r="D1135" s="12" t="s">
        <v>94</v>
      </c>
      <c r="E1135" s="13" t="s">
        <v>28</v>
      </c>
      <c r="F1135" s="14">
        <v>0.5208333333333334</v>
      </c>
      <c r="G1135" s="13"/>
    </row>
    <row r="1136" spans="8:8" ht="32.25" customHeight="1">
      <c r="A1136" s="11">
        <v>16.0</v>
      </c>
      <c r="B1136" s="12" t="s">
        <v>1156</v>
      </c>
      <c r="C1136" s="13">
        <v>250542.0</v>
      </c>
      <c r="D1136" s="12" t="s">
        <v>94</v>
      </c>
      <c r="E1136" s="13" t="s">
        <v>28</v>
      </c>
      <c r="F1136" s="14">
        <v>0.5208333333333334</v>
      </c>
      <c r="G1136" s="13"/>
    </row>
    <row r="1137" spans="8:8" ht="32.25" customHeight="1">
      <c r="A1137" s="11">
        <v>17.0</v>
      </c>
      <c r="B1137" s="12" t="s">
        <v>1157</v>
      </c>
      <c r="C1137" s="13">
        <v>250541.0</v>
      </c>
      <c r="D1137" s="12" t="s">
        <v>94</v>
      </c>
      <c r="E1137" s="13" t="s">
        <v>28</v>
      </c>
      <c r="F1137" s="14">
        <v>0.5208333333333334</v>
      </c>
      <c r="G1137" s="13"/>
    </row>
    <row r="1138" spans="8:8" ht="32.25" customHeight="1">
      <c r="A1138" s="11">
        <v>18.0</v>
      </c>
      <c r="B1138" s="12" t="s">
        <v>1158</v>
      </c>
      <c r="C1138" s="13">
        <v>250532.0</v>
      </c>
      <c r="D1138" s="12" t="s">
        <v>94</v>
      </c>
      <c r="E1138" s="13" t="s">
        <v>28</v>
      </c>
      <c r="F1138" s="14">
        <v>0.5208333333333334</v>
      </c>
      <c r="G1138" s="13"/>
    </row>
    <row r="1139" spans="8:8" ht="32.25" customHeight="1">
      <c r="A1139" s="11">
        <v>19.0</v>
      </c>
      <c r="B1139" s="12" t="s">
        <v>1159</v>
      </c>
      <c r="C1139" s="13">
        <v>250534.0</v>
      </c>
      <c r="D1139" s="12" t="s">
        <v>94</v>
      </c>
      <c r="E1139" s="13" t="s">
        <v>28</v>
      </c>
      <c r="F1139" s="14">
        <v>0.5208333333333334</v>
      </c>
      <c r="G1139" s="13"/>
    </row>
    <row r="1140" spans="8:8" ht="32.25" customHeight="1">
      <c r="A1140" s="11">
        <v>20.0</v>
      </c>
      <c r="B1140" s="12" t="s">
        <v>1160</v>
      </c>
      <c r="C1140" s="13">
        <v>250537.0</v>
      </c>
      <c r="D1140" s="12" t="s">
        <v>94</v>
      </c>
      <c r="E1140" s="13" t="s">
        <v>28</v>
      </c>
      <c r="F1140" s="14">
        <v>0.5208333333333334</v>
      </c>
      <c r="G1140" s="13"/>
    </row>
    <row r="1141" spans="8:8" ht="32.25" customHeight="1">
      <c r="A1141" s="11">
        <v>21.0</v>
      </c>
      <c r="B1141" s="12" t="s">
        <v>1161</v>
      </c>
      <c r="C1141" s="13">
        <v>250508.0</v>
      </c>
      <c r="D1141" s="12" t="s">
        <v>94</v>
      </c>
      <c r="E1141" s="13" t="s">
        <v>28</v>
      </c>
      <c r="F1141" s="14">
        <v>0.5208333333333334</v>
      </c>
      <c r="G1141" s="13"/>
    </row>
    <row r="1142" spans="8:8" ht="32.25" customHeight="1">
      <c r="A1142" s="11">
        <v>22.0</v>
      </c>
      <c r="B1142" s="12" t="s">
        <v>1162</v>
      </c>
      <c r="C1142" s="13">
        <v>250715.0</v>
      </c>
      <c r="D1142" s="12" t="s">
        <v>56</v>
      </c>
      <c r="E1142" s="13" t="s">
        <v>28</v>
      </c>
      <c r="F1142" s="14">
        <v>0.5208333333333334</v>
      </c>
      <c r="G1142" s="13"/>
    </row>
    <row r="1143" spans="8:8" ht="32.25" customHeight="1">
      <c r="A1143" s="11">
        <v>23.0</v>
      </c>
      <c r="B1143" s="12" t="s">
        <v>1163</v>
      </c>
      <c r="C1143" s="13">
        <v>250787.0</v>
      </c>
      <c r="D1143" s="12" t="s">
        <v>56</v>
      </c>
      <c r="E1143" s="13" t="s">
        <v>28</v>
      </c>
      <c r="F1143" s="14">
        <v>0.5208333333333334</v>
      </c>
      <c r="G1143" s="13"/>
    </row>
    <row r="1144" spans="8:8" ht="32.25" customHeight="1">
      <c r="A1144" s="11">
        <v>24.0</v>
      </c>
      <c r="B1144" s="12" t="s">
        <v>1164</v>
      </c>
      <c r="C1144" s="13">
        <v>250529.0</v>
      </c>
      <c r="D1144" s="12" t="s">
        <v>94</v>
      </c>
      <c r="E1144" s="13" t="s">
        <v>28</v>
      </c>
      <c r="F1144" s="14">
        <v>0.5208333333333334</v>
      </c>
      <c r="G1144" s="13"/>
    </row>
    <row r="1145" spans="8:8" ht="32.25" customHeight="1">
      <c r="A1145" s="11">
        <v>25.0</v>
      </c>
      <c r="B1145" s="12" t="s">
        <v>1165</v>
      </c>
      <c r="C1145" s="13">
        <v>250528.0</v>
      </c>
      <c r="D1145" s="12" t="s">
        <v>94</v>
      </c>
      <c r="E1145" s="13" t="s">
        <v>28</v>
      </c>
      <c r="F1145" s="14">
        <v>0.5208333333333334</v>
      </c>
      <c r="G1145" s="13"/>
    </row>
    <row r="1146" spans="8:8" ht="32.25" customHeight="1">
      <c r="A1146" s="8" t="s">
        <v>18</v>
      </c>
      <c r="B1146" s="9" t="s">
        <v>19</v>
      </c>
      <c r="C1146" s="9" t="s">
        <v>20</v>
      </c>
      <c r="D1146" s="9" t="s">
        <v>21</v>
      </c>
      <c r="E1146" s="9" t="s">
        <v>22</v>
      </c>
      <c r="F1146" s="10" t="s">
        <v>23</v>
      </c>
      <c r="G1146" s="9" t="s">
        <v>214</v>
      </c>
    </row>
    <row r="1147" spans="8:8" ht="32.25" customHeight="1">
      <c r="A1147" s="11">
        <v>1.0</v>
      </c>
      <c r="B1147" s="12" t="s">
        <v>1166</v>
      </c>
      <c r="C1147" s="13">
        <v>250543.0</v>
      </c>
      <c r="D1147" s="12" t="s">
        <v>94</v>
      </c>
      <c r="E1147" s="13" t="s">
        <v>28</v>
      </c>
      <c r="F1147" s="14">
        <v>0.5208333333333334</v>
      </c>
      <c r="G1147" s="13"/>
    </row>
    <row r="1148" spans="8:8" ht="32.25" customHeight="1">
      <c r="A1148" s="11">
        <v>2.0</v>
      </c>
      <c r="B1148" s="12" t="s">
        <v>1167</v>
      </c>
      <c r="C1148" s="13">
        <v>250531.0</v>
      </c>
      <c r="D1148" s="12" t="s">
        <v>94</v>
      </c>
      <c r="E1148" s="13" t="s">
        <v>28</v>
      </c>
      <c r="F1148" s="14">
        <v>0.5208333333333334</v>
      </c>
      <c r="G1148" s="13"/>
    </row>
    <row r="1149" spans="8:8" ht="32.25" customHeight="1">
      <c r="A1149" s="11">
        <v>3.0</v>
      </c>
      <c r="B1149" s="12" t="s">
        <v>1168</v>
      </c>
      <c r="C1149" s="13">
        <v>250551.0</v>
      </c>
      <c r="D1149" s="12" t="s">
        <v>94</v>
      </c>
      <c r="E1149" s="13" t="s">
        <v>28</v>
      </c>
      <c r="F1149" s="14">
        <v>0.5208333333333334</v>
      </c>
      <c r="G1149" s="13"/>
    </row>
    <row r="1150" spans="8:8" ht="32.25" customHeight="1">
      <c r="A1150" s="11">
        <v>4.0</v>
      </c>
      <c r="B1150" s="12" t="s">
        <v>1169</v>
      </c>
      <c r="C1150" s="13">
        <v>250549.0</v>
      </c>
      <c r="D1150" s="12" t="s">
        <v>94</v>
      </c>
      <c r="E1150" s="13" t="s">
        <v>28</v>
      </c>
      <c r="F1150" s="14">
        <v>0.5208333333333334</v>
      </c>
      <c r="G1150" s="13"/>
    </row>
    <row r="1151" spans="8:8" ht="32.25" customHeight="1">
      <c r="A1151" s="11">
        <v>5.0</v>
      </c>
      <c r="B1151" s="12" t="s">
        <v>1170</v>
      </c>
      <c r="C1151" s="13">
        <v>250553.0</v>
      </c>
      <c r="D1151" s="12" t="s">
        <v>94</v>
      </c>
      <c r="E1151" s="13" t="s">
        <v>28</v>
      </c>
      <c r="F1151" s="14">
        <v>0.5208333333333334</v>
      </c>
      <c r="G1151" s="13"/>
    </row>
    <row r="1152" spans="8:8" ht="32.25" customHeight="1">
      <c r="A1152" s="11">
        <v>6.0</v>
      </c>
      <c r="B1152" s="12" t="s">
        <v>1171</v>
      </c>
      <c r="C1152" s="13">
        <v>250556.0</v>
      </c>
      <c r="D1152" s="12" t="s">
        <v>94</v>
      </c>
      <c r="E1152" s="13" t="s">
        <v>28</v>
      </c>
      <c r="F1152" s="14">
        <v>0.5208333333333334</v>
      </c>
      <c r="G1152" s="13"/>
    </row>
    <row r="1153" spans="8:8" ht="32.25" customHeight="1">
      <c r="A1153" s="11">
        <v>7.0</v>
      </c>
      <c r="B1153" s="12" t="s">
        <v>1172</v>
      </c>
      <c r="C1153" s="13">
        <v>250557.0</v>
      </c>
      <c r="D1153" s="12" t="s">
        <v>94</v>
      </c>
      <c r="E1153" s="13" t="s">
        <v>28</v>
      </c>
      <c r="F1153" s="14">
        <v>0.5208333333333334</v>
      </c>
      <c r="G1153" s="13"/>
    </row>
    <row r="1154" spans="8:8" ht="32.25" customHeight="1">
      <c r="A1154" s="11">
        <v>8.0</v>
      </c>
      <c r="B1154" s="12" t="s">
        <v>1173</v>
      </c>
      <c r="C1154" s="13">
        <v>250554.0</v>
      </c>
      <c r="D1154" s="12" t="s">
        <v>94</v>
      </c>
      <c r="E1154" s="13" t="s">
        <v>28</v>
      </c>
      <c r="F1154" s="14">
        <v>0.5208333333333334</v>
      </c>
      <c r="G1154" s="13"/>
    </row>
    <row r="1155" spans="8:8" ht="32.25" customHeight="1">
      <c r="A1155" s="11">
        <v>9.0</v>
      </c>
      <c r="B1155" s="12" t="s">
        <v>1174</v>
      </c>
      <c r="C1155" s="13">
        <v>250560.0</v>
      </c>
      <c r="D1155" s="12" t="s">
        <v>94</v>
      </c>
      <c r="E1155" s="13" t="s">
        <v>28</v>
      </c>
      <c r="F1155" s="14">
        <v>0.5208333333333334</v>
      </c>
      <c r="G1155" s="13"/>
    </row>
    <row r="1156" spans="8:8" ht="32.25" customHeight="1">
      <c r="A1156" s="11">
        <v>10.0</v>
      </c>
      <c r="B1156" s="12" t="s">
        <v>1175</v>
      </c>
      <c r="C1156" s="13">
        <v>250565.0</v>
      </c>
      <c r="D1156" s="12" t="s">
        <v>94</v>
      </c>
      <c r="E1156" s="13" t="s">
        <v>28</v>
      </c>
      <c r="F1156" s="14">
        <v>0.5208333333333334</v>
      </c>
      <c r="G1156" s="13"/>
    </row>
    <row r="1157" spans="8:8" ht="32.25" customHeight="1">
      <c r="A1157" s="11">
        <v>11.0</v>
      </c>
      <c r="B1157" s="12" t="s">
        <v>1176</v>
      </c>
      <c r="C1157" s="13">
        <v>250248.0</v>
      </c>
      <c r="D1157" s="12" t="s">
        <v>94</v>
      </c>
      <c r="E1157" s="13" t="s">
        <v>28</v>
      </c>
      <c r="F1157" s="14">
        <v>0.5208333333333334</v>
      </c>
      <c r="G1157" s="13"/>
    </row>
    <row r="1158" spans="8:8" ht="32.25" customHeight="1">
      <c r="A1158" s="11">
        <v>12.0</v>
      </c>
      <c r="B1158" s="12" t="s">
        <v>1177</v>
      </c>
      <c r="C1158" s="13">
        <v>250251.0</v>
      </c>
      <c r="D1158" s="12" t="s">
        <v>94</v>
      </c>
      <c r="E1158" s="13" t="s">
        <v>28</v>
      </c>
      <c r="F1158" s="14">
        <v>0.5208333333333334</v>
      </c>
      <c r="G1158" s="13"/>
    </row>
    <row r="1159" spans="8:8" ht="32.25" customHeight="1">
      <c r="A1159" s="11">
        <v>13.0</v>
      </c>
      <c r="B1159" s="12" t="s">
        <v>1178</v>
      </c>
      <c r="C1159" s="13">
        <v>250564.0</v>
      </c>
      <c r="D1159" s="12" t="s">
        <v>94</v>
      </c>
      <c r="E1159" s="13" t="s">
        <v>28</v>
      </c>
      <c r="F1159" s="14">
        <v>0.5208333333333334</v>
      </c>
      <c r="G1159" s="13"/>
    </row>
    <row r="1160" spans="8:8" ht="32.25" customHeight="1">
      <c r="A1160" s="11">
        <v>14.0</v>
      </c>
      <c r="B1160" s="12" t="s">
        <v>1179</v>
      </c>
      <c r="C1160" s="13">
        <v>250574.0</v>
      </c>
      <c r="D1160" s="12" t="s">
        <v>94</v>
      </c>
      <c r="E1160" s="13" t="s">
        <v>28</v>
      </c>
      <c r="F1160" s="14">
        <v>0.5208333333333334</v>
      </c>
      <c r="G1160" s="13"/>
    </row>
    <row r="1161" spans="8:8" ht="32.25" customHeight="1">
      <c r="A1161" s="11">
        <v>15.0</v>
      </c>
      <c r="B1161" s="12" t="s">
        <v>1180</v>
      </c>
      <c r="C1161" s="13">
        <v>250576.0</v>
      </c>
      <c r="D1161" s="12" t="s">
        <v>94</v>
      </c>
      <c r="E1161" s="13" t="s">
        <v>28</v>
      </c>
      <c r="F1161" s="14">
        <v>0.5208333333333334</v>
      </c>
      <c r="G1161" s="13"/>
    </row>
    <row r="1162" spans="8:8" ht="32.25" customHeight="1">
      <c r="A1162" s="11">
        <v>16.0</v>
      </c>
      <c r="B1162" s="12" t="s">
        <v>1181</v>
      </c>
      <c r="C1162" s="13">
        <v>253152.0</v>
      </c>
      <c r="D1162" s="33" t="s">
        <v>90</v>
      </c>
      <c r="E1162" s="13" t="s">
        <v>28</v>
      </c>
      <c r="F1162" s="14">
        <v>0.5208333333333334</v>
      </c>
      <c r="G1162" s="13"/>
    </row>
    <row r="1163" spans="8:8" ht="32.25" customHeight="1">
      <c r="A1163" s="11">
        <v>17.0</v>
      </c>
      <c r="B1163" s="12" t="s">
        <v>1182</v>
      </c>
      <c r="C1163" s="13">
        <v>250754.0</v>
      </c>
      <c r="D1163" s="12" t="s">
        <v>56</v>
      </c>
      <c r="E1163" s="13" t="s">
        <v>28</v>
      </c>
      <c r="F1163" s="14">
        <v>0.5208333333333334</v>
      </c>
      <c r="G1163" s="13"/>
    </row>
    <row r="1164" spans="8:8" ht="32.25" customHeight="1">
      <c r="A1164" s="11">
        <v>18.0</v>
      </c>
      <c r="B1164" s="12" t="s">
        <v>1183</v>
      </c>
      <c r="C1164" s="13">
        <v>250579.0</v>
      </c>
      <c r="D1164" s="12" t="s">
        <v>94</v>
      </c>
      <c r="E1164" s="13" t="s">
        <v>28</v>
      </c>
      <c r="F1164" s="14">
        <v>0.5208333333333334</v>
      </c>
      <c r="G1164" s="13"/>
    </row>
    <row r="1165" spans="8:8" ht="32.25" customHeight="1">
      <c r="A1165" s="11">
        <v>19.0</v>
      </c>
      <c r="B1165" s="12" t="s">
        <v>1184</v>
      </c>
      <c r="C1165" s="13">
        <v>250587.0</v>
      </c>
      <c r="D1165" s="12" t="s">
        <v>94</v>
      </c>
      <c r="E1165" s="13" t="s">
        <v>28</v>
      </c>
      <c r="F1165" s="14">
        <v>0.5208333333333334</v>
      </c>
      <c r="G1165" s="13"/>
    </row>
    <row r="1166" spans="8:8" ht="32.25" customHeight="1">
      <c r="A1166" s="11">
        <v>20.0</v>
      </c>
      <c r="B1166" s="12" t="s">
        <v>1185</v>
      </c>
      <c r="C1166" s="13">
        <v>250595.0</v>
      </c>
      <c r="D1166" s="12" t="s">
        <v>94</v>
      </c>
      <c r="E1166" s="13" t="s">
        <v>28</v>
      </c>
      <c r="F1166" s="14">
        <v>0.5208333333333334</v>
      </c>
      <c r="G1166" s="13"/>
    </row>
    <row r="1167" spans="8:8" ht="32.25" customHeight="1">
      <c r="A1167" s="11">
        <v>21.0</v>
      </c>
      <c r="B1167" s="12" t="s">
        <v>1186</v>
      </c>
      <c r="C1167" s="13">
        <v>250592.0</v>
      </c>
      <c r="D1167" s="12" t="s">
        <v>94</v>
      </c>
      <c r="E1167" s="13" t="s">
        <v>28</v>
      </c>
      <c r="F1167" s="14">
        <v>0.5208333333333334</v>
      </c>
      <c r="G1167" s="13"/>
    </row>
    <row r="1168" spans="8:8" ht="32.25" customHeight="1">
      <c r="A1168" s="11">
        <v>22.0</v>
      </c>
      <c r="B1168" s="12" t="s">
        <v>1187</v>
      </c>
      <c r="C1168" s="13">
        <v>250594.0</v>
      </c>
      <c r="D1168" s="12" t="s">
        <v>94</v>
      </c>
      <c r="E1168" s="13" t="s">
        <v>28</v>
      </c>
      <c r="F1168" s="14">
        <v>0.5208333333333334</v>
      </c>
      <c r="G1168" s="13"/>
    </row>
    <row r="1169" spans="8:8" ht="32.25" customHeight="1">
      <c r="A1169" s="11">
        <v>23.0</v>
      </c>
      <c r="B1169" s="12" t="s">
        <v>1188</v>
      </c>
      <c r="C1169" s="13">
        <v>250597.0</v>
      </c>
      <c r="D1169" s="12" t="s">
        <v>94</v>
      </c>
      <c r="E1169" s="13" t="s">
        <v>28</v>
      </c>
      <c r="F1169" s="14">
        <v>0.5208333333333334</v>
      </c>
      <c r="G1169" s="13"/>
    </row>
    <row r="1170" spans="8:8" ht="32.25" customHeight="1">
      <c r="A1170" s="11">
        <v>24.0</v>
      </c>
      <c r="B1170" s="12" t="s">
        <v>1189</v>
      </c>
      <c r="C1170" s="13">
        <v>250598.0</v>
      </c>
      <c r="D1170" s="12" t="s">
        <v>94</v>
      </c>
      <c r="E1170" s="13" t="s">
        <v>28</v>
      </c>
      <c r="F1170" s="14">
        <v>0.5208333333333334</v>
      </c>
      <c r="G1170" s="13"/>
    </row>
    <row r="1171" spans="8:8" ht="32.25" customHeight="1">
      <c r="A1171" s="11">
        <v>25.0</v>
      </c>
      <c r="B1171" s="12" t="s">
        <v>1190</v>
      </c>
      <c r="C1171" s="13">
        <v>250604.0</v>
      </c>
      <c r="D1171" s="12" t="s">
        <v>94</v>
      </c>
      <c r="E1171" s="13" t="s">
        <v>28</v>
      </c>
      <c r="F1171" s="14">
        <v>0.5208333333333334</v>
      </c>
      <c r="G1171" s="13"/>
    </row>
    <row r="1172" spans="8:8" ht="32.25" customHeight="1">
      <c r="A1172" s="8" t="s">
        <v>18</v>
      </c>
      <c r="B1172" s="9" t="s">
        <v>19</v>
      </c>
      <c r="C1172" s="9" t="s">
        <v>20</v>
      </c>
      <c r="D1172" s="9" t="s">
        <v>21</v>
      </c>
      <c r="E1172" s="9" t="s">
        <v>22</v>
      </c>
      <c r="F1172" s="10" t="s">
        <v>23</v>
      </c>
      <c r="G1172" s="9" t="s">
        <v>239</v>
      </c>
    </row>
    <row r="1173" spans="8:8" ht="32.25" customHeight="1">
      <c r="A1173" s="11">
        <v>1.0</v>
      </c>
      <c r="B1173" s="12" t="s">
        <v>1191</v>
      </c>
      <c r="C1173" s="13">
        <v>250600.0</v>
      </c>
      <c r="D1173" s="12" t="s">
        <v>94</v>
      </c>
      <c r="E1173" s="13" t="s">
        <v>28</v>
      </c>
      <c r="F1173" s="14">
        <v>0.5208333333333334</v>
      </c>
      <c r="G1173" s="13"/>
    </row>
    <row r="1174" spans="8:8" ht="32.25" customHeight="1">
      <c r="A1174" s="11">
        <v>2.0</v>
      </c>
      <c r="B1174" s="12" t="s">
        <v>1192</v>
      </c>
      <c r="C1174" s="13">
        <v>250605.0</v>
      </c>
      <c r="D1174" s="12" t="s">
        <v>94</v>
      </c>
      <c r="E1174" s="13" t="s">
        <v>28</v>
      </c>
      <c r="F1174" s="14">
        <v>0.5208333333333334</v>
      </c>
      <c r="G1174" s="13"/>
    </row>
    <row r="1175" spans="8:8" ht="32.25" customHeight="1">
      <c r="A1175" s="11">
        <v>3.0</v>
      </c>
      <c r="B1175" s="12" t="s">
        <v>1193</v>
      </c>
      <c r="C1175" s="13">
        <v>250607.0</v>
      </c>
      <c r="D1175" s="12" t="s">
        <v>94</v>
      </c>
      <c r="E1175" s="13" t="s">
        <v>28</v>
      </c>
      <c r="F1175" s="14">
        <v>0.5208333333333334</v>
      </c>
      <c r="G1175" s="13"/>
    </row>
    <row r="1176" spans="8:8" ht="32.25" customHeight="1">
      <c r="A1176" s="11">
        <v>4.0</v>
      </c>
      <c r="B1176" s="12" t="s">
        <v>1194</v>
      </c>
      <c r="C1176" s="13">
        <v>250608.0</v>
      </c>
      <c r="D1176" s="12" t="s">
        <v>94</v>
      </c>
      <c r="E1176" s="13" t="s">
        <v>28</v>
      </c>
      <c r="F1176" s="14">
        <v>0.5208333333333334</v>
      </c>
      <c r="G1176" s="13"/>
    </row>
    <row r="1177" spans="8:8" ht="32.25" customHeight="1">
      <c r="A1177" s="11">
        <v>5.0</v>
      </c>
      <c r="B1177" s="12" t="s">
        <v>1195</v>
      </c>
      <c r="C1177" s="13">
        <v>250612.0</v>
      </c>
      <c r="D1177" s="12" t="s">
        <v>94</v>
      </c>
      <c r="E1177" s="13" t="s">
        <v>28</v>
      </c>
      <c r="F1177" s="14">
        <v>0.5208333333333334</v>
      </c>
      <c r="G1177" s="13"/>
    </row>
    <row r="1178" spans="8:8" ht="32.25" customHeight="1">
      <c r="A1178" s="11">
        <v>6.0</v>
      </c>
      <c r="B1178" s="12" t="s">
        <v>1196</v>
      </c>
      <c r="C1178" s="13">
        <v>250613.0</v>
      </c>
      <c r="D1178" s="12" t="s">
        <v>94</v>
      </c>
      <c r="E1178" s="13" t="s">
        <v>28</v>
      </c>
      <c r="F1178" s="14">
        <v>0.5208333333333334</v>
      </c>
      <c r="G1178" s="13"/>
    </row>
    <row r="1179" spans="8:8" ht="32.25" customHeight="1">
      <c r="A1179" s="11">
        <v>7.0</v>
      </c>
      <c r="B1179" s="12" t="s">
        <v>1197</v>
      </c>
      <c r="C1179" s="13">
        <v>250615.0</v>
      </c>
      <c r="D1179" s="12" t="s">
        <v>94</v>
      </c>
      <c r="E1179" s="13" t="s">
        <v>28</v>
      </c>
      <c r="F1179" s="14">
        <v>0.5208333333333334</v>
      </c>
      <c r="G1179" s="13"/>
    </row>
    <row r="1180" spans="8:8" ht="32.25" customHeight="1">
      <c r="A1180" s="11">
        <v>8.0</v>
      </c>
      <c r="B1180" s="12" t="s">
        <v>1198</v>
      </c>
      <c r="C1180" s="13">
        <v>250617.0</v>
      </c>
      <c r="D1180" s="12" t="s">
        <v>94</v>
      </c>
      <c r="E1180" s="13" t="s">
        <v>28</v>
      </c>
      <c r="F1180" s="14">
        <v>0.5208333333333334</v>
      </c>
      <c r="G1180" s="13"/>
    </row>
    <row r="1181" spans="8:8" ht="32.25" customHeight="1">
      <c r="A1181" s="11">
        <v>9.0</v>
      </c>
      <c r="B1181" s="12" t="s">
        <v>1199</v>
      </c>
      <c r="C1181" s="13">
        <v>250616.0</v>
      </c>
      <c r="D1181" s="12" t="s">
        <v>94</v>
      </c>
      <c r="E1181" s="13" t="s">
        <v>28</v>
      </c>
      <c r="F1181" s="14">
        <v>0.5208333333333334</v>
      </c>
      <c r="G1181" s="13"/>
    </row>
    <row r="1182" spans="8:8" ht="32.25" customHeight="1">
      <c r="A1182" s="11">
        <v>10.0</v>
      </c>
      <c r="B1182" s="12" t="s">
        <v>1200</v>
      </c>
      <c r="C1182" s="13">
        <v>250385.0</v>
      </c>
      <c r="D1182" s="12" t="s">
        <v>94</v>
      </c>
      <c r="E1182" s="13" t="s">
        <v>28</v>
      </c>
      <c r="F1182" s="14">
        <v>0.5208333333333334</v>
      </c>
      <c r="G1182" s="13"/>
    </row>
    <row r="1183" spans="8:8" ht="32.25" customHeight="1">
      <c r="A1183" s="11">
        <v>11.0</v>
      </c>
      <c r="B1183" s="12" t="s">
        <v>1201</v>
      </c>
      <c r="C1183" s="13">
        <v>241932.0</v>
      </c>
      <c r="D1183" s="12" t="s">
        <v>606</v>
      </c>
      <c r="E1183" s="13" t="s">
        <v>28</v>
      </c>
      <c r="F1183" s="14">
        <v>0.5208333333333334</v>
      </c>
      <c r="G1183" s="13"/>
    </row>
    <row r="1184" spans="8:8" ht="32.25" customHeight="1">
      <c r="A1184" s="11">
        <v>12.0</v>
      </c>
      <c r="B1184" s="12" t="s">
        <v>1202</v>
      </c>
      <c r="C1184" s="13">
        <v>250783.0</v>
      </c>
      <c r="D1184" s="12" t="s">
        <v>56</v>
      </c>
      <c r="E1184" s="13" t="s">
        <v>28</v>
      </c>
      <c r="F1184" s="14">
        <v>0.5208333333333334</v>
      </c>
      <c r="G1184" s="13"/>
    </row>
    <row r="1185" spans="8:8" ht="32.25" customHeight="1">
      <c r="A1185" s="11">
        <v>13.0</v>
      </c>
      <c r="B1185" s="12" t="s">
        <v>1203</v>
      </c>
      <c r="C1185" s="13">
        <v>250762.0</v>
      </c>
      <c r="D1185" s="12" t="s">
        <v>56</v>
      </c>
      <c r="E1185" s="13" t="s">
        <v>28</v>
      </c>
      <c r="F1185" s="14">
        <v>0.5208333333333334</v>
      </c>
      <c r="G1185" s="13"/>
    </row>
    <row r="1186" spans="8:8" ht="32.25" customHeight="1">
      <c r="A1186" s="11">
        <v>14.0</v>
      </c>
      <c r="B1186" s="12" t="s">
        <v>1204</v>
      </c>
      <c r="C1186" s="13">
        <v>250792.0</v>
      </c>
      <c r="D1186" s="12" t="s">
        <v>56</v>
      </c>
      <c r="E1186" s="13" t="s">
        <v>28</v>
      </c>
      <c r="F1186" s="14">
        <v>0.5208333333333334</v>
      </c>
      <c r="G1186" s="13"/>
    </row>
    <row r="1187" spans="8:8" ht="32.25" customHeight="1">
      <c r="A1187" s="11">
        <v>15.0</v>
      </c>
      <c r="B1187" s="12" t="s">
        <v>1205</v>
      </c>
      <c r="C1187" s="13">
        <v>250781.0</v>
      </c>
      <c r="D1187" s="12" t="s">
        <v>56</v>
      </c>
      <c r="E1187" s="13" t="s">
        <v>28</v>
      </c>
      <c r="F1187" s="14">
        <v>0.5208333333333334</v>
      </c>
      <c r="G1187" s="13"/>
    </row>
    <row r="1188" spans="8:8" ht="32.25" customHeight="1">
      <c r="A1188" s="11">
        <v>16.0</v>
      </c>
      <c r="B1188" s="12" t="s">
        <v>1206</v>
      </c>
      <c r="C1188" s="13">
        <v>250618.0</v>
      </c>
      <c r="D1188" s="12" t="s">
        <v>94</v>
      </c>
      <c r="E1188" s="13" t="s">
        <v>28</v>
      </c>
      <c r="F1188" s="14">
        <v>0.5208333333333334</v>
      </c>
      <c r="G1188" s="13"/>
    </row>
    <row r="1189" spans="8:8" ht="32.25" customHeight="1">
      <c r="A1189" s="11">
        <v>17.0</v>
      </c>
      <c r="B1189" s="12" t="s">
        <v>1207</v>
      </c>
      <c r="C1189" s="13">
        <v>250619.0</v>
      </c>
      <c r="D1189" s="12" t="s">
        <v>94</v>
      </c>
      <c r="E1189" s="13" t="s">
        <v>28</v>
      </c>
      <c r="F1189" s="14">
        <v>0.5208333333333334</v>
      </c>
      <c r="G1189" s="13"/>
    </row>
    <row r="1190" spans="8:8" ht="32.25" customHeight="1">
      <c r="A1190" s="11">
        <v>18.0</v>
      </c>
      <c r="B1190" s="12" t="s">
        <v>1208</v>
      </c>
      <c r="C1190" s="13">
        <v>250621.0</v>
      </c>
      <c r="D1190" s="12" t="s">
        <v>94</v>
      </c>
      <c r="E1190" s="13" t="s">
        <v>28</v>
      </c>
      <c r="F1190" s="14">
        <v>0.5208333333333334</v>
      </c>
      <c r="G1190" s="13"/>
    </row>
    <row r="1191" spans="8:8" ht="32.25" customHeight="1">
      <c r="A1191" s="11">
        <v>19.0</v>
      </c>
      <c r="B1191" s="12" t="s">
        <v>1209</v>
      </c>
      <c r="C1191" s="13">
        <v>250623.0</v>
      </c>
      <c r="D1191" s="12" t="s">
        <v>94</v>
      </c>
      <c r="E1191" s="13" t="s">
        <v>28</v>
      </c>
      <c r="F1191" s="14">
        <v>0.5208333333333334</v>
      </c>
      <c r="G1191" s="13"/>
    </row>
    <row r="1192" spans="8:8" ht="32.25" customHeight="1">
      <c r="A1192" s="11">
        <v>20.0</v>
      </c>
      <c r="B1192" s="12" t="s">
        <v>1210</v>
      </c>
      <c r="C1192" s="13">
        <v>250624.0</v>
      </c>
      <c r="D1192" s="12" t="s">
        <v>94</v>
      </c>
      <c r="E1192" s="13" t="s">
        <v>28</v>
      </c>
      <c r="F1192" s="14">
        <v>0.5208333333333334</v>
      </c>
      <c r="G1192" s="13"/>
    </row>
    <row r="1193" spans="8:8" ht="32.25" customHeight="1">
      <c r="A1193" s="11">
        <v>21.0</v>
      </c>
      <c r="B1193" s="12" t="s">
        <v>1211</v>
      </c>
      <c r="C1193" s="13">
        <v>252870.0</v>
      </c>
      <c r="D1193" s="12" t="s">
        <v>56</v>
      </c>
      <c r="E1193" s="13" t="s">
        <v>28</v>
      </c>
      <c r="F1193" s="14">
        <v>0.5208333333333334</v>
      </c>
      <c r="G1193" s="13"/>
    </row>
    <row r="1194" spans="8:8" ht="32.25" customHeight="1">
      <c r="A1194" s="11">
        <v>22.0</v>
      </c>
      <c r="B1194" s="12" t="s">
        <v>1212</v>
      </c>
      <c r="C1194" s="13">
        <v>251063.0</v>
      </c>
      <c r="D1194" s="12" t="s">
        <v>56</v>
      </c>
      <c r="E1194" s="13" t="s">
        <v>28</v>
      </c>
      <c r="F1194" s="14">
        <v>0.5208333333333334</v>
      </c>
      <c r="G1194" s="13"/>
    </row>
    <row r="1195" spans="8:8" ht="32.25" customHeight="1">
      <c r="A1195" s="11">
        <v>23.0</v>
      </c>
      <c r="B1195" s="12" t="s">
        <v>1213</v>
      </c>
      <c r="C1195" s="13">
        <v>251066.0</v>
      </c>
      <c r="D1195" s="12" t="s">
        <v>56</v>
      </c>
      <c r="E1195" s="13" t="s">
        <v>28</v>
      </c>
      <c r="F1195" s="14">
        <v>0.5208333333333334</v>
      </c>
      <c r="G1195" s="13"/>
    </row>
    <row r="1196" spans="8:8" ht="32.25" customHeight="1">
      <c r="A1196" s="11">
        <v>24.0</v>
      </c>
      <c r="B1196" s="12" t="s">
        <v>1214</v>
      </c>
      <c r="C1196" s="13">
        <v>250823.0</v>
      </c>
      <c r="D1196" s="12" t="s">
        <v>56</v>
      </c>
      <c r="E1196" s="13" t="s">
        <v>28</v>
      </c>
      <c r="F1196" s="14">
        <v>0.5208333333333334</v>
      </c>
      <c r="G1196" s="13"/>
    </row>
    <row r="1197" spans="8:8" ht="32.25" customHeight="1">
      <c r="A1197" s="11">
        <v>25.0</v>
      </c>
      <c r="B1197" s="12" t="s">
        <v>1215</v>
      </c>
      <c r="C1197" s="13">
        <v>250821.0</v>
      </c>
      <c r="D1197" s="12" t="s">
        <v>56</v>
      </c>
      <c r="E1197" s="13" t="s">
        <v>28</v>
      </c>
      <c r="F1197" s="14">
        <v>0.5208333333333334</v>
      </c>
      <c r="G1197" s="13"/>
    </row>
    <row r="1198" spans="8:8" ht="32.25" customHeight="1">
      <c r="A1198" s="11">
        <v>26.0</v>
      </c>
      <c r="B1198" s="12" t="s">
        <v>1216</v>
      </c>
      <c r="C1198" s="13">
        <v>251054.0</v>
      </c>
      <c r="D1198" s="12" t="s">
        <v>56</v>
      </c>
      <c r="E1198" s="13" t="s">
        <v>28</v>
      </c>
      <c r="F1198" s="14">
        <v>0.5208333333333334</v>
      </c>
      <c r="G1198" s="13"/>
    </row>
    <row r="1199" spans="8:8" ht="32.25" customHeight="1">
      <c r="A1199" s="8" t="s">
        <v>18</v>
      </c>
      <c r="B1199" s="9" t="s">
        <v>19</v>
      </c>
      <c r="C1199" s="9" t="s">
        <v>20</v>
      </c>
      <c r="D1199" s="9" t="s">
        <v>21</v>
      </c>
      <c r="E1199" s="9" t="s">
        <v>22</v>
      </c>
      <c r="F1199" s="10" t="s">
        <v>23</v>
      </c>
      <c r="G1199" s="9" t="s">
        <v>265</v>
      </c>
    </row>
    <row r="1200" spans="8:8" ht="32.25" customHeight="1">
      <c r="A1200" s="11">
        <v>1.0</v>
      </c>
      <c r="B1200" s="12" t="s">
        <v>1217</v>
      </c>
      <c r="C1200" s="13">
        <v>251040.0</v>
      </c>
      <c r="D1200" s="12" t="s">
        <v>56</v>
      </c>
      <c r="E1200" s="13" t="s">
        <v>28</v>
      </c>
      <c r="F1200" s="14">
        <v>0.5208333333333334</v>
      </c>
      <c r="G1200" s="13"/>
    </row>
    <row r="1201" spans="8:8" ht="32.25" customHeight="1">
      <c r="A1201" s="11">
        <v>2.0</v>
      </c>
      <c r="B1201" s="12" t="s">
        <v>1218</v>
      </c>
      <c r="C1201" s="13">
        <v>251058.0</v>
      </c>
      <c r="D1201" s="12" t="s">
        <v>56</v>
      </c>
      <c r="E1201" s="13" t="s">
        <v>28</v>
      </c>
      <c r="F1201" s="14">
        <v>0.5208333333333334</v>
      </c>
      <c r="G1201" s="13"/>
    </row>
    <row r="1202" spans="8:8" ht="32.25" customHeight="1">
      <c r="A1202" s="11">
        <v>3.0</v>
      </c>
      <c r="B1202" s="12" t="s">
        <v>1219</v>
      </c>
      <c r="C1202" s="13">
        <v>251035.0</v>
      </c>
      <c r="D1202" s="12" t="s">
        <v>56</v>
      </c>
      <c r="E1202" s="13" t="s">
        <v>28</v>
      </c>
      <c r="F1202" s="14">
        <v>0.5208333333333334</v>
      </c>
      <c r="G1202" s="13"/>
    </row>
    <row r="1203" spans="8:8" ht="32.25" customHeight="1">
      <c r="A1203" s="11">
        <v>4.0</v>
      </c>
      <c r="B1203" s="12" t="s">
        <v>1220</v>
      </c>
      <c r="C1203" s="13">
        <v>251037.0</v>
      </c>
      <c r="D1203" s="12" t="s">
        <v>56</v>
      </c>
      <c r="E1203" s="13" t="s">
        <v>28</v>
      </c>
      <c r="F1203" s="14">
        <v>0.5208333333333334</v>
      </c>
      <c r="G1203" s="13"/>
    </row>
    <row r="1204" spans="8:8" ht="32.25" customHeight="1">
      <c r="A1204" s="11">
        <v>5.0</v>
      </c>
      <c r="B1204" s="12" t="s">
        <v>1221</v>
      </c>
      <c r="C1204" s="13">
        <v>251071.0</v>
      </c>
      <c r="D1204" s="12" t="s">
        <v>56</v>
      </c>
      <c r="E1204" s="13" t="s">
        <v>28</v>
      </c>
      <c r="F1204" s="14">
        <v>0.5208333333333334</v>
      </c>
      <c r="G1204" s="13"/>
    </row>
    <row r="1205" spans="8:8" ht="32.25" customHeight="1">
      <c r="A1205" s="11">
        <v>6.0</v>
      </c>
      <c r="B1205" s="12" t="s">
        <v>1222</v>
      </c>
      <c r="C1205" s="13">
        <v>251048.0</v>
      </c>
      <c r="D1205" s="12" t="s">
        <v>56</v>
      </c>
      <c r="E1205" s="13" t="s">
        <v>28</v>
      </c>
      <c r="F1205" s="14">
        <v>0.5208333333333334</v>
      </c>
      <c r="G1205" s="13"/>
    </row>
    <row r="1206" spans="8:8" ht="32.25" customHeight="1">
      <c r="A1206" s="11">
        <v>7.0</v>
      </c>
      <c r="B1206" s="12" t="s">
        <v>1223</v>
      </c>
      <c r="C1206" s="13">
        <v>251083.0</v>
      </c>
      <c r="D1206" s="12" t="s">
        <v>56</v>
      </c>
      <c r="E1206" s="13" t="s">
        <v>28</v>
      </c>
      <c r="F1206" s="14">
        <v>0.5208333333333334</v>
      </c>
      <c r="G1206" s="13"/>
    </row>
    <row r="1207" spans="8:8" ht="32.25" customHeight="1">
      <c r="A1207" s="11">
        <v>8.0</v>
      </c>
      <c r="B1207" s="12" t="s">
        <v>1224</v>
      </c>
      <c r="C1207" s="13">
        <v>251076.0</v>
      </c>
      <c r="D1207" s="12" t="s">
        <v>56</v>
      </c>
      <c r="E1207" s="13" t="s">
        <v>28</v>
      </c>
      <c r="F1207" s="14">
        <v>0.5208333333333334</v>
      </c>
      <c r="G1207" s="13"/>
    </row>
    <row r="1208" spans="8:8" ht="32.25" customHeight="1">
      <c r="A1208" s="11">
        <v>9.0</v>
      </c>
      <c r="B1208" s="12" t="s">
        <v>1225</v>
      </c>
      <c r="C1208" s="13">
        <v>251080.0</v>
      </c>
      <c r="D1208" s="12" t="s">
        <v>56</v>
      </c>
      <c r="E1208" s="13" t="s">
        <v>28</v>
      </c>
      <c r="F1208" s="14">
        <v>0.5208333333333334</v>
      </c>
      <c r="G1208" s="13"/>
    </row>
    <row r="1209" spans="8:8" ht="32.25" customHeight="1">
      <c r="A1209" s="11">
        <v>10.0</v>
      </c>
      <c r="B1209" s="12" t="s">
        <v>1226</v>
      </c>
      <c r="C1209" s="13">
        <v>251075.0</v>
      </c>
      <c r="D1209" s="12" t="s">
        <v>56</v>
      </c>
      <c r="E1209" s="13" t="s">
        <v>28</v>
      </c>
      <c r="F1209" s="14">
        <v>0.5208333333333334</v>
      </c>
      <c r="G1209" s="13"/>
    </row>
    <row r="1210" spans="8:8" ht="32.25" customHeight="1">
      <c r="A1210" s="11">
        <v>11.0</v>
      </c>
      <c r="B1210" s="12" t="s">
        <v>1227</v>
      </c>
      <c r="C1210" s="13">
        <v>251108.0</v>
      </c>
      <c r="D1210" s="12" t="s">
        <v>56</v>
      </c>
      <c r="E1210" s="13" t="s">
        <v>28</v>
      </c>
      <c r="F1210" s="14">
        <v>0.5208333333333334</v>
      </c>
      <c r="G1210" s="13"/>
    </row>
    <row r="1211" spans="8:8" ht="32.25" customHeight="1">
      <c r="A1211" s="11">
        <v>12.0</v>
      </c>
      <c r="B1211" s="12" t="s">
        <v>1228</v>
      </c>
      <c r="C1211" s="13">
        <v>251105.0</v>
      </c>
      <c r="D1211" s="12" t="s">
        <v>56</v>
      </c>
      <c r="E1211" s="13" t="s">
        <v>28</v>
      </c>
      <c r="F1211" s="14">
        <v>0.5208333333333334</v>
      </c>
      <c r="G1211" s="13"/>
    </row>
    <row r="1212" spans="8:8" ht="32.25" customHeight="1">
      <c r="A1212" s="11">
        <v>13.0</v>
      </c>
      <c r="B1212" s="12" t="s">
        <v>1229</v>
      </c>
      <c r="C1212" s="13">
        <v>251104.0</v>
      </c>
      <c r="D1212" s="12" t="s">
        <v>56</v>
      </c>
      <c r="E1212" s="13" t="s">
        <v>28</v>
      </c>
      <c r="F1212" s="14">
        <v>0.5208333333333334</v>
      </c>
      <c r="G1212" s="13"/>
    </row>
    <row r="1213" spans="8:8" ht="32.25" customHeight="1">
      <c r="A1213" s="11">
        <v>14.0</v>
      </c>
      <c r="B1213" s="12" t="s">
        <v>1230</v>
      </c>
      <c r="C1213" s="13">
        <v>251111.0</v>
      </c>
      <c r="D1213" s="12" t="s">
        <v>56</v>
      </c>
      <c r="E1213" s="13" t="s">
        <v>28</v>
      </c>
      <c r="F1213" s="14">
        <v>0.5208333333333334</v>
      </c>
      <c r="G1213" s="13"/>
    </row>
    <row r="1214" spans="8:8" ht="32.25" customHeight="1">
      <c r="A1214" s="11">
        <v>15.0</v>
      </c>
      <c r="B1214" s="12" t="s">
        <v>1231</v>
      </c>
      <c r="C1214" s="13">
        <v>250880.0</v>
      </c>
      <c r="D1214" s="12" t="s">
        <v>56</v>
      </c>
      <c r="E1214" s="13" t="s">
        <v>28</v>
      </c>
      <c r="F1214" s="14">
        <v>0.5208333333333334</v>
      </c>
      <c r="G1214" s="13"/>
    </row>
    <row r="1215" spans="8:8" ht="32.25" customHeight="1">
      <c r="A1215" s="11">
        <v>16.0</v>
      </c>
      <c r="B1215" s="12" t="s">
        <v>1232</v>
      </c>
      <c r="C1215" s="13">
        <v>250912.0</v>
      </c>
      <c r="D1215" s="12" t="s">
        <v>56</v>
      </c>
      <c r="E1215" s="13" t="s">
        <v>28</v>
      </c>
      <c r="F1215" s="14">
        <v>0.5208333333333334</v>
      </c>
      <c r="G1215" s="13"/>
    </row>
    <row r="1216" spans="8:8" ht="32.25" customHeight="1">
      <c r="A1216" s="11">
        <v>17.0</v>
      </c>
      <c r="B1216" s="12" t="s">
        <v>1233</v>
      </c>
      <c r="C1216" s="13">
        <v>251114.0</v>
      </c>
      <c r="D1216" s="12" t="s">
        <v>56</v>
      </c>
      <c r="E1216" s="13" t="s">
        <v>28</v>
      </c>
      <c r="F1216" s="14">
        <v>0.5208333333333334</v>
      </c>
      <c r="G1216" s="13"/>
    </row>
    <row r="1217" spans="8:8" ht="32.25" customHeight="1">
      <c r="A1217" s="11">
        <v>18.0</v>
      </c>
      <c r="B1217" s="12" t="s">
        <v>1234</v>
      </c>
      <c r="C1217" s="13">
        <v>251115.0</v>
      </c>
      <c r="D1217" s="12" t="s">
        <v>56</v>
      </c>
      <c r="E1217" s="13" t="s">
        <v>28</v>
      </c>
      <c r="F1217" s="14">
        <v>0.5208333333333334</v>
      </c>
      <c r="G1217" s="13"/>
    </row>
    <row r="1218" spans="8:8" ht="32.25" customHeight="1">
      <c r="A1218" s="11">
        <v>19.0</v>
      </c>
      <c r="B1218" s="12" t="s">
        <v>1235</v>
      </c>
      <c r="C1218" s="13">
        <v>251118.0</v>
      </c>
      <c r="D1218" s="12" t="s">
        <v>56</v>
      </c>
      <c r="E1218" s="13" t="s">
        <v>28</v>
      </c>
      <c r="F1218" s="14">
        <v>0.5208333333333334</v>
      </c>
      <c r="G1218" s="13"/>
    </row>
    <row r="1219" spans="8:8" ht="32.25" customHeight="1">
      <c r="A1219" s="11">
        <v>20.0</v>
      </c>
      <c r="B1219" s="12" t="s">
        <v>1236</v>
      </c>
      <c r="C1219" s="13">
        <v>250922.0</v>
      </c>
      <c r="D1219" s="12" t="s">
        <v>56</v>
      </c>
      <c r="E1219" s="13" t="s">
        <v>28</v>
      </c>
      <c r="F1219" s="14">
        <v>0.5208333333333334</v>
      </c>
      <c r="G1219" s="13"/>
    </row>
    <row r="1220" spans="8:8" ht="32.25" customHeight="1">
      <c r="A1220" s="11">
        <v>21.0</v>
      </c>
      <c r="B1220" s="12" t="s">
        <v>1237</v>
      </c>
      <c r="C1220" s="13">
        <v>251121.0</v>
      </c>
      <c r="D1220" s="12" t="s">
        <v>56</v>
      </c>
      <c r="E1220" s="13" t="s">
        <v>28</v>
      </c>
      <c r="F1220" s="14">
        <v>0.5208333333333334</v>
      </c>
      <c r="G1220" s="13"/>
    </row>
    <row r="1221" spans="8:8" ht="32.25" customHeight="1">
      <c r="A1221" s="11">
        <v>22.0</v>
      </c>
      <c r="B1221" s="12" t="s">
        <v>1238</v>
      </c>
      <c r="C1221" s="13">
        <v>251119.0</v>
      </c>
      <c r="D1221" s="12" t="s">
        <v>56</v>
      </c>
      <c r="E1221" s="13" t="s">
        <v>28</v>
      </c>
      <c r="F1221" s="14">
        <v>0.5208333333333334</v>
      </c>
      <c r="G1221" s="13"/>
    </row>
    <row r="1222" spans="8:8" ht="32.25" customHeight="1">
      <c r="A1222" s="11">
        <v>23.0</v>
      </c>
      <c r="B1222" s="12" t="s">
        <v>1239</v>
      </c>
      <c r="C1222" s="13">
        <v>251126.0</v>
      </c>
      <c r="D1222" s="12" t="s">
        <v>56</v>
      </c>
      <c r="E1222" s="13" t="s">
        <v>28</v>
      </c>
      <c r="F1222" s="14">
        <v>0.5208333333333334</v>
      </c>
      <c r="G1222" s="13"/>
    </row>
    <row r="1223" spans="8:8" ht="32.25" customHeight="1">
      <c r="A1223" s="11">
        <v>24.0</v>
      </c>
      <c r="B1223" s="12" t="s">
        <v>1240</v>
      </c>
      <c r="C1223" s="13">
        <v>251122.0</v>
      </c>
      <c r="D1223" s="12" t="s">
        <v>56</v>
      </c>
      <c r="E1223" s="13" t="s">
        <v>28</v>
      </c>
      <c r="F1223" s="14">
        <v>0.5208333333333334</v>
      </c>
      <c r="G1223" s="13"/>
    </row>
    <row r="1224" spans="8:8" ht="32.25" customHeight="1">
      <c r="A1224" s="11">
        <v>25.0</v>
      </c>
      <c r="B1224" s="12" t="s">
        <v>1241</v>
      </c>
      <c r="C1224" s="13">
        <v>251123.0</v>
      </c>
      <c r="D1224" s="12" t="s">
        <v>56</v>
      </c>
      <c r="E1224" s="13" t="s">
        <v>28</v>
      </c>
      <c r="F1224" s="14">
        <v>0.5208333333333334</v>
      </c>
      <c r="G1224" s="13"/>
    </row>
    <row r="1225" spans="8:8" ht="32.25" customHeight="1">
      <c r="A1225" s="11">
        <v>26.0</v>
      </c>
      <c r="B1225" s="12" t="s">
        <v>1242</v>
      </c>
      <c r="C1225" s="13">
        <v>240827.0</v>
      </c>
      <c r="D1225" s="12" t="s">
        <v>606</v>
      </c>
      <c r="E1225" s="13" t="s">
        <v>28</v>
      </c>
      <c r="F1225" s="14">
        <v>0.5208333333333334</v>
      </c>
      <c r="G1225" s="13"/>
    </row>
    <row r="1226" spans="8:8" ht="32.25" customHeight="1">
      <c r="A1226" s="8" t="s">
        <v>18</v>
      </c>
      <c r="B1226" s="9" t="s">
        <v>19</v>
      </c>
      <c r="C1226" s="9" t="s">
        <v>20</v>
      </c>
      <c r="D1226" s="9" t="s">
        <v>21</v>
      </c>
      <c r="E1226" s="9" t="s">
        <v>22</v>
      </c>
      <c r="F1226" s="10" t="s">
        <v>23</v>
      </c>
      <c r="G1226" s="9" t="s">
        <v>291</v>
      </c>
    </row>
    <row r="1227" spans="8:8" ht="32.25" customHeight="1">
      <c r="A1227" s="11">
        <v>1.0</v>
      </c>
      <c r="B1227" s="12" t="s">
        <v>1243</v>
      </c>
      <c r="C1227" s="13">
        <v>251128.0</v>
      </c>
      <c r="D1227" s="12" t="s">
        <v>56</v>
      </c>
      <c r="E1227" s="13" t="s">
        <v>28</v>
      </c>
      <c r="F1227" s="14">
        <v>0.5208333333333334</v>
      </c>
      <c r="G1227" s="13"/>
    </row>
    <row r="1228" spans="8:8" ht="32.25" customHeight="1">
      <c r="A1228" s="11">
        <v>2.0</v>
      </c>
      <c r="B1228" s="12" t="s">
        <v>1244</v>
      </c>
      <c r="C1228" s="13">
        <v>251124.0</v>
      </c>
      <c r="D1228" s="12" t="s">
        <v>56</v>
      </c>
      <c r="E1228" s="13" t="s">
        <v>28</v>
      </c>
      <c r="F1228" s="14">
        <v>0.5208333333333334</v>
      </c>
      <c r="G1228" s="13"/>
    </row>
    <row r="1229" spans="8:8" ht="32.25" customHeight="1">
      <c r="A1229" s="11">
        <v>3.0</v>
      </c>
      <c r="B1229" s="12" t="s">
        <v>1245</v>
      </c>
      <c r="C1229" s="13">
        <v>251131.0</v>
      </c>
      <c r="D1229" s="12" t="s">
        <v>56</v>
      </c>
      <c r="E1229" s="13" t="s">
        <v>28</v>
      </c>
      <c r="F1229" s="14">
        <v>0.5208333333333334</v>
      </c>
      <c r="G1229" s="13"/>
    </row>
    <row r="1230" spans="8:8" ht="32.25" customHeight="1">
      <c r="A1230" s="11">
        <v>4.0</v>
      </c>
      <c r="B1230" s="12" t="s">
        <v>1246</v>
      </c>
      <c r="C1230" s="13">
        <v>251130.0</v>
      </c>
      <c r="D1230" s="12" t="s">
        <v>56</v>
      </c>
      <c r="E1230" s="13" t="s">
        <v>28</v>
      </c>
      <c r="F1230" s="14">
        <v>0.5208333333333334</v>
      </c>
      <c r="G1230" s="13"/>
    </row>
    <row r="1231" spans="8:8" ht="32.25" customHeight="1">
      <c r="A1231" s="11">
        <v>5.0</v>
      </c>
      <c r="B1231" s="12" t="s">
        <v>1247</v>
      </c>
      <c r="C1231" s="13">
        <v>251139.0</v>
      </c>
      <c r="D1231" s="12" t="s">
        <v>56</v>
      </c>
      <c r="E1231" s="13" t="s">
        <v>28</v>
      </c>
      <c r="F1231" s="14">
        <v>0.5208333333333334</v>
      </c>
      <c r="G1231" s="13"/>
    </row>
    <row r="1232" spans="8:8" ht="32.25" customHeight="1">
      <c r="A1232" s="11">
        <v>6.0</v>
      </c>
      <c r="B1232" s="12" t="s">
        <v>1248</v>
      </c>
      <c r="C1232" s="13">
        <v>250463.0</v>
      </c>
      <c r="D1232" s="12" t="s">
        <v>94</v>
      </c>
      <c r="E1232" s="13" t="s">
        <v>28</v>
      </c>
      <c r="F1232" s="14">
        <v>0.5208333333333334</v>
      </c>
      <c r="G1232" s="13"/>
    </row>
    <row r="1233" spans="8:8" ht="32.25" customHeight="1">
      <c r="A1233" s="11">
        <v>7.0</v>
      </c>
      <c r="B1233" s="12" t="s">
        <v>1249</v>
      </c>
      <c r="C1233" s="13">
        <v>250902.0</v>
      </c>
      <c r="D1233" s="12" t="s">
        <v>56</v>
      </c>
      <c r="E1233" s="13" t="s">
        <v>28</v>
      </c>
      <c r="F1233" s="14">
        <v>0.5208333333333334</v>
      </c>
      <c r="G1233" s="13"/>
    </row>
    <row r="1234" spans="8:8" ht="32.25" customHeight="1">
      <c r="A1234" s="11">
        <v>8.0</v>
      </c>
      <c r="B1234" s="12" t="s">
        <v>1250</v>
      </c>
      <c r="C1234" s="13">
        <v>250935.0</v>
      </c>
      <c r="D1234" s="12" t="s">
        <v>56</v>
      </c>
      <c r="E1234" s="13" t="s">
        <v>28</v>
      </c>
      <c r="F1234" s="14">
        <v>0.5208333333333334</v>
      </c>
      <c r="G1234" s="13"/>
    </row>
    <row r="1235" spans="8:8" ht="32.25" customHeight="1">
      <c r="A1235" s="11">
        <v>9.0</v>
      </c>
      <c r="B1235" s="12" t="s">
        <v>1251</v>
      </c>
      <c r="C1235" s="13">
        <v>251138.0</v>
      </c>
      <c r="D1235" s="12" t="s">
        <v>56</v>
      </c>
      <c r="E1235" s="13" t="s">
        <v>28</v>
      </c>
      <c r="F1235" s="14">
        <v>0.5208333333333334</v>
      </c>
      <c r="G1235" s="13"/>
    </row>
    <row r="1236" spans="8:8" ht="32.25" customHeight="1">
      <c r="A1236" s="11">
        <v>10.0</v>
      </c>
      <c r="B1236" s="12" t="s">
        <v>1252</v>
      </c>
      <c r="C1236" s="13">
        <v>251145.0</v>
      </c>
      <c r="D1236" s="12" t="s">
        <v>56</v>
      </c>
      <c r="E1236" s="13" t="s">
        <v>28</v>
      </c>
      <c r="F1236" s="14">
        <v>0.5208333333333334</v>
      </c>
      <c r="G1236" s="13"/>
    </row>
    <row r="1237" spans="8:8" ht="32.25" customHeight="1">
      <c r="A1237" s="11">
        <v>11.0</v>
      </c>
      <c r="B1237" s="12" t="s">
        <v>1253</v>
      </c>
      <c r="C1237" s="13">
        <v>251146.0</v>
      </c>
      <c r="D1237" s="12" t="s">
        <v>56</v>
      </c>
      <c r="E1237" s="13" t="s">
        <v>28</v>
      </c>
      <c r="F1237" s="14">
        <v>0.5208333333333334</v>
      </c>
      <c r="G1237" s="13"/>
    </row>
    <row r="1238" spans="8:8" ht="32.25" customHeight="1">
      <c r="A1238" s="11">
        <v>12.0</v>
      </c>
      <c r="B1238" s="12" t="s">
        <v>1254</v>
      </c>
      <c r="C1238" s="13">
        <v>251156.0</v>
      </c>
      <c r="D1238" s="12" t="s">
        <v>56</v>
      </c>
      <c r="E1238" s="13" t="s">
        <v>28</v>
      </c>
      <c r="F1238" s="14">
        <v>0.5208333333333334</v>
      </c>
      <c r="G1238" s="13"/>
    </row>
    <row r="1239" spans="8:8" ht="32.25" customHeight="1">
      <c r="A1239" s="11">
        <v>13.0</v>
      </c>
      <c r="B1239" s="12" t="s">
        <v>1255</v>
      </c>
      <c r="C1239" s="13">
        <v>250678.0</v>
      </c>
      <c r="D1239" s="12" t="s">
        <v>56</v>
      </c>
      <c r="E1239" s="13" t="s">
        <v>28</v>
      </c>
      <c r="F1239" s="14">
        <v>0.5208333333333334</v>
      </c>
      <c r="G1239" s="13"/>
    </row>
    <row r="1240" spans="8:8" ht="32.25" customHeight="1">
      <c r="A1240" s="11">
        <v>14.0</v>
      </c>
      <c r="B1240" s="12" t="s">
        <v>1256</v>
      </c>
      <c r="C1240" s="13">
        <v>251158.0</v>
      </c>
      <c r="D1240" s="12" t="s">
        <v>56</v>
      </c>
      <c r="E1240" s="13" t="s">
        <v>28</v>
      </c>
      <c r="F1240" s="14">
        <v>0.5208333333333334</v>
      </c>
      <c r="G1240" s="13"/>
    </row>
    <row r="1241" spans="8:8" ht="32.25" customHeight="1">
      <c r="A1241" s="11">
        <v>15.0</v>
      </c>
      <c r="B1241" s="12" t="s">
        <v>1257</v>
      </c>
      <c r="C1241" s="13">
        <v>251166.0</v>
      </c>
      <c r="D1241" s="12" t="s">
        <v>56</v>
      </c>
      <c r="E1241" s="13" t="s">
        <v>28</v>
      </c>
      <c r="F1241" s="14">
        <v>0.5208333333333334</v>
      </c>
      <c r="G1241" s="13"/>
    </row>
    <row r="1242" spans="8:8" ht="32.25" customHeight="1">
      <c r="A1242" s="11">
        <v>16.0</v>
      </c>
      <c r="B1242" s="12" t="s">
        <v>1258</v>
      </c>
      <c r="C1242" s="13">
        <v>250426.0</v>
      </c>
      <c r="D1242" s="12" t="s">
        <v>94</v>
      </c>
      <c r="E1242" s="13" t="s">
        <v>28</v>
      </c>
      <c r="F1242" s="14">
        <v>0.5208333333333334</v>
      </c>
      <c r="G1242" s="13"/>
    </row>
    <row r="1243" spans="8:8" ht="32.25" customHeight="1">
      <c r="A1243" s="11">
        <v>17.0</v>
      </c>
      <c r="B1243" s="12" t="s">
        <v>1259</v>
      </c>
      <c r="C1243" s="13">
        <v>250611.0</v>
      </c>
      <c r="D1243" s="12" t="s">
        <v>94</v>
      </c>
      <c r="E1243" s="13" t="s">
        <v>28</v>
      </c>
      <c r="F1243" s="14">
        <v>0.5208333333333334</v>
      </c>
      <c r="G1243" s="13"/>
    </row>
    <row r="1244" spans="8:8" ht="32.25" customHeight="1">
      <c r="A1244" s="11">
        <v>18.0</v>
      </c>
      <c r="B1244" s="12" t="s">
        <v>1260</v>
      </c>
      <c r="C1244" s="13">
        <v>250495.0</v>
      </c>
      <c r="D1244" s="12" t="s">
        <v>94</v>
      </c>
      <c r="E1244" s="13" t="s">
        <v>28</v>
      </c>
      <c r="F1244" s="14">
        <v>0.5208333333333334</v>
      </c>
      <c r="G1244" s="13"/>
    </row>
    <row r="1245" spans="8:8" ht="32.25" customHeight="1">
      <c r="A1245" s="11">
        <v>19.0</v>
      </c>
      <c r="B1245" s="12" t="s">
        <v>1261</v>
      </c>
      <c r="C1245" s="13">
        <v>251028.0</v>
      </c>
      <c r="D1245" s="12" t="s">
        <v>56</v>
      </c>
      <c r="E1245" s="13" t="s">
        <v>28</v>
      </c>
      <c r="F1245" s="14">
        <v>0.5208333333333334</v>
      </c>
      <c r="G1245" s="13"/>
    </row>
    <row r="1246" spans="8:8" ht="32.25" customHeight="1">
      <c r="A1246" s="11">
        <v>20.0</v>
      </c>
      <c r="B1246" s="12" t="s">
        <v>1262</v>
      </c>
      <c r="C1246" s="13">
        <v>251014.0</v>
      </c>
      <c r="D1246" s="12" t="s">
        <v>56</v>
      </c>
      <c r="E1246" s="13" t="s">
        <v>28</v>
      </c>
      <c r="F1246" s="14">
        <v>0.5208333333333334</v>
      </c>
      <c r="G1246" s="13"/>
    </row>
    <row r="1247" spans="8:8" ht="32.25" customHeight="1">
      <c r="A1247" s="11">
        <v>21.0</v>
      </c>
      <c r="B1247" s="12" t="s">
        <v>1263</v>
      </c>
      <c r="C1247" s="13">
        <v>251180.0</v>
      </c>
      <c r="D1247" s="12" t="s">
        <v>56</v>
      </c>
      <c r="E1247" s="13" t="s">
        <v>28</v>
      </c>
      <c r="F1247" s="14">
        <v>0.5208333333333334</v>
      </c>
      <c r="G1247" s="13"/>
    </row>
    <row r="1248" spans="8:8" ht="32.25" customHeight="1">
      <c r="A1248" s="11">
        <v>22.0</v>
      </c>
      <c r="B1248" s="12" t="s">
        <v>1264</v>
      </c>
      <c r="C1248" s="13">
        <v>251178.0</v>
      </c>
      <c r="D1248" s="12" t="s">
        <v>56</v>
      </c>
      <c r="E1248" s="13" t="s">
        <v>28</v>
      </c>
      <c r="F1248" s="14">
        <v>0.5208333333333334</v>
      </c>
      <c r="G1248" s="13"/>
    </row>
    <row r="1249" spans="8:8" ht="32.25" customHeight="1">
      <c r="A1249" s="11">
        <v>23.0</v>
      </c>
      <c r="B1249" s="12" t="s">
        <v>1265</v>
      </c>
      <c r="C1249" s="13">
        <v>251187.0</v>
      </c>
      <c r="D1249" s="12" t="s">
        <v>56</v>
      </c>
      <c r="E1249" s="13" t="s">
        <v>28</v>
      </c>
      <c r="F1249" s="14">
        <v>0.5208333333333334</v>
      </c>
      <c r="G1249" s="13"/>
    </row>
    <row r="1250" spans="8:8" ht="32.25" customHeight="1">
      <c r="A1250" s="11">
        <v>24.0</v>
      </c>
      <c r="B1250" s="12" t="s">
        <v>1266</v>
      </c>
      <c r="C1250" s="13">
        <v>251191.0</v>
      </c>
      <c r="D1250" s="12" t="s">
        <v>56</v>
      </c>
      <c r="E1250" s="13" t="s">
        <v>28</v>
      </c>
      <c r="F1250" s="14">
        <v>0.5208333333333334</v>
      </c>
      <c r="G1250" s="13"/>
    </row>
    <row r="1251" spans="8:8" ht="32.25" customHeight="1">
      <c r="A1251" s="11">
        <v>25.0</v>
      </c>
      <c r="B1251" s="12" t="s">
        <v>1267</v>
      </c>
      <c r="C1251" s="13">
        <v>251193.0</v>
      </c>
      <c r="D1251" s="12" t="s">
        <v>56</v>
      </c>
      <c r="E1251" s="13" t="s">
        <v>28</v>
      </c>
      <c r="F1251" s="14">
        <v>0.5208333333333334</v>
      </c>
      <c r="G1251" s="13"/>
    </row>
    <row r="1252" spans="8:8" ht="32.25" customHeight="1">
      <c r="A1252" s="11">
        <v>26.0</v>
      </c>
      <c r="B1252" s="12" t="s">
        <v>1268</v>
      </c>
      <c r="C1252" s="13">
        <v>253149.0</v>
      </c>
      <c r="D1252" s="12" t="s">
        <v>56</v>
      </c>
      <c r="E1252" s="13" t="s">
        <v>28</v>
      </c>
      <c r="F1252" s="14">
        <v>0.5208333333333334</v>
      </c>
      <c r="G1252" s="13"/>
    </row>
    <row r="1253" spans="8:8" ht="32.25" customHeight="1">
      <c r="A1253" s="8" t="s">
        <v>18</v>
      </c>
      <c r="B1253" s="9" t="s">
        <v>19</v>
      </c>
      <c r="C1253" s="9" t="s">
        <v>20</v>
      </c>
      <c r="D1253" s="9" t="s">
        <v>21</v>
      </c>
      <c r="E1253" s="9" t="s">
        <v>22</v>
      </c>
      <c r="F1253" s="10" t="s">
        <v>23</v>
      </c>
      <c r="G1253" s="9" t="s">
        <v>317</v>
      </c>
    </row>
    <row r="1254" spans="8:8" ht="32.25" customHeight="1">
      <c r="A1254" s="11">
        <v>1.0</v>
      </c>
      <c r="B1254" s="12" t="s">
        <v>1269</v>
      </c>
      <c r="C1254" s="13">
        <v>251218.0</v>
      </c>
      <c r="D1254" s="12" t="s">
        <v>56</v>
      </c>
      <c r="E1254" s="13" t="s">
        <v>28</v>
      </c>
      <c r="F1254" s="14">
        <v>0.5208333333333334</v>
      </c>
      <c r="G1254" s="13"/>
    </row>
    <row r="1255" spans="8:8" ht="32.25" customHeight="1">
      <c r="A1255" s="11">
        <v>2.0</v>
      </c>
      <c r="B1255" s="12" t="s">
        <v>1270</v>
      </c>
      <c r="C1255" s="13">
        <v>251203.0</v>
      </c>
      <c r="D1255" s="12" t="s">
        <v>56</v>
      </c>
      <c r="E1255" s="13" t="s">
        <v>28</v>
      </c>
      <c r="F1255" s="14">
        <v>0.5208333333333334</v>
      </c>
      <c r="G1255" s="13"/>
    </row>
    <row r="1256" spans="8:8" ht="32.25" customHeight="1">
      <c r="A1256" s="11">
        <v>3.0</v>
      </c>
      <c r="B1256" s="12" t="s">
        <v>1271</v>
      </c>
      <c r="C1256" s="13">
        <v>252983.0</v>
      </c>
      <c r="D1256" s="12" t="s">
        <v>56</v>
      </c>
      <c r="E1256" s="13" t="s">
        <v>28</v>
      </c>
      <c r="F1256" s="14">
        <v>0.5208333333333334</v>
      </c>
      <c r="G1256" s="13"/>
    </row>
    <row r="1257" spans="8:8" ht="32.25" customHeight="1">
      <c r="A1257" s="11">
        <v>4.0</v>
      </c>
      <c r="B1257" s="12" t="s">
        <v>1272</v>
      </c>
      <c r="C1257" s="13">
        <v>251235.0</v>
      </c>
      <c r="D1257" s="12" t="s">
        <v>56</v>
      </c>
      <c r="E1257" s="13" t="s">
        <v>28</v>
      </c>
      <c r="F1257" s="14">
        <v>0.5208333333333334</v>
      </c>
      <c r="G1257" s="13"/>
    </row>
    <row r="1258" spans="8:8" ht="32.25" customHeight="1">
      <c r="A1258" s="11">
        <v>5.0</v>
      </c>
      <c r="B1258" s="12" t="s">
        <v>1273</v>
      </c>
      <c r="C1258" s="13">
        <v>251202.0</v>
      </c>
      <c r="D1258" s="12" t="s">
        <v>56</v>
      </c>
      <c r="E1258" s="13" t="s">
        <v>28</v>
      </c>
      <c r="F1258" s="14">
        <v>0.5208333333333334</v>
      </c>
      <c r="G1258" s="13"/>
    </row>
    <row r="1259" spans="8:8" ht="32.25" customHeight="1">
      <c r="A1259" s="11">
        <v>6.0</v>
      </c>
      <c r="B1259" s="12" t="s">
        <v>1274</v>
      </c>
      <c r="C1259" s="13">
        <v>251213.0</v>
      </c>
      <c r="D1259" s="12" t="s">
        <v>56</v>
      </c>
      <c r="E1259" s="13" t="s">
        <v>28</v>
      </c>
      <c r="F1259" s="14">
        <v>0.5208333333333334</v>
      </c>
      <c r="G1259" s="13"/>
    </row>
    <row r="1260" spans="8:8" ht="32.25" customHeight="1">
      <c r="A1260" s="11">
        <v>7.0</v>
      </c>
      <c r="B1260" s="12" t="s">
        <v>1275</v>
      </c>
      <c r="C1260" s="13">
        <v>251224.0</v>
      </c>
      <c r="D1260" s="12" t="s">
        <v>56</v>
      </c>
      <c r="E1260" s="13" t="s">
        <v>28</v>
      </c>
      <c r="F1260" s="14">
        <v>0.5208333333333334</v>
      </c>
      <c r="G1260" s="13"/>
    </row>
    <row r="1261" spans="8:8" ht="32.25" customHeight="1">
      <c r="A1261" s="11">
        <v>8.0</v>
      </c>
      <c r="B1261" s="12" t="s">
        <v>1276</v>
      </c>
      <c r="C1261" s="13">
        <v>250627.0</v>
      </c>
      <c r="D1261" s="12" t="s">
        <v>94</v>
      </c>
      <c r="E1261" s="13" t="s">
        <v>28</v>
      </c>
      <c r="F1261" s="14">
        <v>0.5208333333333334</v>
      </c>
      <c r="G1261" s="13"/>
    </row>
    <row r="1262" spans="8:8" ht="32.25" customHeight="1">
      <c r="A1262" s="11">
        <v>9.0</v>
      </c>
      <c r="B1262" s="12" t="s">
        <v>1277</v>
      </c>
      <c r="C1262" s="13">
        <v>250628.0</v>
      </c>
      <c r="D1262" s="12" t="s">
        <v>94</v>
      </c>
      <c r="E1262" s="13" t="s">
        <v>28</v>
      </c>
      <c r="F1262" s="14">
        <v>0.5208333333333334</v>
      </c>
      <c r="G1262" s="13"/>
    </row>
    <row r="1263" spans="8:8" ht="32.25" customHeight="1">
      <c r="A1263" s="11">
        <v>10.0</v>
      </c>
      <c r="B1263" s="12" t="s">
        <v>1278</v>
      </c>
      <c r="C1263" s="13">
        <v>250630.0</v>
      </c>
      <c r="D1263" s="12" t="s">
        <v>94</v>
      </c>
      <c r="E1263" s="13" t="s">
        <v>28</v>
      </c>
      <c r="F1263" s="14">
        <v>0.5208333333333334</v>
      </c>
      <c r="G1263" s="13"/>
    </row>
    <row r="1264" spans="8:8" ht="32.25" customHeight="1">
      <c r="A1264" s="11">
        <v>11.0</v>
      </c>
      <c r="B1264" s="12" t="s">
        <v>1279</v>
      </c>
      <c r="C1264" s="13">
        <v>251177.0</v>
      </c>
      <c r="D1264" s="12" t="s">
        <v>56</v>
      </c>
      <c r="E1264" s="13" t="s">
        <v>28</v>
      </c>
      <c r="F1264" s="14">
        <v>0.5208333333333334</v>
      </c>
      <c r="G1264" s="13"/>
    </row>
    <row r="1265" spans="8:8" ht="32.25" customHeight="1">
      <c r="A1265" s="11">
        <v>12.0</v>
      </c>
      <c r="B1265" s="12" t="s">
        <v>1280</v>
      </c>
      <c r="C1265" s="13">
        <v>253115.0</v>
      </c>
      <c r="D1265" s="12" t="s">
        <v>56</v>
      </c>
      <c r="E1265" s="13" t="s">
        <v>28</v>
      </c>
      <c r="F1265" s="14">
        <v>0.5208333333333334</v>
      </c>
      <c r="G1265" s="13"/>
    </row>
    <row r="1266" spans="8:8" ht="32.25" customHeight="1">
      <c r="A1266" s="11">
        <v>13.0</v>
      </c>
      <c r="B1266" s="12" t="s">
        <v>1281</v>
      </c>
      <c r="C1266" s="13">
        <v>250632.0</v>
      </c>
      <c r="D1266" s="12" t="s">
        <v>94</v>
      </c>
      <c r="E1266" s="13" t="s">
        <v>28</v>
      </c>
      <c r="F1266" s="14">
        <v>0.5208333333333334</v>
      </c>
      <c r="G1266" s="13"/>
    </row>
    <row r="1267" spans="8:8" ht="32.25" customHeight="1">
      <c r="A1267" s="11">
        <v>14.0</v>
      </c>
      <c r="B1267" s="12" t="s">
        <v>1282</v>
      </c>
      <c r="C1267" s="13">
        <v>250631.0</v>
      </c>
      <c r="D1267" s="12" t="s">
        <v>94</v>
      </c>
      <c r="E1267" s="13" t="s">
        <v>28</v>
      </c>
      <c r="F1267" s="14">
        <v>0.5208333333333334</v>
      </c>
      <c r="G1267" s="13"/>
    </row>
    <row r="1268" spans="8:8" ht="32.25" customHeight="1">
      <c r="A1268" s="11">
        <v>15.0</v>
      </c>
      <c r="B1268" s="12" t="s">
        <v>1283</v>
      </c>
      <c r="C1268" s="13">
        <v>250636.0</v>
      </c>
      <c r="D1268" s="12" t="s">
        <v>94</v>
      </c>
      <c r="E1268" s="13" t="s">
        <v>28</v>
      </c>
      <c r="F1268" s="14">
        <v>0.5208333333333334</v>
      </c>
      <c r="G1268" s="13"/>
    </row>
    <row r="1269" spans="8:8" ht="32.25" customHeight="1">
      <c r="A1269" s="11">
        <v>16.0</v>
      </c>
      <c r="B1269" s="12" t="s">
        <v>1284</v>
      </c>
      <c r="C1269" s="13">
        <v>250640.0</v>
      </c>
      <c r="D1269" s="12" t="s">
        <v>94</v>
      </c>
      <c r="E1269" s="13" t="s">
        <v>28</v>
      </c>
      <c r="F1269" s="14">
        <v>0.5208333333333334</v>
      </c>
      <c r="G1269" s="13"/>
    </row>
    <row r="1270" spans="8:8" ht="32.25" customHeight="1">
      <c r="A1270" s="11">
        <v>17.0</v>
      </c>
      <c r="B1270" s="12" t="s">
        <v>1285</v>
      </c>
      <c r="C1270" s="13">
        <v>250641.0</v>
      </c>
      <c r="D1270" s="12" t="s">
        <v>94</v>
      </c>
      <c r="E1270" s="13" t="s">
        <v>28</v>
      </c>
      <c r="F1270" s="14">
        <v>0.5208333333333334</v>
      </c>
      <c r="G1270" s="13"/>
    </row>
    <row r="1271" spans="8:8" ht="32.25" customHeight="1">
      <c r="A1271" s="11">
        <v>18.0</v>
      </c>
      <c r="B1271" s="12" t="s">
        <v>1286</v>
      </c>
      <c r="C1271" s="13">
        <v>250638.0</v>
      </c>
      <c r="D1271" s="12" t="s">
        <v>94</v>
      </c>
      <c r="E1271" s="13" t="s">
        <v>28</v>
      </c>
      <c r="F1271" s="14">
        <v>0.5208333333333334</v>
      </c>
      <c r="G1271" s="13"/>
    </row>
    <row r="1272" spans="8:8" ht="32.25" customHeight="1">
      <c r="A1272" s="11">
        <v>19.0</v>
      </c>
      <c r="B1272" s="12" t="s">
        <v>1287</v>
      </c>
      <c r="C1272" s="13">
        <v>250639.0</v>
      </c>
      <c r="D1272" s="12" t="s">
        <v>94</v>
      </c>
      <c r="E1272" s="13" t="s">
        <v>28</v>
      </c>
      <c r="F1272" s="14">
        <v>0.5208333333333334</v>
      </c>
      <c r="G1272" s="13"/>
    </row>
    <row r="1273" spans="8:8" ht="32.25" customHeight="1">
      <c r="A1273" s="11">
        <v>20.0</v>
      </c>
      <c r="B1273" s="12" t="s">
        <v>1288</v>
      </c>
      <c r="C1273" s="13">
        <v>250327.0</v>
      </c>
      <c r="D1273" s="12" t="s">
        <v>94</v>
      </c>
      <c r="E1273" s="13" t="s">
        <v>28</v>
      </c>
      <c r="F1273" s="14">
        <v>0.5208333333333334</v>
      </c>
      <c r="G1273" s="13"/>
    </row>
    <row r="1274" spans="8:8" ht="32.25" customHeight="1">
      <c r="A1274" s="11">
        <v>21.0</v>
      </c>
      <c r="B1274" s="12" t="s">
        <v>1289</v>
      </c>
      <c r="C1274" s="13">
        <v>250443.0</v>
      </c>
      <c r="D1274" s="12" t="s">
        <v>94</v>
      </c>
      <c r="E1274" s="13" t="s">
        <v>28</v>
      </c>
      <c r="F1274" s="14">
        <v>0.5208333333333334</v>
      </c>
      <c r="G1274" s="13"/>
    </row>
    <row r="1275" spans="8:8" ht="32.25" customHeight="1">
      <c r="A1275" s="11">
        <v>22.0</v>
      </c>
      <c r="B1275" s="12" t="s">
        <v>1290</v>
      </c>
      <c r="C1275" s="13">
        <v>250482.0</v>
      </c>
      <c r="D1275" s="12" t="s">
        <v>94</v>
      </c>
      <c r="E1275" s="13" t="s">
        <v>28</v>
      </c>
      <c r="F1275" s="14">
        <v>0.5208333333333334</v>
      </c>
      <c r="G1275" s="13"/>
    </row>
    <row r="1276" spans="8:8" ht="32.25" customHeight="1">
      <c r="A1276" s="11">
        <v>23.0</v>
      </c>
      <c r="B1276" s="12" t="s">
        <v>1291</v>
      </c>
      <c r="C1276" s="13">
        <v>250550.0</v>
      </c>
      <c r="D1276" s="12" t="s">
        <v>94</v>
      </c>
      <c r="E1276" s="13" t="s">
        <v>28</v>
      </c>
      <c r="F1276" s="14">
        <v>0.5208333333333334</v>
      </c>
      <c r="G1276" s="13"/>
    </row>
    <row r="1277" spans="8:8" ht="32.25" customHeight="1">
      <c r="A1277" s="11">
        <v>24.0</v>
      </c>
      <c r="B1277" s="12" t="s">
        <v>1292</v>
      </c>
      <c r="C1277" s="13">
        <v>250588.0</v>
      </c>
      <c r="D1277" s="12" t="s">
        <v>94</v>
      </c>
      <c r="E1277" s="13" t="s">
        <v>28</v>
      </c>
      <c r="F1277" s="14">
        <v>0.5208333333333334</v>
      </c>
      <c r="G1277" s="13"/>
    </row>
    <row r="1278" spans="8:8" ht="32.25" customHeight="1">
      <c r="A1278" s="11">
        <v>25.0</v>
      </c>
      <c r="B1278" s="12" t="s">
        <v>1293</v>
      </c>
      <c r="C1278" s="13">
        <v>250384.0</v>
      </c>
      <c r="D1278" s="12" t="s">
        <v>94</v>
      </c>
      <c r="E1278" s="13" t="s">
        <v>28</v>
      </c>
      <c r="F1278" s="14">
        <v>0.5208333333333334</v>
      </c>
      <c r="G1278" s="13"/>
    </row>
    <row r="1279" spans="8:8" ht="32.25" customHeight="1">
      <c r="A1279" s="11">
        <v>26.0</v>
      </c>
      <c r="B1279" s="12" t="s">
        <v>1294</v>
      </c>
      <c r="C1279" s="13">
        <v>251236.0</v>
      </c>
      <c r="D1279" s="12" t="s">
        <v>56</v>
      </c>
      <c r="E1279" s="13" t="s">
        <v>28</v>
      </c>
      <c r="F1279" s="14">
        <v>0.5208333333333334</v>
      </c>
      <c r="G1279" s="13"/>
    </row>
    <row r="1280" spans="8:8" ht="32.25" customHeight="1">
      <c r="A1280" s="8" t="s">
        <v>18</v>
      </c>
      <c r="B1280" s="9" t="s">
        <v>19</v>
      </c>
      <c r="C1280" s="9" t="s">
        <v>20</v>
      </c>
      <c r="D1280" s="9" t="s">
        <v>21</v>
      </c>
      <c r="E1280" s="9" t="s">
        <v>22</v>
      </c>
      <c r="F1280" s="10" t="s">
        <v>23</v>
      </c>
      <c r="G1280" s="9" t="s">
        <v>343</v>
      </c>
    </row>
    <row r="1281" spans="8:8" ht="32.25" customHeight="1">
      <c r="A1281" s="11">
        <v>1.0</v>
      </c>
      <c r="B1281" s="12" t="s">
        <v>1295</v>
      </c>
      <c r="C1281" s="13">
        <v>250348.0</v>
      </c>
      <c r="D1281" s="12" t="s">
        <v>94</v>
      </c>
      <c r="E1281" s="13" t="s">
        <v>580</v>
      </c>
      <c r="F1281" s="14">
        <v>0.5208333333333334</v>
      </c>
      <c r="G1281" s="13"/>
    </row>
    <row r="1282" spans="8:8" ht="32.25" customHeight="1">
      <c r="A1282" s="11">
        <v>2.0</v>
      </c>
      <c r="B1282" s="12" t="s">
        <v>1296</v>
      </c>
      <c r="C1282" s="13">
        <v>250346.0</v>
      </c>
      <c r="D1282" s="12" t="s">
        <v>94</v>
      </c>
      <c r="E1282" s="13" t="s">
        <v>580</v>
      </c>
      <c r="F1282" s="14">
        <v>0.5208333333333334</v>
      </c>
      <c r="G1282" s="13"/>
    </row>
    <row r="1283" spans="8:8" ht="32.25" customHeight="1">
      <c r="A1283" s="11">
        <v>3.0</v>
      </c>
      <c r="B1283" s="12" t="s">
        <v>1297</v>
      </c>
      <c r="C1283" s="13">
        <v>250360.0</v>
      </c>
      <c r="D1283" s="12" t="s">
        <v>94</v>
      </c>
      <c r="E1283" s="13" t="s">
        <v>580</v>
      </c>
      <c r="F1283" s="14">
        <v>0.5208333333333334</v>
      </c>
      <c r="G1283" s="13"/>
    </row>
    <row r="1284" spans="8:8" ht="32.25" customHeight="1">
      <c r="A1284" s="11">
        <v>4.0</v>
      </c>
      <c r="B1284" s="12" t="s">
        <v>1298</v>
      </c>
      <c r="C1284" s="13">
        <v>250355.0</v>
      </c>
      <c r="D1284" s="12" t="s">
        <v>94</v>
      </c>
      <c r="E1284" s="13" t="s">
        <v>580</v>
      </c>
      <c r="F1284" s="14">
        <v>0.5208333333333334</v>
      </c>
      <c r="G1284" s="13"/>
    </row>
    <row r="1285" spans="8:8" ht="32.25" customHeight="1">
      <c r="A1285" s="11">
        <v>5.0</v>
      </c>
      <c r="B1285" s="12" t="s">
        <v>1299</v>
      </c>
      <c r="C1285" s="13">
        <v>250354.0</v>
      </c>
      <c r="D1285" s="12" t="s">
        <v>94</v>
      </c>
      <c r="E1285" s="13" t="s">
        <v>580</v>
      </c>
      <c r="F1285" s="14">
        <v>0.5208333333333334</v>
      </c>
      <c r="G1285" s="13"/>
    </row>
    <row r="1286" spans="8:8" ht="32.25" customHeight="1">
      <c r="A1286" s="11">
        <v>6.0</v>
      </c>
      <c r="B1286" s="12" t="s">
        <v>1300</v>
      </c>
      <c r="C1286" s="13">
        <v>250333.0</v>
      </c>
      <c r="D1286" s="12" t="s">
        <v>94</v>
      </c>
      <c r="E1286" s="13" t="s">
        <v>580</v>
      </c>
      <c r="F1286" s="14">
        <v>0.5208333333333334</v>
      </c>
      <c r="G1286" s="13"/>
    </row>
    <row r="1287" spans="8:8" ht="32.25" customHeight="1">
      <c r="A1287" s="11">
        <v>7.0</v>
      </c>
      <c r="B1287" s="12" t="s">
        <v>1301</v>
      </c>
      <c r="C1287" s="13">
        <v>250006.0</v>
      </c>
      <c r="D1287" s="12" t="s">
        <v>94</v>
      </c>
      <c r="E1287" s="13" t="s">
        <v>580</v>
      </c>
      <c r="F1287" s="14">
        <v>0.5208333333333334</v>
      </c>
      <c r="G1287" s="13"/>
    </row>
    <row r="1288" spans="8:8" ht="32.25" customHeight="1">
      <c r="A1288" s="11">
        <v>8.0</v>
      </c>
      <c r="B1288" s="12" t="s">
        <v>1302</v>
      </c>
      <c r="C1288" s="13">
        <v>250335.0</v>
      </c>
      <c r="D1288" s="12" t="s">
        <v>94</v>
      </c>
      <c r="E1288" s="13" t="s">
        <v>580</v>
      </c>
      <c r="F1288" s="14">
        <v>0.5208333333333334</v>
      </c>
      <c r="G1288" s="13"/>
    </row>
    <row r="1289" spans="8:8" ht="32.25" customHeight="1">
      <c r="A1289" s="11">
        <v>9.0</v>
      </c>
      <c r="B1289" s="12" t="s">
        <v>1303</v>
      </c>
      <c r="C1289" s="13">
        <v>250337.0</v>
      </c>
      <c r="D1289" s="12" t="s">
        <v>94</v>
      </c>
      <c r="E1289" s="13" t="s">
        <v>580</v>
      </c>
      <c r="F1289" s="14">
        <v>0.5208333333333334</v>
      </c>
      <c r="G1289" s="13"/>
    </row>
    <row r="1290" spans="8:8" ht="32.25" customHeight="1">
      <c r="A1290" s="11">
        <v>10.0</v>
      </c>
      <c r="B1290" s="12" t="s">
        <v>1304</v>
      </c>
      <c r="C1290" s="13">
        <v>250347.0</v>
      </c>
      <c r="D1290" s="12" t="s">
        <v>94</v>
      </c>
      <c r="E1290" s="13" t="s">
        <v>580</v>
      </c>
      <c r="F1290" s="14">
        <v>0.5208333333333334</v>
      </c>
      <c r="G1290" s="13"/>
    </row>
    <row r="1291" spans="8:8" ht="32.25" customHeight="1">
      <c r="A1291" s="11">
        <v>11.0</v>
      </c>
      <c r="B1291" s="12" t="s">
        <v>1305</v>
      </c>
      <c r="C1291" s="13">
        <v>250376.0</v>
      </c>
      <c r="D1291" s="12" t="s">
        <v>94</v>
      </c>
      <c r="E1291" s="13" t="s">
        <v>580</v>
      </c>
      <c r="F1291" s="14">
        <v>0.5208333333333334</v>
      </c>
      <c r="G1291" s="13"/>
    </row>
    <row r="1292" spans="8:8" ht="32.25" customHeight="1">
      <c r="A1292" s="11">
        <v>12.0</v>
      </c>
      <c r="B1292" s="12" t="s">
        <v>1306</v>
      </c>
      <c r="C1292" s="13">
        <v>250328.0</v>
      </c>
      <c r="D1292" s="12" t="s">
        <v>94</v>
      </c>
      <c r="E1292" s="13" t="s">
        <v>580</v>
      </c>
      <c r="F1292" s="14">
        <v>0.5208333333333334</v>
      </c>
      <c r="G1292" s="13"/>
    </row>
    <row r="1293" spans="8:8" ht="32.25" customHeight="1">
      <c r="A1293" s="11">
        <v>13.0</v>
      </c>
      <c r="B1293" s="12" t="s">
        <v>1307</v>
      </c>
      <c r="C1293" s="13">
        <v>250399.0</v>
      </c>
      <c r="D1293" s="12" t="s">
        <v>94</v>
      </c>
      <c r="E1293" s="13" t="s">
        <v>580</v>
      </c>
      <c r="F1293" s="14">
        <v>0.5208333333333334</v>
      </c>
      <c r="G1293" s="13"/>
    </row>
    <row r="1294" spans="8:8" ht="32.25" customHeight="1">
      <c r="A1294" s="11">
        <v>14.0</v>
      </c>
      <c r="B1294" s="12" t="s">
        <v>1308</v>
      </c>
      <c r="C1294" s="13">
        <v>250422.0</v>
      </c>
      <c r="D1294" s="12" t="s">
        <v>94</v>
      </c>
      <c r="E1294" s="13" t="s">
        <v>580</v>
      </c>
      <c r="F1294" s="14">
        <v>0.5208333333333334</v>
      </c>
      <c r="G1294" s="13"/>
    </row>
    <row r="1295" spans="8:8" ht="32.25" customHeight="1">
      <c r="A1295" s="11">
        <v>15.0</v>
      </c>
      <c r="B1295" s="12" t="s">
        <v>1309</v>
      </c>
      <c r="C1295" s="13">
        <v>250424.0</v>
      </c>
      <c r="D1295" s="12" t="s">
        <v>94</v>
      </c>
      <c r="E1295" s="13" t="s">
        <v>580</v>
      </c>
      <c r="F1295" s="14">
        <v>0.5208333333333334</v>
      </c>
      <c r="G1295" s="13"/>
    </row>
    <row r="1296" spans="8:8" ht="32.25" customHeight="1">
      <c r="A1296" s="11">
        <v>16.0</v>
      </c>
      <c r="B1296" s="12" t="s">
        <v>1310</v>
      </c>
      <c r="C1296" s="13">
        <v>250429.0</v>
      </c>
      <c r="D1296" s="12" t="s">
        <v>94</v>
      </c>
      <c r="E1296" s="13" t="s">
        <v>580</v>
      </c>
      <c r="F1296" s="14">
        <v>0.5208333333333334</v>
      </c>
      <c r="G1296" s="13"/>
    </row>
    <row r="1297" spans="8:8" ht="32.25" customHeight="1">
      <c r="A1297" s="11">
        <v>17.0</v>
      </c>
      <c r="B1297" s="12" t="s">
        <v>1311</v>
      </c>
      <c r="C1297" s="13">
        <v>250428.0</v>
      </c>
      <c r="D1297" s="12" t="s">
        <v>94</v>
      </c>
      <c r="E1297" s="13" t="s">
        <v>580</v>
      </c>
      <c r="F1297" s="14">
        <v>0.5208333333333334</v>
      </c>
      <c r="G1297" s="13"/>
    </row>
    <row r="1298" spans="8:8" ht="32.25" customHeight="1">
      <c r="A1298" s="11">
        <v>18.0</v>
      </c>
      <c r="B1298" s="12" t="s">
        <v>1312</v>
      </c>
      <c r="C1298" s="13">
        <v>250439.0</v>
      </c>
      <c r="D1298" s="12" t="s">
        <v>94</v>
      </c>
      <c r="E1298" s="13" t="s">
        <v>580</v>
      </c>
      <c r="F1298" s="14">
        <v>0.5208333333333334</v>
      </c>
      <c r="G1298" s="13"/>
    </row>
    <row r="1299" spans="8:8" ht="32.25" customHeight="1">
      <c r="A1299" s="11">
        <v>19.0</v>
      </c>
      <c r="B1299" s="12" t="s">
        <v>1313</v>
      </c>
      <c r="C1299" s="13">
        <v>250626.0</v>
      </c>
      <c r="D1299" s="12" t="s">
        <v>94</v>
      </c>
      <c r="E1299" s="13" t="s">
        <v>580</v>
      </c>
      <c r="F1299" s="14">
        <v>0.5208333333333334</v>
      </c>
      <c r="G1299" s="13"/>
    </row>
    <row r="1300" spans="8:8" ht="32.25" customHeight="1">
      <c r="A1300" s="11">
        <v>20.0</v>
      </c>
      <c r="B1300" s="12" t="s">
        <v>1314</v>
      </c>
      <c r="C1300" s="13">
        <v>250635.0</v>
      </c>
      <c r="D1300" s="12" t="s">
        <v>94</v>
      </c>
      <c r="E1300" s="13" t="s">
        <v>580</v>
      </c>
      <c r="F1300" s="14">
        <v>0.5208333333333334</v>
      </c>
      <c r="G1300" s="13"/>
    </row>
    <row r="1301" spans="8:8" ht="32.25" customHeight="1">
      <c r="A1301" s="11">
        <v>21.0</v>
      </c>
      <c r="B1301" s="12" t="s">
        <v>1315</v>
      </c>
      <c r="C1301" s="13">
        <v>253131.0</v>
      </c>
      <c r="D1301" s="12" t="s">
        <v>1316</v>
      </c>
      <c r="E1301" s="13" t="s">
        <v>580</v>
      </c>
      <c r="F1301" s="14">
        <v>0.5208333333333334</v>
      </c>
      <c r="G1301" s="13"/>
    </row>
    <row r="1302" spans="8:8" ht="32.25" customHeight="1">
      <c r="A1302" s="11">
        <v>22.0</v>
      </c>
      <c r="B1302" s="12" t="s">
        <v>1317</v>
      </c>
      <c r="C1302" s="13">
        <v>250692.0</v>
      </c>
      <c r="D1302" s="12" t="s">
        <v>56</v>
      </c>
      <c r="E1302" s="13" t="s">
        <v>580</v>
      </c>
      <c r="F1302" s="14">
        <v>0.5208333333333334</v>
      </c>
      <c r="G1302" s="13"/>
    </row>
    <row r="1303" spans="8:8" ht="32.25" customHeight="1">
      <c r="A1303" s="11">
        <v>23.0</v>
      </c>
      <c r="B1303" s="12" t="s">
        <v>1318</v>
      </c>
      <c r="C1303" s="13">
        <v>250444.0</v>
      </c>
      <c r="D1303" s="12" t="s">
        <v>94</v>
      </c>
      <c r="E1303" s="13" t="s">
        <v>580</v>
      </c>
      <c r="F1303" s="14">
        <v>0.5208333333333334</v>
      </c>
      <c r="G1303" s="13"/>
    </row>
    <row r="1304" spans="8:8" ht="32.25" customHeight="1">
      <c r="A1304" s="11">
        <v>24.0</v>
      </c>
      <c r="B1304" s="12" t="s">
        <v>1319</v>
      </c>
      <c r="C1304" s="13">
        <v>250446.0</v>
      </c>
      <c r="D1304" s="12" t="s">
        <v>94</v>
      </c>
      <c r="E1304" s="13" t="s">
        <v>580</v>
      </c>
      <c r="F1304" s="14">
        <v>0.5208333333333334</v>
      </c>
      <c r="G1304" s="13"/>
    </row>
    <row r="1305" spans="8:8" ht="32.25" customHeight="1">
      <c r="A1305" s="11">
        <v>25.0</v>
      </c>
      <c r="B1305" s="12" t="s">
        <v>1320</v>
      </c>
      <c r="C1305" s="13">
        <v>250448.0</v>
      </c>
      <c r="D1305" s="12" t="s">
        <v>94</v>
      </c>
      <c r="E1305" s="13" t="s">
        <v>580</v>
      </c>
      <c r="F1305" s="14">
        <v>0.5208333333333334</v>
      </c>
      <c r="G1305" s="13"/>
    </row>
    <row r="1306" spans="8:8" ht="32.25" customHeight="1">
      <c r="A1306" s="8" t="s">
        <v>18</v>
      </c>
      <c r="B1306" s="9" t="s">
        <v>19</v>
      </c>
      <c r="C1306" s="9" t="s">
        <v>20</v>
      </c>
      <c r="D1306" s="9" t="s">
        <v>21</v>
      </c>
      <c r="E1306" s="9" t="s">
        <v>22</v>
      </c>
      <c r="F1306" s="10" t="s">
        <v>23</v>
      </c>
      <c r="G1306" s="9" t="s">
        <v>369</v>
      </c>
    </row>
    <row r="1307" spans="8:8" ht="32.25" customHeight="1">
      <c r="A1307" s="11">
        <v>1.0</v>
      </c>
      <c r="B1307" s="12" t="s">
        <v>1321</v>
      </c>
      <c r="C1307" s="13">
        <v>250457.0</v>
      </c>
      <c r="D1307" s="12" t="s">
        <v>94</v>
      </c>
      <c r="E1307" s="13" t="s">
        <v>580</v>
      </c>
      <c r="F1307" s="14">
        <v>0.5208333333333334</v>
      </c>
      <c r="G1307" s="13"/>
    </row>
    <row r="1308" spans="8:8" ht="32.25" customHeight="1">
      <c r="A1308" s="11">
        <v>2.0</v>
      </c>
      <c r="B1308" s="12" t="s">
        <v>1322</v>
      </c>
      <c r="C1308" s="13">
        <v>250466.0</v>
      </c>
      <c r="D1308" s="12" t="s">
        <v>94</v>
      </c>
      <c r="E1308" s="13" t="s">
        <v>580</v>
      </c>
      <c r="F1308" s="14">
        <v>0.5208333333333334</v>
      </c>
      <c r="G1308" s="13"/>
    </row>
    <row r="1309" spans="8:8" ht="32.25" customHeight="1">
      <c r="A1309" s="11">
        <v>3.0</v>
      </c>
      <c r="B1309" s="12" t="s">
        <v>1323</v>
      </c>
      <c r="C1309" s="13">
        <v>250465.0</v>
      </c>
      <c r="D1309" s="12" t="s">
        <v>94</v>
      </c>
      <c r="E1309" s="13" t="s">
        <v>580</v>
      </c>
      <c r="F1309" s="14">
        <v>0.5208333333333334</v>
      </c>
      <c r="G1309" s="13"/>
    </row>
    <row r="1310" spans="8:8" ht="32.25" customHeight="1">
      <c r="A1310" s="11">
        <v>4.0</v>
      </c>
      <c r="B1310" s="12" t="s">
        <v>1324</v>
      </c>
      <c r="C1310" s="13">
        <v>250473.0</v>
      </c>
      <c r="D1310" s="12" t="s">
        <v>94</v>
      </c>
      <c r="E1310" s="13" t="s">
        <v>580</v>
      </c>
      <c r="F1310" s="14">
        <v>0.5208333333333334</v>
      </c>
      <c r="G1310" s="13"/>
    </row>
    <row r="1311" spans="8:8" ht="32.25" customHeight="1">
      <c r="A1311" s="11">
        <v>5.0</v>
      </c>
      <c r="B1311" s="12" t="s">
        <v>1325</v>
      </c>
      <c r="C1311" s="13">
        <v>250476.0</v>
      </c>
      <c r="D1311" s="12" t="s">
        <v>94</v>
      </c>
      <c r="E1311" s="13" t="s">
        <v>580</v>
      </c>
      <c r="F1311" s="14">
        <v>0.5208333333333334</v>
      </c>
      <c r="G1311" s="13"/>
    </row>
    <row r="1312" spans="8:8" ht="32.25" customHeight="1">
      <c r="A1312" s="11">
        <v>6.0</v>
      </c>
      <c r="B1312" s="12" t="s">
        <v>1326</v>
      </c>
      <c r="C1312" s="13">
        <v>250477.0</v>
      </c>
      <c r="D1312" s="12" t="s">
        <v>94</v>
      </c>
      <c r="E1312" s="13" t="s">
        <v>580</v>
      </c>
      <c r="F1312" s="14">
        <v>0.5208333333333334</v>
      </c>
      <c r="G1312" s="13"/>
    </row>
    <row r="1313" spans="8:8" ht="32.25" customHeight="1">
      <c r="A1313" s="11">
        <v>7.0</v>
      </c>
      <c r="B1313" s="12" t="s">
        <v>1327</v>
      </c>
      <c r="C1313" s="13">
        <v>250496.0</v>
      </c>
      <c r="D1313" s="12" t="s">
        <v>94</v>
      </c>
      <c r="E1313" s="13" t="s">
        <v>580</v>
      </c>
      <c r="F1313" s="14">
        <v>0.5208333333333334</v>
      </c>
      <c r="G1313" s="13"/>
    </row>
    <row r="1314" spans="8:8" ht="32.25" customHeight="1">
      <c r="A1314" s="11">
        <v>8.0</v>
      </c>
      <c r="B1314" s="12" t="s">
        <v>1328</v>
      </c>
      <c r="C1314" s="13">
        <v>250502.0</v>
      </c>
      <c r="D1314" s="12" t="s">
        <v>94</v>
      </c>
      <c r="E1314" s="13" t="s">
        <v>580</v>
      </c>
      <c r="F1314" s="14">
        <v>0.5208333333333334</v>
      </c>
      <c r="G1314" s="13"/>
    </row>
    <row r="1315" spans="8:8" ht="32.25" customHeight="1">
      <c r="A1315" s="11">
        <v>9.0</v>
      </c>
      <c r="B1315" s="12" t="s">
        <v>1329</v>
      </c>
      <c r="C1315" s="13">
        <v>250544.0</v>
      </c>
      <c r="D1315" s="12" t="s">
        <v>94</v>
      </c>
      <c r="E1315" s="13" t="s">
        <v>580</v>
      </c>
      <c r="F1315" s="14">
        <v>0.5208333333333334</v>
      </c>
      <c r="G1315" s="13"/>
    </row>
    <row r="1316" spans="8:8" ht="32.25" customHeight="1">
      <c r="A1316" s="11">
        <v>10.0</v>
      </c>
      <c r="B1316" s="12" t="s">
        <v>1330</v>
      </c>
      <c r="C1316" s="13">
        <v>250552.0</v>
      </c>
      <c r="D1316" s="12" t="s">
        <v>94</v>
      </c>
      <c r="E1316" s="13" t="s">
        <v>580</v>
      </c>
      <c r="F1316" s="14">
        <v>0.5208333333333334</v>
      </c>
      <c r="G1316" s="13"/>
    </row>
    <row r="1317" spans="8:8" ht="32.25" customHeight="1">
      <c r="A1317" s="11">
        <v>11.0</v>
      </c>
      <c r="B1317" s="12" t="s">
        <v>1331</v>
      </c>
      <c r="C1317" s="13">
        <v>250555.0</v>
      </c>
      <c r="D1317" s="12" t="s">
        <v>94</v>
      </c>
      <c r="E1317" s="13" t="s">
        <v>580</v>
      </c>
      <c r="F1317" s="14">
        <v>0.5208333333333334</v>
      </c>
      <c r="G1317" s="13"/>
    </row>
    <row r="1318" spans="8:8" ht="32.25" customHeight="1">
      <c r="A1318" s="11">
        <v>12.0</v>
      </c>
      <c r="B1318" s="12" t="s">
        <v>1332</v>
      </c>
      <c r="C1318" s="13">
        <v>250563.0</v>
      </c>
      <c r="D1318" s="12" t="s">
        <v>94</v>
      </c>
      <c r="E1318" s="13" t="s">
        <v>580</v>
      </c>
      <c r="F1318" s="14">
        <v>0.5208333333333334</v>
      </c>
      <c r="G1318" s="13"/>
    </row>
    <row r="1319" spans="8:8" ht="32.25" customHeight="1">
      <c r="A1319" s="11">
        <v>13.0</v>
      </c>
      <c r="B1319" s="12" t="s">
        <v>1333</v>
      </c>
      <c r="C1319" s="13">
        <v>250562.0</v>
      </c>
      <c r="D1319" s="12" t="s">
        <v>94</v>
      </c>
      <c r="E1319" s="13" t="s">
        <v>580</v>
      </c>
      <c r="F1319" s="14">
        <v>0.5208333333333334</v>
      </c>
      <c r="G1319" s="13"/>
    </row>
    <row r="1320" spans="8:8" ht="32.25" customHeight="1">
      <c r="A1320" s="11">
        <v>14.0</v>
      </c>
      <c r="B1320" s="12" t="s">
        <v>1334</v>
      </c>
      <c r="C1320" s="13">
        <v>250573.0</v>
      </c>
      <c r="D1320" s="12" t="s">
        <v>94</v>
      </c>
      <c r="E1320" s="13" t="s">
        <v>580</v>
      </c>
      <c r="F1320" s="14">
        <v>0.5208333333333334</v>
      </c>
      <c r="G1320" s="13"/>
    </row>
    <row r="1321" spans="8:8" ht="32.25" customHeight="1">
      <c r="A1321" s="11">
        <v>15.0</v>
      </c>
      <c r="B1321" s="12" t="s">
        <v>1335</v>
      </c>
      <c r="C1321" s="13">
        <v>250570.0</v>
      </c>
      <c r="D1321" s="12" t="s">
        <v>94</v>
      </c>
      <c r="E1321" s="13" t="s">
        <v>580</v>
      </c>
      <c r="F1321" s="14">
        <v>0.5208333333333334</v>
      </c>
      <c r="G1321" s="13"/>
    </row>
    <row r="1322" spans="8:8" ht="32.25" customHeight="1">
      <c r="A1322" s="11">
        <v>16.0</v>
      </c>
      <c r="B1322" s="12" t="s">
        <v>1336</v>
      </c>
      <c r="C1322" s="13">
        <v>250401.0</v>
      </c>
      <c r="D1322" s="12" t="s">
        <v>94</v>
      </c>
      <c r="E1322" s="13" t="s">
        <v>580</v>
      </c>
      <c r="F1322" s="14">
        <v>0.5208333333333334</v>
      </c>
      <c r="G1322" s="13"/>
    </row>
    <row r="1323" spans="8:8" ht="32.25" customHeight="1">
      <c r="A1323" s="11">
        <v>17.0</v>
      </c>
      <c r="B1323" s="12" t="s">
        <v>1337</v>
      </c>
      <c r="C1323" s="13">
        <v>250657.0</v>
      </c>
      <c r="D1323" s="12" t="s">
        <v>56</v>
      </c>
      <c r="E1323" s="13" t="s">
        <v>580</v>
      </c>
      <c r="F1323" s="14">
        <v>0.5208333333333334</v>
      </c>
      <c r="G1323" s="13"/>
    </row>
    <row r="1324" spans="8:8" ht="32.25" customHeight="1">
      <c r="A1324" s="11">
        <v>18.0</v>
      </c>
      <c r="B1324" s="12" t="s">
        <v>1338</v>
      </c>
      <c r="C1324" s="13">
        <v>250747.0</v>
      </c>
      <c r="D1324" s="12" t="s">
        <v>56</v>
      </c>
      <c r="E1324" s="13" t="s">
        <v>580</v>
      </c>
      <c r="F1324" s="14">
        <v>0.5208333333333334</v>
      </c>
      <c r="G1324" s="13"/>
    </row>
    <row r="1325" spans="8:8" ht="32.25" customHeight="1">
      <c r="A1325" s="11">
        <v>19.0</v>
      </c>
      <c r="B1325" s="12" t="s">
        <v>1339</v>
      </c>
      <c r="C1325" s="13">
        <v>250742.0</v>
      </c>
      <c r="D1325" s="12" t="s">
        <v>56</v>
      </c>
      <c r="E1325" s="13" t="s">
        <v>580</v>
      </c>
      <c r="F1325" s="14">
        <v>0.5208333333333334</v>
      </c>
      <c r="G1325" s="13"/>
    </row>
    <row r="1326" spans="8:8" ht="32.25" customHeight="1">
      <c r="A1326" s="11">
        <v>20.0</v>
      </c>
      <c r="B1326" s="12" t="s">
        <v>1340</v>
      </c>
      <c r="C1326" s="13">
        <v>250577.0</v>
      </c>
      <c r="D1326" s="12" t="s">
        <v>94</v>
      </c>
      <c r="E1326" s="13" t="s">
        <v>580</v>
      </c>
      <c r="F1326" s="14">
        <v>0.5208333333333334</v>
      </c>
      <c r="G1326" s="13"/>
    </row>
    <row r="1327" spans="8:8" ht="32.25" customHeight="1">
      <c r="A1327" s="11">
        <v>21.0</v>
      </c>
      <c r="B1327" s="12" t="s">
        <v>1341</v>
      </c>
      <c r="C1327" s="13">
        <v>250571.0</v>
      </c>
      <c r="D1327" s="12" t="s">
        <v>94</v>
      </c>
      <c r="E1327" s="13" t="s">
        <v>580</v>
      </c>
      <c r="F1327" s="14">
        <v>0.5208333333333334</v>
      </c>
      <c r="G1327" s="13"/>
    </row>
    <row r="1328" spans="8:8" ht="32.25" customHeight="1">
      <c r="A1328" s="11">
        <v>22.0</v>
      </c>
      <c r="B1328" s="12" t="s">
        <v>1342</v>
      </c>
      <c r="C1328" s="13">
        <v>250581.0</v>
      </c>
      <c r="D1328" s="12" t="s">
        <v>94</v>
      </c>
      <c r="E1328" s="13" t="s">
        <v>580</v>
      </c>
      <c r="F1328" s="14">
        <v>0.5208333333333334</v>
      </c>
      <c r="G1328" s="13"/>
    </row>
    <row r="1329" spans="8:8" ht="32.25" customHeight="1">
      <c r="A1329" s="11">
        <v>23.0</v>
      </c>
      <c r="B1329" s="12" t="s">
        <v>1343</v>
      </c>
      <c r="C1329" s="13">
        <v>250583.0</v>
      </c>
      <c r="D1329" s="12" t="s">
        <v>94</v>
      </c>
      <c r="E1329" s="13" t="s">
        <v>580</v>
      </c>
      <c r="F1329" s="14">
        <v>0.5208333333333334</v>
      </c>
      <c r="G1329" s="13"/>
    </row>
    <row r="1330" spans="8:8" ht="32.25" customHeight="1">
      <c r="A1330" s="11">
        <v>24.0</v>
      </c>
      <c r="B1330" s="12" t="s">
        <v>1344</v>
      </c>
      <c r="C1330" s="13">
        <v>250586.0</v>
      </c>
      <c r="D1330" s="12" t="s">
        <v>94</v>
      </c>
      <c r="E1330" s="13" t="s">
        <v>580</v>
      </c>
      <c r="F1330" s="14">
        <v>0.5208333333333334</v>
      </c>
      <c r="G1330" s="13"/>
    </row>
    <row r="1331" spans="8:8" ht="32.25" customHeight="1">
      <c r="A1331" s="11">
        <v>25.0</v>
      </c>
      <c r="B1331" s="12" t="s">
        <v>1345</v>
      </c>
      <c r="C1331" s="13">
        <v>250593.0</v>
      </c>
      <c r="D1331" s="12" t="s">
        <v>94</v>
      </c>
      <c r="E1331" s="13" t="s">
        <v>580</v>
      </c>
      <c r="F1331" s="14">
        <v>0.5208333333333334</v>
      </c>
      <c r="G1331" s="13"/>
    </row>
    <row r="1332" spans="8:8" ht="32.25" customHeight="1">
      <c r="A1332" s="8" t="s">
        <v>18</v>
      </c>
      <c r="B1332" s="9" t="s">
        <v>19</v>
      </c>
      <c r="C1332" s="9" t="s">
        <v>20</v>
      </c>
      <c r="D1332" s="9" t="s">
        <v>21</v>
      </c>
      <c r="E1332" s="9" t="s">
        <v>22</v>
      </c>
      <c r="F1332" s="10" t="s">
        <v>23</v>
      </c>
      <c r="G1332" s="9" t="s">
        <v>395</v>
      </c>
    </row>
    <row r="1333" spans="8:8" ht="32.25" customHeight="1">
      <c r="A1333" s="11">
        <v>1.0</v>
      </c>
      <c r="B1333" s="12" t="s">
        <v>1346</v>
      </c>
      <c r="C1333" s="13">
        <v>250596.0</v>
      </c>
      <c r="D1333" s="12" t="s">
        <v>94</v>
      </c>
      <c r="E1333" s="13" t="s">
        <v>580</v>
      </c>
      <c r="F1333" s="14">
        <v>0.5208333333333334</v>
      </c>
      <c r="G1333" s="13"/>
    </row>
    <row r="1334" spans="8:8" ht="32.25" customHeight="1">
      <c r="A1334" s="11">
        <v>2.0</v>
      </c>
      <c r="B1334" s="12" t="s">
        <v>1347</v>
      </c>
      <c r="C1334" s="13">
        <v>250602.0</v>
      </c>
      <c r="D1334" s="12" t="s">
        <v>94</v>
      </c>
      <c r="E1334" s="13" t="s">
        <v>580</v>
      </c>
      <c r="F1334" s="14">
        <v>0.5208333333333334</v>
      </c>
      <c r="G1334" s="13"/>
    </row>
    <row r="1335" spans="8:8" ht="32.25" customHeight="1">
      <c r="A1335" s="11">
        <v>3.0</v>
      </c>
      <c r="B1335" s="12" t="s">
        <v>1348</v>
      </c>
      <c r="C1335" s="13">
        <v>250606.0</v>
      </c>
      <c r="D1335" s="12" t="s">
        <v>94</v>
      </c>
      <c r="E1335" s="13" t="s">
        <v>580</v>
      </c>
      <c r="F1335" s="14">
        <v>0.5208333333333334</v>
      </c>
      <c r="G1335" s="13"/>
    </row>
    <row r="1336" spans="8:8" ht="32.25" customHeight="1">
      <c r="A1336" s="11">
        <v>4.0</v>
      </c>
      <c r="B1336" s="12" t="s">
        <v>1349</v>
      </c>
      <c r="C1336" s="13">
        <v>250609.0</v>
      </c>
      <c r="D1336" s="12" t="s">
        <v>94</v>
      </c>
      <c r="E1336" s="13" t="s">
        <v>580</v>
      </c>
      <c r="F1336" s="14">
        <v>0.5208333333333334</v>
      </c>
      <c r="G1336" s="13"/>
    </row>
    <row r="1337" spans="8:8" ht="32.25" customHeight="1">
      <c r="A1337" s="11">
        <v>5.0</v>
      </c>
      <c r="B1337" s="12" t="s">
        <v>1350</v>
      </c>
      <c r="C1337" s="13">
        <v>250620.0</v>
      </c>
      <c r="D1337" s="12" t="s">
        <v>94</v>
      </c>
      <c r="E1337" s="13" t="s">
        <v>580</v>
      </c>
      <c r="F1337" s="14">
        <v>0.5208333333333334</v>
      </c>
      <c r="G1337" s="13"/>
    </row>
    <row r="1338" spans="8:8" ht="32.25" customHeight="1">
      <c r="A1338" s="11">
        <v>6.0</v>
      </c>
      <c r="B1338" s="12" t="s">
        <v>1351</v>
      </c>
      <c r="C1338" s="13">
        <v>250633.0</v>
      </c>
      <c r="D1338" s="12" t="s">
        <v>94</v>
      </c>
      <c r="E1338" s="13" t="s">
        <v>580</v>
      </c>
      <c r="F1338" s="14">
        <v>0.5208333333333334</v>
      </c>
      <c r="G1338" s="13"/>
    </row>
    <row r="1339" spans="8:8" ht="32.25" customHeight="1">
      <c r="A1339" s="11">
        <v>7.0</v>
      </c>
      <c r="B1339" s="12" t="s">
        <v>1352</v>
      </c>
      <c r="C1339" s="13">
        <v>250350.0</v>
      </c>
      <c r="D1339" s="12" t="s">
        <v>94</v>
      </c>
      <c r="E1339" s="13" t="s">
        <v>580</v>
      </c>
      <c r="F1339" s="14">
        <v>0.5208333333333334</v>
      </c>
      <c r="G1339" s="13"/>
    </row>
    <row r="1340" spans="8:8" ht="32.25" customHeight="1">
      <c r="A1340" s="11">
        <v>8.0</v>
      </c>
      <c r="B1340" s="12" t="s">
        <v>1353</v>
      </c>
      <c r="C1340" s="13">
        <v>250339.0</v>
      </c>
      <c r="D1340" s="12" t="s">
        <v>94</v>
      </c>
      <c r="E1340" s="13" t="s">
        <v>580</v>
      </c>
      <c r="F1340" s="14">
        <v>0.5208333333333334</v>
      </c>
      <c r="G1340" s="13"/>
    </row>
    <row r="1341" spans="8:8" ht="32.25" customHeight="1">
      <c r="A1341" s="11">
        <v>9.0</v>
      </c>
      <c r="B1341" s="12" t="s">
        <v>1354</v>
      </c>
      <c r="C1341" s="13">
        <v>250341.0</v>
      </c>
      <c r="D1341" s="12" t="s">
        <v>94</v>
      </c>
      <c r="E1341" s="13" t="s">
        <v>580</v>
      </c>
      <c r="F1341" s="14">
        <v>0.5208333333333334</v>
      </c>
      <c r="G1341" s="13"/>
    </row>
    <row r="1342" spans="8:8" ht="32.25" customHeight="1">
      <c r="A1342" s="11">
        <v>10.0</v>
      </c>
      <c r="B1342" s="12" t="s">
        <v>1355</v>
      </c>
      <c r="C1342" s="13">
        <v>250510.0</v>
      </c>
      <c r="D1342" s="12" t="s">
        <v>94</v>
      </c>
      <c r="E1342" s="13" t="s">
        <v>580</v>
      </c>
      <c r="F1342" s="14">
        <v>0.5208333333333334</v>
      </c>
      <c r="G1342" s="13"/>
    </row>
    <row r="1343" spans="8:8" ht="32.25" customHeight="1">
      <c r="A1343" s="11">
        <v>11.0</v>
      </c>
      <c r="B1343" s="12" t="s">
        <v>1356</v>
      </c>
      <c r="C1343" s="13">
        <v>250559.0</v>
      </c>
      <c r="D1343" s="12" t="s">
        <v>94</v>
      </c>
      <c r="E1343" s="13" t="s">
        <v>580</v>
      </c>
      <c r="F1343" s="14">
        <v>0.5208333333333334</v>
      </c>
      <c r="G1343" s="13"/>
    </row>
    <row r="1344" spans="8:8" ht="32.25" customHeight="1">
      <c r="A1344" s="11">
        <v>12.0</v>
      </c>
      <c r="B1344" s="12" t="s">
        <v>1357</v>
      </c>
      <c r="C1344" s="13">
        <v>250585.0</v>
      </c>
      <c r="D1344" s="12" t="s">
        <v>94</v>
      </c>
      <c r="E1344" s="13" t="s">
        <v>580</v>
      </c>
      <c r="F1344" s="14">
        <v>0.5208333333333334</v>
      </c>
      <c r="G1344" s="13"/>
    </row>
    <row r="1345" spans="8:8" ht="32.25" customHeight="1">
      <c r="A1345" s="11">
        <v>13.0</v>
      </c>
      <c r="B1345" s="12" t="s">
        <v>1358</v>
      </c>
      <c r="C1345" s="13">
        <v>250622.0</v>
      </c>
      <c r="D1345" s="12" t="s">
        <v>94</v>
      </c>
      <c r="E1345" s="13" t="s">
        <v>580</v>
      </c>
      <c r="F1345" s="14">
        <v>0.5208333333333334</v>
      </c>
      <c r="G1345" s="13"/>
    </row>
    <row r="1346" spans="8:8" ht="32.25" customHeight="1">
      <c r="A1346" s="11">
        <v>14.0</v>
      </c>
      <c r="B1346" s="12" t="s">
        <v>1359</v>
      </c>
      <c r="C1346" s="13">
        <v>250485.0</v>
      </c>
      <c r="D1346" s="12" t="s">
        <v>94</v>
      </c>
      <c r="E1346" s="13" t="s">
        <v>580</v>
      </c>
      <c r="F1346" s="14">
        <v>0.5208333333333334</v>
      </c>
      <c r="G1346" s="13"/>
    </row>
    <row r="1347" spans="8:8" ht="32.25" customHeight="1">
      <c r="A1347" s="11">
        <v>15.0</v>
      </c>
      <c r="B1347" s="12" t="s">
        <v>1360</v>
      </c>
      <c r="C1347" s="13">
        <v>252362.0</v>
      </c>
      <c r="D1347" s="12" t="s">
        <v>104</v>
      </c>
      <c r="E1347" s="13" t="s">
        <v>580</v>
      </c>
      <c r="F1347" s="14">
        <v>0.5208333333333334</v>
      </c>
      <c r="G1347" s="13"/>
    </row>
    <row r="1348" spans="8:8" ht="32.25" customHeight="1">
      <c r="A1348" s="11">
        <v>16.0</v>
      </c>
      <c r="B1348" s="12" t="s">
        <v>1361</v>
      </c>
      <c r="C1348" s="13">
        <v>251208.0</v>
      </c>
      <c r="D1348" s="12" t="s">
        <v>56</v>
      </c>
      <c r="E1348" s="13" t="s">
        <v>580</v>
      </c>
      <c r="F1348" s="14">
        <v>0.5208333333333334</v>
      </c>
      <c r="G1348" s="13"/>
    </row>
    <row r="1349" spans="8:8" ht="32.25" customHeight="1">
      <c r="A1349" s="11">
        <v>17.0</v>
      </c>
      <c r="B1349" s="12" t="s">
        <v>1362</v>
      </c>
      <c r="C1349" s="13">
        <v>251237.0</v>
      </c>
      <c r="D1349" s="12" t="s">
        <v>56</v>
      </c>
      <c r="E1349" s="13" t="s">
        <v>580</v>
      </c>
      <c r="F1349" s="14">
        <v>0.5208333333333334</v>
      </c>
      <c r="G1349" s="13"/>
    </row>
    <row r="1350" spans="8:8" ht="32.25" customHeight="1">
      <c r="A1350" s="11">
        <v>18.0</v>
      </c>
      <c r="B1350" s="12" t="s">
        <v>1363</v>
      </c>
      <c r="C1350" s="13">
        <v>240521.0</v>
      </c>
      <c r="D1350" s="12" t="s">
        <v>606</v>
      </c>
      <c r="E1350" s="13" t="s">
        <v>1364</v>
      </c>
      <c r="F1350" s="14">
        <v>0.5208333333333334</v>
      </c>
      <c r="G1350" s="13"/>
    </row>
    <row r="1351" spans="8:8" ht="32.25" customHeight="1">
      <c r="A1351" s="11">
        <v>19.0</v>
      </c>
      <c r="B1351" s="12" t="s">
        <v>1365</v>
      </c>
      <c r="C1351" s="13">
        <v>250307.0</v>
      </c>
      <c r="D1351" s="12" t="s">
        <v>94</v>
      </c>
      <c r="E1351" s="13" t="s">
        <v>580</v>
      </c>
      <c r="F1351" s="14">
        <v>0.5208333333333334</v>
      </c>
      <c r="G1351" s="13"/>
    </row>
    <row r="1352" spans="8:8" ht="32.25" customHeight="1">
      <c r="A1352" s="11">
        <v>20.0</v>
      </c>
      <c r="B1352" s="23" t="s">
        <v>1366</v>
      </c>
      <c r="C1352" s="24">
        <v>240723.0</v>
      </c>
      <c r="D1352" s="23" t="s">
        <v>606</v>
      </c>
      <c r="E1352" s="24" t="s">
        <v>580</v>
      </c>
      <c r="F1352" s="14">
        <v>0.5208333333333334</v>
      </c>
      <c r="G1352" s="24"/>
    </row>
    <row r="1353" spans="8:8" ht="32.25" customHeight="1">
      <c r="A1353" s="11">
        <v>21.0</v>
      </c>
      <c r="B1353" s="12" t="s">
        <v>1367</v>
      </c>
      <c r="C1353" s="13">
        <v>240756.0</v>
      </c>
      <c r="D1353" s="12" t="s">
        <v>606</v>
      </c>
      <c r="E1353" s="13" t="s">
        <v>580</v>
      </c>
      <c r="F1353" s="14">
        <v>0.5208333333333334</v>
      </c>
      <c r="G1353" s="13"/>
    </row>
    <row r="1354" spans="8:8" ht="32.25" customHeight="1">
      <c r="A1354" s="11">
        <v>22.0</v>
      </c>
      <c r="B1354" s="19" t="s">
        <v>1368</v>
      </c>
      <c r="C1354" s="20">
        <v>241567.0</v>
      </c>
      <c r="D1354" s="19" t="s">
        <v>1369</v>
      </c>
      <c r="E1354" s="20" t="s">
        <v>580</v>
      </c>
      <c r="F1354" s="14">
        <v>0.5208333333333334</v>
      </c>
      <c r="G1354" s="20"/>
    </row>
    <row r="1355" spans="8:8" ht="32.25" customHeight="1">
      <c r="A1355" s="11">
        <v>23.0</v>
      </c>
      <c r="B1355" s="19" t="s">
        <v>1370</v>
      </c>
      <c r="C1355" s="20">
        <v>252364.0</v>
      </c>
      <c r="D1355" s="19" t="s">
        <v>104</v>
      </c>
      <c r="E1355" s="20" t="s">
        <v>580</v>
      </c>
      <c r="F1355" s="14">
        <v>0.5208333333333334</v>
      </c>
      <c r="G1355" s="20"/>
    </row>
    <row r="1356" spans="8:8" ht="32.25" customHeight="1">
      <c r="A1356" s="11">
        <v>24.0</v>
      </c>
      <c r="B1356" s="12" t="s">
        <v>1371</v>
      </c>
      <c r="C1356" s="13">
        <v>250097.0</v>
      </c>
      <c r="D1356" s="12" t="s">
        <v>27</v>
      </c>
      <c r="E1356" s="13" t="s">
        <v>580</v>
      </c>
      <c r="F1356" s="14">
        <v>0.5208333333333334</v>
      </c>
      <c r="G1356" s="20"/>
    </row>
    <row r="1357" spans="8:8" ht="32.25" customHeight="1">
      <c r="A1357" s="11">
        <v>25.0</v>
      </c>
      <c r="B1357" s="12" t="s">
        <v>1372</v>
      </c>
      <c r="C1357" s="13">
        <v>250107.0</v>
      </c>
      <c r="D1357" s="12" t="s">
        <v>27</v>
      </c>
      <c r="E1357" s="13" t="s">
        <v>580</v>
      </c>
      <c r="F1357" s="14">
        <v>0.5208333333333334</v>
      </c>
      <c r="G1357" s="20"/>
    </row>
    <row r="1358" spans="8:8" ht="32.25" customHeight="1">
      <c r="A1358" s="8" t="s">
        <v>18</v>
      </c>
      <c r="B1358" s="9" t="s">
        <v>19</v>
      </c>
      <c r="C1358" s="9" t="s">
        <v>20</v>
      </c>
      <c r="D1358" s="9" t="s">
        <v>21</v>
      </c>
      <c r="E1358" s="9" t="s">
        <v>22</v>
      </c>
      <c r="F1358" s="10" t="s">
        <v>23</v>
      </c>
      <c r="G1358" s="9" t="s">
        <v>421</v>
      </c>
    </row>
    <row r="1359" spans="8:8" ht="32.25" customHeight="1">
      <c r="A1359" s="20">
        <v>1.0</v>
      </c>
      <c r="B1359" s="12" t="s">
        <v>1373</v>
      </c>
      <c r="C1359" s="13">
        <v>250349.0</v>
      </c>
      <c r="D1359" s="12" t="s">
        <v>94</v>
      </c>
      <c r="E1359" s="13" t="s">
        <v>781</v>
      </c>
      <c r="F1359" s="14">
        <v>0.5208333333333334</v>
      </c>
      <c r="G1359" s="13"/>
    </row>
    <row r="1360" spans="8:8" ht="32.25" customHeight="1">
      <c r="A1360" s="11">
        <v>2.0</v>
      </c>
      <c r="B1360" s="12" t="s">
        <v>1374</v>
      </c>
      <c r="C1360" s="13">
        <v>250363.0</v>
      </c>
      <c r="D1360" s="12" t="s">
        <v>94</v>
      </c>
      <c r="E1360" s="13" t="s">
        <v>781</v>
      </c>
      <c r="F1360" s="14">
        <v>0.5208333333333334</v>
      </c>
      <c r="G1360" s="13"/>
    </row>
    <row r="1361" spans="8:8" ht="32.25" customHeight="1">
      <c r="A1361" s="20">
        <v>3.0</v>
      </c>
      <c r="B1361" s="12" t="s">
        <v>1375</v>
      </c>
      <c r="C1361" s="13">
        <v>250336.0</v>
      </c>
      <c r="D1361" s="12" t="s">
        <v>94</v>
      </c>
      <c r="E1361" s="13" t="s">
        <v>781</v>
      </c>
      <c r="F1361" s="14">
        <v>0.5208333333333334</v>
      </c>
      <c r="G1361" s="13"/>
    </row>
    <row r="1362" spans="8:8" ht="32.25" customHeight="1">
      <c r="A1362" s="11">
        <v>4.0</v>
      </c>
      <c r="B1362" s="12" t="s">
        <v>1376</v>
      </c>
      <c r="C1362" s="13">
        <v>250326.0</v>
      </c>
      <c r="D1362" s="12" t="s">
        <v>94</v>
      </c>
      <c r="E1362" s="13" t="s">
        <v>781</v>
      </c>
      <c r="F1362" s="14">
        <v>0.5208333333333334</v>
      </c>
      <c r="G1362" s="13"/>
    </row>
    <row r="1363" spans="8:8" ht="32.25" customHeight="1">
      <c r="A1363" s="20">
        <v>5.0</v>
      </c>
      <c r="B1363" s="12" t="s">
        <v>1377</v>
      </c>
      <c r="C1363" s="13">
        <v>250436.0</v>
      </c>
      <c r="D1363" s="12" t="s">
        <v>94</v>
      </c>
      <c r="E1363" s="13" t="s">
        <v>781</v>
      </c>
      <c r="F1363" s="14">
        <v>0.5208333333333334</v>
      </c>
      <c r="G1363" s="13"/>
    </row>
    <row r="1364" spans="8:8" ht="32.25" customHeight="1">
      <c r="A1364" s="11">
        <v>6.0</v>
      </c>
      <c r="B1364" s="12" t="s">
        <v>1378</v>
      </c>
      <c r="C1364" s="13">
        <v>250438.0</v>
      </c>
      <c r="D1364" s="12" t="s">
        <v>94</v>
      </c>
      <c r="E1364" s="13" t="s">
        <v>781</v>
      </c>
      <c r="F1364" s="14">
        <v>0.5208333333333334</v>
      </c>
      <c r="G1364" s="13"/>
    </row>
    <row r="1365" spans="8:8" ht="32.25" customHeight="1">
      <c r="A1365" s="20">
        <v>7.0</v>
      </c>
      <c r="B1365" s="12" t="s">
        <v>1379</v>
      </c>
      <c r="C1365" s="13">
        <v>250447.0</v>
      </c>
      <c r="D1365" s="12" t="s">
        <v>94</v>
      </c>
      <c r="E1365" s="13" t="s">
        <v>781</v>
      </c>
      <c r="F1365" s="14">
        <v>0.5208333333333334</v>
      </c>
      <c r="G1365" s="13"/>
    </row>
    <row r="1366" spans="8:8" ht="32.25" customHeight="1">
      <c r="A1366" s="11">
        <v>8.0</v>
      </c>
      <c r="B1366" s="12" t="s">
        <v>1380</v>
      </c>
      <c r="C1366" s="13">
        <v>250449.0</v>
      </c>
      <c r="D1366" s="12" t="s">
        <v>94</v>
      </c>
      <c r="E1366" s="13" t="s">
        <v>781</v>
      </c>
      <c r="F1366" s="14">
        <v>0.5208333333333334</v>
      </c>
      <c r="G1366" s="13"/>
    </row>
    <row r="1367" spans="8:8" ht="32.25" customHeight="1">
      <c r="A1367" s="20">
        <v>9.0</v>
      </c>
      <c r="B1367" s="12" t="s">
        <v>1381</v>
      </c>
      <c r="C1367" s="13">
        <v>250452.0</v>
      </c>
      <c r="D1367" s="12" t="s">
        <v>94</v>
      </c>
      <c r="E1367" s="13" t="s">
        <v>781</v>
      </c>
      <c r="F1367" s="14">
        <v>0.5208333333333334</v>
      </c>
      <c r="G1367" s="13"/>
    </row>
    <row r="1368" spans="8:8" ht="32.25" customHeight="1">
      <c r="A1368" s="11">
        <v>10.0</v>
      </c>
      <c r="B1368" s="12" t="s">
        <v>1382</v>
      </c>
      <c r="C1368" s="13">
        <v>250468.0</v>
      </c>
      <c r="D1368" s="12" t="s">
        <v>94</v>
      </c>
      <c r="E1368" s="13" t="s">
        <v>781</v>
      </c>
      <c r="F1368" s="14">
        <v>0.5208333333333334</v>
      </c>
      <c r="G1368" s="13"/>
    </row>
    <row r="1369" spans="8:8" ht="32.25" customHeight="1">
      <c r="A1369" s="20">
        <v>11.0</v>
      </c>
      <c r="B1369" s="12" t="s">
        <v>1383</v>
      </c>
      <c r="C1369" s="13">
        <v>250474.0</v>
      </c>
      <c r="D1369" s="12" t="s">
        <v>94</v>
      </c>
      <c r="E1369" s="13" t="s">
        <v>781</v>
      </c>
      <c r="F1369" s="14">
        <v>0.5208333333333334</v>
      </c>
      <c r="G1369" s="13"/>
    </row>
    <row r="1370" spans="8:8" ht="32.25" customHeight="1">
      <c r="A1370" s="11">
        <v>12.0</v>
      </c>
      <c r="B1370" s="12" t="s">
        <v>1384</v>
      </c>
      <c r="C1370" s="13">
        <v>250561.0</v>
      </c>
      <c r="D1370" s="12" t="s">
        <v>94</v>
      </c>
      <c r="E1370" s="13" t="s">
        <v>781</v>
      </c>
      <c r="F1370" s="14">
        <v>0.5208333333333334</v>
      </c>
      <c r="G1370" s="13"/>
    </row>
    <row r="1371" spans="8:8" ht="32.25" customHeight="1">
      <c r="A1371" s="20">
        <v>13.0</v>
      </c>
      <c r="B1371" s="12" t="s">
        <v>1385</v>
      </c>
      <c r="C1371" s="13">
        <v>250569.0</v>
      </c>
      <c r="D1371" s="12" t="s">
        <v>94</v>
      </c>
      <c r="E1371" s="13" t="s">
        <v>781</v>
      </c>
      <c r="F1371" s="14">
        <v>0.5208333333333334</v>
      </c>
      <c r="G1371" s="13"/>
    </row>
    <row r="1372" spans="8:8" ht="32.25" customHeight="1">
      <c r="A1372" s="11">
        <v>14.0</v>
      </c>
      <c r="B1372" s="12" t="s">
        <v>1386</v>
      </c>
      <c r="C1372" s="13">
        <v>250567.0</v>
      </c>
      <c r="D1372" s="12" t="s">
        <v>94</v>
      </c>
      <c r="E1372" s="13" t="s">
        <v>781</v>
      </c>
      <c r="F1372" s="14">
        <v>0.5208333333333334</v>
      </c>
      <c r="G1372" s="13"/>
    </row>
    <row r="1373" spans="8:8" ht="32.25" customHeight="1">
      <c r="A1373" s="20">
        <v>15.0</v>
      </c>
      <c r="B1373" s="12" t="s">
        <v>1387</v>
      </c>
      <c r="C1373" s="13">
        <v>250572.0</v>
      </c>
      <c r="D1373" s="12" t="s">
        <v>94</v>
      </c>
      <c r="E1373" s="13" t="s">
        <v>781</v>
      </c>
      <c r="F1373" s="14">
        <v>0.5208333333333334</v>
      </c>
      <c r="G1373" s="13"/>
    </row>
    <row r="1374" spans="8:8" ht="32.25" customHeight="1">
      <c r="A1374" s="11">
        <v>16.0</v>
      </c>
      <c r="B1374" s="12" t="s">
        <v>1388</v>
      </c>
      <c r="C1374" s="13">
        <v>250395.0</v>
      </c>
      <c r="D1374" s="12" t="s">
        <v>94</v>
      </c>
      <c r="E1374" s="13" t="s">
        <v>781</v>
      </c>
      <c r="F1374" s="14">
        <v>0.5208333333333334</v>
      </c>
      <c r="G1374" s="13"/>
    </row>
    <row r="1375" spans="8:8" ht="32.25" customHeight="1">
      <c r="A1375" s="20">
        <v>17.0</v>
      </c>
      <c r="B1375" s="12" t="s">
        <v>1389</v>
      </c>
      <c r="C1375" s="13">
        <v>250634.0</v>
      </c>
      <c r="D1375" s="12" t="s">
        <v>94</v>
      </c>
      <c r="E1375" s="13" t="s">
        <v>781</v>
      </c>
      <c r="F1375" s="14">
        <v>0.5208333333333334</v>
      </c>
      <c r="G1375" s="13"/>
    </row>
    <row r="1376" spans="8:8" ht="32.25" customHeight="1">
      <c r="A1376" s="11">
        <v>18.0</v>
      </c>
      <c r="B1376" s="12" t="s">
        <v>1390</v>
      </c>
      <c r="C1376" s="13">
        <v>250582.0</v>
      </c>
      <c r="D1376" s="12" t="s">
        <v>94</v>
      </c>
      <c r="E1376" s="13" t="s">
        <v>781</v>
      </c>
      <c r="F1376" s="14">
        <v>0.5208333333333334</v>
      </c>
      <c r="G1376" s="13"/>
    </row>
    <row r="1377" spans="8:8" ht="32.25" customHeight="1">
      <c r="A1377" s="20">
        <v>19.0</v>
      </c>
      <c r="B1377" s="23" t="s">
        <v>1391</v>
      </c>
      <c r="C1377" s="24">
        <v>241129.0</v>
      </c>
      <c r="D1377" s="23" t="s">
        <v>606</v>
      </c>
      <c r="E1377" s="24" t="s">
        <v>781</v>
      </c>
      <c r="F1377" s="14">
        <v>0.5208333333333334</v>
      </c>
      <c r="G1377" s="24"/>
    </row>
    <row r="1378" spans="8:8" ht="32.25" customHeight="1">
      <c r="A1378" s="11">
        <v>20.0</v>
      </c>
      <c r="B1378" s="12" t="s">
        <v>1392</v>
      </c>
      <c r="C1378" s="13">
        <v>250580.0</v>
      </c>
      <c r="D1378" s="12" t="s">
        <v>94</v>
      </c>
      <c r="E1378" s="13" t="s">
        <v>781</v>
      </c>
      <c r="F1378" s="14">
        <v>0.5208333333333334</v>
      </c>
      <c r="G1378" s="13"/>
    </row>
    <row r="1379" spans="8:8" ht="32.25" customHeight="1">
      <c r="A1379" s="20">
        <v>21.0</v>
      </c>
      <c r="B1379" s="12" t="s">
        <v>1393</v>
      </c>
      <c r="C1379" s="13">
        <v>250584.0</v>
      </c>
      <c r="D1379" s="12" t="s">
        <v>94</v>
      </c>
      <c r="E1379" s="13" t="s">
        <v>781</v>
      </c>
      <c r="F1379" s="14">
        <v>0.5208333333333334</v>
      </c>
      <c r="G1379" s="13"/>
    </row>
    <row r="1380" spans="8:8" ht="32.25" customHeight="1">
      <c r="A1380" s="11">
        <v>22.0</v>
      </c>
      <c r="B1380" s="12" t="s">
        <v>1394</v>
      </c>
      <c r="C1380" s="13">
        <v>250591.0</v>
      </c>
      <c r="D1380" s="12" t="s">
        <v>94</v>
      </c>
      <c r="E1380" s="13" t="s">
        <v>781</v>
      </c>
      <c r="F1380" s="14">
        <v>0.5208333333333334</v>
      </c>
      <c r="G1380" s="13"/>
    </row>
    <row r="1381" spans="8:8" ht="32.25" customHeight="1">
      <c r="A1381" s="20">
        <v>23.0</v>
      </c>
      <c r="B1381" s="12" t="s">
        <v>1395</v>
      </c>
      <c r="C1381" s="13">
        <v>250601.0</v>
      </c>
      <c r="D1381" s="12" t="s">
        <v>94</v>
      </c>
      <c r="E1381" s="13" t="s">
        <v>781</v>
      </c>
      <c r="F1381" s="14">
        <v>0.5208333333333334</v>
      </c>
      <c r="G1381" s="13"/>
    </row>
    <row r="1382" spans="8:8" ht="32.25" customHeight="1">
      <c r="A1382" s="11">
        <v>24.0</v>
      </c>
      <c r="B1382" s="12" t="s">
        <v>1396</v>
      </c>
      <c r="C1382" s="13">
        <v>250599.0</v>
      </c>
      <c r="D1382" s="12" t="s">
        <v>94</v>
      </c>
      <c r="E1382" s="13" t="s">
        <v>781</v>
      </c>
      <c r="F1382" s="14">
        <v>0.5208333333333334</v>
      </c>
      <c r="G1382" s="13"/>
    </row>
    <row r="1383" spans="8:8" ht="32.25" customHeight="1">
      <c r="A1383" s="20">
        <v>25.0</v>
      </c>
      <c r="B1383" s="12" t="s">
        <v>1397</v>
      </c>
      <c r="C1383" s="13">
        <v>250450.0</v>
      </c>
      <c r="D1383" s="12" t="s">
        <v>94</v>
      </c>
      <c r="E1383" s="13" t="s">
        <v>781</v>
      </c>
      <c r="F1383" s="14">
        <v>0.5208333333333334</v>
      </c>
      <c r="G1383" s="13"/>
    </row>
    <row r="1384" spans="8:8" ht="32.25" customHeight="1">
      <c r="A1384" s="11">
        <v>26.0</v>
      </c>
      <c r="B1384" s="12" t="s">
        <v>1398</v>
      </c>
      <c r="C1384" s="13">
        <v>240989.0</v>
      </c>
      <c r="D1384" s="12" t="s">
        <v>606</v>
      </c>
      <c r="E1384" s="13" t="s">
        <v>781</v>
      </c>
      <c r="F1384" s="14">
        <v>0.5208333333333334</v>
      </c>
      <c r="G1384" s="13"/>
    </row>
    <row r="1385" spans="8:8" ht="32.25" customHeight="1">
      <c r="A1385" s="20">
        <v>27.0</v>
      </c>
      <c r="B1385" s="12" t="s">
        <v>1399</v>
      </c>
      <c r="C1385" s="13">
        <v>240766.0</v>
      </c>
      <c r="D1385" s="12" t="s">
        <v>606</v>
      </c>
      <c r="E1385" s="13" t="s">
        <v>781</v>
      </c>
      <c r="F1385" s="14">
        <v>0.5208333333333334</v>
      </c>
      <c r="G1385" s="13"/>
    </row>
    <row r="1386" spans="8:8" ht="32.25" customHeight="1">
      <c r="A1386" s="8" t="s">
        <v>18</v>
      </c>
      <c r="B1386" s="9" t="s">
        <v>19</v>
      </c>
      <c r="C1386" s="9" t="s">
        <v>20</v>
      </c>
      <c r="D1386" s="9" t="s">
        <v>21</v>
      </c>
      <c r="E1386" s="9" t="s">
        <v>22</v>
      </c>
      <c r="F1386" s="10" t="s">
        <v>23</v>
      </c>
      <c r="G1386" s="9" t="s">
        <v>447</v>
      </c>
    </row>
    <row r="1387" spans="8:8" ht="32.25" customHeight="1">
      <c r="A1387" s="11">
        <v>1.0</v>
      </c>
      <c r="B1387" s="12" t="s">
        <v>1400</v>
      </c>
      <c r="C1387" s="13">
        <v>250455.0</v>
      </c>
      <c r="D1387" s="12" t="s">
        <v>94</v>
      </c>
      <c r="E1387" s="13" t="s">
        <v>781</v>
      </c>
      <c r="F1387" s="14">
        <v>0.5208333333333334</v>
      </c>
      <c r="G1387" s="13"/>
    </row>
    <row r="1388" spans="8:8" ht="32.25" customHeight="1">
      <c r="A1388" s="11">
        <v>2.0</v>
      </c>
      <c r="B1388" s="12" t="s">
        <v>1401</v>
      </c>
      <c r="C1388" s="13">
        <v>250488.0</v>
      </c>
      <c r="D1388" s="12" t="s">
        <v>94</v>
      </c>
      <c r="E1388" s="13" t="s">
        <v>781</v>
      </c>
      <c r="F1388" s="14">
        <v>0.5208333333333334</v>
      </c>
      <c r="G1388" s="13"/>
    </row>
    <row r="1389" spans="8:8" ht="32.25" customHeight="1">
      <c r="A1389" s="11">
        <v>3.0</v>
      </c>
      <c r="B1389" s="12" t="s">
        <v>1402</v>
      </c>
      <c r="C1389" s="13">
        <v>250498.0</v>
      </c>
      <c r="D1389" s="12" t="s">
        <v>94</v>
      </c>
      <c r="E1389" s="13" t="s">
        <v>781</v>
      </c>
      <c r="F1389" s="14">
        <v>0.5208333333333334</v>
      </c>
      <c r="G1389" s="13"/>
    </row>
    <row r="1390" spans="8:8" ht="32.25" customHeight="1">
      <c r="A1390" s="11">
        <v>4.0</v>
      </c>
      <c r="B1390" s="12" t="s">
        <v>1403</v>
      </c>
      <c r="C1390" s="13">
        <v>250568.0</v>
      </c>
      <c r="D1390" s="12" t="s">
        <v>94</v>
      </c>
      <c r="E1390" s="13" t="s">
        <v>781</v>
      </c>
      <c r="F1390" s="14">
        <v>0.5208333333333334</v>
      </c>
      <c r="G1390" s="13"/>
    </row>
    <row r="1391" spans="8:8" ht="32.25" customHeight="1">
      <c r="A1391" s="11">
        <v>5.0</v>
      </c>
      <c r="B1391" s="12" t="s">
        <v>1404</v>
      </c>
      <c r="C1391" s="13">
        <v>250589.0</v>
      </c>
      <c r="D1391" s="12" t="s">
        <v>94</v>
      </c>
      <c r="E1391" s="13" t="s">
        <v>781</v>
      </c>
      <c r="F1391" s="14">
        <v>0.5208333333333334</v>
      </c>
      <c r="G1391" s="13"/>
    </row>
    <row r="1392" spans="8:8" ht="32.25" customHeight="1">
      <c r="A1392" s="11">
        <v>6.0</v>
      </c>
      <c r="B1392" s="12" t="s">
        <v>1405</v>
      </c>
      <c r="C1392" s="13">
        <v>250603.0</v>
      </c>
      <c r="D1392" s="12" t="s">
        <v>94</v>
      </c>
      <c r="E1392" s="13" t="s">
        <v>781</v>
      </c>
      <c r="F1392" s="14">
        <v>0.5208333333333334</v>
      </c>
      <c r="G1392" s="13"/>
    </row>
    <row r="1393" spans="8:8" ht="32.25" customHeight="1">
      <c r="A1393" s="11">
        <v>7.0</v>
      </c>
      <c r="B1393" s="12" t="s">
        <v>1406</v>
      </c>
      <c r="C1393" s="13">
        <v>250050.0</v>
      </c>
      <c r="D1393" s="12" t="s">
        <v>27</v>
      </c>
      <c r="E1393" s="13" t="s">
        <v>781</v>
      </c>
      <c r="F1393" s="14">
        <v>0.5208333333333334</v>
      </c>
      <c r="G1393" s="13"/>
    </row>
    <row r="1394" spans="8:8" ht="32.25" customHeight="1">
      <c r="A1394" s="11">
        <v>8.0</v>
      </c>
      <c r="B1394" s="12" t="s">
        <v>1407</v>
      </c>
      <c r="C1394" s="13">
        <v>250127.0</v>
      </c>
      <c r="D1394" s="12" t="s">
        <v>27</v>
      </c>
      <c r="E1394" s="13" t="s">
        <v>781</v>
      </c>
      <c r="F1394" s="14">
        <v>0.5208333333333334</v>
      </c>
      <c r="G1394" s="13"/>
    </row>
    <row r="1395" spans="8:8" ht="32.25" customHeight="1">
      <c r="A1395" s="11">
        <v>9.0</v>
      </c>
      <c r="B1395" s="12" t="s">
        <v>1408</v>
      </c>
      <c r="C1395" s="13">
        <v>250145.0</v>
      </c>
      <c r="D1395" s="12" t="s">
        <v>27</v>
      </c>
      <c r="E1395" s="13" t="s">
        <v>781</v>
      </c>
      <c r="F1395" s="14">
        <v>0.5208333333333334</v>
      </c>
      <c r="G1395" s="13"/>
    </row>
    <row r="1396" spans="8:8" ht="32.25" customHeight="1">
      <c r="A1396" s="11">
        <v>10.0</v>
      </c>
      <c r="B1396" s="12" t="s">
        <v>1409</v>
      </c>
      <c r="C1396" s="13">
        <v>250149.0</v>
      </c>
      <c r="D1396" s="12" t="s">
        <v>27</v>
      </c>
      <c r="E1396" s="13" t="s">
        <v>781</v>
      </c>
      <c r="F1396" s="14">
        <v>0.5208333333333334</v>
      </c>
      <c r="G1396" s="13"/>
    </row>
    <row r="1397" spans="8:8" ht="32.25" customHeight="1">
      <c r="A1397" s="11">
        <v>11.0</v>
      </c>
      <c r="B1397" s="12" t="s">
        <v>1410</v>
      </c>
      <c r="C1397" s="13">
        <v>250150.0</v>
      </c>
      <c r="D1397" s="12" t="s">
        <v>27</v>
      </c>
      <c r="E1397" s="13" t="s">
        <v>781</v>
      </c>
      <c r="F1397" s="14">
        <v>0.5208333333333334</v>
      </c>
      <c r="G1397" s="13"/>
    </row>
    <row r="1398" spans="8:8" ht="32.25" customHeight="1">
      <c r="A1398" s="11">
        <v>12.0</v>
      </c>
      <c r="B1398" s="12" t="s">
        <v>1411</v>
      </c>
      <c r="C1398" s="13">
        <v>250159.0</v>
      </c>
      <c r="D1398" s="12" t="s">
        <v>27</v>
      </c>
      <c r="E1398" s="13" t="s">
        <v>781</v>
      </c>
      <c r="F1398" s="14">
        <v>0.5208333333333334</v>
      </c>
      <c r="G1398" s="13"/>
    </row>
    <row r="1399" spans="8:8" ht="32.25" customHeight="1">
      <c r="A1399" s="11">
        <v>13.0</v>
      </c>
      <c r="B1399" s="12" t="s">
        <v>1412</v>
      </c>
      <c r="C1399" s="13">
        <v>250163.0</v>
      </c>
      <c r="D1399" s="12" t="s">
        <v>27</v>
      </c>
      <c r="E1399" s="13" t="s">
        <v>781</v>
      </c>
      <c r="F1399" s="14">
        <v>0.5208333333333334</v>
      </c>
      <c r="G1399" s="13"/>
    </row>
    <row r="1400" spans="8:8" ht="32.25" customHeight="1">
      <c r="A1400" s="11">
        <v>14.0</v>
      </c>
      <c r="B1400" s="12" t="s">
        <v>1413</v>
      </c>
      <c r="C1400" s="13">
        <v>250175.0</v>
      </c>
      <c r="D1400" s="12" t="s">
        <v>27</v>
      </c>
      <c r="E1400" s="13" t="s">
        <v>781</v>
      </c>
      <c r="F1400" s="14">
        <v>0.5208333333333334</v>
      </c>
      <c r="G1400" s="13"/>
    </row>
    <row r="1401" spans="8:8" ht="32.25" customHeight="1">
      <c r="A1401" s="11">
        <v>15.0</v>
      </c>
      <c r="B1401" s="12" t="s">
        <v>1414</v>
      </c>
      <c r="C1401" s="13">
        <v>250234.0</v>
      </c>
      <c r="D1401" s="12" t="s">
        <v>27</v>
      </c>
      <c r="E1401" s="13" t="s">
        <v>781</v>
      </c>
      <c r="F1401" s="14">
        <v>0.5208333333333334</v>
      </c>
      <c r="G1401" s="13"/>
    </row>
    <row r="1402" spans="8:8" ht="32.25" customHeight="1">
      <c r="A1402" s="11">
        <v>16.0</v>
      </c>
      <c r="B1402" s="12" t="s">
        <v>1415</v>
      </c>
      <c r="C1402" s="13">
        <v>250240.0</v>
      </c>
      <c r="D1402" s="12" t="s">
        <v>27</v>
      </c>
      <c r="E1402" s="13" t="s">
        <v>781</v>
      </c>
      <c r="F1402" s="14">
        <v>0.5208333333333334</v>
      </c>
      <c r="G1402" s="13"/>
    </row>
    <row r="1403" spans="8:8" ht="32.25" customHeight="1">
      <c r="A1403" s="11">
        <v>17.0</v>
      </c>
      <c r="B1403" s="12" t="s">
        <v>1416</v>
      </c>
      <c r="C1403" s="13">
        <v>250238.0</v>
      </c>
      <c r="D1403" s="12" t="s">
        <v>27</v>
      </c>
      <c r="E1403" s="13" t="s">
        <v>781</v>
      </c>
      <c r="F1403" s="14">
        <v>0.5208333333333334</v>
      </c>
      <c r="G1403" s="13"/>
    </row>
    <row r="1404" spans="8:8" ht="32.25" customHeight="1">
      <c r="A1404" s="11">
        <v>18.0</v>
      </c>
      <c r="B1404" s="12" t="s">
        <v>1417</v>
      </c>
      <c r="C1404" s="13">
        <v>250292.0</v>
      </c>
      <c r="D1404" s="12" t="s">
        <v>27</v>
      </c>
      <c r="E1404" s="13" t="s">
        <v>781</v>
      </c>
      <c r="F1404" s="14">
        <v>0.5208333333333334</v>
      </c>
      <c r="G1404" s="13"/>
    </row>
    <row r="1405" spans="8:8" ht="32.25" customHeight="1">
      <c r="A1405" s="11">
        <v>19.0</v>
      </c>
      <c r="B1405" s="12" t="s">
        <v>1418</v>
      </c>
      <c r="C1405" s="13">
        <v>250041.0</v>
      </c>
      <c r="D1405" s="12" t="s">
        <v>27</v>
      </c>
      <c r="E1405" s="13" t="s">
        <v>781</v>
      </c>
      <c r="F1405" s="14">
        <v>0.5208333333333334</v>
      </c>
      <c r="G1405" s="13"/>
    </row>
    <row r="1406" spans="8:8" ht="32.25" customHeight="1">
      <c r="A1406" s="11">
        <v>20.0</v>
      </c>
      <c r="B1406" s="12" t="s">
        <v>1419</v>
      </c>
      <c r="C1406" s="13">
        <v>250113.0</v>
      </c>
      <c r="D1406" s="12" t="s">
        <v>27</v>
      </c>
      <c r="E1406" s="13" t="s">
        <v>781</v>
      </c>
      <c r="F1406" s="14">
        <v>0.5208333333333334</v>
      </c>
      <c r="G1406" s="13"/>
    </row>
    <row r="1407" spans="8:8" ht="32.25" customHeight="1">
      <c r="A1407" s="11">
        <v>21.0</v>
      </c>
      <c r="B1407" s="12" t="s">
        <v>1420</v>
      </c>
      <c r="C1407" s="13">
        <v>250685.0</v>
      </c>
      <c r="D1407" s="12" t="s">
        <v>56</v>
      </c>
      <c r="E1407" s="13" t="s">
        <v>781</v>
      </c>
      <c r="F1407" s="14">
        <v>0.5208333333333334</v>
      </c>
      <c r="G1407" s="13"/>
    </row>
    <row r="1408" spans="8:8" ht="32.25" customHeight="1">
      <c r="A1408" s="11">
        <v>22.0</v>
      </c>
      <c r="B1408" s="12" t="s">
        <v>1421</v>
      </c>
      <c r="C1408" s="13">
        <v>250757.0</v>
      </c>
      <c r="D1408" s="12" t="s">
        <v>56</v>
      </c>
      <c r="E1408" s="13" t="s">
        <v>781</v>
      </c>
      <c r="F1408" s="14">
        <v>0.5208333333333334</v>
      </c>
      <c r="G1408" s="13"/>
    </row>
    <row r="1409" spans="8:8" ht="32.25" customHeight="1">
      <c r="A1409" s="11">
        <v>23.0</v>
      </c>
      <c r="B1409" s="12" t="s">
        <v>1422</v>
      </c>
      <c r="C1409" s="13">
        <v>250813.0</v>
      </c>
      <c r="D1409" s="12" t="s">
        <v>56</v>
      </c>
      <c r="E1409" s="13" t="s">
        <v>781</v>
      </c>
      <c r="F1409" s="14">
        <v>0.5208333333333334</v>
      </c>
      <c r="G1409" s="13"/>
    </row>
    <row r="1410" spans="8:8" ht="32.25" customHeight="1">
      <c r="A1410" s="11">
        <v>24.0</v>
      </c>
      <c r="B1410" s="12" t="s">
        <v>1423</v>
      </c>
      <c r="C1410" s="13">
        <v>250836.0</v>
      </c>
      <c r="D1410" s="12" t="s">
        <v>56</v>
      </c>
      <c r="E1410" s="13" t="s">
        <v>781</v>
      </c>
      <c r="F1410" s="14">
        <v>0.5208333333333334</v>
      </c>
      <c r="G1410" s="13"/>
    </row>
    <row r="1411" spans="8:8" ht="32.25" customHeight="1">
      <c r="A1411" s="11">
        <v>25.0</v>
      </c>
      <c r="B1411" s="12" t="s">
        <v>1424</v>
      </c>
      <c r="C1411" s="13">
        <v>250899.0</v>
      </c>
      <c r="D1411" s="12" t="s">
        <v>56</v>
      </c>
      <c r="E1411" s="13" t="s">
        <v>781</v>
      </c>
      <c r="F1411" s="14">
        <v>0.5208333333333334</v>
      </c>
      <c r="G1411" s="13"/>
    </row>
    <row r="1412" spans="8:8" ht="32.25" customHeight="1">
      <c r="A1412" s="11">
        <v>26.0</v>
      </c>
      <c r="B1412" s="12" t="s">
        <v>1425</v>
      </c>
      <c r="C1412" s="13">
        <v>241045.0</v>
      </c>
      <c r="D1412" s="12" t="s">
        <v>606</v>
      </c>
      <c r="E1412" s="13" t="s">
        <v>781</v>
      </c>
      <c r="F1412" s="14">
        <v>0.5208333333333334</v>
      </c>
      <c r="G1412" s="13"/>
    </row>
    <row r="1413" spans="8:8" ht="32.25" customHeight="1">
      <c r="A1413" s="11">
        <v>27.0</v>
      </c>
      <c r="B1413" s="12" t="s">
        <v>1426</v>
      </c>
      <c r="C1413" s="13">
        <v>240643.0</v>
      </c>
      <c r="D1413" s="12" t="s">
        <v>606</v>
      </c>
      <c r="E1413" s="13" t="s">
        <v>781</v>
      </c>
      <c r="F1413" s="14">
        <v>0.5208333333333334</v>
      </c>
      <c r="G1413" s="13"/>
    </row>
    <row r="1414" spans="8:8" ht="32.25" customHeight="1">
      <c r="A1414" s="8" t="s">
        <v>18</v>
      </c>
      <c r="B1414" s="9" t="s">
        <v>19</v>
      </c>
      <c r="C1414" s="9" t="s">
        <v>20</v>
      </c>
      <c r="D1414" s="9" t="s">
        <v>21</v>
      </c>
      <c r="E1414" s="9" t="s">
        <v>22</v>
      </c>
      <c r="F1414" s="10" t="s">
        <v>23</v>
      </c>
      <c r="G1414" s="9" t="s">
        <v>474</v>
      </c>
    </row>
    <row r="1415" spans="8:8" ht="32.25" customHeight="1">
      <c r="A1415" s="15">
        <v>1.0</v>
      </c>
      <c r="B1415" s="12" t="s">
        <v>1427</v>
      </c>
      <c r="C1415" s="13">
        <v>250931.0</v>
      </c>
      <c r="D1415" s="12" t="s">
        <v>56</v>
      </c>
      <c r="E1415" s="13" t="s">
        <v>781</v>
      </c>
      <c r="F1415" s="14">
        <v>0.5208333333333334</v>
      </c>
      <c r="G1415" s="13"/>
    </row>
    <row r="1416" spans="8:8" ht="32.25" customHeight="1">
      <c r="A1416" s="15">
        <v>2.0</v>
      </c>
      <c r="B1416" s="12" t="s">
        <v>1428</v>
      </c>
      <c r="C1416" s="13">
        <v>251030.0</v>
      </c>
      <c r="D1416" s="12" t="s">
        <v>56</v>
      </c>
      <c r="E1416" s="13" t="s">
        <v>781</v>
      </c>
      <c r="F1416" s="14">
        <v>0.5208333333333334</v>
      </c>
      <c r="G1416" s="17"/>
    </row>
    <row r="1417" spans="8:8" ht="32.25" customHeight="1">
      <c r="A1417" s="15">
        <v>3.0</v>
      </c>
      <c r="B1417" s="12" t="s">
        <v>1429</v>
      </c>
      <c r="C1417" s="13">
        <v>251089.0</v>
      </c>
      <c r="D1417" s="12" t="s">
        <v>56</v>
      </c>
      <c r="E1417" s="13" t="s">
        <v>781</v>
      </c>
      <c r="F1417" s="14">
        <v>0.5208333333333334</v>
      </c>
      <c r="G1417" s="17"/>
    </row>
    <row r="1418" spans="8:8" ht="32.25" customHeight="1">
      <c r="A1418" s="15">
        <v>4.0</v>
      </c>
      <c r="B1418" s="12" t="s">
        <v>1430</v>
      </c>
      <c r="C1418" s="13">
        <v>250677.0</v>
      </c>
      <c r="D1418" s="12" t="s">
        <v>56</v>
      </c>
      <c r="E1418" s="13" t="s">
        <v>781</v>
      </c>
      <c r="F1418" s="14">
        <v>0.5208333333333334</v>
      </c>
      <c r="G1418" s="17"/>
    </row>
    <row r="1419" spans="8:8" ht="32.25" customHeight="1">
      <c r="A1419" s="15">
        <v>5.0</v>
      </c>
      <c r="B1419" s="12" t="s">
        <v>1431</v>
      </c>
      <c r="C1419" s="13">
        <v>250706.0</v>
      </c>
      <c r="D1419" s="12" t="s">
        <v>56</v>
      </c>
      <c r="E1419" s="13" t="s">
        <v>781</v>
      </c>
      <c r="F1419" s="14">
        <v>0.5208333333333334</v>
      </c>
      <c r="G1419" s="17"/>
    </row>
    <row r="1420" spans="8:8" ht="32.25" customHeight="1">
      <c r="A1420" s="15">
        <v>6.0</v>
      </c>
      <c r="B1420" s="12" t="s">
        <v>1432</v>
      </c>
      <c r="C1420" s="13">
        <v>251029.0</v>
      </c>
      <c r="D1420" s="12" t="s">
        <v>56</v>
      </c>
      <c r="E1420" s="13" t="s">
        <v>781</v>
      </c>
      <c r="F1420" s="14">
        <v>0.5208333333333334</v>
      </c>
      <c r="G1420" s="17"/>
    </row>
    <row r="1421" spans="8:8" ht="32.25" customHeight="1">
      <c r="A1421" s="15">
        <v>7.0</v>
      </c>
      <c r="B1421" s="12" t="s">
        <v>1433</v>
      </c>
      <c r="C1421" s="13">
        <v>250853.0</v>
      </c>
      <c r="D1421" s="12" t="s">
        <v>56</v>
      </c>
      <c r="E1421" s="13" t="s">
        <v>781</v>
      </c>
      <c r="F1421" s="14">
        <v>0.5208333333333334</v>
      </c>
      <c r="G1421" s="17"/>
    </row>
    <row r="1422" spans="8:8" ht="32.25" customHeight="1">
      <c r="A1422" s="15">
        <v>8.0</v>
      </c>
      <c r="B1422" s="12" t="s">
        <v>1434</v>
      </c>
      <c r="C1422" s="13">
        <v>241119.0</v>
      </c>
      <c r="D1422" s="12" t="s">
        <v>606</v>
      </c>
      <c r="E1422" s="13" t="s">
        <v>781</v>
      </c>
      <c r="F1422" s="14">
        <v>0.5208333333333334</v>
      </c>
      <c r="G1422" s="17"/>
    </row>
    <row r="1423" spans="8:8" ht="32.25" customHeight="1">
      <c r="A1423" s="15">
        <v>9.0</v>
      </c>
      <c r="B1423" s="12" t="s">
        <v>1435</v>
      </c>
      <c r="C1423" s="13">
        <v>250156.0</v>
      </c>
      <c r="D1423" s="12" t="s">
        <v>27</v>
      </c>
      <c r="E1423" s="13" t="s">
        <v>781</v>
      </c>
      <c r="F1423" s="14">
        <v>0.5208333333333334</v>
      </c>
      <c r="G1423" s="17"/>
    </row>
    <row r="1424" spans="8:8" ht="32.25" customHeight="1">
      <c r="A1424" s="15">
        <v>10.0</v>
      </c>
      <c r="B1424" s="12" t="s">
        <v>1436</v>
      </c>
      <c r="C1424" s="13">
        <v>250644.0</v>
      </c>
      <c r="D1424" s="12" t="s">
        <v>56</v>
      </c>
      <c r="E1424" s="13" t="s">
        <v>781</v>
      </c>
      <c r="F1424" s="14">
        <v>0.5208333333333334</v>
      </c>
      <c r="G1424" s="17"/>
    </row>
    <row r="1425" spans="8:8" ht="32.25" customHeight="1">
      <c r="A1425" s="15">
        <v>11.0</v>
      </c>
      <c r="B1425" s="12" t="s">
        <v>1437</v>
      </c>
      <c r="C1425" s="13">
        <v>250794.0</v>
      </c>
      <c r="D1425" s="12" t="s">
        <v>56</v>
      </c>
      <c r="E1425" s="13" t="s">
        <v>781</v>
      </c>
      <c r="F1425" s="14">
        <v>0.5208333333333334</v>
      </c>
      <c r="G1425" s="17"/>
    </row>
    <row r="1426" spans="8:8" ht="32.25" customHeight="1">
      <c r="A1426" s="15">
        <v>12.0</v>
      </c>
      <c r="B1426" s="12" t="s">
        <v>1438</v>
      </c>
      <c r="C1426" s="13">
        <v>250694.0</v>
      </c>
      <c r="D1426" s="12" t="s">
        <v>56</v>
      </c>
      <c r="E1426" s="13" t="s">
        <v>781</v>
      </c>
      <c r="F1426" s="14">
        <v>0.5208333333333334</v>
      </c>
      <c r="G1426" s="17"/>
    </row>
    <row r="1427" spans="8:8" ht="32.25" customHeight="1">
      <c r="A1427" s="15">
        <v>13.0</v>
      </c>
      <c r="B1427" s="12" t="s">
        <v>1439</v>
      </c>
      <c r="C1427" s="13">
        <v>241046.0</v>
      </c>
      <c r="D1427" s="12" t="s">
        <v>606</v>
      </c>
      <c r="E1427" s="13" t="s">
        <v>781</v>
      </c>
      <c r="F1427" s="14">
        <v>0.5208333333333334</v>
      </c>
      <c r="G1427" s="17"/>
    </row>
    <row r="1428" spans="8:8" ht="32.25" customHeight="1">
      <c r="A1428" s="15">
        <v>14.0</v>
      </c>
      <c r="B1428" s="12" t="s">
        <v>1440</v>
      </c>
      <c r="C1428" s="13">
        <v>251195.0</v>
      </c>
      <c r="D1428" s="12" t="s">
        <v>56</v>
      </c>
      <c r="E1428" s="13" t="s">
        <v>781</v>
      </c>
      <c r="F1428" s="14">
        <v>0.5208333333333334</v>
      </c>
      <c r="G1428" s="17"/>
    </row>
    <row r="1429" spans="8:8" ht="32.25" customHeight="1">
      <c r="A1429" s="15">
        <v>15.0</v>
      </c>
      <c r="B1429" s="12" t="s">
        <v>1441</v>
      </c>
      <c r="C1429" s="13">
        <v>251209.0</v>
      </c>
      <c r="D1429" s="12" t="s">
        <v>56</v>
      </c>
      <c r="E1429" s="13" t="s">
        <v>781</v>
      </c>
      <c r="F1429" s="14">
        <v>0.5208333333333334</v>
      </c>
      <c r="G1429" s="17"/>
    </row>
    <row r="1430" spans="8:8" ht="32.25" customHeight="1">
      <c r="A1430" s="15">
        <v>16.0</v>
      </c>
      <c r="B1430" s="12" t="s">
        <v>1442</v>
      </c>
      <c r="C1430" s="13">
        <v>252955.0</v>
      </c>
      <c r="D1430" s="12" t="s">
        <v>56</v>
      </c>
      <c r="E1430" s="13" t="s">
        <v>781</v>
      </c>
      <c r="F1430" s="14">
        <v>0.5208333333333334</v>
      </c>
      <c r="G1430" s="17"/>
    </row>
    <row r="1431" spans="8:8" ht="32.25" customHeight="1">
      <c r="A1431" s="15">
        <v>17.0</v>
      </c>
      <c r="B1431" s="12" t="s">
        <v>1443</v>
      </c>
      <c r="C1431" s="13">
        <v>252956.0</v>
      </c>
      <c r="D1431" s="12" t="s">
        <v>56</v>
      </c>
      <c r="E1431" s="13" t="s">
        <v>781</v>
      </c>
      <c r="F1431" s="14">
        <v>0.5208333333333334</v>
      </c>
      <c r="G1431" s="17"/>
    </row>
    <row r="1432" spans="8:8" ht="32.25" customHeight="1">
      <c r="A1432" s="15">
        <v>18.0</v>
      </c>
      <c r="B1432" s="12" t="s">
        <v>1444</v>
      </c>
      <c r="C1432" s="13">
        <v>251112.0</v>
      </c>
      <c r="D1432" s="12" t="s">
        <v>56</v>
      </c>
      <c r="E1432" s="13" t="s">
        <v>781</v>
      </c>
      <c r="F1432" s="14">
        <v>0.5208333333333334</v>
      </c>
      <c r="G1432" s="17"/>
    </row>
    <row r="1433" spans="8:8" ht="32.25" customHeight="1">
      <c r="A1433" s="15">
        <v>19.0</v>
      </c>
      <c r="B1433" s="12" t="s">
        <v>1445</v>
      </c>
      <c r="C1433" s="13">
        <v>251221.0</v>
      </c>
      <c r="D1433" s="12" t="s">
        <v>56</v>
      </c>
      <c r="E1433" s="13" t="s">
        <v>781</v>
      </c>
      <c r="F1433" s="14">
        <v>0.5208333333333334</v>
      </c>
      <c r="G1433" s="17"/>
    </row>
    <row r="1434" spans="8:8" ht="32.25" customHeight="1">
      <c r="A1434" s="15">
        <v>20.0</v>
      </c>
      <c r="B1434" s="12" t="s">
        <v>1446</v>
      </c>
      <c r="C1434" s="13">
        <v>251109.0</v>
      </c>
      <c r="D1434" s="12" t="s">
        <v>56</v>
      </c>
      <c r="E1434" s="13" t="s">
        <v>781</v>
      </c>
      <c r="F1434" s="14">
        <v>0.5208333333333334</v>
      </c>
      <c r="G1434" s="17"/>
    </row>
    <row r="1435" spans="8:8" ht="32.25" customHeight="1">
      <c r="A1435" s="15">
        <v>21.0</v>
      </c>
      <c r="B1435" s="12" t="s">
        <v>1447</v>
      </c>
      <c r="C1435" s="13">
        <v>251238.0</v>
      </c>
      <c r="D1435" s="12" t="s">
        <v>56</v>
      </c>
      <c r="E1435" s="13" t="s">
        <v>781</v>
      </c>
      <c r="F1435" s="14">
        <v>0.5208333333333334</v>
      </c>
      <c r="G1435" s="17"/>
    </row>
    <row r="1436" spans="8:8" ht="32.25" customHeight="1">
      <c r="A1436" s="15">
        <v>22.0</v>
      </c>
      <c r="B1436" s="12" t="s">
        <v>1448</v>
      </c>
      <c r="C1436" s="13">
        <v>251059.0</v>
      </c>
      <c r="D1436" s="12" t="s">
        <v>56</v>
      </c>
      <c r="E1436" s="13" t="s">
        <v>781</v>
      </c>
      <c r="F1436" s="14">
        <v>0.5208333333333334</v>
      </c>
      <c r="G1436" s="17"/>
    </row>
    <row r="1437" spans="8:8" ht="32.25" customHeight="1">
      <c r="A1437" s="15">
        <v>23.0</v>
      </c>
      <c r="B1437" s="12" t="s">
        <v>1449</v>
      </c>
      <c r="C1437" s="13">
        <v>240947.0</v>
      </c>
      <c r="D1437" s="12" t="s">
        <v>606</v>
      </c>
      <c r="E1437" s="13" t="s">
        <v>781</v>
      </c>
      <c r="F1437" s="14">
        <v>0.5208333333333334</v>
      </c>
      <c r="G1437" s="17"/>
    </row>
    <row r="1438" spans="8:8" ht="32.25" customHeight="1">
      <c r="A1438" s="15">
        <v>24.0</v>
      </c>
      <c r="B1438" s="12" t="s">
        <v>1450</v>
      </c>
      <c r="C1438" s="13">
        <v>240779.0</v>
      </c>
      <c r="D1438" s="12" t="s">
        <v>606</v>
      </c>
      <c r="E1438" s="13" t="s">
        <v>781</v>
      </c>
      <c r="F1438" s="14">
        <v>0.5208333333333334</v>
      </c>
      <c r="G1438" s="17"/>
    </row>
    <row r="1439" spans="8:8" ht="32.25" customHeight="1">
      <c r="A1439" s="15">
        <v>25.0</v>
      </c>
      <c r="B1439" s="12" t="s">
        <v>1451</v>
      </c>
      <c r="C1439" s="13">
        <v>240777.0</v>
      </c>
      <c r="D1439" s="12" t="s">
        <v>606</v>
      </c>
      <c r="E1439" s="13" t="s">
        <v>781</v>
      </c>
      <c r="F1439" s="14">
        <v>0.5208333333333334</v>
      </c>
      <c r="G1439" s="17"/>
    </row>
    <row r="1440" spans="8:8" ht="32.25" customHeight="1">
      <c r="A1440" s="15">
        <v>26.0</v>
      </c>
      <c r="B1440" s="12" t="s">
        <v>1452</v>
      </c>
      <c r="C1440" s="13">
        <v>240852.0</v>
      </c>
      <c r="D1440" s="12" t="s">
        <v>606</v>
      </c>
      <c r="E1440" s="13" t="s">
        <v>781</v>
      </c>
      <c r="F1440" s="14">
        <v>0.5208333333333334</v>
      </c>
      <c r="G1440" s="17"/>
    </row>
    <row r="1441" spans="8:8" ht="32.25" customHeight="1">
      <c r="A1441" s="15">
        <v>27.0</v>
      </c>
      <c r="B1441" s="12" t="s">
        <v>1453</v>
      </c>
      <c r="C1441" s="13">
        <v>241011.0</v>
      </c>
      <c r="D1441" s="12" t="s">
        <v>606</v>
      </c>
      <c r="E1441" s="13" t="s">
        <v>781</v>
      </c>
      <c r="F1441" s="14">
        <v>0.5208333333333334</v>
      </c>
      <c r="G1441" s="17"/>
    </row>
    <row r="1442" spans="8:8" ht="32.25" customHeight="1">
      <c r="A1442" s="8" t="s">
        <v>18</v>
      </c>
      <c r="B1442" s="9" t="s">
        <v>19</v>
      </c>
      <c r="C1442" s="9" t="s">
        <v>20</v>
      </c>
      <c r="D1442" s="9" t="s">
        <v>21</v>
      </c>
      <c r="E1442" s="9" t="s">
        <v>22</v>
      </c>
      <c r="F1442" s="10" t="s">
        <v>23</v>
      </c>
      <c r="G1442" s="9" t="s">
        <v>500</v>
      </c>
    </row>
    <row r="1443" spans="8:8" ht="32.25" customHeight="1">
      <c r="A1443" s="15">
        <v>1.0</v>
      </c>
      <c r="B1443" s="12" t="s">
        <v>1454</v>
      </c>
      <c r="C1443" s="13">
        <v>250109.0</v>
      </c>
      <c r="D1443" s="12" t="s">
        <v>27</v>
      </c>
      <c r="E1443" s="13" t="s">
        <v>111</v>
      </c>
      <c r="F1443" s="14">
        <v>0.5208333333333334</v>
      </c>
      <c r="G1443" s="13"/>
    </row>
    <row r="1444" spans="8:8" ht="32.25" customHeight="1">
      <c r="A1444" s="15">
        <v>2.0</v>
      </c>
      <c r="B1444" s="12" t="s">
        <v>1455</v>
      </c>
      <c r="C1444" s="13">
        <v>250118.0</v>
      </c>
      <c r="D1444" s="12" t="s">
        <v>27</v>
      </c>
      <c r="E1444" s="13" t="s">
        <v>111</v>
      </c>
      <c r="F1444" s="14">
        <v>0.5208333333333334</v>
      </c>
      <c r="G1444" s="17"/>
    </row>
    <row r="1445" spans="8:8" ht="32.25" customHeight="1">
      <c r="A1445" s="15">
        <v>3.0</v>
      </c>
      <c r="B1445" s="12" t="s">
        <v>1456</v>
      </c>
      <c r="C1445" s="13">
        <v>250158.0</v>
      </c>
      <c r="D1445" s="12" t="s">
        <v>27</v>
      </c>
      <c r="E1445" s="13" t="s">
        <v>111</v>
      </c>
      <c r="F1445" s="14">
        <v>0.5208333333333334</v>
      </c>
      <c r="G1445" s="17"/>
    </row>
    <row r="1446" spans="8:8" ht="32.25" customHeight="1">
      <c r="A1446" s="15">
        <v>4.0</v>
      </c>
      <c r="B1446" s="12" t="s">
        <v>1457</v>
      </c>
      <c r="C1446" s="13">
        <v>252964.0</v>
      </c>
      <c r="D1446" s="12" t="s">
        <v>27</v>
      </c>
      <c r="E1446" s="13" t="s">
        <v>111</v>
      </c>
      <c r="F1446" s="14">
        <v>0.5208333333333334</v>
      </c>
      <c r="G1446" s="17"/>
    </row>
    <row r="1447" spans="8:8" ht="32.25" customHeight="1">
      <c r="A1447" s="15">
        <v>5.0</v>
      </c>
      <c r="B1447" s="12" t="s">
        <v>1458</v>
      </c>
      <c r="C1447" s="13">
        <v>252982.0</v>
      </c>
      <c r="D1447" s="12" t="s">
        <v>27</v>
      </c>
      <c r="E1447" s="13" t="s">
        <v>111</v>
      </c>
      <c r="F1447" s="14">
        <v>0.5208333333333334</v>
      </c>
      <c r="G1447" s="17"/>
    </row>
    <row r="1448" spans="8:8" ht="32.25" customHeight="1">
      <c r="A1448" s="15">
        <v>6.0</v>
      </c>
      <c r="B1448" s="12" t="s">
        <v>1459</v>
      </c>
      <c r="C1448" s="13">
        <v>253114.0</v>
      </c>
      <c r="D1448" s="12" t="s">
        <v>27</v>
      </c>
      <c r="E1448" s="13" t="s">
        <v>111</v>
      </c>
      <c r="F1448" s="14">
        <v>0.5208333333333334</v>
      </c>
      <c r="G1448" s="17"/>
    </row>
    <row r="1449" spans="8:8" ht="32.25" customHeight="1">
      <c r="A1449" s="15">
        <v>7.0</v>
      </c>
      <c r="B1449" s="12" t="s">
        <v>1460</v>
      </c>
      <c r="C1449" s="13">
        <v>253128.0</v>
      </c>
      <c r="D1449" s="12" t="s">
        <v>27</v>
      </c>
      <c r="E1449" s="13" t="s">
        <v>111</v>
      </c>
      <c r="F1449" s="14">
        <v>0.5208333333333334</v>
      </c>
      <c r="G1449" s="17"/>
    </row>
    <row r="1450" spans="8:8" ht="32.25" customHeight="1">
      <c r="A1450" s="15">
        <v>8.0</v>
      </c>
      <c r="B1450" s="12" t="s">
        <v>1461</v>
      </c>
      <c r="C1450" s="13">
        <v>253172.0</v>
      </c>
      <c r="D1450" s="12" t="s">
        <v>56</v>
      </c>
      <c r="E1450" s="13" t="s">
        <v>111</v>
      </c>
      <c r="F1450" s="14">
        <v>0.5208333333333334</v>
      </c>
      <c r="G1450" s="17"/>
    </row>
    <row r="1451" spans="8:8" ht="32.25" customHeight="1">
      <c r="A1451" s="15">
        <v>9.0</v>
      </c>
      <c r="B1451" s="12" t="s">
        <v>1462</v>
      </c>
      <c r="C1451" s="13">
        <v>253056.0</v>
      </c>
      <c r="D1451" s="12" t="s">
        <v>27</v>
      </c>
      <c r="E1451" s="13" t="s">
        <v>111</v>
      </c>
      <c r="F1451" s="14">
        <v>0.5208333333333334</v>
      </c>
      <c r="G1451" s="17"/>
    </row>
    <row r="1452" spans="8:8" ht="32.25" customHeight="1">
      <c r="A1452" s="15">
        <v>10.0</v>
      </c>
      <c r="B1452" s="12" t="s">
        <v>1463</v>
      </c>
      <c r="C1452" s="13">
        <v>253162.0</v>
      </c>
      <c r="D1452" s="12" t="s">
        <v>104</v>
      </c>
      <c r="E1452" s="13" t="s">
        <v>111</v>
      </c>
      <c r="F1452" s="14">
        <v>0.5208333333333334</v>
      </c>
      <c r="G1452" s="17"/>
    </row>
    <row r="1453" spans="8:8" ht="32.25" customHeight="1">
      <c r="A1453" s="15">
        <v>11.0</v>
      </c>
      <c r="B1453" s="12" t="s">
        <v>1464</v>
      </c>
      <c r="C1453" s="13">
        <v>250180.0</v>
      </c>
      <c r="D1453" s="12" t="s">
        <v>27</v>
      </c>
      <c r="E1453" s="13" t="s">
        <v>111</v>
      </c>
      <c r="F1453" s="14">
        <v>0.5208333333333334</v>
      </c>
      <c r="G1453" s="17"/>
    </row>
    <row r="1454" spans="8:8" ht="32.25" customHeight="1">
      <c r="A1454" s="15">
        <v>12.0</v>
      </c>
      <c r="B1454" s="12" t="s">
        <v>1465</v>
      </c>
      <c r="C1454" s="13">
        <v>253097.0</v>
      </c>
      <c r="D1454" s="12" t="s">
        <v>56</v>
      </c>
      <c r="E1454" s="13" t="s">
        <v>111</v>
      </c>
      <c r="F1454" s="14">
        <v>0.5208333333333334</v>
      </c>
      <c r="G1454" s="17"/>
    </row>
    <row r="1455" spans="8:8" ht="32.25" customHeight="1">
      <c r="A1455" s="15">
        <v>13.0</v>
      </c>
      <c r="B1455" s="12" t="s">
        <v>1466</v>
      </c>
      <c r="C1455" s="13">
        <v>253073.0</v>
      </c>
      <c r="D1455" s="12" t="s">
        <v>27</v>
      </c>
      <c r="E1455" s="13" t="s">
        <v>111</v>
      </c>
      <c r="F1455" s="14">
        <v>0.5208333333333334</v>
      </c>
      <c r="G1455" s="17"/>
    </row>
    <row r="1456" spans="8:8" ht="32.25" customHeight="1">
      <c r="A1456" s="15">
        <v>14.0</v>
      </c>
      <c r="B1456" s="12" t="s">
        <v>1467</v>
      </c>
      <c r="C1456" s="13">
        <v>250885.0</v>
      </c>
      <c r="D1456" s="12" t="s">
        <v>56</v>
      </c>
      <c r="E1456" s="13" t="s">
        <v>111</v>
      </c>
      <c r="F1456" s="14">
        <v>0.5208333333333334</v>
      </c>
      <c r="G1456" s="17"/>
    </row>
    <row r="1457" spans="8:8" ht="32.25" customHeight="1">
      <c r="A1457" s="15">
        <v>15.0</v>
      </c>
      <c r="B1457" s="12" t="s">
        <v>1468</v>
      </c>
      <c r="C1457" s="13">
        <v>250166.0</v>
      </c>
      <c r="D1457" s="12" t="s">
        <v>27</v>
      </c>
      <c r="E1457" s="13" t="s">
        <v>111</v>
      </c>
      <c r="F1457" s="14">
        <v>0.5208333333333334</v>
      </c>
      <c r="G1457" s="17"/>
    </row>
    <row r="1458" spans="8:8" ht="32.25" customHeight="1">
      <c r="A1458" s="15">
        <v>16.0</v>
      </c>
      <c r="B1458" s="12" t="s">
        <v>1469</v>
      </c>
      <c r="C1458" s="13">
        <v>253057.0</v>
      </c>
      <c r="D1458" s="12" t="s">
        <v>27</v>
      </c>
      <c r="E1458" s="13" t="s">
        <v>111</v>
      </c>
      <c r="F1458" s="14">
        <v>0.5208333333333334</v>
      </c>
      <c r="G1458" s="17"/>
    </row>
    <row r="1459" spans="8:8" ht="32.25" customHeight="1">
      <c r="A1459" s="15">
        <v>17.0</v>
      </c>
      <c r="B1459" s="12" t="s">
        <v>1470</v>
      </c>
      <c r="C1459" s="13">
        <v>253075.0</v>
      </c>
      <c r="D1459" s="12" t="s">
        <v>27</v>
      </c>
      <c r="E1459" s="13" t="s">
        <v>111</v>
      </c>
      <c r="F1459" s="14">
        <v>0.5208333333333334</v>
      </c>
      <c r="G1459" s="17"/>
    </row>
    <row r="1460" spans="8:8" ht="32.25" customHeight="1">
      <c r="A1460" s="15">
        <v>18.0</v>
      </c>
      <c r="B1460" s="12" t="s">
        <v>1471</v>
      </c>
      <c r="C1460" s="13">
        <v>241950.0</v>
      </c>
      <c r="D1460" s="12" t="s">
        <v>1369</v>
      </c>
      <c r="E1460" s="13" t="s">
        <v>111</v>
      </c>
      <c r="F1460" s="14">
        <v>0.5208333333333334</v>
      </c>
      <c r="G1460" s="17"/>
    </row>
    <row r="1461" spans="8:8" ht="32.25" customHeight="1">
      <c r="A1461" s="15">
        <v>19.0</v>
      </c>
      <c r="B1461" s="12" t="s">
        <v>1472</v>
      </c>
      <c r="C1461" s="13">
        <v>240639.0</v>
      </c>
      <c r="D1461" s="12" t="s">
        <v>606</v>
      </c>
      <c r="E1461" s="34" t="s">
        <v>111</v>
      </c>
      <c r="F1461" s="14">
        <v>0.5208333333333334</v>
      </c>
      <c r="G1461" s="25"/>
    </row>
    <row r="1462" spans="8:8" ht="32.25" customHeight="1">
      <c r="A1462" s="15">
        <v>20.0</v>
      </c>
      <c r="B1462" s="12" t="s">
        <v>1473</v>
      </c>
      <c r="C1462" s="13">
        <v>241930.0</v>
      </c>
      <c r="D1462" s="12" t="s">
        <v>606</v>
      </c>
      <c r="E1462" s="34" t="s">
        <v>111</v>
      </c>
      <c r="F1462" s="14">
        <v>0.5208333333333334</v>
      </c>
      <c r="G1462" s="25"/>
    </row>
    <row r="1463" spans="8:8" ht="32.25" customHeight="1">
      <c r="A1463" s="15">
        <v>21.0</v>
      </c>
      <c r="B1463" s="12" t="s">
        <v>1474</v>
      </c>
      <c r="C1463" s="13">
        <v>241931.0</v>
      </c>
      <c r="D1463" s="12" t="s">
        <v>606</v>
      </c>
      <c r="E1463" s="13" t="s">
        <v>111</v>
      </c>
      <c r="F1463" s="14">
        <v>0.5208333333333334</v>
      </c>
      <c r="G1463" s="13"/>
    </row>
    <row r="1464" spans="8:8" ht="32.25" customHeight="1">
      <c r="A1464" s="15">
        <v>22.0</v>
      </c>
      <c r="B1464" s="12" t="s">
        <v>1475</v>
      </c>
      <c r="C1464" s="13">
        <v>241934.0</v>
      </c>
      <c r="D1464" s="12" t="s">
        <v>606</v>
      </c>
      <c r="E1464" s="13" t="s">
        <v>111</v>
      </c>
      <c r="F1464" s="14">
        <v>0.5208333333333334</v>
      </c>
      <c r="G1464" s="13"/>
    </row>
    <row r="1465" spans="8:8" ht="32.25" customHeight="1">
      <c r="A1465" s="8" t="s">
        <v>18</v>
      </c>
      <c r="B1465" s="9" t="s">
        <v>19</v>
      </c>
      <c r="C1465" s="9" t="s">
        <v>20</v>
      </c>
      <c r="D1465" s="9" t="s">
        <v>21</v>
      </c>
      <c r="E1465" s="9" t="s">
        <v>22</v>
      </c>
      <c r="F1465" s="10" t="s">
        <v>23</v>
      </c>
      <c r="G1465" s="9" t="s">
        <v>526</v>
      </c>
    </row>
    <row r="1466" spans="8:8" ht="32.25" customHeight="1">
      <c r="A1466" s="11">
        <v>1.0</v>
      </c>
      <c r="B1466" s="12" t="s">
        <v>1476</v>
      </c>
      <c r="C1466" s="13">
        <v>250558.0</v>
      </c>
      <c r="D1466" s="12" t="s">
        <v>94</v>
      </c>
      <c r="E1466" s="13" t="s">
        <v>1477</v>
      </c>
      <c r="F1466" s="14">
        <v>0.5208333333333334</v>
      </c>
      <c r="G1466" s="13"/>
    </row>
    <row r="1467" spans="8:8" ht="32.25" customHeight="1">
      <c r="A1467" s="11">
        <v>2.0</v>
      </c>
      <c r="B1467" s="12" t="s">
        <v>1478</v>
      </c>
      <c r="C1467" s="13">
        <v>240659.0</v>
      </c>
      <c r="D1467" s="12" t="s">
        <v>606</v>
      </c>
      <c r="E1467" s="13" t="s">
        <v>1477</v>
      </c>
      <c r="F1467" s="14">
        <v>0.5208333333333334</v>
      </c>
      <c r="G1467" s="13"/>
    </row>
    <row r="1468" spans="8:8" ht="32.25" customHeight="1">
      <c r="A1468" s="11">
        <v>3.0</v>
      </c>
      <c r="B1468" s="12" t="s">
        <v>1479</v>
      </c>
      <c r="C1468" s="13">
        <v>240807.0</v>
      </c>
      <c r="D1468" s="12" t="s">
        <v>606</v>
      </c>
      <c r="E1468" s="13" t="s">
        <v>1477</v>
      </c>
      <c r="F1468" s="14">
        <v>0.5208333333333334</v>
      </c>
      <c r="G1468" s="13"/>
    </row>
    <row r="1469" spans="8:8" ht="32.25" customHeight="1">
      <c r="A1469" s="11">
        <v>4.0</v>
      </c>
      <c r="B1469" s="12" t="s">
        <v>1480</v>
      </c>
      <c r="C1469" s="13">
        <v>250174.0</v>
      </c>
      <c r="D1469" s="12" t="s">
        <v>27</v>
      </c>
      <c r="E1469" s="13" t="s">
        <v>1477</v>
      </c>
      <c r="F1469" s="14">
        <v>0.5208333333333334</v>
      </c>
      <c r="G1469" s="13"/>
    </row>
    <row r="1470" spans="8:8" ht="32.25" customHeight="1">
      <c r="A1470" s="11">
        <v>5.0</v>
      </c>
      <c r="B1470" s="19" t="s">
        <v>1481</v>
      </c>
      <c r="C1470" s="20">
        <v>241577.0</v>
      </c>
      <c r="D1470" s="19" t="s">
        <v>1369</v>
      </c>
      <c r="E1470" s="20" t="s">
        <v>1477</v>
      </c>
      <c r="F1470" s="14">
        <v>0.5208333333333334</v>
      </c>
      <c r="G1470" s="20"/>
    </row>
    <row r="1471" spans="8:8" ht="32.25" customHeight="1">
      <c r="A1471" s="11">
        <v>6.0</v>
      </c>
      <c r="B1471" s="35" t="s">
        <v>1482</v>
      </c>
      <c r="C1471" s="20">
        <v>253236.0</v>
      </c>
      <c r="D1471" s="12" t="s">
        <v>104</v>
      </c>
      <c r="E1471" s="20" t="s">
        <v>1477</v>
      </c>
      <c r="F1471" s="14">
        <v>0.5208333333333334</v>
      </c>
      <c r="G1471" s="20"/>
    </row>
    <row r="1472" spans="8:8" ht="32.25" customHeight="1">
      <c r="A1472" s="11">
        <v>7.0</v>
      </c>
      <c r="B1472" s="12" t="s">
        <v>1483</v>
      </c>
      <c r="C1472" s="13">
        <v>253242.0</v>
      </c>
      <c r="D1472" s="12" t="s">
        <v>104</v>
      </c>
      <c r="E1472" s="13" t="s">
        <v>1477</v>
      </c>
      <c r="F1472" s="14">
        <v>0.5208333333333334</v>
      </c>
      <c r="G1472" s="13"/>
    </row>
    <row r="1473" spans="8:8" ht="32.25" customHeight="1">
      <c r="A1473" s="11">
        <v>8.0</v>
      </c>
      <c r="B1473" s="36" t="s">
        <v>1484</v>
      </c>
      <c r="C1473" s="37">
        <v>253256.0</v>
      </c>
      <c r="D1473" s="38" t="s">
        <v>90</v>
      </c>
      <c r="E1473" s="37" t="s">
        <v>1477</v>
      </c>
      <c r="F1473" s="14">
        <v>0.5208333333333334</v>
      </c>
      <c r="G1473" s="13"/>
    </row>
    <row r="1474" spans="8:8" ht="32.25" customHeight="1">
      <c r="A1474" s="11">
        <v>9.0</v>
      </c>
      <c r="B1474" s="36" t="s">
        <v>1485</v>
      </c>
      <c r="C1474" s="37">
        <v>241879.0</v>
      </c>
      <c r="D1474" s="38" t="s">
        <v>1486</v>
      </c>
      <c r="E1474" s="37" t="s">
        <v>1477</v>
      </c>
      <c r="F1474" s="14">
        <v>0.5208333333333334</v>
      </c>
      <c r="G1474" s="13"/>
    </row>
    <row r="1475" spans="8:8" ht="32.25" customHeight="1">
      <c r="A1475" s="11">
        <v>10.0</v>
      </c>
      <c r="B1475" s="12" t="s">
        <v>1487</v>
      </c>
      <c r="C1475" s="13">
        <v>240925.0</v>
      </c>
      <c r="D1475" s="12" t="s">
        <v>606</v>
      </c>
      <c r="E1475" s="13" t="s">
        <v>1477</v>
      </c>
      <c r="F1475" s="14">
        <v>0.5208333333333334</v>
      </c>
      <c r="G1475" s="39"/>
    </row>
    <row r="1476" spans="8:8" ht="32.25" customHeight="1">
      <c r="A1476" s="11">
        <v>11.0</v>
      </c>
      <c r="B1476" s="12" t="s">
        <v>1488</v>
      </c>
      <c r="C1476" s="13">
        <v>240863.0</v>
      </c>
      <c r="D1476" s="12" t="s">
        <v>606</v>
      </c>
      <c r="E1476" s="13" t="s">
        <v>1477</v>
      </c>
      <c r="F1476" s="14">
        <v>0.5208333333333334</v>
      </c>
      <c r="G1476" s="39"/>
    </row>
    <row r="1477" spans="8:8" ht="32.25" customHeight="1">
      <c r="A1477" s="8" t="s">
        <v>18</v>
      </c>
      <c r="B1477" s="9" t="s">
        <v>19</v>
      </c>
      <c r="C1477" s="9" t="s">
        <v>20</v>
      </c>
      <c r="D1477" s="9" t="s">
        <v>21</v>
      </c>
      <c r="E1477" s="9" t="s">
        <v>22</v>
      </c>
      <c r="F1477" s="10" t="s">
        <v>23</v>
      </c>
      <c r="G1477" s="9" t="s">
        <v>552</v>
      </c>
    </row>
    <row r="1478" spans="8:8" ht="32.25" customHeight="1">
      <c r="A1478" s="11">
        <v>1.0</v>
      </c>
      <c r="B1478" s="12" t="s">
        <v>1489</v>
      </c>
      <c r="C1478" s="13">
        <v>240488.0</v>
      </c>
      <c r="D1478" s="12" t="s">
        <v>606</v>
      </c>
      <c r="E1478" s="13" t="s">
        <v>1490</v>
      </c>
      <c r="F1478" s="14">
        <v>0.5208333333333334</v>
      </c>
      <c r="G1478" s="13"/>
    </row>
    <row r="1479" spans="8:8" ht="32.25" customHeight="1">
      <c r="A1479" s="11">
        <v>2.0</v>
      </c>
      <c r="B1479" s="12" t="s">
        <v>1491</v>
      </c>
      <c r="C1479" s="13">
        <v>240625.0</v>
      </c>
      <c r="D1479" s="12" t="s">
        <v>606</v>
      </c>
      <c r="E1479" s="13" t="s">
        <v>1490</v>
      </c>
      <c r="F1479" s="14">
        <v>0.5208333333333334</v>
      </c>
      <c r="G1479" s="13"/>
    </row>
    <row r="1480" spans="8:8" ht="32.25" customHeight="1">
      <c r="A1480" s="11">
        <v>3.0</v>
      </c>
      <c r="B1480" s="12" t="s">
        <v>1492</v>
      </c>
      <c r="C1480" s="13">
        <v>250996.0</v>
      </c>
      <c r="D1480" s="12" t="s">
        <v>56</v>
      </c>
      <c r="E1480" s="13" t="s">
        <v>1490</v>
      </c>
      <c r="F1480" s="14">
        <v>0.5208333333333334</v>
      </c>
      <c r="G1480" s="13"/>
    </row>
    <row r="1481" spans="8:8" ht="32.25" customHeight="1">
      <c r="A1481" s="11">
        <v>4.0</v>
      </c>
      <c r="B1481" s="19" t="s">
        <v>1493</v>
      </c>
      <c r="C1481" s="20">
        <v>253235.0</v>
      </c>
      <c r="D1481" s="12" t="s">
        <v>104</v>
      </c>
      <c r="E1481" s="20" t="s">
        <v>1490</v>
      </c>
      <c r="F1481" s="14">
        <v>0.5208333333333334</v>
      </c>
      <c r="G1481" s="20"/>
    </row>
    <row r="1482" spans="8:8" ht="32.25" customHeight="1">
      <c r="A1482" s="11">
        <v>5.0</v>
      </c>
      <c r="B1482" s="19" t="s">
        <v>1494</v>
      </c>
      <c r="C1482" s="20">
        <v>253238.0</v>
      </c>
      <c r="D1482" s="12" t="s">
        <v>104</v>
      </c>
      <c r="E1482" s="20" t="s">
        <v>1490</v>
      </c>
      <c r="F1482" s="14">
        <v>0.5208333333333334</v>
      </c>
      <c r="G1482" s="20"/>
    </row>
    <row r="1483" spans="8:8" ht="32.25" customHeight="1">
      <c r="A1483" s="11">
        <v>6.0</v>
      </c>
      <c r="B1483" s="33" t="s">
        <v>1495</v>
      </c>
      <c r="C1483" s="40">
        <v>253245.0</v>
      </c>
      <c r="D1483" s="12" t="s">
        <v>104</v>
      </c>
      <c r="E1483" s="40" t="s">
        <v>1490</v>
      </c>
      <c r="F1483" s="14">
        <v>0.5208333333333334</v>
      </c>
      <c r="G1483" s="40"/>
    </row>
    <row r="1484" spans="8:8" ht="32.25" customHeight="1">
      <c r="A1484" s="11">
        <v>7.0</v>
      </c>
      <c r="B1484" s="19" t="s">
        <v>1496</v>
      </c>
      <c r="C1484" s="24">
        <v>240599.0</v>
      </c>
      <c r="D1484" s="19" t="s">
        <v>606</v>
      </c>
      <c r="E1484" s="41" t="s">
        <v>1490</v>
      </c>
      <c r="F1484" s="14">
        <v>0.5208333333333334</v>
      </c>
      <c r="G1484" s="25"/>
    </row>
    <row r="1485" spans="8:8" ht="32.25" customHeight="1">
      <c r="A1485" s="11">
        <v>8.0</v>
      </c>
      <c r="B1485" s="16" t="s">
        <v>1497</v>
      </c>
      <c r="C1485" s="17">
        <v>240858.0</v>
      </c>
      <c r="D1485" s="16" t="s">
        <v>606</v>
      </c>
      <c r="E1485" s="42" t="s">
        <v>1490</v>
      </c>
      <c r="F1485" s="14">
        <v>0.5208333333333334</v>
      </c>
      <c r="G1485" s="25"/>
    </row>
    <row r="1486" spans="8:8" ht="32.25" customHeight="1">
      <c r="A1486" s="11">
        <v>9.0</v>
      </c>
      <c r="B1486" s="16" t="s">
        <v>1498</v>
      </c>
      <c r="C1486" s="17">
        <v>240952.0</v>
      </c>
      <c r="D1486" s="16" t="s">
        <v>606</v>
      </c>
      <c r="E1486" s="42" t="s">
        <v>1490</v>
      </c>
      <c r="F1486" s="14">
        <v>0.5208333333333334</v>
      </c>
      <c r="G1486" s="25"/>
    </row>
    <row r="1487" spans="8:8" ht="32.25" customHeight="1">
      <c r="A1487" s="11">
        <v>10.0</v>
      </c>
      <c r="B1487" s="16" t="s">
        <v>1499</v>
      </c>
      <c r="C1487" s="17">
        <v>240605.0</v>
      </c>
      <c r="D1487" s="16" t="s">
        <v>606</v>
      </c>
      <c r="E1487" s="42" t="s">
        <v>1490</v>
      </c>
      <c r="F1487" s="14">
        <v>0.5208333333333334</v>
      </c>
      <c r="G1487" s="25"/>
    </row>
    <row r="1488" spans="8:8" ht="32.25" customHeight="1">
      <c r="A1488" s="11">
        <v>11.0</v>
      </c>
      <c r="B1488" s="26" t="s">
        <v>1500</v>
      </c>
      <c r="C1488" s="27">
        <v>240483.0</v>
      </c>
      <c r="D1488" s="26" t="s">
        <v>606</v>
      </c>
      <c r="E1488" s="43" t="s">
        <v>1490</v>
      </c>
      <c r="F1488" s="14">
        <v>0.5208333333333334</v>
      </c>
      <c r="G1488" s="25"/>
    </row>
    <row r="1489" spans="8:8" ht="32.25" customHeight="1">
      <c r="A1489" s="11">
        <v>12.0</v>
      </c>
      <c r="B1489" s="26" t="s">
        <v>1501</v>
      </c>
      <c r="C1489" s="27">
        <v>253069.0</v>
      </c>
      <c r="D1489" s="26" t="s">
        <v>56</v>
      </c>
      <c r="E1489" s="27" t="s">
        <v>1490</v>
      </c>
      <c r="F1489" s="14">
        <v>0.5208333333333334</v>
      </c>
      <c r="G1489" s="25"/>
    </row>
    <row r="1490" spans="8:8" ht="32.25" customHeight="1">
      <c r="A1490" s="11">
        <v>13.0</v>
      </c>
      <c r="B1490" s="26" t="s">
        <v>1502</v>
      </c>
      <c r="C1490" s="27">
        <v>240962.0</v>
      </c>
      <c r="D1490" s="26" t="s">
        <v>606</v>
      </c>
      <c r="E1490" s="27" t="s">
        <v>1490</v>
      </c>
      <c r="F1490" s="14">
        <v>0.5208333333333334</v>
      </c>
      <c r="G1490" s="25"/>
    </row>
    <row r="1491" spans="8:8" ht="32.25" customHeight="1">
      <c r="A1491" s="11">
        <v>14.0</v>
      </c>
      <c r="B1491" s="26" t="s">
        <v>1503</v>
      </c>
      <c r="C1491" s="27">
        <v>251217.0</v>
      </c>
      <c r="D1491" s="26" t="s">
        <v>56</v>
      </c>
      <c r="E1491" s="27" t="s">
        <v>1490</v>
      </c>
      <c r="F1491" s="14">
        <v>0.5208333333333334</v>
      </c>
      <c r="G1491" s="25"/>
    </row>
    <row r="1492" spans="8:8" ht="32.25" customHeight="1">
      <c r="A1492" s="11">
        <v>15.0</v>
      </c>
      <c r="B1492" s="26" t="s">
        <v>1504</v>
      </c>
      <c r="C1492" s="27">
        <v>240903.0</v>
      </c>
      <c r="D1492" s="26" t="s">
        <v>606</v>
      </c>
      <c r="E1492" s="27" t="s">
        <v>1490</v>
      </c>
      <c r="F1492" s="14">
        <v>0.5208333333333334</v>
      </c>
      <c r="G1492" s="25"/>
    </row>
    <row r="1493" spans="8:8" ht="32.25" customHeight="1">
      <c r="A1493" s="11">
        <v>16.0</v>
      </c>
      <c r="B1493" s="26" t="s">
        <v>1505</v>
      </c>
      <c r="C1493" s="27">
        <v>240547.0</v>
      </c>
      <c r="D1493" s="26" t="s">
        <v>606</v>
      </c>
      <c r="E1493" s="27" t="s">
        <v>1490</v>
      </c>
      <c r="F1493" s="14">
        <v>0.5208333333333334</v>
      </c>
      <c r="G1493" s="25"/>
    </row>
    <row r="1494" spans="8:8" ht="32.25" customHeight="1">
      <c r="A1494" s="11">
        <v>17.0</v>
      </c>
      <c r="B1494" s="26" t="s">
        <v>1506</v>
      </c>
      <c r="C1494" s="27">
        <v>240914.0</v>
      </c>
      <c r="D1494" s="26" t="s">
        <v>606</v>
      </c>
      <c r="E1494" s="27" t="s">
        <v>1490</v>
      </c>
      <c r="F1494" s="14">
        <v>0.5208333333333334</v>
      </c>
      <c r="G1494" s="25"/>
    </row>
    <row r="1495" spans="8:8" ht="32.25" customHeight="1">
      <c r="A1495" s="11">
        <v>18.0</v>
      </c>
      <c r="B1495" s="26" t="s">
        <v>1507</v>
      </c>
      <c r="C1495" s="27">
        <v>250896.0</v>
      </c>
      <c r="D1495" s="26" t="s">
        <v>56</v>
      </c>
      <c r="E1495" s="27" t="s">
        <v>1490</v>
      </c>
      <c r="F1495" s="14">
        <v>0.5208333333333334</v>
      </c>
      <c r="G1495" s="25"/>
    </row>
    <row r="1496" spans="8:8" ht="32.25" customHeight="1">
      <c r="A1496" s="11">
        <v>19.0</v>
      </c>
      <c r="B1496" s="26" t="s">
        <v>1508</v>
      </c>
      <c r="C1496" s="27">
        <v>253204.0</v>
      </c>
      <c r="D1496" s="26" t="s">
        <v>56</v>
      </c>
      <c r="E1496" s="27" t="s">
        <v>1490</v>
      </c>
      <c r="F1496" s="14">
        <v>0.5208333333333334</v>
      </c>
      <c r="G1496" s="25"/>
    </row>
    <row r="1497" spans="8:8" ht="32.25" customHeight="1">
      <c r="A1497" s="11">
        <v>20.0</v>
      </c>
      <c r="B1497" s="26" t="s">
        <v>1509</v>
      </c>
      <c r="C1497" s="27">
        <v>252650.0</v>
      </c>
      <c r="D1497" s="26" t="s">
        <v>90</v>
      </c>
      <c r="E1497" s="27" t="s">
        <v>1490</v>
      </c>
      <c r="F1497" s="14">
        <v>0.5208333333333334</v>
      </c>
      <c r="G1497" s="25"/>
    </row>
    <row r="1498" spans="8:8" ht="32.25" customHeight="1">
      <c r="A1498" s="11">
        <v>21.0</v>
      </c>
      <c r="B1498" s="26" t="s">
        <v>1510</v>
      </c>
      <c r="C1498" s="27">
        <v>253273.0</v>
      </c>
      <c r="D1498" s="26" t="s">
        <v>90</v>
      </c>
      <c r="E1498" s="27" t="s">
        <v>1490</v>
      </c>
      <c r="F1498" s="14">
        <v>0.5208333333333334</v>
      </c>
      <c r="G1498" s="25"/>
    </row>
    <row r="1499" spans="8:8" ht="32.25" customHeight="1">
      <c r="A1499" s="8" t="s">
        <v>18</v>
      </c>
      <c r="B1499" s="9" t="s">
        <v>19</v>
      </c>
      <c r="C1499" s="9" t="s">
        <v>20</v>
      </c>
      <c r="D1499" s="9" t="s">
        <v>21</v>
      </c>
      <c r="E1499" s="9" t="s">
        <v>22</v>
      </c>
      <c r="F1499" s="10" t="s">
        <v>23</v>
      </c>
      <c r="G1499" s="9" t="s">
        <v>578</v>
      </c>
    </row>
    <row r="1500" spans="8:8" ht="32.25" customHeight="1">
      <c r="A1500" s="11">
        <v>1.0</v>
      </c>
      <c r="B1500" s="12" t="s">
        <v>1511</v>
      </c>
      <c r="C1500" s="13">
        <v>250386.0</v>
      </c>
      <c r="D1500" s="12" t="s">
        <v>94</v>
      </c>
      <c r="E1500" s="13" t="s">
        <v>1512</v>
      </c>
      <c r="F1500" s="14">
        <v>0.5208333333333334</v>
      </c>
      <c r="G1500" s="13"/>
    </row>
    <row r="1501" spans="8:8" ht="32.25" customHeight="1">
      <c r="A1501" s="11">
        <v>2.0</v>
      </c>
      <c r="B1501" s="12" t="s">
        <v>1513</v>
      </c>
      <c r="C1501" s="13">
        <v>250389.0</v>
      </c>
      <c r="D1501" s="12" t="s">
        <v>94</v>
      </c>
      <c r="E1501" s="13" t="s">
        <v>1512</v>
      </c>
      <c r="F1501" s="14">
        <v>0.5208333333333334</v>
      </c>
      <c r="G1501" s="13"/>
    </row>
    <row r="1502" spans="8:8" ht="32.25" customHeight="1">
      <c r="A1502" s="11">
        <v>3.0</v>
      </c>
      <c r="B1502" s="12" t="s">
        <v>1514</v>
      </c>
      <c r="C1502" s="13">
        <v>240511.0</v>
      </c>
      <c r="D1502" s="12" t="s">
        <v>606</v>
      </c>
      <c r="E1502" s="13" t="s">
        <v>1512</v>
      </c>
      <c r="F1502" s="14">
        <v>0.5208333333333334</v>
      </c>
      <c r="G1502" s="13"/>
    </row>
    <row r="1503" spans="8:8" ht="32.25" customHeight="1">
      <c r="A1503" s="11">
        <v>4.0</v>
      </c>
      <c r="B1503" s="12" t="s">
        <v>1515</v>
      </c>
      <c r="C1503" s="13">
        <v>250548.0</v>
      </c>
      <c r="D1503" s="12" t="s">
        <v>94</v>
      </c>
      <c r="E1503" s="13" t="s">
        <v>1512</v>
      </c>
      <c r="F1503" s="14">
        <v>0.5208333333333334</v>
      </c>
      <c r="G1503" s="13"/>
    </row>
    <row r="1504" spans="8:8" ht="32.25" customHeight="1">
      <c r="A1504" s="11">
        <v>5.0</v>
      </c>
      <c r="B1504" s="12" t="s">
        <v>1516</v>
      </c>
      <c r="C1504" s="13">
        <v>251044.0</v>
      </c>
      <c r="D1504" s="12" t="s">
        <v>56</v>
      </c>
      <c r="E1504" s="13" t="s">
        <v>1512</v>
      </c>
      <c r="F1504" s="14">
        <v>0.5208333333333334</v>
      </c>
      <c r="G1504" s="13"/>
    </row>
    <row r="1505" spans="8:8" ht="32.25" customHeight="1">
      <c r="A1505" s="11">
        <v>6.0</v>
      </c>
      <c r="B1505" s="12" t="s">
        <v>1517</v>
      </c>
      <c r="C1505" s="13">
        <v>251036.0</v>
      </c>
      <c r="D1505" s="12" t="s">
        <v>56</v>
      </c>
      <c r="E1505" s="13" t="s">
        <v>1512</v>
      </c>
      <c r="F1505" s="14">
        <v>0.5208333333333334</v>
      </c>
      <c r="G1505" s="13"/>
    </row>
    <row r="1506" spans="8:8" ht="32.25" customHeight="1">
      <c r="A1506" s="11">
        <v>7.0</v>
      </c>
      <c r="B1506" s="12" t="s">
        <v>1518</v>
      </c>
      <c r="C1506" s="13">
        <v>251068.0</v>
      </c>
      <c r="D1506" s="12" t="s">
        <v>56</v>
      </c>
      <c r="E1506" s="13" t="s">
        <v>1512</v>
      </c>
      <c r="F1506" s="14">
        <v>0.5208333333333334</v>
      </c>
      <c r="G1506" s="13"/>
    </row>
    <row r="1507" spans="8:8" ht="32.25" customHeight="1">
      <c r="A1507" s="11">
        <v>8.0</v>
      </c>
      <c r="B1507" s="12" t="s">
        <v>1519</v>
      </c>
      <c r="C1507" s="13">
        <v>251033.0</v>
      </c>
      <c r="D1507" s="12" t="s">
        <v>56</v>
      </c>
      <c r="E1507" s="13" t="s">
        <v>1512</v>
      </c>
      <c r="F1507" s="14">
        <v>0.5208333333333334</v>
      </c>
      <c r="G1507" s="13"/>
    </row>
    <row r="1508" spans="8:8" ht="32.25" customHeight="1">
      <c r="A1508" s="11">
        <v>9.0</v>
      </c>
      <c r="B1508" s="12" t="s">
        <v>1520</v>
      </c>
      <c r="C1508" s="13">
        <v>251110.0</v>
      </c>
      <c r="D1508" s="12" t="s">
        <v>56</v>
      </c>
      <c r="E1508" s="13" t="s">
        <v>1512</v>
      </c>
      <c r="F1508" s="14">
        <v>0.5208333333333334</v>
      </c>
      <c r="G1508" s="13"/>
    </row>
    <row r="1509" spans="8:8" ht="32.25" customHeight="1">
      <c r="A1509" s="11">
        <v>10.0</v>
      </c>
      <c r="B1509" s="12" t="s">
        <v>1521</v>
      </c>
      <c r="C1509" s="13">
        <v>251125.0</v>
      </c>
      <c r="D1509" s="12" t="s">
        <v>56</v>
      </c>
      <c r="E1509" s="13" t="s">
        <v>1512</v>
      </c>
      <c r="F1509" s="14">
        <v>0.5208333333333334</v>
      </c>
      <c r="G1509" s="13"/>
    </row>
    <row r="1510" spans="8:8" ht="32.25" customHeight="1">
      <c r="A1510" s="11">
        <v>11.0</v>
      </c>
      <c r="B1510" s="12" t="s">
        <v>1522</v>
      </c>
      <c r="C1510" s="13">
        <v>251167.0</v>
      </c>
      <c r="D1510" s="12" t="s">
        <v>56</v>
      </c>
      <c r="E1510" s="13" t="s">
        <v>1512</v>
      </c>
      <c r="F1510" s="14">
        <v>0.5208333333333334</v>
      </c>
      <c r="G1510" s="13"/>
    </row>
    <row r="1511" spans="8:8" ht="32.25" customHeight="1">
      <c r="A1511" s="11">
        <v>12.0</v>
      </c>
      <c r="B1511" s="12" t="s">
        <v>1523</v>
      </c>
      <c r="C1511" s="13">
        <v>251199.0</v>
      </c>
      <c r="D1511" s="12" t="s">
        <v>56</v>
      </c>
      <c r="E1511" s="13" t="s">
        <v>1512</v>
      </c>
      <c r="F1511" s="14">
        <v>0.5208333333333334</v>
      </c>
      <c r="G1511" s="13"/>
    </row>
    <row r="1512" spans="8:8" ht="32.25" customHeight="1">
      <c r="A1512" s="11">
        <v>13.0</v>
      </c>
      <c r="B1512" s="12" t="s">
        <v>1524</v>
      </c>
      <c r="C1512" s="13">
        <v>251206.0</v>
      </c>
      <c r="D1512" s="12" t="s">
        <v>56</v>
      </c>
      <c r="E1512" s="13" t="s">
        <v>1512</v>
      </c>
      <c r="F1512" s="14">
        <v>0.5208333333333334</v>
      </c>
      <c r="G1512" s="13"/>
    </row>
    <row r="1513" spans="8:8" ht="32.25" customHeight="1">
      <c r="A1513" s="11">
        <v>14.0</v>
      </c>
      <c r="B1513" s="12" t="s">
        <v>1525</v>
      </c>
      <c r="C1513" s="13">
        <v>251234.0</v>
      </c>
      <c r="D1513" s="12" t="s">
        <v>56</v>
      </c>
      <c r="E1513" s="13" t="s">
        <v>1512</v>
      </c>
      <c r="F1513" s="14">
        <v>0.5208333333333334</v>
      </c>
      <c r="G1513" s="13"/>
    </row>
    <row r="1514" spans="8:8" ht="32.25" customHeight="1">
      <c r="A1514" s="11">
        <v>15.0</v>
      </c>
      <c r="B1514" s="12" t="s">
        <v>1526</v>
      </c>
      <c r="C1514" s="13">
        <v>251228.0</v>
      </c>
      <c r="D1514" s="12" t="s">
        <v>56</v>
      </c>
      <c r="E1514" s="13" t="s">
        <v>1512</v>
      </c>
      <c r="F1514" s="14">
        <v>0.5208333333333334</v>
      </c>
      <c r="G1514" s="13"/>
    </row>
    <row r="1515" spans="8:8" ht="32.25" customHeight="1">
      <c r="A1515" s="11">
        <v>16.0</v>
      </c>
      <c r="B1515" s="12" t="s">
        <v>1527</v>
      </c>
      <c r="C1515" s="13">
        <v>251226.0</v>
      </c>
      <c r="D1515" s="12" t="s">
        <v>56</v>
      </c>
      <c r="E1515" s="13" t="s">
        <v>1512</v>
      </c>
      <c r="F1515" s="14">
        <v>0.5208333333333334</v>
      </c>
      <c r="G1515" s="13"/>
    </row>
    <row r="1516" spans="8:8" ht="32.25" customHeight="1">
      <c r="A1516" s="11">
        <v>17.0</v>
      </c>
      <c r="B1516" s="12" t="s">
        <v>1528</v>
      </c>
      <c r="C1516" s="13">
        <v>250625.0</v>
      </c>
      <c r="D1516" s="12" t="s">
        <v>94</v>
      </c>
      <c r="E1516" s="13" t="s">
        <v>1512</v>
      </c>
      <c r="F1516" s="14">
        <v>0.5208333333333334</v>
      </c>
      <c r="G1516" s="13"/>
    </row>
    <row r="1517" spans="8:8" ht="32.25" customHeight="1">
      <c r="A1517" s="11">
        <v>18.0</v>
      </c>
      <c r="B1517" s="12" t="s">
        <v>1529</v>
      </c>
      <c r="C1517" s="13">
        <v>250629.0</v>
      </c>
      <c r="D1517" s="12" t="s">
        <v>94</v>
      </c>
      <c r="E1517" s="13" t="s">
        <v>1512</v>
      </c>
      <c r="F1517" s="14">
        <v>0.5208333333333334</v>
      </c>
      <c r="G1517" s="13"/>
    </row>
    <row r="1518" spans="8:8" ht="32.25" customHeight="1">
      <c r="A1518" s="11">
        <v>19.0</v>
      </c>
      <c r="B1518" s="12" t="s">
        <v>1530</v>
      </c>
      <c r="C1518" s="13">
        <v>250417.0</v>
      </c>
      <c r="D1518" s="12" t="s">
        <v>94</v>
      </c>
      <c r="E1518" s="13" t="s">
        <v>1512</v>
      </c>
      <c r="F1518" s="14">
        <v>0.5208333333333334</v>
      </c>
      <c r="G1518" s="13"/>
    </row>
    <row r="1519" spans="8:8" ht="32.25" customHeight="1">
      <c r="A1519" s="11">
        <v>20.0</v>
      </c>
      <c r="B1519" s="12" t="s">
        <v>1531</v>
      </c>
      <c r="C1519" s="13">
        <v>250693.0</v>
      </c>
      <c r="D1519" s="12" t="s">
        <v>56</v>
      </c>
      <c r="E1519" s="13" t="s">
        <v>1512</v>
      </c>
      <c r="F1519" s="14">
        <v>0.5208333333333334</v>
      </c>
      <c r="G1519" s="13"/>
    </row>
    <row r="1520" spans="8:8" ht="32.25" customHeight="1">
      <c r="A1520" s="11">
        <v>21.0</v>
      </c>
      <c r="B1520" s="12" t="s">
        <v>1532</v>
      </c>
      <c r="C1520" s="13">
        <v>253192.0</v>
      </c>
      <c r="D1520" s="21" t="s">
        <v>56</v>
      </c>
      <c r="E1520" s="13" t="s">
        <v>1512</v>
      </c>
      <c r="F1520" s="14">
        <v>0.5208333333333334</v>
      </c>
      <c r="G1520" s="13"/>
    </row>
    <row r="1521" spans="8:8" ht="32.25" customHeight="1">
      <c r="A1521" s="11">
        <v>22.0</v>
      </c>
      <c r="B1521" s="12" t="s">
        <v>1533</v>
      </c>
      <c r="C1521" s="13">
        <v>251026.0</v>
      </c>
      <c r="D1521" s="12" t="s">
        <v>56</v>
      </c>
      <c r="E1521" s="13" t="s">
        <v>1512</v>
      </c>
      <c r="F1521" s="14">
        <v>0.5208333333333334</v>
      </c>
      <c r="G1521" s="13"/>
    </row>
    <row r="1522" spans="8:8" ht="32.25" customHeight="1">
      <c r="A1522" s="11">
        <v>23.0</v>
      </c>
      <c r="B1522" s="12" t="s">
        <v>1534</v>
      </c>
      <c r="C1522" s="13">
        <v>250957.0</v>
      </c>
      <c r="D1522" s="12" t="s">
        <v>56</v>
      </c>
      <c r="E1522" s="13" t="s">
        <v>1512</v>
      </c>
      <c r="F1522" s="14">
        <v>0.5208333333333334</v>
      </c>
      <c r="G1522" s="13"/>
    </row>
    <row r="1523" spans="8:8" ht="32.25" customHeight="1">
      <c r="A1523" s="11">
        <v>24.0</v>
      </c>
      <c r="B1523" s="12" t="s">
        <v>1535</v>
      </c>
      <c r="C1523" s="13">
        <v>250784.0</v>
      </c>
      <c r="D1523" s="12" t="s">
        <v>56</v>
      </c>
      <c r="E1523" s="13" t="s">
        <v>1512</v>
      </c>
      <c r="F1523" s="14">
        <v>0.5208333333333334</v>
      </c>
      <c r="G1523" s="13"/>
    </row>
    <row r="1524" spans="8:8" ht="32.25" customHeight="1">
      <c r="A1524" s="11">
        <v>25.0</v>
      </c>
      <c r="B1524" s="12" t="s">
        <v>1536</v>
      </c>
      <c r="C1524" s="13">
        <v>250810.0</v>
      </c>
      <c r="D1524" s="12" t="s">
        <v>56</v>
      </c>
      <c r="E1524" s="13" t="s">
        <v>1512</v>
      </c>
      <c r="F1524" s="14">
        <v>0.5208333333333334</v>
      </c>
      <c r="G1524" s="13"/>
    </row>
    <row r="1525" spans="8:8" ht="32.25" customHeight="1">
      <c r="A1525" s="8" t="s">
        <v>18</v>
      </c>
      <c r="B1525" s="9" t="s">
        <v>19</v>
      </c>
      <c r="C1525" s="9" t="s">
        <v>20</v>
      </c>
      <c r="D1525" s="9" t="s">
        <v>21</v>
      </c>
      <c r="E1525" s="9" t="s">
        <v>22</v>
      </c>
      <c r="F1525" s="10" t="s">
        <v>23</v>
      </c>
      <c r="G1525" s="9" t="s">
        <v>611</v>
      </c>
    </row>
    <row r="1526" spans="8:8" ht="32.25" customHeight="1">
      <c r="A1526" s="11">
        <v>1.0</v>
      </c>
      <c r="B1526" s="12" t="s">
        <v>1537</v>
      </c>
      <c r="C1526" s="13">
        <v>253289.0</v>
      </c>
      <c r="D1526" s="33" t="s">
        <v>90</v>
      </c>
      <c r="E1526" s="13" t="s">
        <v>1512</v>
      </c>
      <c r="F1526" s="14">
        <v>0.5208333333333334</v>
      </c>
      <c r="G1526" s="13"/>
    </row>
    <row r="1527" spans="8:8" ht="32.25" customHeight="1">
      <c r="A1527" s="11">
        <v>2.0</v>
      </c>
      <c r="B1527" s="12" t="s">
        <v>1538</v>
      </c>
      <c r="C1527" s="13">
        <v>251018.0</v>
      </c>
      <c r="D1527" s="12" t="s">
        <v>56</v>
      </c>
      <c r="E1527" s="13" t="s">
        <v>1512</v>
      </c>
      <c r="F1527" s="14">
        <v>0.5208333333333334</v>
      </c>
      <c r="G1527" s="13"/>
    </row>
    <row r="1528" spans="8:8" ht="32.25" customHeight="1">
      <c r="A1528" s="11">
        <v>3.0</v>
      </c>
      <c r="B1528" s="12" t="s">
        <v>1539</v>
      </c>
      <c r="C1528" s="13">
        <v>250713.0</v>
      </c>
      <c r="D1528" s="12" t="s">
        <v>56</v>
      </c>
      <c r="E1528" s="13" t="s">
        <v>1512</v>
      </c>
      <c r="F1528" s="14">
        <v>0.5208333333333334</v>
      </c>
      <c r="G1528" s="13"/>
    </row>
    <row r="1529" spans="8:8" ht="32.25" customHeight="1">
      <c r="A1529" s="11">
        <v>4.0</v>
      </c>
      <c r="B1529" s="12" t="s">
        <v>1540</v>
      </c>
      <c r="C1529" s="13">
        <v>253241.0</v>
      </c>
      <c r="D1529" s="12" t="s">
        <v>104</v>
      </c>
      <c r="E1529" s="13" t="s">
        <v>1512</v>
      </c>
      <c r="F1529" s="14">
        <v>0.5208333333333334</v>
      </c>
      <c r="G1529" s="13"/>
    </row>
    <row r="1530" spans="8:8" ht="32.25" customHeight="1">
      <c r="A1530" s="11">
        <v>5.0</v>
      </c>
      <c r="B1530" s="12" t="s">
        <v>1541</v>
      </c>
      <c r="C1530" s="13">
        <v>253232.0</v>
      </c>
      <c r="D1530" s="12" t="s">
        <v>104</v>
      </c>
      <c r="E1530" s="13" t="s">
        <v>1512</v>
      </c>
      <c r="F1530" s="14">
        <v>0.5208333333333334</v>
      </c>
      <c r="G1530" s="13"/>
    </row>
    <row r="1531" spans="8:8" ht="32.25" customHeight="1">
      <c r="A1531" s="11">
        <v>6.0</v>
      </c>
      <c r="B1531" s="12" t="s">
        <v>1542</v>
      </c>
      <c r="C1531" s="13">
        <v>241616.0</v>
      </c>
      <c r="D1531" s="19" t="s">
        <v>1369</v>
      </c>
      <c r="E1531" s="13" t="s">
        <v>1512</v>
      </c>
      <c r="F1531" s="14">
        <v>0.5208333333333334</v>
      </c>
      <c r="G1531" s="13"/>
    </row>
    <row r="1532" spans="8:8" ht="32.25" customHeight="1">
      <c r="A1532" s="11">
        <v>7.0</v>
      </c>
      <c r="B1532" s="12" t="s">
        <v>1543</v>
      </c>
      <c r="C1532" s="13">
        <v>250749.0</v>
      </c>
      <c r="D1532" s="12" t="s">
        <v>56</v>
      </c>
      <c r="E1532" s="13" t="s">
        <v>1512</v>
      </c>
      <c r="F1532" s="14">
        <v>0.5208333333333334</v>
      </c>
      <c r="G1532" s="13"/>
    </row>
    <row r="1533" spans="8:8" ht="32.25" customHeight="1">
      <c r="A1533" s="11">
        <v>8.0</v>
      </c>
      <c r="B1533" s="12" t="s">
        <v>1544</v>
      </c>
      <c r="C1533" s="13">
        <v>250767.0</v>
      </c>
      <c r="D1533" s="12" t="s">
        <v>56</v>
      </c>
      <c r="E1533" s="13" t="s">
        <v>1512</v>
      </c>
      <c r="F1533" s="14">
        <v>0.5208333333333334</v>
      </c>
      <c r="G1533" s="13"/>
    </row>
    <row r="1534" spans="8:8" ht="32.25" customHeight="1">
      <c r="A1534" s="11">
        <v>9.0</v>
      </c>
      <c r="B1534" s="12" t="s">
        <v>1545</v>
      </c>
      <c r="C1534" s="13">
        <v>253233.0</v>
      </c>
      <c r="D1534" s="12" t="s">
        <v>104</v>
      </c>
      <c r="E1534" s="13" t="s">
        <v>1512</v>
      </c>
      <c r="F1534" s="14">
        <v>0.5208333333333334</v>
      </c>
      <c r="G1534" s="13"/>
    </row>
    <row r="1535" spans="8:8" ht="32.25" customHeight="1">
      <c r="A1535" s="11">
        <v>10.0</v>
      </c>
      <c r="B1535" s="12" t="s">
        <v>1546</v>
      </c>
      <c r="C1535" s="13">
        <v>253203.0</v>
      </c>
      <c r="D1535" s="21" t="s">
        <v>56</v>
      </c>
      <c r="E1535" s="13" t="s">
        <v>1512</v>
      </c>
      <c r="F1535" s="14">
        <v>0.5208333333333334</v>
      </c>
      <c r="G1535" s="13"/>
    </row>
    <row r="1536" spans="8:8" ht="32.25" customHeight="1">
      <c r="A1536" s="11">
        <v>11.0</v>
      </c>
      <c r="B1536" s="12" t="s">
        <v>1547</v>
      </c>
      <c r="C1536" s="13">
        <v>253197.0</v>
      </c>
      <c r="D1536" s="21" t="s">
        <v>56</v>
      </c>
      <c r="E1536" s="13" t="s">
        <v>1512</v>
      </c>
      <c r="F1536" s="14">
        <v>0.5208333333333334</v>
      </c>
      <c r="G1536" s="13"/>
    </row>
    <row r="1537" spans="8:8" ht="32.25" customHeight="1">
      <c r="A1537" s="11">
        <v>12.0</v>
      </c>
      <c r="B1537" s="12" t="s">
        <v>1548</v>
      </c>
      <c r="C1537" s="13">
        <v>250351.0</v>
      </c>
      <c r="D1537" s="12" t="s">
        <v>27</v>
      </c>
      <c r="E1537" s="13" t="s">
        <v>1512</v>
      </c>
      <c r="F1537" s="14">
        <v>0.5208333333333334</v>
      </c>
      <c r="G1537" s="13"/>
    </row>
    <row r="1538" spans="8:8" ht="32.25" customHeight="1">
      <c r="A1538" s="11">
        <v>13.0</v>
      </c>
      <c r="B1538" s="12" t="s">
        <v>1549</v>
      </c>
      <c r="C1538" s="13">
        <v>253234.0</v>
      </c>
      <c r="D1538" s="12" t="s">
        <v>104</v>
      </c>
      <c r="E1538" s="13" t="s">
        <v>1512</v>
      </c>
      <c r="F1538" s="14">
        <v>0.5208333333333334</v>
      </c>
      <c r="G1538" s="13"/>
    </row>
    <row r="1539" spans="8:8" ht="32.25" customHeight="1">
      <c r="A1539" s="11">
        <v>14.0</v>
      </c>
      <c r="B1539" s="12" t="s">
        <v>1550</v>
      </c>
      <c r="C1539" s="13">
        <v>250683.0</v>
      </c>
      <c r="D1539" s="12" t="s">
        <v>56</v>
      </c>
      <c r="E1539" s="13" t="s">
        <v>1512</v>
      </c>
      <c r="F1539" s="14">
        <v>0.5208333333333334</v>
      </c>
      <c r="G1539" s="13"/>
    </row>
    <row r="1540" spans="8:8" ht="32.25" customHeight="1">
      <c r="A1540" s="11">
        <v>15.0</v>
      </c>
      <c r="B1540" s="21" t="s">
        <v>1551</v>
      </c>
      <c r="C1540" s="13">
        <v>253154.0</v>
      </c>
      <c r="D1540" s="33" t="s">
        <v>90</v>
      </c>
      <c r="E1540" s="22" t="s">
        <v>1512</v>
      </c>
      <c r="F1540" s="14">
        <v>0.5208333333333334</v>
      </c>
      <c r="G1540" s="22"/>
    </row>
    <row r="1541" spans="8:8" ht="32.25" customHeight="1">
      <c r="A1541" s="11">
        <v>16.0</v>
      </c>
      <c r="B1541" s="12" t="s">
        <v>1552</v>
      </c>
      <c r="C1541" s="13">
        <v>250887.0</v>
      </c>
      <c r="D1541" s="12" t="s">
        <v>56</v>
      </c>
      <c r="E1541" s="13" t="s">
        <v>1512</v>
      </c>
      <c r="F1541" s="14">
        <v>0.5208333333333334</v>
      </c>
      <c r="G1541" s="13"/>
    </row>
    <row r="1542" spans="8:8" ht="32.25" customHeight="1">
      <c r="A1542" s="11">
        <v>17.0</v>
      </c>
      <c r="B1542" s="19" t="s">
        <v>1553</v>
      </c>
      <c r="C1542" s="20">
        <v>252722.0</v>
      </c>
      <c r="D1542" s="33" t="s">
        <v>90</v>
      </c>
      <c r="E1542" s="20" t="s">
        <v>1512</v>
      </c>
      <c r="F1542" s="14">
        <v>0.5208333333333334</v>
      </c>
      <c r="G1542" s="20"/>
    </row>
    <row r="1543" spans="8:8" ht="32.25" customHeight="1">
      <c r="A1543" s="11">
        <v>18.0</v>
      </c>
      <c r="B1543" s="19" t="s">
        <v>1554</v>
      </c>
      <c r="C1543" s="20">
        <v>251163.0</v>
      </c>
      <c r="D1543" s="33" t="s">
        <v>1555</v>
      </c>
      <c r="E1543" s="20" t="s">
        <v>1512</v>
      </c>
      <c r="F1543" s="14">
        <v>0.5208333333333334</v>
      </c>
      <c r="G1543" s="20"/>
    </row>
    <row r="1544" spans="8:8" ht="32.25" customHeight="1">
      <c r="A1544" s="11">
        <v>19.0</v>
      </c>
      <c r="B1544" s="19" t="s">
        <v>1556</v>
      </c>
      <c r="C1544" s="20">
        <v>250985.0</v>
      </c>
      <c r="D1544" s="33" t="s">
        <v>56</v>
      </c>
      <c r="E1544" s="20" t="s">
        <v>1512</v>
      </c>
      <c r="F1544" s="14">
        <v>0.5208333333333334</v>
      </c>
      <c r="G1544" s="20"/>
    </row>
    <row r="1545" spans="8:8" ht="32.25" customHeight="1">
      <c r="A1545" s="11">
        <v>20.0</v>
      </c>
      <c r="B1545" s="12" t="s">
        <v>1557</v>
      </c>
      <c r="C1545" s="13">
        <v>252812.0</v>
      </c>
      <c r="D1545" s="12" t="s">
        <v>27</v>
      </c>
      <c r="E1545" s="13" t="s">
        <v>1512</v>
      </c>
      <c r="F1545" s="14">
        <v>0.5208333333333334</v>
      </c>
      <c r="G1545" s="20"/>
    </row>
    <row r="1546" spans="8:8" ht="32.25" customHeight="1">
      <c r="A1546" s="11">
        <v>21.0</v>
      </c>
      <c r="B1546" s="12" t="s">
        <v>1558</v>
      </c>
      <c r="C1546" s="13">
        <v>250808.0</v>
      </c>
      <c r="D1546" s="12" t="s">
        <v>56</v>
      </c>
      <c r="E1546" s="13" t="s">
        <v>1512</v>
      </c>
      <c r="F1546" s="14">
        <v>0.5208333333333334</v>
      </c>
      <c r="G1546" s="20"/>
    </row>
    <row r="1547" spans="8:8" ht="32.25" customHeight="1">
      <c r="A1547" s="11">
        <v>22.0</v>
      </c>
      <c r="B1547" s="12" t="s">
        <v>1559</v>
      </c>
      <c r="C1547" s="13">
        <v>250809.0</v>
      </c>
      <c r="D1547" s="12" t="s">
        <v>56</v>
      </c>
      <c r="E1547" s="13" t="s">
        <v>1512</v>
      </c>
      <c r="F1547" s="14">
        <v>0.5208333333333334</v>
      </c>
      <c r="G1547" s="20"/>
    </row>
    <row r="1548" spans="8:8" ht="32.25" customHeight="1">
      <c r="A1548" s="11">
        <v>23.0</v>
      </c>
      <c r="B1548" s="12" t="s">
        <v>1560</v>
      </c>
      <c r="C1548" s="13">
        <v>250824.0</v>
      </c>
      <c r="D1548" s="12" t="s">
        <v>56</v>
      </c>
      <c r="E1548" s="13" t="s">
        <v>1512</v>
      </c>
      <c r="F1548" s="14">
        <v>0.5208333333333334</v>
      </c>
      <c r="G1548" s="20"/>
    </row>
    <row r="1549" spans="8:8" ht="32.25" customHeight="1">
      <c r="A1549" s="11">
        <v>24.0</v>
      </c>
      <c r="B1549" s="12" t="s">
        <v>1561</v>
      </c>
      <c r="C1549" s="13">
        <v>250834.0</v>
      </c>
      <c r="D1549" s="12" t="s">
        <v>56</v>
      </c>
      <c r="E1549" s="13" t="s">
        <v>1512</v>
      </c>
      <c r="F1549" s="14">
        <v>0.5208333333333334</v>
      </c>
      <c r="G1549" s="20"/>
    </row>
    <row r="1550" spans="8:8" ht="32.25" customHeight="1">
      <c r="A1550" s="11">
        <v>25.0</v>
      </c>
      <c r="B1550" s="12" t="s">
        <v>1562</v>
      </c>
      <c r="C1550" s="13">
        <v>250927.0</v>
      </c>
      <c r="D1550" s="12" t="s">
        <v>56</v>
      </c>
      <c r="E1550" s="13" t="s">
        <v>1512</v>
      </c>
      <c r="F1550" s="14">
        <v>0.5208333333333334</v>
      </c>
      <c r="G1550" s="20"/>
    </row>
    <row r="1551" spans="8:8" ht="32.25" customHeight="1">
      <c r="A1551" s="11">
        <v>26.0</v>
      </c>
      <c r="B1551" s="12" t="s">
        <v>1563</v>
      </c>
      <c r="C1551" s="13">
        <v>240510.0</v>
      </c>
      <c r="D1551" s="12" t="s">
        <v>606</v>
      </c>
      <c r="E1551" s="13" t="s">
        <v>1512</v>
      </c>
      <c r="F1551" s="14">
        <v>0.5208333333333334</v>
      </c>
      <c r="G1551" s="20"/>
    </row>
    <row r="1552" spans="8:8" ht="32.25" customHeight="1">
      <c r="A1552" s="11">
        <v>27.0</v>
      </c>
      <c r="B1552" s="12" t="s">
        <v>1564</v>
      </c>
      <c r="C1552" s="13">
        <v>253201.0</v>
      </c>
      <c r="D1552" s="12" t="s">
        <v>56</v>
      </c>
      <c r="E1552" s="13" t="s">
        <v>1512</v>
      </c>
      <c r="F1552" s="14">
        <v>0.5208333333333334</v>
      </c>
      <c r="G1552" s="20"/>
    </row>
    <row r="1553" spans="8:8" ht="32.25" customHeight="1">
      <c r="A1553" s="11">
        <v>28.0</v>
      </c>
      <c r="B1553" s="12" t="s">
        <v>1565</v>
      </c>
      <c r="C1553" s="13">
        <v>253198.0</v>
      </c>
      <c r="D1553" s="12" t="s">
        <v>56</v>
      </c>
      <c r="E1553" s="13" t="s">
        <v>1512</v>
      </c>
      <c r="F1553" s="14">
        <v>0.5208333333333334</v>
      </c>
      <c r="G1553" s="20"/>
    </row>
    <row r="1554" spans="8:8" ht="32.25" customHeight="1">
      <c r="A1554" s="11">
        <v>29.0</v>
      </c>
      <c r="B1554" s="12" t="s">
        <v>1566</v>
      </c>
      <c r="C1554" s="13">
        <v>240964.0</v>
      </c>
      <c r="D1554" s="12" t="s">
        <v>606</v>
      </c>
      <c r="E1554" s="13" t="s">
        <v>1512</v>
      </c>
      <c r="F1554" s="14">
        <v>0.5208333333333334</v>
      </c>
      <c r="G1554" s="20"/>
    </row>
    <row r="1555" spans="8:8" ht="32.25" customHeight="1">
      <c r="A1555" s="11">
        <v>30.0</v>
      </c>
      <c r="B1555" s="12" t="s">
        <v>1567</v>
      </c>
      <c r="C1555" s="13">
        <v>240753.0</v>
      </c>
      <c r="D1555" s="12" t="s">
        <v>606</v>
      </c>
      <c r="E1555" s="13" t="s">
        <v>1512</v>
      </c>
      <c r="F1555" s="14">
        <v>0.5208333333333334</v>
      </c>
      <c r="G1555" s="20"/>
    </row>
    <row r="1556" spans="8:8" ht="32.25" customHeight="1">
      <c r="A1556" s="11">
        <v>31.0</v>
      </c>
      <c r="B1556" s="12" t="s">
        <v>1568</v>
      </c>
      <c r="C1556" s="13">
        <v>241936.0</v>
      </c>
      <c r="D1556" s="12" t="s">
        <v>606</v>
      </c>
      <c r="E1556" s="13" t="s">
        <v>1512</v>
      </c>
      <c r="F1556" s="14">
        <v>0.5208333333333334</v>
      </c>
      <c r="G1556" s="20"/>
    </row>
    <row r="1557" spans="8:8" ht="32.25" customHeight="1">
      <c r="A1557" s="8" t="s">
        <v>18</v>
      </c>
      <c r="B1557" s="9" t="s">
        <v>19</v>
      </c>
      <c r="C1557" s="9" t="s">
        <v>20</v>
      </c>
      <c r="D1557" s="9" t="s">
        <v>21</v>
      </c>
      <c r="E1557" s="9" t="s">
        <v>22</v>
      </c>
      <c r="F1557" s="10" t="s">
        <v>23</v>
      </c>
      <c r="G1557" s="9" t="s">
        <v>644</v>
      </c>
    </row>
    <row r="1558" spans="8:8" ht="32.25" customHeight="1">
      <c r="A1558" s="15">
        <v>1.0</v>
      </c>
      <c r="B1558" s="12" t="s">
        <v>1569</v>
      </c>
      <c r="C1558" s="13">
        <v>250110.0</v>
      </c>
      <c r="D1558" s="12" t="s">
        <v>27</v>
      </c>
      <c r="E1558" s="13" t="s">
        <v>580</v>
      </c>
      <c r="F1558" s="14">
        <v>0.5208333333333334</v>
      </c>
      <c r="G1558" s="13"/>
    </row>
    <row r="1559" spans="8:8" ht="32.25" customHeight="1">
      <c r="A1559" s="15">
        <v>2.0</v>
      </c>
      <c r="B1559" s="12" t="s">
        <v>1570</v>
      </c>
      <c r="C1559" s="13">
        <v>253078.0</v>
      </c>
      <c r="D1559" s="12" t="s">
        <v>27</v>
      </c>
      <c r="E1559" s="13" t="s">
        <v>580</v>
      </c>
      <c r="F1559" s="14">
        <v>0.5208333333333334</v>
      </c>
      <c r="G1559" s="20"/>
    </row>
    <row r="1560" spans="8:8" ht="32.25" customHeight="1">
      <c r="A1560" s="15">
        <v>3.0</v>
      </c>
      <c r="B1560" s="12" t="s">
        <v>1571</v>
      </c>
      <c r="C1560" s="13">
        <v>253046.0</v>
      </c>
      <c r="D1560" s="12" t="s">
        <v>27</v>
      </c>
      <c r="E1560" s="13" t="s">
        <v>580</v>
      </c>
      <c r="F1560" s="14">
        <v>0.5208333333333334</v>
      </c>
      <c r="G1560" s="20"/>
    </row>
    <row r="1561" spans="8:8" ht="32.25" customHeight="1">
      <c r="A1561" s="15">
        <v>4.0</v>
      </c>
      <c r="B1561" s="12" t="s">
        <v>1572</v>
      </c>
      <c r="C1561" s="13">
        <v>253050.0</v>
      </c>
      <c r="D1561" s="12" t="s">
        <v>27</v>
      </c>
      <c r="E1561" s="13" t="s">
        <v>580</v>
      </c>
      <c r="F1561" s="14">
        <v>0.5208333333333334</v>
      </c>
      <c r="G1561" s="20"/>
    </row>
    <row r="1562" spans="8:8" ht="32.25" customHeight="1">
      <c r="A1562" s="15">
        <v>5.0</v>
      </c>
      <c r="B1562" s="12" t="s">
        <v>1573</v>
      </c>
      <c r="C1562" s="13">
        <v>253124.0</v>
      </c>
      <c r="D1562" s="12" t="s">
        <v>27</v>
      </c>
      <c r="E1562" s="13" t="s">
        <v>580</v>
      </c>
      <c r="F1562" s="14">
        <v>0.5208333333333334</v>
      </c>
      <c r="G1562" s="20"/>
    </row>
    <row r="1563" spans="8:8" ht="32.25" customHeight="1">
      <c r="A1563" s="15">
        <v>6.0</v>
      </c>
      <c r="B1563" s="12" t="s">
        <v>1574</v>
      </c>
      <c r="C1563" s="13">
        <v>253052.0</v>
      </c>
      <c r="D1563" s="12" t="s">
        <v>27</v>
      </c>
      <c r="E1563" s="13" t="s">
        <v>580</v>
      </c>
      <c r="F1563" s="14">
        <v>0.5208333333333334</v>
      </c>
      <c r="G1563" s="20"/>
    </row>
    <row r="1564" spans="8:8" ht="32.25" customHeight="1">
      <c r="A1564" s="15">
        <v>7.0</v>
      </c>
      <c r="B1564" s="12" t="s">
        <v>1575</v>
      </c>
      <c r="C1564" s="13">
        <v>253126.0</v>
      </c>
      <c r="D1564" s="12" t="s">
        <v>27</v>
      </c>
      <c r="E1564" s="13" t="s">
        <v>580</v>
      </c>
      <c r="F1564" s="14">
        <v>0.5208333333333334</v>
      </c>
      <c r="G1564" s="20"/>
    </row>
    <row r="1565" spans="8:8" ht="32.25" customHeight="1">
      <c r="A1565" s="15">
        <v>8.0</v>
      </c>
      <c r="B1565" s="12" t="s">
        <v>1576</v>
      </c>
      <c r="C1565" s="13">
        <v>253047.0</v>
      </c>
      <c r="D1565" s="12" t="s">
        <v>27</v>
      </c>
      <c r="E1565" s="13" t="s">
        <v>580</v>
      </c>
      <c r="F1565" s="14">
        <v>0.5208333333333334</v>
      </c>
      <c r="G1565" s="20"/>
    </row>
    <row r="1566" spans="8:8" ht="32.25" customHeight="1">
      <c r="A1566" s="15">
        <v>9.0</v>
      </c>
      <c r="B1566" s="12" t="s">
        <v>1577</v>
      </c>
      <c r="C1566" s="13">
        <v>250980.0</v>
      </c>
      <c r="D1566" s="12" t="s">
        <v>56</v>
      </c>
      <c r="E1566" s="13" t="s">
        <v>580</v>
      </c>
      <c r="F1566" s="14">
        <v>0.5208333333333334</v>
      </c>
      <c r="G1566" s="20"/>
    </row>
    <row r="1567" spans="8:8" ht="32.25" customHeight="1">
      <c r="A1567" s="15">
        <v>10.0</v>
      </c>
      <c r="B1567" s="12" t="s">
        <v>1578</v>
      </c>
      <c r="C1567" s="13">
        <v>240837.0</v>
      </c>
      <c r="D1567" s="12" t="s">
        <v>606</v>
      </c>
      <c r="E1567" s="13" t="s">
        <v>580</v>
      </c>
      <c r="F1567" s="14">
        <v>0.5208333333333334</v>
      </c>
      <c r="G1567" s="20"/>
    </row>
    <row r="1568" spans="8:8" ht="32.25" customHeight="1">
      <c r="A1568" s="15">
        <v>11.0</v>
      </c>
      <c r="B1568" s="12" t="s">
        <v>1579</v>
      </c>
      <c r="C1568" s="13">
        <v>253076.0</v>
      </c>
      <c r="D1568" s="12" t="s">
        <v>27</v>
      </c>
      <c r="E1568" s="13" t="s">
        <v>580</v>
      </c>
      <c r="F1568" s="14">
        <v>0.5208333333333334</v>
      </c>
      <c r="G1568" s="20"/>
    </row>
    <row r="1569" spans="8:8" ht="32.25" customHeight="1">
      <c r="A1569" s="15">
        <v>12.0</v>
      </c>
      <c r="B1569" s="12" t="s">
        <v>1580</v>
      </c>
      <c r="C1569" s="13">
        <v>250760.0</v>
      </c>
      <c r="D1569" s="12" t="s">
        <v>56</v>
      </c>
      <c r="E1569" s="13" t="s">
        <v>580</v>
      </c>
      <c r="F1569" s="14">
        <v>0.5208333333333334</v>
      </c>
      <c r="G1569" s="20"/>
    </row>
    <row r="1570" spans="8:8" ht="32.25" customHeight="1">
      <c r="A1570" s="15">
        <v>13.0</v>
      </c>
      <c r="B1570" s="12" t="s">
        <v>1581</v>
      </c>
      <c r="C1570" s="13">
        <v>250758.0</v>
      </c>
      <c r="D1570" s="12" t="s">
        <v>56</v>
      </c>
      <c r="E1570" s="13" t="s">
        <v>580</v>
      </c>
      <c r="F1570" s="14">
        <v>0.5208333333333334</v>
      </c>
      <c r="G1570" s="20"/>
    </row>
    <row r="1571" spans="8:8" ht="32.25" customHeight="1">
      <c r="A1571" s="15">
        <v>14.0</v>
      </c>
      <c r="B1571" s="12" t="s">
        <v>1582</v>
      </c>
      <c r="C1571" s="13">
        <v>240512.0</v>
      </c>
      <c r="D1571" s="12" t="s">
        <v>606</v>
      </c>
      <c r="E1571" s="13" t="s">
        <v>580</v>
      </c>
      <c r="F1571" s="14">
        <v>0.5208333333333334</v>
      </c>
      <c r="G1571" s="20"/>
    </row>
    <row r="1572" spans="8:8" ht="32.25" customHeight="1">
      <c r="A1572" s="15">
        <v>15.0</v>
      </c>
      <c r="B1572" s="12" t="s">
        <v>1583</v>
      </c>
      <c r="C1572" s="13">
        <v>253053.0</v>
      </c>
      <c r="D1572" s="12" t="s">
        <v>27</v>
      </c>
      <c r="E1572" s="13" t="s">
        <v>580</v>
      </c>
      <c r="F1572" s="14">
        <v>0.5208333333333334</v>
      </c>
      <c r="G1572" s="20"/>
    </row>
    <row r="1573" spans="8:8" ht="32.25" customHeight="1">
      <c r="A1573" s="15">
        <v>16.0</v>
      </c>
      <c r="B1573" s="21" t="s">
        <v>1584</v>
      </c>
      <c r="C1573" s="22">
        <v>240619.0</v>
      </c>
      <c r="D1573" s="21" t="s">
        <v>606</v>
      </c>
      <c r="E1573" s="44" t="s">
        <v>580</v>
      </c>
      <c r="F1573" s="14">
        <v>0.5208333333333334</v>
      </c>
      <c r="G1573" s="25"/>
    </row>
    <row r="1574" spans="8:8" ht="32.25" customHeight="1">
      <c r="A1574" s="15">
        <v>17.0</v>
      </c>
      <c r="B1574" s="21" t="s">
        <v>1585</v>
      </c>
      <c r="C1574" s="22">
        <v>240627.0</v>
      </c>
      <c r="D1574" s="21" t="s">
        <v>606</v>
      </c>
      <c r="E1574" s="44" t="s">
        <v>580</v>
      </c>
      <c r="F1574" s="14">
        <v>0.5208333333333334</v>
      </c>
      <c r="G1574" s="25"/>
    </row>
    <row r="1575" spans="8:8" ht="32.25" customHeight="1">
      <c r="A1575" s="15">
        <v>18.0</v>
      </c>
      <c r="B1575" s="21" t="s">
        <v>1586</v>
      </c>
      <c r="C1575" s="22">
        <v>240628.0</v>
      </c>
      <c r="D1575" s="21" t="s">
        <v>606</v>
      </c>
      <c r="E1575" s="44" t="s">
        <v>580</v>
      </c>
      <c r="F1575" s="14">
        <v>0.5208333333333334</v>
      </c>
      <c r="G1575" s="25"/>
    </row>
    <row r="1576" spans="8:8" ht="32.25" customHeight="1">
      <c r="A1576" s="15">
        <v>19.0</v>
      </c>
      <c r="B1576" s="21" t="s">
        <v>1587</v>
      </c>
      <c r="C1576" s="22">
        <v>240671.0</v>
      </c>
      <c r="D1576" s="21" t="s">
        <v>606</v>
      </c>
      <c r="E1576" s="44" t="s">
        <v>580</v>
      </c>
      <c r="F1576" s="14">
        <v>0.5208333333333334</v>
      </c>
      <c r="G1576" s="25"/>
    </row>
    <row r="1577" spans="8:8" ht="32.25" customHeight="1">
      <c r="A1577" s="15">
        <v>20.0</v>
      </c>
      <c r="B1577" s="21" t="s">
        <v>1588</v>
      </c>
      <c r="C1577" s="22">
        <v>240687.0</v>
      </c>
      <c r="D1577" s="21" t="s">
        <v>606</v>
      </c>
      <c r="E1577" s="44" t="s">
        <v>580</v>
      </c>
      <c r="F1577" s="14">
        <v>0.5208333333333334</v>
      </c>
      <c r="G1577" s="25"/>
    </row>
    <row r="1578" spans="8:8" ht="32.25" customHeight="1">
      <c r="A1578" s="15">
        <v>21.0</v>
      </c>
      <c r="B1578" s="21" t="s">
        <v>1589</v>
      </c>
      <c r="C1578" s="22">
        <v>240695.0</v>
      </c>
      <c r="D1578" s="21" t="s">
        <v>606</v>
      </c>
      <c r="E1578" s="44" t="s">
        <v>580</v>
      </c>
      <c r="F1578" s="14">
        <v>0.5208333333333334</v>
      </c>
      <c r="G1578" s="25"/>
    </row>
    <row r="1579" spans="8:8" ht="32.25" customHeight="1">
      <c r="A1579" s="15">
        <v>22.0</v>
      </c>
      <c r="B1579" s="21" t="s">
        <v>1590</v>
      </c>
      <c r="C1579" s="22">
        <v>241010.0</v>
      </c>
      <c r="D1579" s="21" t="s">
        <v>606</v>
      </c>
      <c r="E1579" s="22" t="s">
        <v>580</v>
      </c>
      <c r="F1579" s="14">
        <v>0.5208333333333334</v>
      </c>
      <c r="G1579" s="25"/>
    </row>
    <row r="1580" spans="8:8" ht="32.25" customHeight="1">
      <c r="A1580" s="15">
        <v>23.0</v>
      </c>
      <c r="B1580" s="21" t="s">
        <v>1591</v>
      </c>
      <c r="C1580" s="22">
        <v>240595.0</v>
      </c>
      <c r="D1580" s="21" t="s">
        <v>606</v>
      </c>
      <c r="E1580" s="22" t="s">
        <v>580</v>
      </c>
      <c r="F1580" s="14">
        <v>0.5208333333333334</v>
      </c>
      <c r="G1580" s="25"/>
    </row>
    <row r="1581" spans="8:8" ht="32.25" customHeight="1">
      <c r="A1581" s="15">
        <v>24.0</v>
      </c>
      <c r="B1581" s="21" t="s">
        <v>1592</v>
      </c>
      <c r="C1581" s="22">
        <v>240972.0</v>
      </c>
      <c r="D1581" s="21" t="s">
        <v>606</v>
      </c>
      <c r="E1581" s="22" t="s">
        <v>580</v>
      </c>
      <c r="F1581" s="14">
        <v>0.5208333333333334</v>
      </c>
      <c r="G1581" s="25"/>
    </row>
    <row r="1582" spans="8:8" ht="32.25" customHeight="1">
      <c r="A1582" s="15">
        <v>25.0</v>
      </c>
      <c r="B1582" s="21" t="s">
        <v>1593</v>
      </c>
      <c r="C1582" s="22">
        <v>240825.0</v>
      </c>
      <c r="D1582" s="21" t="s">
        <v>606</v>
      </c>
      <c r="E1582" s="22" t="s">
        <v>580</v>
      </c>
      <c r="F1582" s="14">
        <v>0.5208333333333334</v>
      </c>
      <c r="G1582" s="25"/>
    </row>
    <row r="1583" spans="8:8" ht="32.25" customHeight="1">
      <c r="A1583" s="15">
        <v>26.0</v>
      </c>
      <c r="B1583" s="21" t="s">
        <v>1594</v>
      </c>
      <c r="C1583" s="22">
        <v>240869.0</v>
      </c>
      <c r="D1583" s="21" t="s">
        <v>606</v>
      </c>
      <c r="E1583" s="22" t="s">
        <v>580</v>
      </c>
      <c r="F1583" s="14">
        <v>0.5208333333333334</v>
      </c>
      <c r="G1583" s="25"/>
    </row>
    <row r="1584" spans="8:8" ht="32.25" customHeight="1">
      <c r="A1584" s="15">
        <v>27.0</v>
      </c>
      <c r="B1584" s="21" t="s">
        <v>1595</v>
      </c>
      <c r="C1584" s="22">
        <v>241105.0</v>
      </c>
      <c r="D1584" s="21" t="s">
        <v>606</v>
      </c>
      <c r="E1584" s="22" t="s">
        <v>580</v>
      </c>
      <c r="F1584" s="14">
        <v>0.5208333333333334</v>
      </c>
      <c r="G1584" s="25"/>
    </row>
    <row r="1585" spans="8:8" ht="32.25" customHeight="1">
      <c r="A1585" s="15">
        <v>28.0</v>
      </c>
      <c r="B1585" s="21" t="s">
        <v>1596</v>
      </c>
      <c r="C1585" s="22">
        <v>240716.0</v>
      </c>
      <c r="D1585" s="21" t="s">
        <v>606</v>
      </c>
      <c r="E1585" s="22" t="s">
        <v>580</v>
      </c>
      <c r="F1585" s="14">
        <v>0.5208333333333334</v>
      </c>
      <c r="G1585" s="25"/>
    </row>
    <row r="1586" spans="8:8" ht="32.25" customHeight="1">
      <c r="A1586" s="8" t="s">
        <v>18</v>
      </c>
      <c r="B1586" s="9" t="s">
        <v>19</v>
      </c>
      <c r="C1586" s="9" t="s">
        <v>20</v>
      </c>
      <c r="D1586" s="9" t="s">
        <v>21</v>
      </c>
      <c r="E1586" s="9" t="s">
        <v>22</v>
      </c>
      <c r="F1586" s="10" t="s">
        <v>23</v>
      </c>
      <c r="G1586" s="9" t="s">
        <v>675</v>
      </c>
    </row>
    <row r="1587" spans="8:8" ht="32.25" customHeight="1">
      <c r="A1587" s="15">
        <v>1.0</v>
      </c>
      <c r="B1587" s="12" t="s">
        <v>1597</v>
      </c>
      <c r="C1587" s="13">
        <v>250883.0</v>
      </c>
      <c r="D1587" s="12" t="s">
        <v>56</v>
      </c>
      <c r="E1587" s="13" t="s">
        <v>580</v>
      </c>
      <c r="F1587" s="14">
        <v>0.5208333333333334</v>
      </c>
      <c r="G1587" s="13"/>
    </row>
    <row r="1588" spans="8:8" ht="32.25" customHeight="1">
      <c r="A1588" s="15">
        <v>2.0</v>
      </c>
      <c r="B1588" s="12" t="s">
        <v>1598</v>
      </c>
      <c r="C1588" s="13">
        <v>250994.0</v>
      </c>
      <c r="D1588" s="12" t="s">
        <v>56</v>
      </c>
      <c r="E1588" s="13" t="s">
        <v>580</v>
      </c>
      <c r="F1588" s="14">
        <v>0.5208333333333334</v>
      </c>
      <c r="G1588" s="20"/>
    </row>
    <row r="1589" spans="8:8" ht="32.25" customHeight="1">
      <c r="A1589" s="15">
        <v>3.0</v>
      </c>
      <c r="B1589" s="12" t="s">
        <v>1599</v>
      </c>
      <c r="C1589" s="13">
        <v>253071.0</v>
      </c>
      <c r="D1589" s="12" t="s">
        <v>27</v>
      </c>
      <c r="E1589" s="13" t="s">
        <v>580</v>
      </c>
      <c r="F1589" s="14">
        <v>0.5208333333333334</v>
      </c>
      <c r="G1589" s="20"/>
    </row>
    <row r="1590" spans="8:8" ht="32.25" customHeight="1">
      <c r="A1590" s="15">
        <v>4.0</v>
      </c>
      <c r="B1590" s="12" t="s">
        <v>1600</v>
      </c>
      <c r="C1590" s="13">
        <v>250179.0</v>
      </c>
      <c r="D1590" s="12" t="s">
        <v>27</v>
      </c>
      <c r="E1590" s="13" t="s">
        <v>580</v>
      </c>
      <c r="F1590" s="14">
        <v>0.5208333333333334</v>
      </c>
      <c r="G1590" s="20"/>
    </row>
    <row r="1591" spans="8:8" ht="32.25" customHeight="1">
      <c r="A1591" s="15">
        <v>5.0</v>
      </c>
      <c r="B1591" s="12" t="s">
        <v>1601</v>
      </c>
      <c r="C1591" s="13">
        <v>250998.0</v>
      </c>
      <c r="D1591" s="12" t="s">
        <v>56</v>
      </c>
      <c r="E1591" s="13" t="s">
        <v>580</v>
      </c>
      <c r="F1591" s="14">
        <v>0.5208333333333334</v>
      </c>
      <c r="G1591" s="20"/>
    </row>
    <row r="1592" spans="8:8" ht="32.25" customHeight="1">
      <c r="A1592" s="15">
        <v>6.0</v>
      </c>
      <c r="B1592" s="12" t="s">
        <v>1602</v>
      </c>
      <c r="C1592" s="13">
        <v>253164.0</v>
      </c>
      <c r="D1592" s="12" t="s">
        <v>56</v>
      </c>
      <c r="E1592" s="13" t="s">
        <v>580</v>
      </c>
      <c r="F1592" s="14">
        <v>0.5208333333333334</v>
      </c>
      <c r="G1592" s="20"/>
    </row>
    <row r="1593" spans="8:8" ht="32.25" customHeight="1">
      <c r="A1593" s="15">
        <v>7.0</v>
      </c>
      <c r="B1593" s="12" t="s">
        <v>1603</v>
      </c>
      <c r="C1593" s="13">
        <v>250182.0</v>
      </c>
      <c r="D1593" s="12" t="s">
        <v>27</v>
      </c>
      <c r="E1593" s="13" t="s">
        <v>580</v>
      </c>
      <c r="F1593" s="14">
        <v>0.5208333333333334</v>
      </c>
      <c r="G1593" s="20"/>
    </row>
    <row r="1594" spans="8:8" ht="32.25" customHeight="1">
      <c r="A1594" s="15">
        <v>8.0</v>
      </c>
      <c r="B1594" s="12" t="s">
        <v>1604</v>
      </c>
      <c r="C1594" s="13">
        <v>250199.0</v>
      </c>
      <c r="D1594" s="12" t="s">
        <v>27</v>
      </c>
      <c r="E1594" s="13" t="s">
        <v>580</v>
      </c>
      <c r="F1594" s="14">
        <v>0.5208333333333334</v>
      </c>
      <c r="G1594" s="20"/>
    </row>
    <row r="1595" spans="8:8" ht="32.25" customHeight="1">
      <c r="A1595" s="15">
        <v>9.0</v>
      </c>
      <c r="B1595" s="12" t="s">
        <v>1605</v>
      </c>
      <c r="C1595" s="13">
        <v>251189.0</v>
      </c>
      <c r="D1595" s="12" t="s">
        <v>56</v>
      </c>
      <c r="E1595" s="13" t="s">
        <v>580</v>
      </c>
      <c r="F1595" s="14">
        <v>0.5208333333333334</v>
      </c>
      <c r="G1595" s="20"/>
    </row>
    <row r="1596" spans="8:8" ht="32.25" customHeight="1">
      <c r="A1596" s="15">
        <v>10.0</v>
      </c>
      <c r="B1596" s="12" t="s">
        <v>1606</v>
      </c>
      <c r="C1596" s="13">
        <v>250115.0</v>
      </c>
      <c r="D1596" s="12" t="s">
        <v>27</v>
      </c>
      <c r="E1596" s="13" t="s">
        <v>580</v>
      </c>
      <c r="F1596" s="14">
        <v>0.5208333333333334</v>
      </c>
      <c r="G1596" s="20"/>
    </row>
    <row r="1597" spans="8:8" ht="32.25" customHeight="1">
      <c r="A1597" s="15">
        <v>11.0</v>
      </c>
      <c r="B1597" s="12" t="s">
        <v>1607</v>
      </c>
      <c r="C1597" s="13">
        <v>253054.0</v>
      </c>
      <c r="D1597" s="12" t="s">
        <v>27</v>
      </c>
      <c r="E1597" s="13" t="s">
        <v>580</v>
      </c>
      <c r="F1597" s="14">
        <v>0.5208333333333334</v>
      </c>
      <c r="G1597" s="20"/>
    </row>
    <row r="1598" spans="8:8" ht="32.25" customHeight="1">
      <c r="A1598" s="15">
        <v>12.0</v>
      </c>
      <c r="B1598" s="12" t="s">
        <v>1608</v>
      </c>
      <c r="C1598" s="13">
        <v>250130.0</v>
      </c>
      <c r="D1598" s="12" t="s">
        <v>27</v>
      </c>
      <c r="E1598" s="13" t="s">
        <v>580</v>
      </c>
      <c r="F1598" s="14">
        <v>0.5208333333333334</v>
      </c>
      <c r="G1598" s="20"/>
    </row>
    <row r="1599" spans="8:8" ht="32.25" customHeight="1">
      <c r="A1599" s="15">
        <v>13.0</v>
      </c>
      <c r="B1599" s="12" t="s">
        <v>1609</v>
      </c>
      <c r="C1599" s="13">
        <v>251215.0</v>
      </c>
      <c r="D1599" s="12" t="s">
        <v>56</v>
      </c>
      <c r="E1599" s="13" t="s">
        <v>580</v>
      </c>
      <c r="F1599" s="14">
        <v>0.5208333333333334</v>
      </c>
      <c r="G1599" s="20"/>
    </row>
    <row r="1600" spans="8:8" ht="32.25" customHeight="1">
      <c r="A1600" s="15">
        <v>14.0</v>
      </c>
      <c r="B1600" s="12" t="s">
        <v>1610</v>
      </c>
      <c r="C1600" s="13">
        <v>253191.0</v>
      </c>
      <c r="D1600" s="12" t="s">
        <v>27</v>
      </c>
      <c r="E1600" s="13" t="s">
        <v>580</v>
      </c>
      <c r="F1600" s="14">
        <v>0.5208333333333334</v>
      </c>
      <c r="G1600" s="20"/>
    </row>
    <row r="1601" spans="8:8" ht="32.25" customHeight="1">
      <c r="A1601" s="15">
        <v>15.0</v>
      </c>
      <c r="B1601" s="21" t="s">
        <v>1611</v>
      </c>
      <c r="C1601" s="22">
        <v>241121.0</v>
      </c>
      <c r="D1601" s="21" t="s">
        <v>606</v>
      </c>
      <c r="E1601" s="44" t="s">
        <v>580</v>
      </c>
      <c r="F1601" s="14">
        <v>0.5208333333333334</v>
      </c>
      <c r="G1601" s="25"/>
    </row>
    <row r="1602" spans="8:8" ht="32.25" customHeight="1">
      <c r="A1602" s="15">
        <v>16.0</v>
      </c>
      <c r="B1602" s="21" t="s">
        <v>1612</v>
      </c>
      <c r="C1602" s="22">
        <v>240917.0</v>
      </c>
      <c r="D1602" s="21" t="s">
        <v>606</v>
      </c>
      <c r="E1602" s="44" t="s">
        <v>580</v>
      </c>
      <c r="F1602" s="14">
        <v>0.5208333333333334</v>
      </c>
      <c r="G1602" s="25"/>
    </row>
    <row r="1603" spans="8:8" ht="32.25" customHeight="1">
      <c r="A1603" s="15">
        <v>17.0</v>
      </c>
      <c r="B1603" s="21" t="s">
        <v>1613</v>
      </c>
      <c r="C1603" s="22">
        <v>240921.0</v>
      </c>
      <c r="D1603" s="21" t="s">
        <v>606</v>
      </c>
      <c r="E1603" s="44" t="s">
        <v>580</v>
      </c>
      <c r="F1603" s="14">
        <v>0.5208333333333334</v>
      </c>
      <c r="G1603" s="25"/>
    </row>
    <row r="1604" spans="8:8" ht="32.25" customHeight="1">
      <c r="A1604" s="15">
        <v>18.0</v>
      </c>
      <c r="B1604" s="21" t="s">
        <v>1614</v>
      </c>
      <c r="C1604" s="22">
        <v>240924.0</v>
      </c>
      <c r="D1604" s="21" t="s">
        <v>606</v>
      </c>
      <c r="E1604" s="44" t="s">
        <v>580</v>
      </c>
      <c r="F1604" s="14">
        <v>0.5208333333333334</v>
      </c>
      <c r="G1604" s="25"/>
    </row>
    <row r="1605" spans="8:8" ht="32.25" customHeight="1">
      <c r="A1605" s="15">
        <v>19.0</v>
      </c>
      <c r="B1605" s="21" t="s">
        <v>1615</v>
      </c>
      <c r="C1605" s="22">
        <v>241035.0</v>
      </c>
      <c r="D1605" s="21" t="s">
        <v>606</v>
      </c>
      <c r="E1605" s="44" t="s">
        <v>580</v>
      </c>
      <c r="F1605" s="14">
        <v>0.5208333333333334</v>
      </c>
      <c r="G1605" s="25"/>
    </row>
    <row r="1606" spans="8:8" ht="32.25" customHeight="1">
      <c r="A1606" s="15">
        <v>20.0</v>
      </c>
      <c r="B1606" s="21" t="s">
        <v>1616</v>
      </c>
      <c r="C1606" s="22">
        <v>240598.0</v>
      </c>
      <c r="D1606" s="21" t="s">
        <v>606</v>
      </c>
      <c r="E1606" s="44" t="s">
        <v>580</v>
      </c>
      <c r="F1606" s="14">
        <v>0.5208333333333334</v>
      </c>
      <c r="G1606" s="25"/>
    </row>
    <row r="1607" spans="8:8" ht="32.25" customHeight="1">
      <c r="A1607" s="15">
        <v>21.0</v>
      </c>
      <c r="B1607" s="21" t="s">
        <v>1617</v>
      </c>
      <c r="C1607" s="22">
        <v>240612.0</v>
      </c>
      <c r="D1607" s="21" t="s">
        <v>606</v>
      </c>
      <c r="E1607" s="44" t="s">
        <v>580</v>
      </c>
      <c r="F1607" s="14">
        <v>0.5208333333333334</v>
      </c>
      <c r="G1607" s="25"/>
    </row>
    <row r="1608" spans="8:8" ht="32.25" customHeight="1">
      <c r="A1608" s="15">
        <v>22.0</v>
      </c>
      <c r="B1608" s="21" t="s">
        <v>1618</v>
      </c>
      <c r="C1608" s="22">
        <v>241042.0</v>
      </c>
      <c r="D1608" s="21" t="s">
        <v>606</v>
      </c>
      <c r="E1608" s="22" t="s">
        <v>580</v>
      </c>
      <c r="F1608" s="14">
        <v>0.5208333333333334</v>
      </c>
      <c r="G1608" s="25"/>
    </row>
    <row r="1609" spans="8:8" ht="32.25" customHeight="1">
      <c r="A1609" s="15">
        <v>23.0</v>
      </c>
      <c r="B1609" s="21" t="s">
        <v>1619</v>
      </c>
      <c r="C1609" s="22">
        <v>240651.0</v>
      </c>
      <c r="D1609" s="21" t="s">
        <v>606</v>
      </c>
      <c r="E1609" s="22" t="s">
        <v>580</v>
      </c>
      <c r="F1609" s="14">
        <v>0.5208333333333334</v>
      </c>
      <c r="G1609" s="25"/>
    </row>
    <row r="1610" spans="8:8" ht="32.25" customHeight="1">
      <c r="A1610" s="15">
        <v>24.0</v>
      </c>
      <c r="B1610" s="21" t="s">
        <v>1620</v>
      </c>
      <c r="C1610" s="22">
        <v>240796.0</v>
      </c>
      <c r="D1610" s="21" t="s">
        <v>606</v>
      </c>
      <c r="E1610" s="22" t="s">
        <v>580</v>
      </c>
      <c r="F1610" s="14">
        <v>0.5208333333333334</v>
      </c>
      <c r="G1610" s="25"/>
    </row>
    <row r="1611" spans="8:8" ht="32.25" customHeight="1">
      <c r="A1611" s="15">
        <v>25.0</v>
      </c>
      <c r="B1611" s="21" t="s">
        <v>1621</v>
      </c>
      <c r="C1611" s="22">
        <v>240911.0</v>
      </c>
      <c r="D1611" s="21" t="s">
        <v>606</v>
      </c>
      <c r="E1611" s="22" t="s">
        <v>580</v>
      </c>
      <c r="F1611" s="14">
        <v>0.5208333333333334</v>
      </c>
      <c r="G1611" s="25"/>
    </row>
    <row r="1612" spans="8:8" ht="32.25" customHeight="1">
      <c r="A1612" s="8" t="s">
        <v>18</v>
      </c>
      <c r="B1612" s="9" t="s">
        <v>19</v>
      </c>
      <c r="C1612" s="9" t="s">
        <v>20</v>
      </c>
      <c r="D1612" s="9" t="s">
        <v>21</v>
      </c>
      <c r="E1612" s="9" t="s">
        <v>22</v>
      </c>
      <c r="F1612" s="10" t="s">
        <v>23</v>
      </c>
      <c r="G1612" s="9" t="s">
        <v>701</v>
      </c>
    </row>
    <row r="1613" spans="8:8" ht="32.25" customHeight="1">
      <c r="A1613" s="15">
        <v>1.0</v>
      </c>
      <c r="B1613" s="12" t="s">
        <v>1622</v>
      </c>
      <c r="C1613" s="13">
        <v>250080.0</v>
      </c>
      <c r="D1613" s="12" t="s">
        <v>27</v>
      </c>
      <c r="E1613" s="13" t="s">
        <v>1512</v>
      </c>
      <c r="F1613" s="14">
        <v>0.5208333333333334</v>
      </c>
      <c r="G1613" s="13"/>
    </row>
    <row r="1614" spans="8:8" ht="32.25" customHeight="1">
      <c r="A1614" s="15">
        <v>2.0</v>
      </c>
      <c r="B1614" s="12" t="s">
        <v>1623</v>
      </c>
      <c r="C1614" s="13">
        <v>250084.0</v>
      </c>
      <c r="D1614" s="12" t="s">
        <v>27</v>
      </c>
      <c r="E1614" s="13" t="s">
        <v>1512</v>
      </c>
      <c r="F1614" s="14">
        <v>0.5208333333333334</v>
      </c>
      <c r="G1614" s="20"/>
    </row>
    <row r="1615" spans="8:8" ht="32.25" customHeight="1">
      <c r="A1615" s="15">
        <v>3.0</v>
      </c>
      <c r="B1615" s="12" t="s">
        <v>1624</v>
      </c>
      <c r="C1615" s="13">
        <v>253254.0</v>
      </c>
      <c r="D1615" s="33" t="s">
        <v>90</v>
      </c>
      <c r="E1615" s="13" t="s">
        <v>1512</v>
      </c>
      <c r="F1615" s="14">
        <v>0.5208333333333334</v>
      </c>
      <c r="G1615" s="20"/>
    </row>
    <row r="1616" spans="8:8" ht="32.25" customHeight="1">
      <c r="A1616" s="15">
        <v>4.0</v>
      </c>
      <c r="B1616" s="12" t="s">
        <v>1625</v>
      </c>
      <c r="C1616" s="13">
        <v>253186.0</v>
      </c>
      <c r="D1616" s="12" t="s">
        <v>27</v>
      </c>
      <c r="E1616" s="13" t="s">
        <v>1512</v>
      </c>
      <c r="F1616" s="14">
        <v>0.5208333333333334</v>
      </c>
      <c r="G1616" s="20"/>
    </row>
    <row r="1617" spans="8:8" ht="32.25" customHeight="1">
      <c r="A1617" s="15">
        <v>5.0</v>
      </c>
      <c r="B1617" s="12" t="s">
        <v>1626</v>
      </c>
      <c r="C1617" s="13">
        <v>250204.0</v>
      </c>
      <c r="D1617" s="12" t="s">
        <v>27</v>
      </c>
      <c r="E1617" s="13" t="s">
        <v>1512</v>
      </c>
      <c r="F1617" s="14">
        <v>0.5208333333333334</v>
      </c>
      <c r="G1617" s="20"/>
    </row>
    <row r="1618" spans="8:8" ht="32.25" customHeight="1">
      <c r="A1618" s="15">
        <v>6.0</v>
      </c>
      <c r="B1618" s="12" t="s">
        <v>1627</v>
      </c>
      <c r="C1618" s="13">
        <v>250224.0</v>
      </c>
      <c r="D1618" s="12" t="s">
        <v>27</v>
      </c>
      <c r="E1618" s="13" t="s">
        <v>1512</v>
      </c>
      <c r="F1618" s="14">
        <v>0.5208333333333334</v>
      </c>
      <c r="G1618" s="20"/>
    </row>
    <row r="1619" spans="8:8" ht="32.25" customHeight="1">
      <c r="A1619" s="15">
        <v>7.0</v>
      </c>
      <c r="B1619" s="12" t="s">
        <v>1628</v>
      </c>
      <c r="C1619" s="13">
        <v>250220.0</v>
      </c>
      <c r="D1619" s="12" t="s">
        <v>27</v>
      </c>
      <c r="E1619" s="13" t="s">
        <v>1512</v>
      </c>
      <c r="F1619" s="14">
        <v>0.5208333333333334</v>
      </c>
      <c r="G1619" s="20"/>
    </row>
    <row r="1620" spans="8:8" ht="32.25" customHeight="1">
      <c r="A1620" s="15">
        <v>8.0</v>
      </c>
      <c r="B1620" s="12" t="s">
        <v>1629</v>
      </c>
      <c r="C1620" s="13">
        <v>250219.0</v>
      </c>
      <c r="D1620" s="12" t="s">
        <v>27</v>
      </c>
      <c r="E1620" s="13" t="s">
        <v>1512</v>
      </c>
      <c r="F1620" s="14">
        <v>0.5208333333333334</v>
      </c>
      <c r="G1620" s="20"/>
    </row>
    <row r="1621" spans="8:8" ht="32.25" customHeight="1">
      <c r="A1621" s="15">
        <v>9.0</v>
      </c>
      <c r="B1621" s="12" t="s">
        <v>1630</v>
      </c>
      <c r="C1621" s="13">
        <v>250247.0</v>
      </c>
      <c r="D1621" s="12" t="s">
        <v>27</v>
      </c>
      <c r="E1621" s="13" t="s">
        <v>1512</v>
      </c>
      <c r="F1621" s="14">
        <v>0.5208333333333334</v>
      </c>
      <c r="G1621" s="20"/>
    </row>
    <row r="1622" spans="8:8" ht="32.25" customHeight="1">
      <c r="A1622" s="15">
        <v>10.0</v>
      </c>
      <c r="B1622" s="12" t="s">
        <v>1631</v>
      </c>
      <c r="C1622" s="13">
        <v>250708.0</v>
      </c>
      <c r="D1622" s="12" t="s">
        <v>56</v>
      </c>
      <c r="E1622" s="13" t="s">
        <v>1512</v>
      </c>
      <c r="F1622" s="14">
        <v>0.5208333333333334</v>
      </c>
      <c r="G1622" s="20"/>
    </row>
    <row r="1623" spans="8:8" ht="32.25" customHeight="1">
      <c r="A1623" s="15">
        <v>11.0</v>
      </c>
      <c r="B1623" s="12" t="s">
        <v>1632</v>
      </c>
      <c r="C1623" s="13">
        <v>252817.0</v>
      </c>
      <c r="D1623" s="12" t="s">
        <v>27</v>
      </c>
      <c r="E1623" s="13" t="s">
        <v>1512</v>
      </c>
      <c r="F1623" s="14">
        <v>0.5208333333333334</v>
      </c>
      <c r="G1623" s="20"/>
    </row>
    <row r="1624" spans="8:8" ht="32.25" customHeight="1">
      <c r="A1624" s="15">
        <v>12.0</v>
      </c>
      <c r="B1624" s="12" t="s">
        <v>1633</v>
      </c>
      <c r="C1624" s="13">
        <v>250707.0</v>
      </c>
      <c r="D1624" s="12" t="s">
        <v>56</v>
      </c>
      <c r="E1624" s="13" t="s">
        <v>1512</v>
      </c>
      <c r="F1624" s="14">
        <v>0.5208333333333334</v>
      </c>
      <c r="G1624" s="20"/>
    </row>
    <row r="1625" spans="8:8" ht="32.25" customHeight="1">
      <c r="A1625" s="15">
        <v>13.0</v>
      </c>
      <c r="B1625" s="12" t="s">
        <v>1634</v>
      </c>
      <c r="C1625" s="13">
        <v>250709.0</v>
      </c>
      <c r="D1625" s="12" t="s">
        <v>56</v>
      </c>
      <c r="E1625" s="13" t="s">
        <v>1512</v>
      </c>
      <c r="F1625" s="14">
        <v>0.5208333333333334</v>
      </c>
      <c r="G1625" s="20"/>
    </row>
    <row r="1626" spans="8:8" ht="32.25" customHeight="1">
      <c r="A1626" s="15">
        <v>14.0</v>
      </c>
      <c r="B1626" s="12" t="s">
        <v>1635</v>
      </c>
      <c r="C1626" s="13">
        <v>253070.0</v>
      </c>
      <c r="D1626" s="12" t="s">
        <v>27</v>
      </c>
      <c r="E1626" s="13" t="s">
        <v>1512</v>
      </c>
      <c r="F1626" s="14">
        <v>0.5208333333333334</v>
      </c>
      <c r="G1626" s="20"/>
    </row>
    <row r="1627" spans="8:8" ht="32.25" customHeight="1">
      <c r="A1627" s="15">
        <v>15.0</v>
      </c>
      <c r="B1627" s="12" t="s">
        <v>1636</v>
      </c>
      <c r="C1627" s="13">
        <v>253161.0</v>
      </c>
      <c r="D1627" s="12" t="s">
        <v>27</v>
      </c>
      <c r="E1627" s="13" t="s">
        <v>1512</v>
      </c>
      <c r="F1627" s="14">
        <v>0.5208333333333334</v>
      </c>
      <c r="G1627" s="20"/>
    </row>
    <row r="1628" spans="8:8" ht="32.25" customHeight="1">
      <c r="A1628" s="15">
        <v>16.0</v>
      </c>
      <c r="B1628" s="12" t="s">
        <v>1637</v>
      </c>
      <c r="C1628" s="13">
        <v>253253.0</v>
      </c>
      <c r="D1628" s="33" t="s">
        <v>90</v>
      </c>
      <c r="E1628" s="13" t="s">
        <v>1512</v>
      </c>
      <c r="F1628" s="14">
        <v>0.5208333333333334</v>
      </c>
      <c r="G1628" s="20"/>
    </row>
    <row r="1629" spans="8:8" ht="32.25" customHeight="1">
      <c r="A1629" s="15">
        <v>17.0</v>
      </c>
      <c r="B1629" s="12" t="s">
        <v>1638</v>
      </c>
      <c r="C1629" s="13">
        <v>253257.0</v>
      </c>
      <c r="D1629" s="33" t="s">
        <v>90</v>
      </c>
      <c r="E1629" s="13" t="s">
        <v>1512</v>
      </c>
      <c r="F1629" s="14">
        <v>0.5208333333333334</v>
      </c>
      <c r="G1629" s="20"/>
    </row>
    <row r="1631" spans="8:8" ht="32.25" customHeight="1">
      <c r="A1631" s="15">
        <v>19.0</v>
      </c>
      <c r="B1631" s="23" t="s">
        <v>1639</v>
      </c>
      <c r="C1631" s="24">
        <v>252055.0</v>
      </c>
      <c r="D1631" s="23" t="s">
        <v>104</v>
      </c>
      <c r="E1631" s="24" t="s">
        <v>1512</v>
      </c>
      <c r="F1631" s="14">
        <v>0.5208333333333334</v>
      </c>
      <c r="G1631" s="20"/>
    </row>
    <row r="1632" spans="8:8" ht="32.25" customHeight="1">
      <c r="A1632" s="15">
        <v>20.0</v>
      </c>
      <c r="B1632" s="21" t="s">
        <v>1640</v>
      </c>
      <c r="C1632" s="13">
        <v>251013.0</v>
      </c>
      <c r="D1632" s="21" t="s">
        <v>56</v>
      </c>
      <c r="E1632" s="44" t="s">
        <v>1641</v>
      </c>
      <c r="F1632" s="14">
        <v>0.5208333333333334</v>
      </c>
      <c r="G1632" s="25"/>
    </row>
    <row r="1633" spans="8:8" ht="32.25" customHeight="1">
      <c r="A1633" s="15">
        <v>21.0</v>
      </c>
      <c r="B1633" s="21" t="s">
        <v>1642</v>
      </c>
      <c r="C1633" s="22">
        <v>251065.0</v>
      </c>
      <c r="D1633" s="21" t="s">
        <v>56</v>
      </c>
      <c r="E1633" s="34" t="s">
        <v>1512</v>
      </c>
      <c r="F1633" s="14">
        <v>0.5208333333333334</v>
      </c>
      <c r="G1633" s="25"/>
    </row>
    <row r="1634" spans="8:8" ht="32.25" customHeight="1">
      <c r="A1634" s="15">
        <v>22.0</v>
      </c>
      <c r="B1634" s="23" t="s">
        <v>1643</v>
      </c>
      <c r="C1634" s="24">
        <v>250917.0</v>
      </c>
      <c r="D1634" s="23" t="s">
        <v>56</v>
      </c>
      <c r="E1634" s="24" t="s">
        <v>1512</v>
      </c>
      <c r="F1634" s="14">
        <v>0.5208333333333334</v>
      </c>
      <c r="G1634" s="20"/>
    </row>
    <row r="1635" spans="8:8" ht="32.25" customHeight="1">
      <c r="A1635" s="8" t="s">
        <v>18</v>
      </c>
      <c r="B1635" s="9" t="s">
        <v>19</v>
      </c>
      <c r="C1635" s="9" t="s">
        <v>20</v>
      </c>
      <c r="D1635" s="9" t="s">
        <v>21</v>
      </c>
      <c r="E1635" s="9" t="s">
        <v>22</v>
      </c>
      <c r="F1635" s="10" t="s">
        <v>23</v>
      </c>
      <c r="G1635" s="9" t="s">
        <v>727</v>
      </c>
    </row>
    <row r="1636" spans="8:8" ht="32.25" customHeight="1">
      <c r="A1636" s="13">
        <v>1.0</v>
      </c>
      <c r="B1636" s="21" t="s">
        <v>1644</v>
      </c>
      <c r="C1636" s="22">
        <v>240758.0</v>
      </c>
      <c r="D1636" s="21" t="s">
        <v>606</v>
      </c>
      <c r="E1636" s="22" t="s">
        <v>1645</v>
      </c>
      <c r="F1636" s="14">
        <v>0.5208333333333334</v>
      </c>
      <c r="G1636" s="13"/>
    </row>
    <row r="1637" spans="8:8" ht="32.25" customHeight="1">
      <c r="A1637" s="13">
        <v>2.0</v>
      </c>
      <c r="B1637" s="21" t="s">
        <v>1646</v>
      </c>
      <c r="C1637" s="22">
        <v>240762.0</v>
      </c>
      <c r="D1637" s="21" t="s">
        <v>606</v>
      </c>
      <c r="E1637" s="22" t="s">
        <v>1645</v>
      </c>
      <c r="F1637" s="14">
        <v>0.5208333333333334</v>
      </c>
      <c r="G1637" s="25"/>
    </row>
    <row r="1638" spans="8:8" ht="32.25" customHeight="1">
      <c r="A1638" s="13">
        <v>3.0</v>
      </c>
      <c r="B1638" s="21" t="s">
        <v>1647</v>
      </c>
      <c r="C1638" s="22">
        <v>240769.0</v>
      </c>
      <c r="D1638" s="21" t="s">
        <v>606</v>
      </c>
      <c r="E1638" s="22" t="s">
        <v>1645</v>
      </c>
      <c r="F1638" s="14">
        <v>0.5208333333333334</v>
      </c>
      <c r="G1638" s="25"/>
    </row>
    <row r="1639" spans="8:8" ht="32.25" customHeight="1">
      <c r="A1639" s="13">
        <v>4.0</v>
      </c>
      <c r="B1639" s="21" t="s">
        <v>1648</v>
      </c>
      <c r="C1639" s="22">
        <v>240773.0</v>
      </c>
      <c r="D1639" s="21" t="s">
        <v>606</v>
      </c>
      <c r="E1639" s="22" t="s">
        <v>1645</v>
      </c>
      <c r="F1639" s="14">
        <v>0.5208333333333334</v>
      </c>
      <c r="G1639" s="25"/>
    </row>
    <row r="1640" spans="8:8" ht="32.25" customHeight="1">
      <c r="A1640" s="13">
        <v>5.0</v>
      </c>
      <c r="B1640" s="12" t="s">
        <v>1649</v>
      </c>
      <c r="C1640" s="13">
        <v>240790.0</v>
      </c>
      <c r="D1640" s="12" t="s">
        <v>606</v>
      </c>
      <c r="E1640" s="13" t="s">
        <v>1645</v>
      </c>
      <c r="F1640" s="14">
        <v>0.5208333333333334</v>
      </c>
      <c r="G1640" s="25"/>
    </row>
    <row r="1641" spans="8:8" ht="32.25" customHeight="1">
      <c r="A1641" s="13">
        <v>6.0</v>
      </c>
      <c r="B1641" s="21" t="s">
        <v>1650</v>
      </c>
      <c r="C1641" s="22">
        <v>240797.0</v>
      </c>
      <c r="D1641" s="21" t="s">
        <v>606</v>
      </c>
      <c r="E1641" s="22" t="s">
        <v>1645</v>
      </c>
      <c r="F1641" s="14">
        <v>0.5208333333333334</v>
      </c>
      <c r="G1641" s="25"/>
    </row>
    <row r="1642" spans="8:8" ht="32.25" customHeight="1">
      <c r="A1642" s="13">
        <v>7.0</v>
      </c>
      <c r="B1642" s="21" t="s">
        <v>1651</v>
      </c>
      <c r="C1642" s="22">
        <v>240803.0</v>
      </c>
      <c r="D1642" s="21" t="s">
        <v>606</v>
      </c>
      <c r="E1642" s="22" t="s">
        <v>1645</v>
      </c>
      <c r="F1642" s="14">
        <v>0.5208333333333334</v>
      </c>
      <c r="G1642" s="25"/>
    </row>
    <row r="1643" spans="8:8" ht="32.25" customHeight="1">
      <c r="A1643" s="13">
        <v>8.0</v>
      </c>
      <c r="B1643" s="21" t="s">
        <v>1652</v>
      </c>
      <c r="C1643" s="22">
        <v>240806.0</v>
      </c>
      <c r="D1643" s="21" t="s">
        <v>606</v>
      </c>
      <c r="E1643" s="22" t="s">
        <v>1645</v>
      </c>
      <c r="F1643" s="14">
        <v>0.5208333333333334</v>
      </c>
      <c r="G1643" s="25"/>
    </row>
    <row r="1644" spans="8:8" ht="32.25" customHeight="1">
      <c r="A1644" s="13">
        <v>9.0</v>
      </c>
      <c r="B1644" s="12" t="s">
        <v>1653</v>
      </c>
      <c r="C1644" s="13">
        <v>240691.0</v>
      </c>
      <c r="D1644" s="12" t="s">
        <v>606</v>
      </c>
      <c r="E1644" s="13" t="s">
        <v>1645</v>
      </c>
      <c r="F1644" s="14">
        <v>0.5208333333333334</v>
      </c>
      <c r="G1644" s="25"/>
    </row>
    <row r="1645" spans="8:8" ht="32.25" customHeight="1">
      <c r="A1645" s="13">
        <v>10.0</v>
      </c>
      <c r="B1645" s="12" t="s">
        <v>1654</v>
      </c>
      <c r="C1645" s="13">
        <v>240572.0</v>
      </c>
      <c r="D1645" s="12" t="s">
        <v>606</v>
      </c>
      <c r="E1645" s="13" t="s">
        <v>1645</v>
      </c>
      <c r="F1645" s="14">
        <v>0.5208333333333334</v>
      </c>
      <c r="G1645" s="25"/>
    </row>
    <row r="1646" spans="8:8" ht="32.25" customHeight="1">
      <c r="A1646" s="13">
        <v>11.0</v>
      </c>
      <c r="B1646" s="12" t="s">
        <v>1655</v>
      </c>
      <c r="C1646" s="13">
        <v>240573.0</v>
      </c>
      <c r="D1646" s="12" t="s">
        <v>606</v>
      </c>
      <c r="E1646" s="13" t="s">
        <v>1645</v>
      </c>
      <c r="F1646" s="14">
        <v>0.5208333333333334</v>
      </c>
      <c r="G1646" s="25"/>
    </row>
    <row r="1647" spans="8:8" ht="32.25" customHeight="1">
      <c r="A1647" s="13">
        <v>12.0</v>
      </c>
      <c r="B1647" s="12" t="s">
        <v>1656</v>
      </c>
      <c r="C1647" s="13">
        <v>240701.0</v>
      </c>
      <c r="D1647" s="12" t="s">
        <v>606</v>
      </c>
      <c r="E1647" s="13" t="s">
        <v>1645</v>
      </c>
      <c r="F1647" s="14">
        <v>0.5208333333333334</v>
      </c>
      <c r="G1647" s="25"/>
    </row>
    <row r="1648" spans="8:8" ht="32.25" customHeight="1">
      <c r="A1648" s="13">
        <v>13.0</v>
      </c>
      <c r="B1648" s="12" t="s">
        <v>1657</v>
      </c>
      <c r="C1648" s="13">
        <v>240761.0</v>
      </c>
      <c r="D1648" s="12" t="s">
        <v>606</v>
      </c>
      <c r="E1648" s="13" t="s">
        <v>1645</v>
      </c>
      <c r="F1648" s="14">
        <v>0.5208333333333334</v>
      </c>
      <c r="G1648" s="25"/>
    </row>
    <row r="1649" spans="8:8" ht="32.25" customHeight="1">
      <c r="A1649" s="13">
        <v>14.0</v>
      </c>
      <c r="B1649" s="12" t="s">
        <v>1658</v>
      </c>
      <c r="C1649" s="13">
        <v>240764.0</v>
      </c>
      <c r="D1649" s="12" t="s">
        <v>606</v>
      </c>
      <c r="E1649" s="13" t="s">
        <v>1645</v>
      </c>
      <c r="F1649" s="14">
        <v>0.5208333333333334</v>
      </c>
      <c r="G1649" s="25"/>
    </row>
    <row r="1650" spans="8:8" ht="32.25" customHeight="1">
      <c r="A1650" s="13">
        <v>15.0</v>
      </c>
      <c r="B1650" s="12" t="s">
        <v>1659</v>
      </c>
      <c r="C1650" s="13">
        <v>240565.0</v>
      </c>
      <c r="D1650" s="12" t="s">
        <v>606</v>
      </c>
      <c r="E1650" s="13" t="s">
        <v>1645</v>
      </c>
      <c r="F1650" s="14">
        <v>0.5208333333333334</v>
      </c>
      <c r="G1650" s="25"/>
    </row>
    <row r="1651" spans="8:8" ht="32.25" customHeight="1">
      <c r="A1651" s="13">
        <v>16.0</v>
      </c>
      <c r="B1651" s="12" t="s">
        <v>1660</v>
      </c>
      <c r="C1651" s="13">
        <v>240698.0</v>
      </c>
      <c r="D1651" s="12" t="s">
        <v>606</v>
      </c>
      <c r="E1651" s="13" t="s">
        <v>1645</v>
      </c>
      <c r="F1651" s="14">
        <v>0.5208333333333334</v>
      </c>
      <c r="G1651" s="25"/>
    </row>
    <row r="1652" spans="8:8" ht="32.25" customHeight="1">
      <c r="A1652" s="13">
        <v>17.0</v>
      </c>
      <c r="B1652" s="12" t="s">
        <v>1661</v>
      </c>
      <c r="C1652" s="13">
        <v>240689.0</v>
      </c>
      <c r="D1652" s="12" t="s">
        <v>606</v>
      </c>
      <c r="E1652" s="13" t="s">
        <v>1645</v>
      </c>
      <c r="F1652" s="14">
        <v>0.5208333333333334</v>
      </c>
      <c r="G1652" s="25"/>
    </row>
    <row r="1653" spans="8:8" ht="32.25" customHeight="1">
      <c r="A1653" s="13">
        <v>18.0</v>
      </c>
      <c r="B1653" s="12" t="s">
        <v>1662</v>
      </c>
      <c r="C1653" s="13">
        <v>240514.0</v>
      </c>
      <c r="D1653" s="12" t="s">
        <v>606</v>
      </c>
      <c r="E1653" s="13" t="s">
        <v>1645</v>
      </c>
      <c r="F1653" s="14">
        <v>0.5208333333333334</v>
      </c>
      <c r="G1653" s="25"/>
    </row>
    <row r="1654" spans="8:8" ht="32.25" customHeight="1">
      <c r="A1654" s="13">
        <v>19.0</v>
      </c>
      <c r="B1654" s="12" t="s">
        <v>1663</v>
      </c>
      <c r="C1654" s="13">
        <v>240499.0</v>
      </c>
      <c r="D1654" s="12" t="s">
        <v>606</v>
      </c>
      <c r="E1654" s="13" t="s">
        <v>1645</v>
      </c>
      <c r="F1654" s="14">
        <v>0.5208333333333334</v>
      </c>
      <c r="G1654" s="25"/>
    </row>
    <row r="1655" spans="8:8" ht="32.25" customHeight="1">
      <c r="A1655" s="13">
        <v>20.0</v>
      </c>
      <c r="B1655" s="21" t="s">
        <v>1664</v>
      </c>
      <c r="C1655" s="22">
        <v>241106.0</v>
      </c>
      <c r="D1655" s="21" t="s">
        <v>606</v>
      </c>
      <c r="E1655" s="22" t="s">
        <v>1645</v>
      </c>
      <c r="F1655" s="14">
        <v>0.5208333333333334</v>
      </c>
      <c r="G1655" s="25"/>
    </row>
    <row r="1656" spans="8:8" ht="32.25" customHeight="1">
      <c r="A1656" s="13">
        <v>21.0</v>
      </c>
      <c r="B1656" s="21" t="s">
        <v>1665</v>
      </c>
      <c r="C1656" s="22">
        <v>240534.0</v>
      </c>
      <c r="D1656" s="21" t="s">
        <v>606</v>
      </c>
      <c r="E1656" s="22" t="s">
        <v>1645</v>
      </c>
      <c r="F1656" s="14">
        <v>0.5208333333333334</v>
      </c>
      <c r="G1656" s="25"/>
    </row>
    <row r="1657" spans="8:8" ht="32.25" customHeight="1">
      <c r="A1657" s="13">
        <v>22.0</v>
      </c>
      <c r="B1657" s="21" t="s">
        <v>1666</v>
      </c>
      <c r="C1657" s="22">
        <v>240553.0</v>
      </c>
      <c r="D1657" s="21" t="s">
        <v>606</v>
      </c>
      <c r="E1657" s="22" t="s">
        <v>1645</v>
      </c>
      <c r="F1657" s="14">
        <v>0.5208333333333334</v>
      </c>
      <c r="G1657" s="25"/>
    </row>
    <row r="1658" spans="8:8" ht="32.25" customHeight="1">
      <c r="A1658" s="13">
        <v>23.0</v>
      </c>
      <c r="B1658" s="21" t="s">
        <v>1667</v>
      </c>
      <c r="C1658" s="22">
        <v>240725.0</v>
      </c>
      <c r="D1658" s="21" t="s">
        <v>606</v>
      </c>
      <c r="E1658" s="22" t="s">
        <v>1645</v>
      </c>
      <c r="F1658" s="14">
        <v>0.5208333333333334</v>
      </c>
      <c r="G1658" s="25"/>
    </row>
    <row r="1659" spans="8:8" ht="32.25" customHeight="1">
      <c r="A1659" s="13">
        <v>24.0</v>
      </c>
      <c r="B1659" s="21" t="s">
        <v>1668</v>
      </c>
      <c r="C1659" s="22">
        <v>241850.0</v>
      </c>
      <c r="D1659" s="21" t="s">
        <v>606</v>
      </c>
      <c r="E1659" s="22" t="s">
        <v>1645</v>
      </c>
      <c r="F1659" s="14">
        <v>0.5208333333333334</v>
      </c>
      <c r="G1659" s="25"/>
    </row>
    <row r="1660" spans="8:8" ht="32.25" customHeight="1">
      <c r="A1660" s="13">
        <v>25.0</v>
      </c>
      <c r="B1660" s="21" t="s">
        <v>1669</v>
      </c>
      <c r="C1660" s="22">
        <v>240696.0</v>
      </c>
      <c r="D1660" s="21" t="s">
        <v>606</v>
      </c>
      <c r="E1660" s="22" t="s">
        <v>1645</v>
      </c>
      <c r="F1660" s="14">
        <v>0.5208333333333334</v>
      </c>
      <c r="G1660" s="25"/>
    </row>
    <row r="1661" spans="8:8" ht="32.25" customHeight="1">
      <c r="A1661" s="13">
        <v>26.0</v>
      </c>
      <c r="B1661" s="21" t="s">
        <v>1670</v>
      </c>
      <c r="C1661" s="22">
        <v>240637.0</v>
      </c>
      <c r="D1661" s="21" t="s">
        <v>606</v>
      </c>
      <c r="E1661" s="22" t="s">
        <v>1645</v>
      </c>
      <c r="F1661" s="14">
        <v>0.5208333333333334</v>
      </c>
      <c r="G1661" s="25"/>
    </row>
    <row r="1662" spans="8:8" ht="32.25" customHeight="1">
      <c r="A1662" s="8" t="s">
        <v>18</v>
      </c>
      <c r="B1662" s="9" t="s">
        <v>19</v>
      </c>
      <c r="C1662" s="9" t="s">
        <v>20</v>
      </c>
      <c r="D1662" s="9" t="s">
        <v>21</v>
      </c>
      <c r="E1662" s="9" t="s">
        <v>22</v>
      </c>
      <c r="F1662" s="10" t="s">
        <v>23</v>
      </c>
      <c r="G1662" s="9" t="s">
        <v>753</v>
      </c>
    </row>
    <row r="1663" spans="8:8" ht="32.25" customHeight="1">
      <c r="A1663" s="22">
        <v>1.0</v>
      </c>
      <c r="B1663" s="21" t="s">
        <v>1671</v>
      </c>
      <c r="C1663" s="22">
        <v>240817.0</v>
      </c>
      <c r="D1663" s="21" t="s">
        <v>606</v>
      </c>
      <c r="E1663" s="22" t="s">
        <v>1645</v>
      </c>
      <c r="F1663" s="14">
        <v>0.5208333333333334</v>
      </c>
      <c r="G1663" s="13"/>
    </row>
    <row r="1664" spans="8:8" ht="32.25" customHeight="1">
      <c r="A1664" s="22">
        <v>2.0</v>
      </c>
      <c r="B1664" s="21" t="s">
        <v>1672</v>
      </c>
      <c r="C1664" s="22">
        <v>240992.0</v>
      </c>
      <c r="D1664" s="21" t="s">
        <v>606</v>
      </c>
      <c r="E1664" s="22" t="s">
        <v>1645</v>
      </c>
      <c r="F1664" s="14">
        <v>0.5208333333333334</v>
      </c>
      <c r="G1664" s="25"/>
    </row>
    <row r="1665" spans="8:8" ht="32.25" customHeight="1">
      <c r="A1665" s="22">
        <v>3.0</v>
      </c>
      <c r="B1665" s="21" t="s">
        <v>1673</v>
      </c>
      <c r="C1665" s="22">
        <v>241039.0</v>
      </c>
      <c r="D1665" s="21" t="s">
        <v>606</v>
      </c>
      <c r="E1665" s="22" t="s">
        <v>1645</v>
      </c>
      <c r="F1665" s="14">
        <v>0.5208333333333334</v>
      </c>
      <c r="G1665" s="25"/>
    </row>
    <row r="1666" spans="8:8" ht="32.25" customHeight="1">
      <c r="A1666" s="22">
        <v>4.0</v>
      </c>
      <c r="B1666" s="21" t="s">
        <v>1674</v>
      </c>
      <c r="C1666" s="22">
        <v>241064.0</v>
      </c>
      <c r="D1666" s="21" t="s">
        <v>606</v>
      </c>
      <c r="E1666" s="22" t="s">
        <v>1645</v>
      </c>
      <c r="F1666" s="14">
        <v>0.5208333333333334</v>
      </c>
      <c r="G1666" s="25"/>
    </row>
    <row r="1667" spans="8:8" ht="32.25" customHeight="1">
      <c r="A1667" s="22">
        <v>5.0</v>
      </c>
      <c r="B1667" s="21" t="s">
        <v>1675</v>
      </c>
      <c r="C1667" s="22">
        <v>241072.0</v>
      </c>
      <c r="D1667" s="21" t="s">
        <v>606</v>
      </c>
      <c r="E1667" s="22" t="s">
        <v>1645</v>
      </c>
      <c r="F1667" s="14">
        <v>0.5208333333333334</v>
      </c>
      <c r="G1667" s="25"/>
    </row>
    <row r="1668" spans="8:8" ht="32.25" customHeight="1">
      <c r="A1668" s="22">
        <v>6.0</v>
      </c>
      <c r="B1668" s="21" t="s">
        <v>1676</v>
      </c>
      <c r="C1668" s="22">
        <v>241077.0</v>
      </c>
      <c r="D1668" s="21" t="s">
        <v>606</v>
      </c>
      <c r="E1668" s="22" t="s">
        <v>1645</v>
      </c>
      <c r="F1668" s="14">
        <v>0.5208333333333334</v>
      </c>
      <c r="G1668" s="25"/>
    </row>
    <row r="1669" spans="8:8" ht="32.25" customHeight="1">
      <c r="A1669" s="22">
        <v>7.0</v>
      </c>
      <c r="B1669" s="21" t="s">
        <v>1677</v>
      </c>
      <c r="C1669" s="22">
        <v>241083.0</v>
      </c>
      <c r="D1669" s="21" t="s">
        <v>606</v>
      </c>
      <c r="E1669" s="22" t="s">
        <v>1645</v>
      </c>
      <c r="F1669" s="14">
        <v>0.5208333333333334</v>
      </c>
      <c r="G1669" s="25"/>
    </row>
    <row r="1670" spans="8:8" ht="32.25" customHeight="1">
      <c r="A1670" s="22">
        <v>8.0</v>
      </c>
      <c r="B1670" s="21" t="s">
        <v>1678</v>
      </c>
      <c r="C1670" s="22">
        <v>241090.0</v>
      </c>
      <c r="D1670" s="21" t="s">
        <v>606</v>
      </c>
      <c r="E1670" s="22" t="s">
        <v>1645</v>
      </c>
      <c r="F1670" s="14">
        <v>0.5208333333333334</v>
      </c>
      <c r="G1670" s="25"/>
    </row>
    <row r="1671" spans="8:8" ht="32.25" customHeight="1">
      <c r="A1671" s="22">
        <v>9.0</v>
      </c>
      <c r="B1671" s="21" t="s">
        <v>1679</v>
      </c>
      <c r="C1671" s="22">
        <v>241123.0</v>
      </c>
      <c r="D1671" s="21" t="s">
        <v>606</v>
      </c>
      <c r="E1671" s="22" t="s">
        <v>1645</v>
      </c>
      <c r="F1671" s="14">
        <v>0.5208333333333334</v>
      </c>
      <c r="G1671" s="25"/>
    </row>
    <row r="1672" spans="8:8" ht="32.25" customHeight="1">
      <c r="A1672" s="22">
        <v>10.0</v>
      </c>
      <c r="B1672" s="21" t="s">
        <v>1680</v>
      </c>
      <c r="C1672" s="22">
        <v>240856.0</v>
      </c>
      <c r="D1672" s="21" t="s">
        <v>606</v>
      </c>
      <c r="E1672" s="22" t="s">
        <v>1645</v>
      </c>
      <c r="F1672" s="14">
        <v>0.5208333333333334</v>
      </c>
      <c r="G1672" s="25"/>
    </row>
    <row r="1673" spans="8:8" ht="32.25" customHeight="1">
      <c r="A1673" s="22">
        <v>11.0</v>
      </c>
      <c r="B1673" s="21" t="s">
        <v>1681</v>
      </c>
      <c r="C1673" s="22">
        <v>241128.0</v>
      </c>
      <c r="D1673" s="21" t="s">
        <v>606</v>
      </c>
      <c r="E1673" s="22" t="s">
        <v>1645</v>
      </c>
      <c r="F1673" s="14">
        <v>0.5208333333333334</v>
      </c>
      <c r="G1673" s="25"/>
    </row>
    <row r="1674" spans="8:8" ht="32.25" customHeight="1">
      <c r="A1674" s="22">
        <v>12.0</v>
      </c>
      <c r="B1674" s="21" t="s">
        <v>1682</v>
      </c>
      <c r="C1674" s="22">
        <v>241050.0</v>
      </c>
      <c r="D1674" s="21" t="s">
        <v>606</v>
      </c>
      <c r="E1674" s="22" t="s">
        <v>1645</v>
      </c>
      <c r="F1674" s="14">
        <v>0.5208333333333334</v>
      </c>
      <c r="G1674" s="25"/>
    </row>
    <row r="1675" spans="8:8" ht="32.25" customHeight="1">
      <c r="A1675" s="22">
        <v>13.0</v>
      </c>
      <c r="B1675" s="21" t="s">
        <v>1683</v>
      </c>
      <c r="C1675" s="22">
        <v>240541.0</v>
      </c>
      <c r="D1675" s="21" t="s">
        <v>606</v>
      </c>
      <c r="E1675" s="22" t="s">
        <v>1645</v>
      </c>
      <c r="F1675" s="14">
        <v>0.5208333333333334</v>
      </c>
      <c r="G1675" s="25"/>
    </row>
    <row r="1676" spans="8:8" ht="32.25" customHeight="1">
      <c r="A1676" s="22">
        <v>14.0</v>
      </c>
      <c r="B1676" s="21" t="s">
        <v>1684</v>
      </c>
      <c r="C1676" s="22">
        <v>240544.0</v>
      </c>
      <c r="D1676" s="21" t="s">
        <v>606</v>
      </c>
      <c r="E1676" s="22" t="s">
        <v>1645</v>
      </c>
      <c r="F1676" s="14">
        <v>0.5208333333333334</v>
      </c>
      <c r="G1676" s="25"/>
    </row>
    <row r="1677" spans="8:8" ht="32.25" customHeight="1">
      <c r="A1677" s="22">
        <v>15.0</v>
      </c>
      <c r="B1677" s="21" t="s">
        <v>1685</v>
      </c>
      <c r="C1677" s="22">
        <v>240594.0</v>
      </c>
      <c r="D1677" s="21" t="s">
        <v>606</v>
      </c>
      <c r="E1677" s="22" t="s">
        <v>1645</v>
      </c>
      <c r="F1677" s="14">
        <v>0.5208333333333334</v>
      </c>
      <c r="G1677" s="25"/>
    </row>
    <row r="1678" spans="8:8" ht="32.25" customHeight="1">
      <c r="A1678" s="22">
        <v>16.0</v>
      </c>
      <c r="B1678" s="21" t="s">
        <v>1686</v>
      </c>
      <c r="C1678" s="22">
        <v>240688.0</v>
      </c>
      <c r="D1678" s="21" t="s">
        <v>606</v>
      </c>
      <c r="E1678" s="22" t="s">
        <v>1645</v>
      </c>
      <c r="F1678" s="14">
        <v>0.5208333333333334</v>
      </c>
      <c r="G1678" s="25"/>
    </row>
    <row r="1679" spans="8:8" ht="32.25" customHeight="1">
      <c r="A1679" s="22">
        <v>17.0</v>
      </c>
      <c r="B1679" s="21" t="s">
        <v>1687</v>
      </c>
      <c r="C1679" s="22">
        <v>240620.0</v>
      </c>
      <c r="D1679" s="21" t="s">
        <v>606</v>
      </c>
      <c r="E1679" s="22" t="s">
        <v>1645</v>
      </c>
      <c r="F1679" s="14">
        <v>0.5208333333333334</v>
      </c>
      <c r="G1679" s="25"/>
    </row>
    <row r="1680" spans="8:8" ht="32.25" customHeight="1">
      <c r="A1680" s="22">
        <v>18.0</v>
      </c>
      <c r="B1680" s="21" t="s">
        <v>1688</v>
      </c>
      <c r="C1680" s="22">
        <v>240600.0</v>
      </c>
      <c r="D1680" s="21" t="s">
        <v>606</v>
      </c>
      <c r="E1680" s="22" t="s">
        <v>1645</v>
      </c>
      <c r="F1680" s="14">
        <v>0.5208333333333334</v>
      </c>
      <c r="G1680" s="25"/>
    </row>
    <row r="1681" spans="8:8" ht="32.25" customHeight="1">
      <c r="A1681" s="22">
        <v>19.0</v>
      </c>
      <c r="B1681" s="12" t="s">
        <v>1689</v>
      </c>
      <c r="C1681" s="13">
        <v>240539.0</v>
      </c>
      <c r="D1681" s="21" t="s">
        <v>606</v>
      </c>
      <c r="E1681" s="13" t="s">
        <v>1645</v>
      </c>
      <c r="F1681" s="14">
        <v>0.5208333333333334</v>
      </c>
      <c r="G1681" s="25"/>
    </row>
    <row r="1682" spans="8:8" ht="32.25" customHeight="1">
      <c r="A1682" s="22">
        <v>20.0</v>
      </c>
      <c r="B1682" s="12" t="s">
        <v>1690</v>
      </c>
      <c r="C1682" s="13">
        <v>240675.0</v>
      </c>
      <c r="D1682" s="21" t="s">
        <v>606</v>
      </c>
      <c r="E1682" s="13" t="s">
        <v>1645</v>
      </c>
      <c r="F1682" s="14">
        <v>0.5208333333333334</v>
      </c>
      <c r="G1682" s="25"/>
    </row>
    <row r="1683" spans="8:8" ht="32.25" customHeight="1">
      <c r="A1683" s="22">
        <v>21.0</v>
      </c>
      <c r="B1683" s="12" t="s">
        <v>1691</v>
      </c>
      <c r="C1683" s="13">
        <v>241108.0</v>
      </c>
      <c r="D1683" s="21" t="s">
        <v>606</v>
      </c>
      <c r="E1683" s="13" t="s">
        <v>1645</v>
      </c>
      <c r="F1683" s="14">
        <v>0.5208333333333334</v>
      </c>
      <c r="G1683" s="25"/>
    </row>
    <row r="1684" spans="8:8" ht="32.25" customHeight="1">
      <c r="A1684" s="22">
        <v>22.0</v>
      </c>
      <c r="B1684" s="12" t="s">
        <v>1692</v>
      </c>
      <c r="C1684" s="13">
        <v>240934.0</v>
      </c>
      <c r="D1684" s="21" t="s">
        <v>606</v>
      </c>
      <c r="E1684" s="13" t="s">
        <v>1645</v>
      </c>
      <c r="F1684" s="14">
        <v>0.5208333333333334</v>
      </c>
      <c r="G1684" s="25"/>
    </row>
    <row r="1685" spans="8:8" ht="32.25" customHeight="1">
      <c r="A1685" s="22">
        <v>23.0</v>
      </c>
      <c r="B1685" s="12" t="s">
        <v>1693</v>
      </c>
      <c r="C1685" s="13">
        <v>241136.0</v>
      </c>
      <c r="D1685" s="21" t="s">
        <v>606</v>
      </c>
      <c r="E1685" s="13" t="s">
        <v>1645</v>
      </c>
      <c r="F1685" s="14">
        <v>0.5208333333333334</v>
      </c>
      <c r="G1685" s="25"/>
    </row>
    <row r="1686" spans="8:8" ht="32.25" customHeight="1">
      <c r="A1686" s="22">
        <v>24.0</v>
      </c>
      <c r="B1686" s="12" t="s">
        <v>1694</v>
      </c>
      <c r="C1686" s="13">
        <v>241126.0</v>
      </c>
      <c r="D1686" s="21" t="s">
        <v>606</v>
      </c>
      <c r="E1686" s="13" t="s">
        <v>1645</v>
      </c>
      <c r="F1686" s="14">
        <v>0.5208333333333334</v>
      </c>
      <c r="G1686" s="25"/>
    </row>
    <row r="1687" spans="8:8" ht="32.25" customHeight="1">
      <c r="A1687" s="22">
        <v>25.0</v>
      </c>
      <c r="B1687" s="12" t="s">
        <v>1695</v>
      </c>
      <c r="C1687" s="13">
        <v>241038.0</v>
      </c>
      <c r="D1687" s="21" t="s">
        <v>606</v>
      </c>
      <c r="E1687" s="13" t="s">
        <v>1645</v>
      </c>
      <c r="F1687" s="14">
        <v>0.5208333333333334</v>
      </c>
      <c r="G1687" s="25"/>
    </row>
    <row r="1688" spans="8:8" ht="32.25" customHeight="1">
      <c r="A1688" s="22">
        <v>26.0</v>
      </c>
      <c r="B1688" s="12" t="s">
        <v>1696</v>
      </c>
      <c r="C1688" s="13">
        <v>240928.0</v>
      </c>
      <c r="D1688" s="12" t="s">
        <v>606</v>
      </c>
      <c r="E1688" s="13" t="s">
        <v>1645</v>
      </c>
      <c r="F1688" s="14">
        <v>0.5208333333333334</v>
      </c>
      <c r="G1688" s="25"/>
    </row>
    <row r="1689" spans="8:8" ht="32.25" customHeight="1">
      <c r="A1689" s="22">
        <v>27.0</v>
      </c>
      <c r="B1689" s="12" t="s">
        <v>1697</v>
      </c>
      <c r="C1689" s="13">
        <v>240798.0</v>
      </c>
      <c r="D1689" s="12" t="s">
        <v>606</v>
      </c>
      <c r="E1689" s="13" t="s">
        <v>1645</v>
      </c>
      <c r="F1689" s="14">
        <v>0.5208333333333334</v>
      </c>
      <c r="G1689" s="25"/>
    </row>
    <row r="1690" spans="8:8" ht="32.25" customHeight="1">
      <c r="A1690" s="8" t="s">
        <v>18</v>
      </c>
      <c r="B1690" s="9" t="s">
        <v>19</v>
      </c>
      <c r="C1690" s="9" t="s">
        <v>20</v>
      </c>
      <c r="D1690" s="9" t="s">
        <v>21</v>
      </c>
      <c r="E1690" s="9" t="s">
        <v>22</v>
      </c>
      <c r="F1690" s="10" t="s">
        <v>23</v>
      </c>
      <c r="G1690" s="9" t="s">
        <v>779</v>
      </c>
    </row>
    <row r="1691" spans="8:8" ht="32.25" customHeight="1">
      <c r="A1691" s="22">
        <v>1.0</v>
      </c>
      <c r="B1691" s="12" t="s">
        <v>1698</v>
      </c>
      <c r="C1691" s="13">
        <v>240730.0</v>
      </c>
      <c r="D1691" s="12" t="s">
        <v>606</v>
      </c>
      <c r="E1691" s="13" t="s">
        <v>1645</v>
      </c>
      <c r="F1691" s="14">
        <v>0.5208333333333334</v>
      </c>
      <c r="G1691" s="13"/>
    </row>
    <row r="1692" spans="8:8" ht="32.25" customHeight="1">
      <c r="A1692" s="22">
        <v>2.0</v>
      </c>
      <c r="B1692" s="12" t="s">
        <v>1699</v>
      </c>
      <c r="C1692" s="13">
        <v>240783.0</v>
      </c>
      <c r="D1692" s="12" t="s">
        <v>606</v>
      </c>
      <c r="E1692" s="13" t="s">
        <v>1645</v>
      </c>
      <c r="F1692" s="14">
        <v>0.5208333333333334</v>
      </c>
      <c r="G1692" s="25"/>
    </row>
    <row r="1693" spans="8:8" ht="32.25" customHeight="1">
      <c r="A1693" s="22">
        <v>3.0</v>
      </c>
      <c r="B1693" s="12" t="s">
        <v>1700</v>
      </c>
      <c r="C1693" s="13">
        <v>240513.0</v>
      </c>
      <c r="D1693" s="12" t="s">
        <v>606</v>
      </c>
      <c r="E1693" s="13" t="s">
        <v>1645</v>
      </c>
      <c r="F1693" s="14">
        <v>0.5208333333333334</v>
      </c>
      <c r="G1693" s="25"/>
    </row>
    <row r="1694" spans="8:8" ht="32.25" customHeight="1">
      <c r="A1694" s="22">
        <v>4.0</v>
      </c>
      <c r="B1694" s="12" t="s">
        <v>1701</v>
      </c>
      <c r="C1694" s="13">
        <v>240836.0</v>
      </c>
      <c r="D1694" s="12" t="s">
        <v>606</v>
      </c>
      <c r="E1694" s="13" t="s">
        <v>1645</v>
      </c>
      <c r="F1694" s="14">
        <v>0.5208333333333334</v>
      </c>
      <c r="G1694" s="25"/>
    </row>
    <row r="1695" spans="8:8" ht="32.25" customHeight="1">
      <c r="A1695" s="22">
        <v>5.0</v>
      </c>
      <c r="B1695" s="12" t="s">
        <v>1702</v>
      </c>
      <c r="C1695" s="13">
        <v>241053.0</v>
      </c>
      <c r="D1695" s="12" t="s">
        <v>606</v>
      </c>
      <c r="E1695" s="13" t="s">
        <v>1645</v>
      </c>
      <c r="F1695" s="14">
        <v>0.5208333333333334</v>
      </c>
      <c r="G1695" s="25"/>
    </row>
    <row r="1696" spans="8:8" ht="32.25" customHeight="1">
      <c r="A1696" s="22">
        <v>6.0</v>
      </c>
      <c r="B1696" s="12" t="s">
        <v>1703</v>
      </c>
      <c r="C1696" s="13">
        <v>240704.0</v>
      </c>
      <c r="D1696" s="12" t="s">
        <v>606</v>
      </c>
      <c r="E1696" s="13" t="s">
        <v>1645</v>
      </c>
      <c r="F1696" s="14">
        <v>0.5208333333333334</v>
      </c>
      <c r="G1696" s="25"/>
    </row>
    <row r="1697" spans="8:8" ht="32.25" customHeight="1">
      <c r="A1697" s="22">
        <v>7.0</v>
      </c>
      <c r="B1697" s="12" t="s">
        <v>1704</v>
      </c>
      <c r="C1697" s="13">
        <v>240582.0</v>
      </c>
      <c r="D1697" s="12" t="s">
        <v>606</v>
      </c>
      <c r="E1697" s="13" t="s">
        <v>1645</v>
      </c>
      <c r="F1697" s="14">
        <v>0.5208333333333334</v>
      </c>
      <c r="G1697" s="25"/>
    </row>
    <row r="1698" spans="8:8" ht="32.25" customHeight="1">
      <c r="A1698" s="22">
        <v>8.0</v>
      </c>
      <c r="B1698" s="12" t="s">
        <v>1705</v>
      </c>
      <c r="C1698" s="13">
        <v>240535.0</v>
      </c>
      <c r="D1698" s="12" t="s">
        <v>606</v>
      </c>
      <c r="E1698" s="13" t="s">
        <v>1645</v>
      </c>
      <c r="F1698" s="14">
        <v>0.5208333333333334</v>
      </c>
      <c r="G1698" s="25"/>
    </row>
    <row r="1699" spans="8:8" ht="32.25" customHeight="1">
      <c r="A1699" s="22">
        <v>9.0</v>
      </c>
      <c r="B1699" s="12" t="s">
        <v>1706</v>
      </c>
      <c r="C1699" s="13">
        <v>240709.0</v>
      </c>
      <c r="D1699" s="12" t="s">
        <v>606</v>
      </c>
      <c r="E1699" s="13" t="s">
        <v>1645</v>
      </c>
      <c r="F1699" s="14">
        <v>0.5208333333333334</v>
      </c>
      <c r="G1699" s="25"/>
    </row>
    <row r="1700" spans="8:8" ht="32.25" customHeight="1">
      <c r="A1700" s="22">
        <v>10.0</v>
      </c>
      <c r="B1700" s="12" t="s">
        <v>1707</v>
      </c>
      <c r="C1700" s="13">
        <v>240497.0</v>
      </c>
      <c r="D1700" s="12" t="s">
        <v>606</v>
      </c>
      <c r="E1700" s="13" t="s">
        <v>1645</v>
      </c>
      <c r="F1700" s="14">
        <v>0.5208333333333334</v>
      </c>
      <c r="G1700" s="25"/>
    </row>
    <row r="1701" spans="8:8" ht="32.25" customHeight="1">
      <c r="A1701" s="22">
        <v>11.0</v>
      </c>
      <c r="B1701" s="12" t="s">
        <v>1708</v>
      </c>
      <c r="C1701" s="13">
        <v>240515.0</v>
      </c>
      <c r="D1701" s="12" t="s">
        <v>606</v>
      </c>
      <c r="E1701" s="13" t="s">
        <v>1645</v>
      </c>
      <c r="F1701" s="14">
        <v>0.5208333333333334</v>
      </c>
      <c r="G1701" s="25"/>
    </row>
    <row r="1702" spans="8:8" ht="32.25" customHeight="1">
      <c r="A1702" s="22">
        <v>12.0</v>
      </c>
      <c r="B1702" s="21" t="s">
        <v>1709</v>
      </c>
      <c r="C1702" s="22">
        <v>240482.0</v>
      </c>
      <c r="D1702" s="21" t="s">
        <v>606</v>
      </c>
      <c r="E1702" s="22" t="s">
        <v>1645</v>
      </c>
      <c r="F1702" s="14">
        <v>0.5208333333333334</v>
      </c>
      <c r="G1702" s="25"/>
    </row>
    <row r="1703" spans="8:8" ht="32.25" customHeight="1">
      <c r="A1703" s="22">
        <v>13.0</v>
      </c>
      <c r="B1703" s="21" t="s">
        <v>1710</v>
      </c>
      <c r="C1703" s="22">
        <v>240508.0</v>
      </c>
      <c r="D1703" s="21" t="s">
        <v>606</v>
      </c>
      <c r="E1703" s="22" t="s">
        <v>1645</v>
      </c>
      <c r="F1703" s="14">
        <v>0.5208333333333334</v>
      </c>
      <c r="G1703" s="25"/>
    </row>
    <row r="1704" spans="8:8" ht="32.25" customHeight="1">
      <c r="A1704" s="22">
        <v>14.0</v>
      </c>
      <c r="B1704" s="12" t="s">
        <v>1711</v>
      </c>
      <c r="C1704" s="13">
        <v>240874.0</v>
      </c>
      <c r="D1704" s="21" t="s">
        <v>606</v>
      </c>
      <c r="E1704" s="13" t="s">
        <v>1645</v>
      </c>
      <c r="F1704" s="14">
        <v>0.5208333333333334</v>
      </c>
      <c r="G1704" s="25"/>
    </row>
    <row r="1705" spans="8:8" ht="32.25" customHeight="1">
      <c r="A1705" s="22">
        <v>15.0</v>
      </c>
      <c r="B1705" s="12" t="s">
        <v>1712</v>
      </c>
      <c r="C1705" s="13">
        <v>241056.0</v>
      </c>
      <c r="D1705" s="21" t="s">
        <v>606</v>
      </c>
      <c r="E1705" s="13" t="s">
        <v>1645</v>
      </c>
      <c r="F1705" s="14">
        <v>0.5208333333333334</v>
      </c>
      <c r="G1705" s="25"/>
    </row>
    <row r="1706" spans="8:8" ht="32.25" customHeight="1">
      <c r="A1706" s="22">
        <v>16.0</v>
      </c>
      <c r="B1706" s="12" t="s">
        <v>1713</v>
      </c>
      <c r="C1706" s="13">
        <v>240655.0</v>
      </c>
      <c r="D1706" s="21" t="s">
        <v>606</v>
      </c>
      <c r="E1706" s="13" t="s">
        <v>1645</v>
      </c>
      <c r="F1706" s="14">
        <v>0.5208333333333334</v>
      </c>
      <c r="G1706" s="25"/>
    </row>
    <row r="1707" spans="8:8" ht="32.25" customHeight="1">
      <c r="A1707" s="22">
        <v>17.0</v>
      </c>
      <c r="B1707" s="12" t="s">
        <v>1714</v>
      </c>
      <c r="C1707" s="13">
        <v>240669.0</v>
      </c>
      <c r="D1707" s="21" t="s">
        <v>606</v>
      </c>
      <c r="E1707" s="13" t="s">
        <v>1645</v>
      </c>
      <c r="F1707" s="14">
        <v>0.5208333333333334</v>
      </c>
      <c r="G1707" s="25"/>
    </row>
    <row r="1708" spans="8:8" ht="32.25" customHeight="1">
      <c r="A1708" s="22">
        <v>18.0</v>
      </c>
      <c r="B1708" s="12" t="s">
        <v>1715</v>
      </c>
      <c r="C1708" s="13">
        <v>240678.0</v>
      </c>
      <c r="D1708" s="12" t="s">
        <v>606</v>
      </c>
      <c r="E1708" s="13" t="s">
        <v>1645</v>
      </c>
      <c r="F1708" s="14">
        <v>0.5208333333333334</v>
      </c>
      <c r="G1708" s="25"/>
    </row>
    <row r="1709" spans="8:8" ht="32.25" customHeight="1">
      <c r="A1709" s="22">
        <v>19.0</v>
      </c>
      <c r="B1709" s="12" t="s">
        <v>1716</v>
      </c>
      <c r="C1709" s="13">
        <v>240498.0</v>
      </c>
      <c r="D1709" s="12" t="s">
        <v>606</v>
      </c>
      <c r="E1709" s="13" t="s">
        <v>1645</v>
      </c>
      <c r="F1709" s="14">
        <v>0.5208333333333334</v>
      </c>
      <c r="G1709" s="25"/>
    </row>
    <row r="1710" spans="8:8" ht="32.25" customHeight="1">
      <c r="A1710" s="22">
        <v>20.0</v>
      </c>
      <c r="B1710" s="16" t="s">
        <v>1717</v>
      </c>
      <c r="C1710" s="17">
        <v>240592.0</v>
      </c>
      <c r="D1710" s="16" t="s">
        <v>606</v>
      </c>
      <c r="E1710" s="17" t="s">
        <v>1645</v>
      </c>
      <c r="F1710" s="14">
        <v>0.5208333333333334</v>
      </c>
      <c r="G1710" s="25"/>
    </row>
    <row r="1711" spans="8:8" ht="32.25" customHeight="1">
      <c r="A1711" s="22">
        <v>21.0</v>
      </c>
      <c r="B1711" s="16" t="s">
        <v>1718</v>
      </c>
      <c r="C1711" s="17">
        <v>240776.0</v>
      </c>
      <c r="D1711" s="16" t="s">
        <v>606</v>
      </c>
      <c r="E1711" s="17" t="s">
        <v>1645</v>
      </c>
      <c r="F1711" s="14">
        <v>0.5208333333333334</v>
      </c>
      <c r="G1711" s="25"/>
    </row>
    <row r="1712" spans="8:8" ht="32.25" customHeight="1">
      <c r="A1712" s="22">
        <v>22.0</v>
      </c>
      <c r="B1712" s="16" t="s">
        <v>1719</v>
      </c>
      <c r="C1712" s="17">
        <v>240805.0</v>
      </c>
      <c r="D1712" s="16" t="s">
        <v>606</v>
      </c>
      <c r="E1712" s="17" t="s">
        <v>1645</v>
      </c>
      <c r="F1712" s="14">
        <v>0.5208333333333334</v>
      </c>
      <c r="G1712" s="25"/>
    </row>
    <row r="1713" spans="8:8" ht="32.25" customHeight="1">
      <c r="A1713" s="22">
        <v>23.0</v>
      </c>
      <c r="B1713" s="16" t="s">
        <v>1720</v>
      </c>
      <c r="C1713" s="17">
        <v>240502.0</v>
      </c>
      <c r="D1713" s="16" t="s">
        <v>606</v>
      </c>
      <c r="E1713" s="17" t="s">
        <v>1645</v>
      </c>
      <c r="F1713" s="14">
        <v>0.5208333333333334</v>
      </c>
      <c r="G1713" s="25"/>
    </row>
    <row r="1714" spans="8:8" ht="32.25" customHeight="1">
      <c r="A1714" s="22">
        <v>24.0</v>
      </c>
      <c r="B1714" s="16" t="s">
        <v>1721</v>
      </c>
      <c r="C1714" s="17">
        <v>241060.0</v>
      </c>
      <c r="D1714" s="16" t="s">
        <v>606</v>
      </c>
      <c r="E1714" s="17" t="s">
        <v>1645</v>
      </c>
      <c r="F1714" s="14">
        <v>0.5208333333333334</v>
      </c>
      <c r="G1714" s="25"/>
    </row>
    <row r="1715" spans="8:8" ht="32.25" customHeight="1">
      <c r="A1715" s="22">
        <v>25.0</v>
      </c>
      <c r="B1715" s="12" t="s">
        <v>1722</v>
      </c>
      <c r="C1715" s="13">
        <v>241078.0</v>
      </c>
      <c r="D1715" s="12" t="s">
        <v>606</v>
      </c>
      <c r="E1715" s="13" t="s">
        <v>1645</v>
      </c>
      <c r="F1715" s="14">
        <v>0.5208333333333334</v>
      </c>
      <c r="G1715" s="25"/>
    </row>
    <row r="1716" spans="8:8" ht="32.25" customHeight="1">
      <c r="A1716" s="22">
        <v>26.0</v>
      </c>
      <c r="B1716" s="12" t="s">
        <v>1723</v>
      </c>
      <c r="C1716" s="13">
        <v>240489.0</v>
      </c>
      <c r="D1716" s="12" t="s">
        <v>606</v>
      </c>
      <c r="E1716" s="13" t="s">
        <v>1645</v>
      </c>
      <c r="F1716" s="14">
        <v>0.5208333333333334</v>
      </c>
      <c r="G1716" s="25"/>
    </row>
    <row r="1717" spans="8:8" ht="32.25" customHeight="1">
      <c r="A1717" s="22">
        <v>27.0</v>
      </c>
      <c r="B1717" s="21" t="s">
        <v>1724</v>
      </c>
      <c r="C1717" s="22">
        <v>240700.0</v>
      </c>
      <c r="D1717" s="21" t="s">
        <v>606</v>
      </c>
      <c r="E1717" s="22" t="s">
        <v>1645</v>
      </c>
      <c r="F1717" s="14">
        <v>0.5208333333333334</v>
      </c>
      <c r="G1717" s="25"/>
    </row>
    <row r="1718" spans="8:8" ht="32.25" customHeight="1">
      <c r="A1718" s="22">
        <v>28.0</v>
      </c>
      <c r="B1718" s="21" t="s">
        <v>1725</v>
      </c>
      <c r="C1718" s="22">
        <v>240740.0</v>
      </c>
      <c r="D1718" s="21" t="s">
        <v>606</v>
      </c>
      <c r="E1718" s="22" t="s">
        <v>1645</v>
      </c>
      <c r="F1718" s="14">
        <v>0.5208333333333334</v>
      </c>
      <c r="G1718" s="25"/>
    </row>
    <row r="1719" spans="8:8" ht="32.25" customHeight="1">
      <c r="A1719" s="8" t="s">
        <v>18</v>
      </c>
      <c r="B1719" s="9" t="s">
        <v>19</v>
      </c>
      <c r="C1719" s="9" t="s">
        <v>20</v>
      </c>
      <c r="D1719" s="9" t="s">
        <v>21</v>
      </c>
      <c r="E1719" s="9" t="s">
        <v>22</v>
      </c>
      <c r="F1719" s="10" t="s">
        <v>23</v>
      </c>
      <c r="G1719" s="9" t="s">
        <v>808</v>
      </c>
    </row>
    <row r="1720" spans="8:8" ht="32.25" customHeight="1">
      <c r="A1720" s="13">
        <v>1.0</v>
      </c>
      <c r="B1720" s="21" t="s">
        <v>1726</v>
      </c>
      <c r="C1720" s="22">
        <v>240614.0</v>
      </c>
      <c r="D1720" s="21" t="s">
        <v>606</v>
      </c>
      <c r="E1720" s="44" t="s">
        <v>580</v>
      </c>
      <c r="F1720" s="14">
        <v>0.5208333333333334</v>
      </c>
      <c r="G1720" s="13"/>
    </row>
    <row r="1721" spans="8:8" ht="32.25" customHeight="1">
      <c r="A1721" s="13">
        <v>2.0</v>
      </c>
      <c r="B1721" s="21" t="s">
        <v>1727</v>
      </c>
      <c r="C1721" s="22">
        <v>240622.0</v>
      </c>
      <c r="D1721" s="21" t="s">
        <v>606</v>
      </c>
      <c r="E1721" s="44" t="s">
        <v>580</v>
      </c>
      <c r="F1721" s="14">
        <v>0.5208333333333334</v>
      </c>
      <c r="G1721" s="25"/>
    </row>
    <row r="1722" spans="8:8" ht="32.25" customHeight="1">
      <c r="A1722" s="13">
        <v>3.0</v>
      </c>
      <c r="B1722" s="21" t="s">
        <v>1728</v>
      </c>
      <c r="C1722" s="22">
        <v>240937.0</v>
      </c>
      <c r="D1722" s="21" t="s">
        <v>606</v>
      </c>
      <c r="E1722" s="44" t="s">
        <v>580</v>
      </c>
      <c r="F1722" s="14">
        <v>0.5208333333333334</v>
      </c>
      <c r="G1722" s="25"/>
    </row>
    <row r="1723" spans="8:8" ht="32.25" customHeight="1">
      <c r="A1723" s="13">
        <v>4.0</v>
      </c>
      <c r="B1723" s="21" t="s">
        <v>1729</v>
      </c>
      <c r="C1723" s="22">
        <v>240557.0</v>
      </c>
      <c r="D1723" s="21" t="s">
        <v>606</v>
      </c>
      <c r="E1723" s="44" t="s">
        <v>580</v>
      </c>
      <c r="F1723" s="14">
        <v>0.5208333333333334</v>
      </c>
      <c r="G1723" s="25"/>
    </row>
    <row r="1724" spans="8:8" ht="32.25" customHeight="1">
      <c r="A1724" s="13">
        <v>5.0</v>
      </c>
      <c r="B1724" s="12" t="s">
        <v>1730</v>
      </c>
      <c r="C1724" s="13">
        <v>240939.0</v>
      </c>
      <c r="D1724" s="12" t="s">
        <v>606</v>
      </c>
      <c r="E1724" s="34" t="s">
        <v>580</v>
      </c>
      <c r="F1724" s="14">
        <v>0.5208333333333334</v>
      </c>
      <c r="G1724" s="25"/>
    </row>
    <row r="1725" spans="8:8" ht="32.25" customHeight="1">
      <c r="A1725" s="13">
        <v>6.0</v>
      </c>
      <c r="B1725" s="12" t="s">
        <v>1731</v>
      </c>
      <c r="C1725" s="13">
        <v>240603.0</v>
      </c>
      <c r="D1725" s="12" t="s">
        <v>606</v>
      </c>
      <c r="E1725" s="34" t="s">
        <v>580</v>
      </c>
      <c r="F1725" s="14">
        <v>0.5208333333333334</v>
      </c>
      <c r="G1725" s="25"/>
    </row>
    <row r="1726" spans="8:8" ht="32.25" customHeight="1">
      <c r="A1726" s="13">
        <v>7.0</v>
      </c>
      <c r="B1726" s="12" t="s">
        <v>1732</v>
      </c>
      <c r="C1726" s="13">
        <v>240693.0</v>
      </c>
      <c r="D1726" s="12" t="s">
        <v>606</v>
      </c>
      <c r="E1726" s="34" t="s">
        <v>580</v>
      </c>
      <c r="F1726" s="14">
        <v>0.5208333333333334</v>
      </c>
      <c r="G1726" s="25"/>
    </row>
    <row r="1727" spans="8:8" ht="32.25" customHeight="1">
      <c r="A1727" s="13">
        <v>8.0</v>
      </c>
      <c r="B1727" s="12" t="s">
        <v>1733</v>
      </c>
      <c r="C1727" s="13">
        <v>241109.0</v>
      </c>
      <c r="D1727" s="12" t="s">
        <v>606</v>
      </c>
      <c r="E1727" s="34" t="s">
        <v>580</v>
      </c>
      <c r="F1727" s="14">
        <v>0.5208333333333334</v>
      </c>
      <c r="G1727" s="25"/>
    </row>
    <row r="1728" spans="8:8" ht="32.25" customHeight="1">
      <c r="A1728" s="13">
        <v>9.0</v>
      </c>
      <c r="B1728" s="12" t="s">
        <v>1734</v>
      </c>
      <c r="C1728" s="13">
        <v>240631.0</v>
      </c>
      <c r="D1728" s="12" t="s">
        <v>606</v>
      </c>
      <c r="E1728" s="34" t="s">
        <v>580</v>
      </c>
      <c r="F1728" s="14">
        <v>0.5208333333333334</v>
      </c>
      <c r="G1728" s="25"/>
    </row>
    <row r="1729" spans="8:8" ht="32.25" customHeight="1">
      <c r="A1729" s="13">
        <v>10.0</v>
      </c>
      <c r="B1729" s="19" t="s">
        <v>1735</v>
      </c>
      <c r="C1729" s="24">
        <v>240936.0</v>
      </c>
      <c r="D1729" s="19" t="s">
        <v>606</v>
      </c>
      <c r="E1729" s="41" t="s">
        <v>580</v>
      </c>
      <c r="F1729" s="14">
        <v>0.5208333333333334</v>
      </c>
      <c r="G1729" s="25"/>
    </row>
    <row r="1730" spans="8:8" ht="32.25" customHeight="1">
      <c r="A1730" s="13">
        <v>11.0</v>
      </c>
      <c r="B1730" s="19" t="s">
        <v>1736</v>
      </c>
      <c r="C1730" s="20">
        <v>241110.0</v>
      </c>
      <c r="D1730" s="19" t="s">
        <v>606</v>
      </c>
      <c r="E1730" s="41" t="s">
        <v>580</v>
      </c>
      <c r="F1730" s="14">
        <v>0.5208333333333334</v>
      </c>
      <c r="G1730" s="25"/>
    </row>
    <row r="1731" spans="8:8" ht="32.25" customHeight="1">
      <c r="A1731" s="13">
        <v>12.0</v>
      </c>
      <c r="B1731" s="19" t="s">
        <v>1737</v>
      </c>
      <c r="C1731" s="20">
        <v>240528.0</v>
      </c>
      <c r="D1731" s="19" t="s">
        <v>606</v>
      </c>
      <c r="E1731" s="41" t="s">
        <v>580</v>
      </c>
      <c r="F1731" s="14">
        <v>0.5208333333333334</v>
      </c>
      <c r="G1731" s="25"/>
    </row>
    <row r="1732" spans="8:8" ht="32.25" customHeight="1">
      <c r="A1732" s="13">
        <v>13.0</v>
      </c>
      <c r="B1732" s="12" t="s">
        <v>1738</v>
      </c>
      <c r="C1732" s="13">
        <v>240885.0</v>
      </c>
      <c r="D1732" s="12" t="s">
        <v>606</v>
      </c>
      <c r="E1732" s="34" t="s">
        <v>580</v>
      </c>
      <c r="F1732" s="14">
        <v>0.5208333333333334</v>
      </c>
      <c r="G1732" s="25"/>
    </row>
    <row r="1733" spans="8:8" ht="32.25" customHeight="1">
      <c r="A1733" s="13">
        <v>14.0</v>
      </c>
      <c r="B1733" s="12" t="s">
        <v>1739</v>
      </c>
      <c r="C1733" s="13">
        <v>240839.0</v>
      </c>
      <c r="D1733" s="12" t="s">
        <v>606</v>
      </c>
      <c r="E1733" s="34" t="s">
        <v>580</v>
      </c>
      <c r="F1733" s="14">
        <v>0.5208333333333334</v>
      </c>
      <c r="G1733" s="25"/>
    </row>
    <row r="1734" spans="8:8" ht="32.25" customHeight="1">
      <c r="A1734" s="13">
        <v>15.0</v>
      </c>
      <c r="B1734" s="12" t="s">
        <v>1740</v>
      </c>
      <c r="C1734" s="13">
        <v>240732.0</v>
      </c>
      <c r="D1734" s="12" t="s">
        <v>606</v>
      </c>
      <c r="E1734" s="34" t="s">
        <v>580</v>
      </c>
      <c r="F1734" s="14">
        <v>0.5208333333333334</v>
      </c>
      <c r="G1734" s="25"/>
    </row>
    <row r="1735" spans="8:8" ht="32.25" customHeight="1">
      <c r="A1735" s="13">
        <v>16.0</v>
      </c>
      <c r="B1735" s="12" t="s">
        <v>1741</v>
      </c>
      <c r="C1735" s="13">
        <v>240963.0</v>
      </c>
      <c r="D1735" s="12" t="s">
        <v>606</v>
      </c>
      <c r="E1735" s="34" t="s">
        <v>580</v>
      </c>
      <c r="F1735" s="14">
        <v>0.5208333333333334</v>
      </c>
      <c r="G1735" s="25"/>
    </row>
    <row r="1736" spans="8:8" ht="32.25" customHeight="1">
      <c r="A1736" s="13">
        <v>17.0</v>
      </c>
      <c r="B1736" s="12" t="s">
        <v>1742</v>
      </c>
      <c r="C1736" s="13">
        <v>240815.0</v>
      </c>
      <c r="D1736" s="12" t="s">
        <v>606</v>
      </c>
      <c r="E1736" s="34" t="s">
        <v>580</v>
      </c>
      <c r="F1736" s="14">
        <v>0.5208333333333334</v>
      </c>
      <c r="G1736" s="25"/>
    </row>
    <row r="1737" spans="8:8" ht="32.25" customHeight="1">
      <c r="A1737" s="13">
        <v>18.0</v>
      </c>
      <c r="B1737" s="21" t="s">
        <v>1743</v>
      </c>
      <c r="C1737" s="22">
        <v>240556.0</v>
      </c>
      <c r="D1737" s="21" t="s">
        <v>606</v>
      </c>
      <c r="E1737" s="44" t="s">
        <v>580</v>
      </c>
      <c r="F1737" s="14">
        <v>0.5208333333333334</v>
      </c>
      <c r="G1737" s="25"/>
    </row>
    <row r="1738" spans="8:8" ht="32.25" customHeight="1">
      <c r="A1738" s="13">
        <v>19.0</v>
      </c>
      <c r="B1738" s="21" t="s">
        <v>1744</v>
      </c>
      <c r="C1738" s="22">
        <v>240976.0</v>
      </c>
      <c r="D1738" s="21" t="s">
        <v>606</v>
      </c>
      <c r="E1738" s="44" t="s">
        <v>580</v>
      </c>
      <c r="F1738" s="14">
        <v>0.5208333333333334</v>
      </c>
      <c r="G1738" s="25"/>
    </row>
    <row r="1739" spans="8:8" ht="32.25" customHeight="1">
      <c r="A1739" s="13">
        <v>20.0</v>
      </c>
      <c r="B1739" s="21" t="s">
        <v>1745</v>
      </c>
      <c r="C1739" s="22">
        <v>240744.0</v>
      </c>
      <c r="D1739" s="21" t="s">
        <v>606</v>
      </c>
      <c r="E1739" s="44" t="s">
        <v>580</v>
      </c>
      <c r="F1739" s="14">
        <v>0.5208333333333334</v>
      </c>
      <c r="G1739" s="25"/>
    </row>
    <row r="1740" spans="8:8" ht="32.25" customHeight="1">
      <c r="A1740" s="13">
        <v>21.0</v>
      </c>
      <c r="B1740" s="12" t="s">
        <v>1746</v>
      </c>
      <c r="C1740" s="13">
        <v>240886.0</v>
      </c>
      <c r="D1740" s="12" t="s">
        <v>606</v>
      </c>
      <c r="E1740" s="34" t="s">
        <v>580</v>
      </c>
      <c r="F1740" s="14">
        <v>0.5208333333333334</v>
      </c>
      <c r="G1740" s="25"/>
    </row>
    <row r="1741" spans="8:8" ht="32.25" customHeight="1">
      <c r="A1741" s="13">
        <v>22.0</v>
      </c>
      <c r="B1741" s="12" t="s">
        <v>1747</v>
      </c>
      <c r="C1741" s="13">
        <v>240566.0</v>
      </c>
      <c r="D1741" s="12" t="s">
        <v>606</v>
      </c>
      <c r="E1741" s="34" t="s">
        <v>580</v>
      </c>
      <c r="F1741" s="14">
        <v>0.5208333333333334</v>
      </c>
      <c r="G1741" s="25"/>
    </row>
    <row r="1742" spans="8:8" ht="32.25" customHeight="1">
      <c r="A1742" s="13">
        <v>23.0</v>
      </c>
      <c r="B1742" s="12" t="s">
        <v>1748</v>
      </c>
      <c r="C1742" s="13">
        <v>240990.0</v>
      </c>
      <c r="D1742" s="12" t="s">
        <v>606</v>
      </c>
      <c r="E1742" s="34" t="s">
        <v>580</v>
      </c>
      <c r="F1742" s="14">
        <v>0.5208333333333334</v>
      </c>
      <c r="G1742" s="25"/>
    </row>
    <row r="1743" spans="8:8" ht="32.25" customHeight="1">
      <c r="A1743" s="13">
        <v>24.0</v>
      </c>
      <c r="B1743" s="12" t="s">
        <v>1749</v>
      </c>
      <c r="C1743" s="13">
        <v>241065.0</v>
      </c>
      <c r="D1743" s="12" t="s">
        <v>606</v>
      </c>
      <c r="E1743" s="34" t="s">
        <v>580</v>
      </c>
      <c r="F1743" s="14">
        <v>0.5208333333333334</v>
      </c>
      <c r="G1743" s="25"/>
    </row>
    <row r="1744" spans="8:8" ht="32.25" customHeight="1">
      <c r="A1744" s="13">
        <v>25.0</v>
      </c>
      <c r="B1744" s="12" t="s">
        <v>1750</v>
      </c>
      <c r="C1744" s="13">
        <v>241019.0</v>
      </c>
      <c r="D1744" s="12" t="s">
        <v>606</v>
      </c>
      <c r="E1744" s="34" t="s">
        <v>580</v>
      </c>
      <c r="F1744" s="14">
        <v>0.5208333333333334</v>
      </c>
      <c r="G1744" s="25"/>
    </row>
    <row r="1745" spans="8:8" ht="32.25" customHeight="1">
      <c r="A1745" s="8" t="s">
        <v>18</v>
      </c>
      <c r="B1745" s="9" t="s">
        <v>19</v>
      </c>
      <c r="C1745" s="9" t="s">
        <v>20</v>
      </c>
      <c r="D1745" s="9" t="s">
        <v>21</v>
      </c>
      <c r="E1745" s="9" t="s">
        <v>22</v>
      </c>
      <c r="F1745" s="10" t="s">
        <v>23</v>
      </c>
      <c r="G1745" s="9" t="s">
        <v>837</v>
      </c>
    </row>
    <row r="1746" spans="8:8" ht="32.25" customHeight="1">
      <c r="A1746" s="13">
        <v>1.0</v>
      </c>
      <c r="B1746" s="12" t="s">
        <v>1751</v>
      </c>
      <c r="C1746" s="13">
        <v>240824.0</v>
      </c>
      <c r="D1746" s="12" t="s">
        <v>606</v>
      </c>
      <c r="E1746" s="34" t="s">
        <v>580</v>
      </c>
      <c r="F1746" s="14">
        <v>0.5208333333333334</v>
      </c>
      <c r="G1746" s="13"/>
    </row>
    <row r="1747" spans="8:8" ht="32.25" customHeight="1">
      <c r="A1747" s="13">
        <v>2.0</v>
      </c>
      <c r="B1747" s="21" t="s">
        <v>1752</v>
      </c>
      <c r="C1747" s="22">
        <v>240799.0</v>
      </c>
      <c r="D1747" s="21" t="s">
        <v>606</v>
      </c>
      <c r="E1747" s="44" t="s">
        <v>580</v>
      </c>
      <c r="F1747" s="14">
        <v>0.5208333333333334</v>
      </c>
      <c r="G1747" s="25"/>
    </row>
    <row r="1748" spans="8:8" ht="32.25" customHeight="1">
      <c r="A1748" s="13">
        <v>3.0</v>
      </c>
      <c r="B1748" s="21" t="s">
        <v>1753</v>
      </c>
      <c r="C1748" s="22">
        <v>240872.0</v>
      </c>
      <c r="D1748" s="21" t="s">
        <v>606</v>
      </c>
      <c r="E1748" s="44" t="s">
        <v>580</v>
      </c>
      <c r="F1748" s="14">
        <v>0.5208333333333334</v>
      </c>
      <c r="G1748" s="25"/>
    </row>
    <row r="1749" spans="8:8" ht="32.25" customHeight="1">
      <c r="A1749" s="13">
        <v>4.0</v>
      </c>
      <c r="B1749" s="21" t="s">
        <v>1754</v>
      </c>
      <c r="C1749" s="22">
        <v>241001.0</v>
      </c>
      <c r="D1749" s="21" t="s">
        <v>606</v>
      </c>
      <c r="E1749" s="44" t="s">
        <v>580</v>
      </c>
      <c r="F1749" s="14">
        <v>0.5208333333333334</v>
      </c>
      <c r="G1749" s="25"/>
    </row>
    <row r="1750" spans="8:8" ht="32.25" customHeight="1">
      <c r="A1750" s="13">
        <v>5.0</v>
      </c>
      <c r="B1750" s="21" t="s">
        <v>1755</v>
      </c>
      <c r="C1750" s="22">
        <v>240953.0</v>
      </c>
      <c r="D1750" s="21" t="s">
        <v>606</v>
      </c>
      <c r="E1750" s="44" t="s">
        <v>580</v>
      </c>
      <c r="F1750" s="14">
        <v>0.5208333333333334</v>
      </c>
      <c r="G1750" s="25"/>
    </row>
    <row r="1751" spans="8:8" ht="32.25" customHeight="1">
      <c r="A1751" s="13">
        <v>6.0</v>
      </c>
      <c r="B1751" s="21" t="s">
        <v>1756</v>
      </c>
      <c r="C1751" s="22">
        <v>241004.0</v>
      </c>
      <c r="D1751" s="21" t="s">
        <v>606</v>
      </c>
      <c r="E1751" s="44" t="s">
        <v>580</v>
      </c>
      <c r="F1751" s="14">
        <v>0.5208333333333334</v>
      </c>
      <c r="G1751" s="25"/>
    </row>
    <row r="1752" spans="8:8" ht="32.25" customHeight="1">
      <c r="A1752" s="13">
        <v>7.0</v>
      </c>
      <c r="B1752" s="21" t="s">
        <v>1757</v>
      </c>
      <c r="C1752" s="22">
        <v>241135.0</v>
      </c>
      <c r="D1752" s="21" t="s">
        <v>606</v>
      </c>
      <c r="E1752" s="44" t="s">
        <v>580</v>
      </c>
      <c r="F1752" s="14">
        <v>0.5208333333333334</v>
      </c>
      <c r="G1752" s="25"/>
    </row>
    <row r="1753" spans="8:8" ht="32.25" customHeight="1">
      <c r="A1753" s="13">
        <v>8.0</v>
      </c>
      <c r="B1753" s="21" t="s">
        <v>1758</v>
      </c>
      <c r="C1753" s="22">
        <v>241026.0</v>
      </c>
      <c r="D1753" s="21" t="s">
        <v>606</v>
      </c>
      <c r="E1753" s="44" t="s">
        <v>580</v>
      </c>
      <c r="F1753" s="14">
        <v>0.5208333333333334</v>
      </c>
      <c r="G1753" s="25"/>
    </row>
    <row r="1754" spans="8:8" ht="32.25" customHeight="1">
      <c r="A1754" s="13">
        <v>9.0</v>
      </c>
      <c r="B1754" s="21" t="s">
        <v>1759</v>
      </c>
      <c r="C1754" s="22">
        <v>240681.0</v>
      </c>
      <c r="D1754" s="21" t="s">
        <v>606</v>
      </c>
      <c r="E1754" s="44" t="s">
        <v>580</v>
      </c>
      <c r="F1754" s="14">
        <v>0.5208333333333334</v>
      </c>
      <c r="G1754" s="25"/>
    </row>
    <row r="1755" spans="8:8" ht="32.25" customHeight="1">
      <c r="A1755" s="13">
        <v>10.0</v>
      </c>
      <c r="B1755" s="21" t="s">
        <v>1760</v>
      </c>
      <c r="C1755" s="22">
        <v>240958.0</v>
      </c>
      <c r="D1755" s="21" t="s">
        <v>606</v>
      </c>
      <c r="E1755" s="44" t="s">
        <v>580</v>
      </c>
      <c r="F1755" s="14">
        <v>0.5208333333333334</v>
      </c>
      <c r="G1755" s="25"/>
    </row>
    <row r="1756" spans="8:8" ht="32.25" customHeight="1">
      <c r="A1756" s="13">
        <v>11.0</v>
      </c>
      <c r="B1756" s="21" t="s">
        <v>1761</v>
      </c>
      <c r="C1756" s="22">
        <v>240935.0</v>
      </c>
      <c r="D1756" s="21" t="s">
        <v>606</v>
      </c>
      <c r="E1756" s="44" t="s">
        <v>580</v>
      </c>
      <c r="F1756" s="14">
        <v>0.5208333333333334</v>
      </c>
      <c r="G1756" s="25"/>
    </row>
    <row r="1757" spans="8:8" ht="32.25" customHeight="1">
      <c r="A1757" s="13">
        <v>12.0</v>
      </c>
      <c r="B1757" s="21" t="s">
        <v>1762</v>
      </c>
      <c r="C1757" s="22">
        <v>240530.0</v>
      </c>
      <c r="D1757" s="21" t="s">
        <v>606</v>
      </c>
      <c r="E1757" s="44" t="s">
        <v>580</v>
      </c>
      <c r="F1757" s="14">
        <v>0.5208333333333334</v>
      </c>
      <c r="G1757" s="25"/>
    </row>
    <row r="1758" spans="8:8" ht="32.25" customHeight="1">
      <c r="A1758" s="13">
        <v>13.0</v>
      </c>
      <c r="B1758" s="21" t="s">
        <v>1763</v>
      </c>
      <c r="C1758" s="22">
        <v>240861.0</v>
      </c>
      <c r="D1758" s="21" t="s">
        <v>606</v>
      </c>
      <c r="E1758" s="44" t="s">
        <v>580</v>
      </c>
      <c r="F1758" s="14">
        <v>0.5208333333333334</v>
      </c>
      <c r="G1758" s="25"/>
    </row>
    <row r="1759" spans="8:8" ht="32.25" customHeight="1">
      <c r="A1759" s="13">
        <v>14.0</v>
      </c>
      <c r="B1759" s="21" t="s">
        <v>1764</v>
      </c>
      <c r="C1759" s="22">
        <v>240895.0</v>
      </c>
      <c r="D1759" s="21" t="s">
        <v>606</v>
      </c>
      <c r="E1759" s="44" t="s">
        <v>580</v>
      </c>
      <c r="F1759" s="14">
        <v>0.5208333333333334</v>
      </c>
      <c r="G1759" s="25"/>
    </row>
    <row r="1760" spans="8:8" ht="32.25" customHeight="1">
      <c r="A1760" s="13">
        <v>15.0</v>
      </c>
      <c r="B1760" s="21" t="s">
        <v>1765</v>
      </c>
      <c r="C1760" s="22">
        <v>241100.0</v>
      </c>
      <c r="D1760" s="21" t="s">
        <v>606</v>
      </c>
      <c r="E1760" s="44" t="s">
        <v>580</v>
      </c>
      <c r="F1760" s="14">
        <v>0.5208333333333334</v>
      </c>
      <c r="G1760" s="25"/>
    </row>
    <row r="1761" spans="8:8" ht="32.25" customHeight="1">
      <c r="A1761" s="13">
        <v>16.0</v>
      </c>
      <c r="B1761" s="21" t="s">
        <v>1766</v>
      </c>
      <c r="C1761" s="22">
        <v>241137.0</v>
      </c>
      <c r="D1761" s="21" t="s">
        <v>606</v>
      </c>
      <c r="E1761" s="44" t="s">
        <v>580</v>
      </c>
      <c r="F1761" s="14">
        <v>0.5208333333333334</v>
      </c>
      <c r="G1761" s="25"/>
    </row>
    <row r="1762" spans="8:8" ht="32.25" customHeight="1">
      <c r="A1762" s="13">
        <v>17.0</v>
      </c>
      <c r="B1762" s="12" t="s">
        <v>1767</v>
      </c>
      <c r="C1762" s="13">
        <v>241023.0</v>
      </c>
      <c r="D1762" s="12" t="s">
        <v>606</v>
      </c>
      <c r="E1762" s="34" t="s">
        <v>580</v>
      </c>
      <c r="F1762" s="14">
        <v>0.5208333333333334</v>
      </c>
      <c r="G1762" s="25"/>
    </row>
    <row r="1763" spans="8:8" ht="32.25" customHeight="1">
      <c r="A1763" s="13">
        <v>18.0</v>
      </c>
      <c r="B1763" s="16" t="s">
        <v>1768</v>
      </c>
      <c r="C1763" s="17">
        <v>240699.0</v>
      </c>
      <c r="D1763" s="16" t="s">
        <v>606</v>
      </c>
      <c r="E1763" s="42" t="s">
        <v>580</v>
      </c>
      <c r="F1763" s="14">
        <v>0.5208333333333334</v>
      </c>
      <c r="G1763" s="25"/>
    </row>
    <row r="1764" spans="8:8" ht="32.25" customHeight="1">
      <c r="A1764" s="13">
        <v>19.0</v>
      </c>
      <c r="B1764" s="16" t="s">
        <v>1769</v>
      </c>
      <c r="C1764" s="17">
        <v>240909.0</v>
      </c>
      <c r="D1764" s="16" t="s">
        <v>606</v>
      </c>
      <c r="E1764" s="42" t="s">
        <v>580</v>
      </c>
      <c r="F1764" s="14">
        <v>0.5208333333333334</v>
      </c>
      <c r="G1764" s="25"/>
    </row>
    <row r="1765" spans="8:8" ht="32.25" customHeight="1">
      <c r="A1765" s="13">
        <v>20.0</v>
      </c>
      <c r="B1765" s="16" t="s">
        <v>1770</v>
      </c>
      <c r="C1765" s="17">
        <v>240519.0</v>
      </c>
      <c r="D1765" s="16" t="s">
        <v>606</v>
      </c>
      <c r="E1765" s="42" t="s">
        <v>580</v>
      </c>
      <c r="F1765" s="14">
        <v>0.5208333333333334</v>
      </c>
      <c r="G1765" s="25"/>
    </row>
    <row r="1766" spans="8:8" ht="32.25" customHeight="1">
      <c r="A1766" s="13">
        <v>21.0</v>
      </c>
      <c r="B1766" s="16" t="s">
        <v>1771</v>
      </c>
      <c r="C1766" s="17">
        <v>241107.0</v>
      </c>
      <c r="D1766" s="16" t="s">
        <v>606</v>
      </c>
      <c r="E1766" s="42" t="s">
        <v>580</v>
      </c>
      <c r="F1766" s="14">
        <v>0.5208333333333334</v>
      </c>
      <c r="G1766" s="25"/>
    </row>
    <row r="1767" spans="8:8" ht="32.25" customHeight="1">
      <c r="A1767" s="13">
        <v>22.0</v>
      </c>
      <c r="B1767" s="16" t="s">
        <v>1772</v>
      </c>
      <c r="C1767" s="17">
        <v>240988.0</v>
      </c>
      <c r="D1767" s="16" t="s">
        <v>606</v>
      </c>
      <c r="E1767" s="42" t="s">
        <v>580</v>
      </c>
      <c r="F1767" s="14">
        <v>0.5208333333333334</v>
      </c>
      <c r="G1767" s="25"/>
    </row>
    <row r="1768" spans="8:8" ht="32.25" customHeight="1">
      <c r="A1768" s="13">
        <v>23.0</v>
      </c>
      <c r="B1768" s="16" t="s">
        <v>1773</v>
      </c>
      <c r="C1768" s="17">
        <v>240581.0</v>
      </c>
      <c r="D1768" s="16" t="s">
        <v>606</v>
      </c>
      <c r="E1768" s="42" t="s">
        <v>580</v>
      </c>
      <c r="F1768" s="14">
        <v>0.5208333333333334</v>
      </c>
      <c r="G1768" s="25"/>
    </row>
    <row r="1769" spans="8:8" ht="32.25" customHeight="1">
      <c r="A1769" s="13">
        <v>24.0</v>
      </c>
      <c r="B1769" s="16" t="s">
        <v>1774</v>
      </c>
      <c r="C1769" s="17">
        <v>241009.0</v>
      </c>
      <c r="D1769" s="16" t="s">
        <v>606</v>
      </c>
      <c r="E1769" s="42" t="s">
        <v>580</v>
      </c>
      <c r="F1769" s="14">
        <v>0.5208333333333334</v>
      </c>
      <c r="G1769" s="25"/>
    </row>
    <row r="1770" spans="8:8" ht="32.25" customHeight="1">
      <c r="A1770" s="13">
        <v>25.0</v>
      </c>
      <c r="B1770" s="16" t="s">
        <v>1775</v>
      </c>
      <c r="C1770" s="17">
        <v>240931.0</v>
      </c>
      <c r="D1770" s="16" t="s">
        <v>606</v>
      </c>
      <c r="E1770" s="42" t="s">
        <v>580</v>
      </c>
      <c r="F1770" s="14">
        <v>0.5208333333333334</v>
      </c>
      <c r="G1770" s="25"/>
    </row>
    <row r="1771" spans="8:8" ht="32.25" customHeight="1">
      <c r="A1771" s="8" t="s">
        <v>18</v>
      </c>
      <c r="B1771" s="9" t="s">
        <v>19</v>
      </c>
      <c r="C1771" s="9" t="s">
        <v>20</v>
      </c>
      <c r="D1771" s="9" t="s">
        <v>21</v>
      </c>
      <c r="E1771" s="9" t="s">
        <v>22</v>
      </c>
      <c r="F1771" s="10" t="s">
        <v>23</v>
      </c>
      <c r="G1771" s="9" t="s">
        <v>866</v>
      </c>
    </row>
    <row r="1772" spans="8:8" ht="32.25" customHeight="1">
      <c r="A1772" s="17">
        <v>1.0</v>
      </c>
      <c r="B1772" s="16" t="s">
        <v>1776</v>
      </c>
      <c r="C1772" s="17">
        <v>240933.0</v>
      </c>
      <c r="D1772" s="16" t="s">
        <v>606</v>
      </c>
      <c r="E1772" s="42" t="s">
        <v>580</v>
      </c>
      <c r="F1772" s="14">
        <v>0.5208333333333334</v>
      </c>
      <c r="G1772" s="13"/>
    </row>
    <row r="1773" spans="8:8" ht="32.25" customHeight="1">
      <c r="A1773" s="13">
        <v>2.0</v>
      </c>
      <c r="B1773" s="21" t="s">
        <v>1777</v>
      </c>
      <c r="C1773" s="22">
        <v>241133.0</v>
      </c>
      <c r="D1773" s="21" t="s">
        <v>606</v>
      </c>
      <c r="E1773" s="44" t="s">
        <v>580</v>
      </c>
      <c r="F1773" s="14">
        <v>0.5208333333333334</v>
      </c>
      <c r="G1773" s="25"/>
    </row>
    <row r="1774" spans="8:8" ht="32.25" customHeight="1">
      <c r="A1774" s="17">
        <v>3.0</v>
      </c>
      <c r="B1774" s="21" t="s">
        <v>1778</v>
      </c>
      <c r="C1774" s="22">
        <v>240589.0</v>
      </c>
      <c r="D1774" s="21" t="s">
        <v>606</v>
      </c>
      <c r="E1774" s="44" t="s">
        <v>580</v>
      </c>
      <c r="F1774" s="14">
        <v>0.5208333333333334</v>
      </c>
      <c r="G1774" s="25"/>
    </row>
    <row r="1775" spans="8:8" ht="32.25" customHeight="1">
      <c r="A1775" s="13">
        <v>4.0</v>
      </c>
      <c r="B1775" s="21" t="s">
        <v>1779</v>
      </c>
      <c r="C1775" s="22">
        <v>241016.0</v>
      </c>
      <c r="D1775" s="21" t="s">
        <v>606</v>
      </c>
      <c r="E1775" s="44" t="s">
        <v>580</v>
      </c>
      <c r="F1775" s="14">
        <v>0.5208333333333334</v>
      </c>
      <c r="G1775" s="25"/>
    </row>
    <row r="1776" spans="8:8" ht="32.25" customHeight="1">
      <c r="A1776" s="17">
        <v>5.0</v>
      </c>
      <c r="B1776" s="21" t="s">
        <v>1780</v>
      </c>
      <c r="C1776" s="22">
        <v>240821.0</v>
      </c>
      <c r="D1776" s="21" t="s">
        <v>606</v>
      </c>
      <c r="E1776" s="34" t="s">
        <v>580</v>
      </c>
      <c r="F1776" s="14">
        <v>0.5208333333333334</v>
      </c>
      <c r="G1776" s="25"/>
    </row>
    <row r="1777" spans="8:8" ht="32.25" customHeight="1">
      <c r="A1777" s="13">
        <v>6.0</v>
      </c>
      <c r="B1777" s="21" t="s">
        <v>1781</v>
      </c>
      <c r="C1777" s="22">
        <v>240680.0</v>
      </c>
      <c r="D1777" s="21" t="s">
        <v>606</v>
      </c>
      <c r="E1777" s="44" t="s">
        <v>580</v>
      </c>
      <c r="F1777" s="14">
        <v>0.5208333333333334</v>
      </c>
      <c r="G1777" s="25"/>
    </row>
    <row r="1778" spans="8:8" ht="32.25" customHeight="1">
      <c r="A1778" s="17">
        <v>7.0</v>
      </c>
      <c r="B1778" s="21" t="s">
        <v>1782</v>
      </c>
      <c r="C1778" s="22">
        <v>240748.0</v>
      </c>
      <c r="D1778" s="21" t="s">
        <v>606</v>
      </c>
      <c r="E1778" s="44" t="s">
        <v>580</v>
      </c>
      <c r="F1778" s="14">
        <v>0.5208333333333334</v>
      </c>
      <c r="G1778" s="25"/>
    </row>
    <row r="1779" spans="8:8" ht="32.25" customHeight="1">
      <c r="A1779" s="13">
        <v>8.0</v>
      </c>
      <c r="B1779" s="21" t="s">
        <v>1783</v>
      </c>
      <c r="C1779" s="22">
        <v>241033.0</v>
      </c>
      <c r="D1779" s="21" t="s">
        <v>606</v>
      </c>
      <c r="E1779" s="44" t="s">
        <v>580</v>
      </c>
      <c r="F1779" s="14">
        <v>0.5208333333333334</v>
      </c>
      <c r="G1779" s="25"/>
    </row>
    <row r="1780" spans="8:8" ht="32.25" customHeight="1">
      <c r="A1780" s="17">
        <v>9.0</v>
      </c>
      <c r="B1780" s="21" t="s">
        <v>1784</v>
      </c>
      <c r="C1780" s="22">
        <v>240491.0</v>
      </c>
      <c r="D1780" s="21" t="s">
        <v>606</v>
      </c>
      <c r="E1780" s="44" t="s">
        <v>580</v>
      </c>
      <c r="F1780" s="14">
        <v>0.5208333333333334</v>
      </c>
      <c r="G1780" s="25"/>
    </row>
    <row r="1781" spans="8:8" ht="32.25" customHeight="1">
      <c r="A1781" s="13">
        <v>10.0</v>
      </c>
      <c r="B1781" s="21" t="s">
        <v>1785</v>
      </c>
      <c r="C1781" s="22">
        <v>241015.0</v>
      </c>
      <c r="D1781" s="21" t="s">
        <v>606</v>
      </c>
      <c r="E1781" s="44" t="s">
        <v>580</v>
      </c>
      <c r="F1781" s="14">
        <v>0.5208333333333334</v>
      </c>
      <c r="G1781" s="25"/>
    </row>
    <row r="1782" spans="8:8" ht="32.25" customHeight="1">
      <c r="A1782" s="17">
        <v>11.0</v>
      </c>
      <c r="B1782" s="21" t="s">
        <v>1786</v>
      </c>
      <c r="C1782" s="22">
        <v>240851.0</v>
      </c>
      <c r="D1782" s="21" t="s">
        <v>606</v>
      </c>
      <c r="E1782" s="44" t="s">
        <v>580</v>
      </c>
      <c r="F1782" s="14">
        <v>0.5208333333333334</v>
      </c>
      <c r="G1782" s="25"/>
    </row>
    <row r="1783" spans="8:8" ht="32.25" customHeight="1">
      <c r="A1783" s="13">
        <v>12.0</v>
      </c>
      <c r="B1783" s="21" t="s">
        <v>1787</v>
      </c>
      <c r="C1783" s="22">
        <v>240865.0</v>
      </c>
      <c r="D1783" s="21" t="s">
        <v>606</v>
      </c>
      <c r="E1783" s="44" t="s">
        <v>580</v>
      </c>
      <c r="F1783" s="14">
        <v>0.5208333333333334</v>
      </c>
      <c r="G1783" s="25"/>
    </row>
    <row r="1784" spans="8:8" ht="32.25" customHeight="1">
      <c r="A1784" s="17">
        <v>13.0</v>
      </c>
      <c r="B1784" s="21" t="s">
        <v>1788</v>
      </c>
      <c r="C1784" s="22">
        <v>240867.0</v>
      </c>
      <c r="D1784" s="21" t="s">
        <v>606</v>
      </c>
      <c r="E1784" s="44" t="s">
        <v>580</v>
      </c>
      <c r="F1784" s="14">
        <v>0.5208333333333334</v>
      </c>
      <c r="G1784" s="25"/>
    </row>
    <row r="1785" spans="8:8" ht="32.25" customHeight="1">
      <c r="A1785" s="13">
        <v>14.0</v>
      </c>
      <c r="B1785" s="21" t="s">
        <v>1789</v>
      </c>
      <c r="C1785" s="22">
        <v>240876.0</v>
      </c>
      <c r="D1785" s="21" t="s">
        <v>606</v>
      </c>
      <c r="E1785" s="44" t="s">
        <v>580</v>
      </c>
      <c r="F1785" s="14">
        <v>0.5208333333333334</v>
      </c>
      <c r="G1785" s="25"/>
    </row>
    <row r="1786" spans="8:8" ht="32.25" customHeight="1">
      <c r="A1786" s="17">
        <v>15.0</v>
      </c>
      <c r="B1786" s="21" t="s">
        <v>1790</v>
      </c>
      <c r="C1786" s="22">
        <v>240974.0</v>
      </c>
      <c r="D1786" s="21" t="s">
        <v>606</v>
      </c>
      <c r="E1786" s="44" t="s">
        <v>580</v>
      </c>
      <c r="F1786" s="14">
        <v>0.5208333333333334</v>
      </c>
      <c r="G1786" s="25"/>
    </row>
    <row r="1787" spans="8:8" ht="32.25" customHeight="1">
      <c r="A1787" s="13">
        <v>16.0</v>
      </c>
      <c r="B1787" s="21" t="s">
        <v>1791</v>
      </c>
      <c r="C1787" s="22">
        <v>240879.0</v>
      </c>
      <c r="D1787" s="21" t="s">
        <v>606</v>
      </c>
      <c r="E1787" s="44" t="s">
        <v>580</v>
      </c>
      <c r="F1787" s="14">
        <v>0.5208333333333334</v>
      </c>
      <c r="G1787" s="25"/>
    </row>
    <row r="1788" spans="8:8" ht="32.25" customHeight="1">
      <c r="A1788" s="17">
        <v>17.0</v>
      </c>
      <c r="B1788" s="21" t="s">
        <v>1792</v>
      </c>
      <c r="C1788" s="22">
        <v>240955.0</v>
      </c>
      <c r="D1788" s="21" t="s">
        <v>606</v>
      </c>
      <c r="E1788" s="44" t="s">
        <v>580</v>
      </c>
      <c r="F1788" s="14">
        <v>0.5208333333333334</v>
      </c>
      <c r="G1788" s="25"/>
    </row>
    <row r="1789" spans="8:8" ht="32.25" customHeight="1">
      <c r="A1789" s="13">
        <v>18.0</v>
      </c>
      <c r="B1789" s="21" t="s">
        <v>1793</v>
      </c>
      <c r="C1789" s="22">
        <v>241047.0</v>
      </c>
      <c r="D1789" s="21" t="s">
        <v>606</v>
      </c>
      <c r="E1789" s="44" t="s">
        <v>580</v>
      </c>
      <c r="F1789" s="14">
        <v>0.5208333333333334</v>
      </c>
      <c r="G1789" s="25"/>
    </row>
    <row r="1790" spans="8:8" ht="32.25" customHeight="1">
      <c r="A1790" s="17">
        <v>19.0</v>
      </c>
      <c r="B1790" s="21" t="s">
        <v>1794</v>
      </c>
      <c r="C1790" s="22">
        <v>240850.0</v>
      </c>
      <c r="D1790" s="21" t="s">
        <v>606</v>
      </c>
      <c r="E1790" s="34" t="s">
        <v>580</v>
      </c>
      <c r="F1790" s="14">
        <v>0.5208333333333334</v>
      </c>
      <c r="G1790" s="25"/>
    </row>
    <row r="1791" spans="8:8" ht="32.25" customHeight="1">
      <c r="A1791" s="13">
        <v>20.0</v>
      </c>
      <c r="B1791" s="21" t="s">
        <v>1795</v>
      </c>
      <c r="C1791" s="22">
        <v>240893.0</v>
      </c>
      <c r="D1791" s="21" t="s">
        <v>606</v>
      </c>
      <c r="E1791" s="44" t="s">
        <v>580</v>
      </c>
      <c r="F1791" s="14">
        <v>0.5208333333333334</v>
      </c>
      <c r="G1791" s="25"/>
    </row>
    <row r="1792" spans="8:8" ht="32.25" customHeight="1">
      <c r="A1792" s="17">
        <v>21.0</v>
      </c>
      <c r="B1792" s="21" t="s">
        <v>1796</v>
      </c>
      <c r="C1792" s="22">
        <v>240948.0</v>
      </c>
      <c r="D1792" s="21" t="s">
        <v>606</v>
      </c>
      <c r="E1792" s="44" t="s">
        <v>580</v>
      </c>
      <c r="F1792" s="14">
        <v>0.5208333333333334</v>
      </c>
      <c r="G1792" s="25"/>
    </row>
    <row r="1793" spans="8:8" ht="32.25" customHeight="1">
      <c r="A1793" s="13">
        <v>22.0</v>
      </c>
      <c r="B1793" s="21" t="s">
        <v>1797</v>
      </c>
      <c r="C1793" s="22">
        <v>240841.0</v>
      </c>
      <c r="D1793" s="21" t="s">
        <v>606</v>
      </c>
      <c r="E1793" s="44" t="s">
        <v>580</v>
      </c>
      <c r="F1793" s="14">
        <v>0.5208333333333334</v>
      </c>
      <c r="G1793" s="25"/>
    </row>
    <row r="1794" spans="8:8" ht="32.25" customHeight="1">
      <c r="A1794" s="17">
        <v>23.0</v>
      </c>
      <c r="B1794" s="21" t="s">
        <v>1798</v>
      </c>
      <c r="C1794" s="22">
        <v>241117.0</v>
      </c>
      <c r="D1794" s="21" t="s">
        <v>606</v>
      </c>
      <c r="E1794" s="44" t="s">
        <v>580</v>
      </c>
      <c r="F1794" s="14">
        <v>0.5208333333333334</v>
      </c>
      <c r="G1794" s="25"/>
    </row>
    <row r="1795" spans="8:8" ht="32.25" customHeight="1">
      <c r="A1795" s="13">
        <v>24.0</v>
      </c>
      <c r="B1795" s="21" t="s">
        <v>1799</v>
      </c>
      <c r="C1795" s="22">
        <v>240526.0</v>
      </c>
      <c r="D1795" s="21" t="s">
        <v>606</v>
      </c>
      <c r="E1795" s="44" t="s">
        <v>580</v>
      </c>
      <c r="F1795" s="14">
        <v>0.5208333333333334</v>
      </c>
      <c r="G1795" s="25"/>
    </row>
    <row r="1796" spans="8:8" ht="32.25" customHeight="1">
      <c r="A1796" s="17">
        <v>25.0</v>
      </c>
      <c r="B1796" s="21" t="s">
        <v>1800</v>
      </c>
      <c r="C1796" s="22">
        <v>241098.0</v>
      </c>
      <c r="D1796" s="21" t="s">
        <v>606</v>
      </c>
      <c r="E1796" s="44" t="s">
        <v>580</v>
      </c>
      <c r="F1796" s="14">
        <v>0.5208333333333334</v>
      </c>
      <c r="G1796" s="25"/>
    </row>
    <row r="1797" spans="8:8" ht="32.25" customHeight="1">
      <c r="A1797" s="8" t="s">
        <v>18</v>
      </c>
      <c r="B1797" s="9" t="s">
        <v>19</v>
      </c>
      <c r="C1797" s="9" t="s">
        <v>20</v>
      </c>
      <c r="D1797" s="9" t="s">
        <v>21</v>
      </c>
      <c r="E1797" s="9" t="s">
        <v>22</v>
      </c>
      <c r="F1797" s="10" t="s">
        <v>23</v>
      </c>
      <c r="G1797" s="9" t="s">
        <v>895</v>
      </c>
    </row>
    <row r="1798" spans="8:8" ht="32.25" customHeight="1">
      <c r="A1798" s="22">
        <v>1.0</v>
      </c>
      <c r="B1798" s="21" t="s">
        <v>1801</v>
      </c>
      <c r="C1798" s="22">
        <v>240901.0</v>
      </c>
      <c r="D1798" s="21" t="s">
        <v>606</v>
      </c>
      <c r="E1798" s="44" t="s">
        <v>580</v>
      </c>
      <c r="F1798" s="14">
        <v>0.5208333333333334</v>
      </c>
      <c r="G1798" s="13"/>
    </row>
    <row r="1799" spans="8:8" ht="32.25" customHeight="1">
      <c r="A1799" s="22">
        <v>2.0</v>
      </c>
      <c r="B1799" s="21" t="s">
        <v>1802</v>
      </c>
      <c r="C1799" s="22">
        <v>240615.0</v>
      </c>
      <c r="D1799" s="21" t="s">
        <v>606</v>
      </c>
      <c r="E1799" s="44" t="s">
        <v>580</v>
      </c>
      <c r="F1799" s="14">
        <v>0.5208333333333334</v>
      </c>
      <c r="G1799" s="25"/>
    </row>
    <row r="1800" spans="8:8" ht="32.25" customHeight="1">
      <c r="A1800" s="22">
        <v>3.0</v>
      </c>
      <c r="B1800" s="12" t="s">
        <v>1803</v>
      </c>
      <c r="C1800" s="13">
        <v>240980.0</v>
      </c>
      <c r="D1800" s="12" t="s">
        <v>606</v>
      </c>
      <c r="E1800" s="34" t="s">
        <v>580</v>
      </c>
      <c r="F1800" s="14">
        <v>0.5208333333333334</v>
      </c>
      <c r="G1800" s="25"/>
    </row>
    <row r="1801" spans="8:8" ht="32.25" customHeight="1">
      <c r="A1801" s="22">
        <v>4.0</v>
      </c>
      <c r="B1801" s="21" t="s">
        <v>1804</v>
      </c>
      <c r="C1801" s="22">
        <v>240591.0</v>
      </c>
      <c r="D1801" s="21" t="s">
        <v>606</v>
      </c>
      <c r="E1801" s="44" t="s">
        <v>580</v>
      </c>
      <c r="F1801" s="14">
        <v>0.5208333333333334</v>
      </c>
      <c r="G1801" s="25"/>
    </row>
    <row r="1802" spans="8:8" ht="32.25" customHeight="1">
      <c r="A1802" s="22">
        <v>5.0</v>
      </c>
      <c r="B1802" s="21" t="s">
        <v>1805</v>
      </c>
      <c r="C1802" s="22">
        <v>240899.0</v>
      </c>
      <c r="D1802" s="21" t="s">
        <v>606</v>
      </c>
      <c r="E1802" s="44" t="s">
        <v>580</v>
      </c>
      <c r="F1802" s="14">
        <v>0.5208333333333334</v>
      </c>
      <c r="G1802" s="25"/>
    </row>
    <row r="1803" spans="8:8" ht="32.25" customHeight="1">
      <c r="A1803" s="22">
        <v>6.0</v>
      </c>
      <c r="B1803" s="21" t="s">
        <v>1806</v>
      </c>
      <c r="C1803" s="22">
        <v>240673.0</v>
      </c>
      <c r="D1803" s="21" t="s">
        <v>606</v>
      </c>
      <c r="E1803" s="44" t="s">
        <v>580</v>
      </c>
      <c r="F1803" s="14">
        <v>0.5208333333333334</v>
      </c>
      <c r="G1803" s="25"/>
    </row>
    <row r="1804" spans="8:8" ht="32.25" customHeight="1">
      <c r="A1804" s="22">
        <v>7.0</v>
      </c>
      <c r="B1804" s="21" t="s">
        <v>1807</v>
      </c>
      <c r="C1804" s="22">
        <v>240970.0</v>
      </c>
      <c r="D1804" s="21" t="s">
        <v>606</v>
      </c>
      <c r="E1804" s="44" t="s">
        <v>580</v>
      </c>
      <c r="F1804" s="14">
        <v>0.5208333333333334</v>
      </c>
      <c r="G1804" s="25"/>
    </row>
    <row r="1805" spans="8:8" ht="32.25" customHeight="1">
      <c r="A1805" s="22">
        <v>8.0</v>
      </c>
      <c r="B1805" s="21" t="s">
        <v>1808</v>
      </c>
      <c r="C1805" s="22">
        <v>240984.0</v>
      </c>
      <c r="D1805" s="21" t="s">
        <v>606</v>
      </c>
      <c r="E1805" s="44" t="s">
        <v>580</v>
      </c>
      <c r="F1805" s="14">
        <v>0.5208333333333334</v>
      </c>
      <c r="G1805" s="25"/>
    </row>
    <row r="1806" spans="8:8" ht="32.25" customHeight="1">
      <c r="A1806" s="22">
        <v>9.0</v>
      </c>
      <c r="B1806" s="21" t="s">
        <v>1809</v>
      </c>
      <c r="C1806" s="22">
        <v>240985.0</v>
      </c>
      <c r="D1806" s="21" t="s">
        <v>606</v>
      </c>
      <c r="E1806" s="44" t="s">
        <v>580</v>
      </c>
      <c r="F1806" s="14">
        <v>0.5208333333333334</v>
      </c>
      <c r="G1806" s="25"/>
    </row>
    <row r="1807" spans="8:8" ht="32.25" customHeight="1">
      <c r="A1807" s="22">
        <v>10.0</v>
      </c>
      <c r="B1807" s="21" t="s">
        <v>1810</v>
      </c>
      <c r="C1807" s="22">
        <v>241118.0</v>
      </c>
      <c r="D1807" s="21" t="s">
        <v>606</v>
      </c>
      <c r="E1807" s="44" t="s">
        <v>580</v>
      </c>
      <c r="F1807" s="14">
        <v>0.5208333333333334</v>
      </c>
      <c r="G1807" s="25"/>
    </row>
    <row r="1808" spans="8:8" ht="32.25" customHeight="1">
      <c r="A1808" s="22">
        <v>11.0</v>
      </c>
      <c r="B1808" s="21" t="s">
        <v>1811</v>
      </c>
      <c r="C1808" s="22">
        <v>241124.0</v>
      </c>
      <c r="D1808" s="21" t="s">
        <v>606</v>
      </c>
      <c r="E1808" s="44" t="s">
        <v>580</v>
      </c>
      <c r="F1808" s="14">
        <v>0.5208333333333334</v>
      </c>
      <c r="G1808" s="25"/>
    </row>
    <row r="1809" spans="8:8" ht="32.25" customHeight="1">
      <c r="A1809" s="22">
        <v>12.0</v>
      </c>
      <c r="B1809" s="21" t="s">
        <v>1812</v>
      </c>
      <c r="C1809" s="22">
        <v>240996.0</v>
      </c>
      <c r="D1809" s="21" t="s">
        <v>606</v>
      </c>
      <c r="E1809" s="44" t="s">
        <v>580</v>
      </c>
      <c r="F1809" s="14">
        <v>0.5208333333333334</v>
      </c>
      <c r="G1809" s="25"/>
    </row>
    <row r="1810" spans="8:8" ht="32.25" customHeight="1">
      <c r="A1810" s="22">
        <v>13.0</v>
      </c>
      <c r="B1810" s="21" t="s">
        <v>1813</v>
      </c>
      <c r="C1810" s="22">
        <v>241024.0</v>
      </c>
      <c r="D1810" s="21" t="s">
        <v>606</v>
      </c>
      <c r="E1810" s="44" t="s">
        <v>580</v>
      </c>
      <c r="F1810" s="14">
        <v>0.5208333333333334</v>
      </c>
      <c r="G1810" s="25"/>
    </row>
    <row r="1811" spans="8:8" ht="32.25" customHeight="1">
      <c r="A1811" s="22">
        <v>14.0</v>
      </c>
      <c r="B1811" s="21" t="s">
        <v>1814</v>
      </c>
      <c r="C1811" s="22">
        <v>241025.0</v>
      </c>
      <c r="D1811" s="21" t="s">
        <v>606</v>
      </c>
      <c r="E1811" s="44" t="s">
        <v>580</v>
      </c>
      <c r="F1811" s="14">
        <v>0.5208333333333334</v>
      </c>
      <c r="G1811" s="25"/>
    </row>
    <row r="1812" spans="8:8" ht="32.25" customHeight="1">
      <c r="A1812" s="22">
        <v>15.0</v>
      </c>
      <c r="B1812" s="21" t="s">
        <v>1815</v>
      </c>
      <c r="C1812" s="22">
        <v>241027.0</v>
      </c>
      <c r="D1812" s="21" t="s">
        <v>606</v>
      </c>
      <c r="E1812" s="44" t="s">
        <v>580</v>
      </c>
      <c r="F1812" s="14">
        <v>0.5208333333333334</v>
      </c>
      <c r="G1812" s="25"/>
    </row>
    <row r="1813" spans="8:8" ht="32.25" customHeight="1">
      <c r="A1813" s="22">
        <v>16.0</v>
      </c>
      <c r="B1813" s="21" t="s">
        <v>1816</v>
      </c>
      <c r="C1813" s="22">
        <v>240767.0</v>
      </c>
      <c r="D1813" s="21" t="s">
        <v>606</v>
      </c>
      <c r="E1813" s="44" t="s">
        <v>580</v>
      </c>
      <c r="F1813" s="14">
        <v>0.5208333333333334</v>
      </c>
      <c r="G1813" s="25"/>
    </row>
    <row r="1814" spans="8:8" ht="32.25" customHeight="1">
      <c r="A1814" s="22">
        <v>17.0</v>
      </c>
      <c r="B1814" s="21" t="s">
        <v>1817</v>
      </c>
      <c r="C1814" s="22">
        <v>241006.0</v>
      </c>
      <c r="D1814" s="21" t="s">
        <v>606</v>
      </c>
      <c r="E1814" s="44" t="s">
        <v>580</v>
      </c>
      <c r="F1814" s="14">
        <v>0.5208333333333334</v>
      </c>
      <c r="G1814" s="25"/>
    </row>
    <row r="1815" spans="8:8" ht="32.25" customHeight="1">
      <c r="A1815" s="22">
        <v>18.0</v>
      </c>
      <c r="B1815" s="21" t="s">
        <v>1818</v>
      </c>
      <c r="C1815" s="22">
        <v>241073.0</v>
      </c>
      <c r="D1815" s="21" t="s">
        <v>606</v>
      </c>
      <c r="E1815" s="44" t="s">
        <v>580</v>
      </c>
      <c r="F1815" s="14">
        <v>0.5208333333333334</v>
      </c>
      <c r="G1815" s="25"/>
    </row>
    <row r="1816" spans="8:8" ht="32.25" customHeight="1">
      <c r="A1816" s="22">
        <v>19.0</v>
      </c>
      <c r="B1816" s="21" t="s">
        <v>1819</v>
      </c>
      <c r="C1816" s="22">
        <v>241081.0</v>
      </c>
      <c r="D1816" s="21" t="s">
        <v>606</v>
      </c>
      <c r="E1816" s="44" t="s">
        <v>580</v>
      </c>
      <c r="F1816" s="14">
        <v>0.5208333333333334</v>
      </c>
      <c r="G1816" s="25"/>
    </row>
    <row r="1817" spans="8:8" ht="32.25" customHeight="1">
      <c r="A1817" s="22">
        <v>20.0</v>
      </c>
      <c r="B1817" s="21" t="s">
        <v>1820</v>
      </c>
      <c r="C1817" s="22">
        <v>241089.0</v>
      </c>
      <c r="D1817" s="21" t="s">
        <v>606</v>
      </c>
      <c r="E1817" s="44" t="s">
        <v>580</v>
      </c>
      <c r="F1817" s="14">
        <v>0.5208333333333334</v>
      </c>
      <c r="G1817" s="25"/>
    </row>
    <row r="1818" spans="8:8" ht="32.25" customHeight="1">
      <c r="A1818" s="22">
        <v>21.0</v>
      </c>
      <c r="B1818" s="21" t="s">
        <v>1821</v>
      </c>
      <c r="C1818" s="22">
        <v>241092.0</v>
      </c>
      <c r="D1818" s="21" t="s">
        <v>606</v>
      </c>
      <c r="E1818" s="34" t="s">
        <v>580</v>
      </c>
      <c r="F1818" s="14">
        <v>0.5208333333333334</v>
      </c>
      <c r="G1818" s="25"/>
    </row>
    <row r="1819" spans="8:8" ht="32.25" customHeight="1">
      <c r="A1819" s="22">
        <v>22.0</v>
      </c>
      <c r="B1819" s="12" t="s">
        <v>1822</v>
      </c>
      <c r="C1819" s="13">
        <v>240991.0</v>
      </c>
      <c r="D1819" s="12" t="s">
        <v>606</v>
      </c>
      <c r="E1819" s="34" t="s">
        <v>580</v>
      </c>
      <c r="F1819" s="14">
        <v>0.5208333333333334</v>
      </c>
      <c r="G1819" s="25"/>
    </row>
    <row r="1820" spans="8:8" ht="32.25" customHeight="1">
      <c r="A1820" s="22">
        <v>23.0</v>
      </c>
      <c r="B1820" s="12" t="s">
        <v>1823</v>
      </c>
      <c r="C1820" s="13">
        <v>240570.0</v>
      </c>
      <c r="D1820" s="12" t="s">
        <v>606</v>
      </c>
      <c r="E1820" s="34" t="s">
        <v>580</v>
      </c>
      <c r="F1820" s="14">
        <v>0.5208333333333334</v>
      </c>
      <c r="G1820" s="25"/>
    </row>
    <row r="1821" spans="8:8" ht="32.25" customHeight="1">
      <c r="A1821" s="22">
        <v>24.0</v>
      </c>
      <c r="B1821" s="12" t="s">
        <v>1824</v>
      </c>
      <c r="C1821" s="13">
        <v>241020.0</v>
      </c>
      <c r="D1821" s="12" t="s">
        <v>606</v>
      </c>
      <c r="E1821" s="34" t="s">
        <v>580</v>
      </c>
      <c r="F1821" s="14">
        <v>0.5208333333333334</v>
      </c>
      <c r="G1821" s="25"/>
    </row>
    <row r="1822" spans="8:8" ht="32.25" customHeight="1">
      <c r="A1822" s="22">
        <v>25.0</v>
      </c>
      <c r="B1822" s="12" t="s">
        <v>1825</v>
      </c>
      <c r="C1822" s="13">
        <v>240597.0</v>
      </c>
      <c r="D1822" s="12" t="s">
        <v>606</v>
      </c>
      <c r="E1822" s="34" t="s">
        <v>580</v>
      </c>
      <c r="F1822" s="14">
        <v>0.5208333333333334</v>
      </c>
      <c r="G1822" s="25"/>
    </row>
    <row r="1823" spans="8:8" ht="32.25" customHeight="1">
      <c r="A1823" s="8" t="s">
        <v>18</v>
      </c>
      <c r="B1823" s="9" t="s">
        <v>19</v>
      </c>
      <c r="C1823" s="9" t="s">
        <v>20</v>
      </c>
      <c r="D1823" s="9" t="s">
        <v>21</v>
      </c>
      <c r="E1823" s="9" t="s">
        <v>22</v>
      </c>
      <c r="F1823" s="10" t="s">
        <v>23</v>
      </c>
      <c r="G1823" s="9" t="s">
        <v>924</v>
      </c>
    </row>
    <row r="1824" spans="8:8" ht="32.25" customHeight="1">
      <c r="A1824" s="24">
        <v>1.0</v>
      </c>
      <c r="B1824" s="21" t="s">
        <v>1826</v>
      </c>
      <c r="C1824" s="22">
        <v>240977.0</v>
      </c>
      <c r="D1824" s="21" t="s">
        <v>606</v>
      </c>
      <c r="E1824" s="44" t="s">
        <v>1827</v>
      </c>
      <c r="F1824" s="14">
        <v>0.5208333333333334</v>
      </c>
      <c r="G1824" s="13"/>
    </row>
    <row r="1825" spans="8:8" ht="32.25" customHeight="1">
      <c r="A1825" s="20">
        <v>2.0</v>
      </c>
      <c r="B1825" s="21" t="s">
        <v>1828</v>
      </c>
      <c r="C1825" s="22">
        <v>240564.0</v>
      </c>
      <c r="D1825" s="21" t="s">
        <v>606</v>
      </c>
      <c r="E1825" s="44" t="s">
        <v>1827</v>
      </c>
      <c r="F1825" s="14">
        <v>0.5208333333333334</v>
      </c>
      <c r="G1825" s="25"/>
    </row>
    <row r="1826" spans="8:8" ht="32.25" customHeight="1">
      <c r="A1826" s="24">
        <v>3.0</v>
      </c>
      <c r="B1826" s="21" t="s">
        <v>1829</v>
      </c>
      <c r="C1826" s="22">
        <v>240533.0</v>
      </c>
      <c r="D1826" s="21" t="s">
        <v>606</v>
      </c>
      <c r="E1826" s="44" t="s">
        <v>1827</v>
      </c>
      <c r="F1826" s="14">
        <v>0.5208333333333334</v>
      </c>
      <c r="G1826" s="25"/>
    </row>
    <row r="1827" spans="8:8" ht="32.25" customHeight="1">
      <c r="A1827" s="20">
        <v>4.0</v>
      </c>
      <c r="B1827" s="21" t="s">
        <v>1830</v>
      </c>
      <c r="C1827" s="22">
        <v>240554.0</v>
      </c>
      <c r="D1827" s="21" t="s">
        <v>606</v>
      </c>
      <c r="E1827" s="44" t="s">
        <v>1827</v>
      </c>
      <c r="F1827" s="14">
        <v>0.5208333333333334</v>
      </c>
      <c r="G1827" s="25"/>
    </row>
    <row r="1828" spans="8:8" ht="32.25" customHeight="1">
      <c r="A1828" s="24">
        <v>5.0</v>
      </c>
      <c r="B1828" s="21" t="s">
        <v>1831</v>
      </c>
      <c r="C1828" s="22">
        <v>240503.0</v>
      </c>
      <c r="D1828" s="21" t="s">
        <v>606</v>
      </c>
      <c r="E1828" s="44" t="s">
        <v>1827</v>
      </c>
      <c r="F1828" s="14">
        <v>0.5208333333333334</v>
      </c>
      <c r="G1828" s="25"/>
    </row>
    <row r="1829" spans="8:8" ht="32.25" customHeight="1">
      <c r="A1829" s="20">
        <v>6.0</v>
      </c>
      <c r="B1829" s="21" t="s">
        <v>1832</v>
      </c>
      <c r="C1829" s="22">
        <v>240548.0</v>
      </c>
      <c r="D1829" s="21" t="s">
        <v>606</v>
      </c>
      <c r="E1829" s="44" t="s">
        <v>1827</v>
      </c>
      <c r="F1829" s="14">
        <v>0.5208333333333334</v>
      </c>
      <c r="G1829" s="25"/>
    </row>
    <row r="1830" spans="8:8" ht="32.25" customHeight="1">
      <c r="A1830" s="24">
        <v>7.0</v>
      </c>
      <c r="B1830" s="21" t="s">
        <v>1833</v>
      </c>
      <c r="C1830" s="22">
        <v>240571.0</v>
      </c>
      <c r="D1830" s="21" t="s">
        <v>606</v>
      </c>
      <c r="E1830" s="44" t="s">
        <v>1827</v>
      </c>
      <c r="F1830" s="14">
        <v>0.5208333333333334</v>
      </c>
      <c r="G1830" s="25"/>
    </row>
    <row r="1831" spans="8:8" ht="32.25" customHeight="1">
      <c r="A1831" s="20">
        <v>8.0</v>
      </c>
      <c r="B1831" s="21" t="s">
        <v>1834</v>
      </c>
      <c r="C1831" s="22">
        <v>240562.0</v>
      </c>
      <c r="D1831" s="21" t="s">
        <v>606</v>
      </c>
      <c r="E1831" s="44" t="s">
        <v>1827</v>
      </c>
      <c r="F1831" s="14">
        <v>0.5208333333333334</v>
      </c>
      <c r="G1831" s="25"/>
    </row>
    <row r="1832" spans="8:8" ht="32.25" customHeight="1">
      <c r="A1832" s="24">
        <v>9.0</v>
      </c>
      <c r="B1832" s="21" t="s">
        <v>1835</v>
      </c>
      <c r="C1832" s="22">
        <v>240690.0</v>
      </c>
      <c r="D1832" s="21" t="s">
        <v>606</v>
      </c>
      <c r="E1832" s="44" t="s">
        <v>1827</v>
      </c>
      <c r="F1832" s="14">
        <v>0.5208333333333334</v>
      </c>
      <c r="G1832" s="25"/>
    </row>
    <row r="1833" spans="8:8" ht="32.25" customHeight="1">
      <c r="A1833" s="20">
        <v>10.0</v>
      </c>
      <c r="B1833" s="21" t="s">
        <v>1836</v>
      </c>
      <c r="C1833" s="22">
        <v>240729.0</v>
      </c>
      <c r="D1833" s="21" t="s">
        <v>606</v>
      </c>
      <c r="E1833" s="44" t="s">
        <v>1827</v>
      </c>
      <c r="F1833" s="14">
        <v>0.5208333333333334</v>
      </c>
      <c r="G1833" s="25"/>
    </row>
    <row r="1834" spans="8:8" ht="32.25" customHeight="1">
      <c r="A1834" s="24">
        <v>11.0</v>
      </c>
      <c r="B1834" s="21" t="s">
        <v>1837</v>
      </c>
      <c r="C1834" s="22">
        <v>240772.0</v>
      </c>
      <c r="D1834" s="21" t="s">
        <v>606</v>
      </c>
      <c r="E1834" s="44" t="s">
        <v>1827</v>
      </c>
      <c r="F1834" s="14">
        <v>0.5208333333333334</v>
      </c>
      <c r="G1834" s="25"/>
    </row>
    <row r="1835" spans="8:8" ht="32.25" customHeight="1">
      <c r="A1835" s="20">
        <v>12.0</v>
      </c>
      <c r="B1835" s="21" t="s">
        <v>1838</v>
      </c>
      <c r="C1835" s="22">
        <v>240802.0</v>
      </c>
      <c r="D1835" s="21" t="s">
        <v>606</v>
      </c>
      <c r="E1835" s="44" t="s">
        <v>1827</v>
      </c>
      <c r="F1835" s="14">
        <v>0.5208333333333334</v>
      </c>
      <c r="G1835" s="25"/>
    </row>
    <row r="1836" spans="8:8" ht="32.25" customHeight="1">
      <c r="A1836" s="24">
        <v>13.0</v>
      </c>
      <c r="B1836" s="21" t="s">
        <v>1839</v>
      </c>
      <c r="C1836" s="22">
        <v>240843.0</v>
      </c>
      <c r="D1836" s="21" t="s">
        <v>606</v>
      </c>
      <c r="E1836" s="44" t="s">
        <v>1827</v>
      </c>
      <c r="F1836" s="14">
        <v>0.5208333333333334</v>
      </c>
      <c r="G1836" s="25"/>
    </row>
    <row r="1837" spans="8:8" ht="32.25" customHeight="1">
      <c r="A1837" s="20">
        <v>14.0</v>
      </c>
      <c r="B1837" s="21" t="s">
        <v>1840</v>
      </c>
      <c r="C1837" s="22">
        <v>240838.0</v>
      </c>
      <c r="D1837" s="21" t="s">
        <v>606</v>
      </c>
      <c r="E1837" s="44" t="s">
        <v>1827</v>
      </c>
      <c r="F1837" s="14">
        <v>0.5208333333333334</v>
      </c>
      <c r="G1837" s="25"/>
    </row>
    <row r="1838" spans="8:8" ht="32.25" customHeight="1">
      <c r="A1838" s="24">
        <v>15.0</v>
      </c>
      <c r="B1838" s="21" t="s">
        <v>1841</v>
      </c>
      <c r="C1838" s="22">
        <v>241017.0</v>
      </c>
      <c r="D1838" s="21" t="s">
        <v>606</v>
      </c>
      <c r="E1838" s="44" t="s">
        <v>1827</v>
      </c>
      <c r="F1838" s="14">
        <v>0.5208333333333334</v>
      </c>
      <c r="G1838" s="25"/>
    </row>
    <row r="1839" spans="8:8" ht="32.25" customHeight="1">
      <c r="A1839" s="20">
        <v>16.0</v>
      </c>
      <c r="B1839" s="21" t="s">
        <v>1842</v>
      </c>
      <c r="C1839" s="22">
        <v>240828.0</v>
      </c>
      <c r="D1839" s="21" t="s">
        <v>606</v>
      </c>
      <c r="E1839" s="44" t="s">
        <v>1827</v>
      </c>
      <c r="F1839" s="14">
        <v>0.5208333333333334</v>
      </c>
      <c r="G1839" s="25"/>
    </row>
    <row r="1840" spans="8:8" ht="32.25" customHeight="1">
      <c r="A1840" s="24">
        <v>17.0</v>
      </c>
      <c r="B1840" s="21" t="s">
        <v>1843</v>
      </c>
      <c r="C1840" s="22">
        <v>240811.0</v>
      </c>
      <c r="D1840" s="21" t="s">
        <v>606</v>
      </c>
      <c r="E1840" s="34" t="s">
        <v>1827</v>
      </c>
      <c r="F1840" s="14">
        <v>0.5208333333333334</v>
      </c>
      <c r="G1840" s="25"/>
    </row>
    <row r="1841" spans="8:8" ht="32.25" customHeight="1">
      <c r="A1841" s="20">
        <v>18.0</v>
      </c>
      <c r="B1841" s="12" t="s">
        <v>1844</v>
      </c>
      <c r="C1841" s="13">
        <v>241924.0</v>
      </c>
      <c r="D1841" s="12" t="s">
        <v>606</v>
      </c>
      <c r="E1841" s="34" t="s">
        <v>1827</v>
      </c>
      <c r="F1841" s="14">
        <v>0.5208333333333334</v>
      </c>
      <c r="G1841" s="25"/>
    </row>
    <row r="1842" spans="8:8" ht="32.25" customHeight="1">
      <c r="A1842" s="24">
        <v>19.0</v>
      </c>
      <c r="B1842" s="21" t="s">
        <v>1845</v>
      </c>
      <c r="C1842" s="22">
        <v>240542.0</v>
      </c>
      <c r="D1842" s="21" t="s">
        <v>606</v>
      </c>
      <c r="E1842" s="44" t="s">
        <v>1827</v>
      </c>
      <c r="F1842" s="14">
        <v>0.5208333333333334</v>
      </c>
      <c r="G1842" s="25"/>
    </row>
    <row r="1843" spans="8:8" ht="32.25" customHeight="1">
      <c r="A1843" s="8" t="s">
        <v>18</v>
      </c>
      <c r="B1843" s="9" t="s">
        <v>19</v>
      </c>
      <c r="C1843" s="9" t="s">
        <v>20</v>
      </c>
      <c r="D1843" s="9" t="s">
        <v>21</v>
      </c>
      <c r="E1843" s="9" t="s">
        <v>22</v>
      </c>
      <c r="F1843" s="10" t="s">
        <v>23</v>
      </c>
      <c r="G1843" s="9" t="s">
        <v>953</v>
      </c>
    </row>
    <row r="1844" spans="8:8" ht="32.25" customHeight="1">
      <c r="A1844" s="20">
        <v>1.0</v>
      </c>
      <c r="B1844" s="21" t="s">
        <v>1846</v>
      </c>
      <c r="C1844" s="22">
        <v>240910.0</v>
      </c>
      <c r="D1844" s="21" t="s">
        <v>606</v>
      </c>
      <c r="E1844" s="44" t="s">
        <v>1827</v>
      </c>
      <c r="F1844" s="14">
        <v>0.5208333333333334</v>
      </c>
      <c r="G1844" s="13"/>
    </row>
    <row r="1845" spans="8:8" ht="32.25" customHeight="1">
      <c r="A1845" s="24">
        <v>2.0</v>
      </c>
      <c r="B1845" s="21" t="s">
        <v>1847</v>
      </c>
      <c r="C1845" s="22">
        <v>241125.0</v>
      </c>
      <c r="D1845" s="21" t="s">
        <v>606</v>
      </c>
      <c r="E1845" s="44" t="s">
        <v>1827</v>
      </c>
      <c r="F1845" s="14">
        <v>0.5208333333333334</v>
      </c>
      <c r="G1845" s="25"/>
    </row>
    <row r="1846" spans="8:8" ht="32.25" customHeight="1">
      <c r="A1846" s="20">
        <v>3.0</v>
      </c>
      <c r="B1846" s="21" t="s">
        <v>1848</v>
      </c>
      <c r="C1846" s="22">
        <v>241074.0</v>
      </c>
      <c r="D1846" s="21" t="s">
        <v>606</v>
      </c>
      <c r="E1846" s="44" t="s">
        <v>1827</v>
      </c>
      <c r="F1846" s="14">
        <v>0.5208333333333334</v>
      </c>
      <c r="G1846" s="25"/>
    </row>
    <row r="1847" spans="8:8" ht="32.25" customHeight="1">
      <c r="A1847" s="24">
        <v>4.0</v>
      </c>
      <c r="B1847" s="21" t="s">
        <v>1849</v>
      </c>
      <c r="C1847" s="22">
        <v>240705.0</v>
      </c>
      <c r="D1847" s="21" t="s">
        <v>606</v>
      </c>
      <c r="E1847" s="44" t="s">
        <v>1827</v>
      </c>
      <c r="F1847" s="14">
        <v>0.5208333333333334</v>
      </c>
      <c r="G1847" s="25"/>
    </row>
    <row r="1848" spans="8:8" ht="32.25" customHeight="1">
      <c r="A1848" s="20">
        <v>5.0</v>
      </c>
      <c r="B1848" s="21" t="s">
        <v>1850</v>
      </c>
      <c r="C1848" s="22">
        <v>241115.0</v>
      </c>
      <c r="D1848" s="21" t="s">
        <v>606</v>
      </c>
      <c r="E1848" s="44" t="s">
        <v>1827</v>
      </c>
      <c r="F1848" s="14">
        <v>0.5208333333333334</v>
      </c>
      <c r="G1848" s="25"/>
    </row>
    <row r="1849" spans="8:8" ht="32.25" customHeight="1">
      <c r="A1849" s="24">
        <v>6.0</v>
      </c>
      <c r="B1849" s="21" t="s">
        <v>1851</v>
      </c>
      <c r="C1849" s="22">
        <v>240738.0</v>
      </c>
      <c r="D1849" s="21" t="s">
        <v>606</v>
      </c>
      <c r="E1849" s="44" t="s">
        <v>1827</v>
      </c>
      <c r="F1849" s="14">
        <v>0.5208333333333334</v>
      </c>
      <c r="G1849" s="25"/>
    </row>
    <row r="1850" spans="8:8" ht="32.25" customHeight="1">
      <c r="A1850" s="20">
        <v>7.0</v>
      </c>
      <c r="B1850" s="21" t="s">
        <v>1852</v>
      </c>
      <c r="C1850" s="22">
        <v>240993.0</v>
      </c>
      <c r="D1850" s="21" t="s">
        <v>606</v>
      </c>
      <c r="E1850" s="44" t="s">
        <v>1827</v>
      </c>
      <c r="F1850" s="14">
        <v>0.5208333333333334</v>
      </c>
      <c r="G1850" s="25"/>
    </row>
    <row r="1851" spans="8:8" ht="32.25" customHeight="1">
      <c r="A1851" s="24">
        <v>8.0</v>
      </c>
      <c r="B1851" s="21" t="s">
        <v>1853</v>
      </c>
      <c r="C1851" s="22">
        <v>240703.0</v>
      </c>
      <c r="D1851" s="21" t="s">
        <v>606</v>
      </c>
      <c r="E1851" s="22" t="s">
        <v>1827</v>
      </c>
      <c r="F1851" s="14">
        <v>0.5208333333333334</v>
      </c>
      <c r="G1851" s="25"/>
    </row>
    <row r="1852" spans="8:8" ht="32.25" customHeight="1">
      <c r="A1852" s="20">
        <v>9.0</v>
      </c>
      <c r="B1852" s="21" t="s">
        <v>1854</v>
      </c>
      <c r="C1852" s="22">
        <v>240809.0</v>
      </c>
      <c r="D1852" s="21" t="s">
        <v>606</v>
      </c>
      <c r="E1852" s="22" t="s">
        <v>1827</v>
      </c>
      <c r="F1852" s="14">
        <v>0.5208333333333334</v>
      </c>
      <c r="G1852" s="25"/>
    </row>
    <row r="1853" spans="8:8" ht="32.25" customHeight="1">
      <c r="A1853" s="24">
        <v>10.0</v>
      </c>
      <c r="B1853" s="21" t="s">
        <v>1855</v>
      </c>
      <c r="C1853" s="22">
        <v>240587.0</v>
      </c>
      <c r="D1853" s="21" t="s">
        <v>606</v>
      </c>
      <c r="E1853" s="22" t="s">
        <v>1827</v>
      </c>
      <c r="F1853" s="14">
        <v>0.5208333333333334</v>
      </c>
      <c r="G1853" s="25"/>
    </row>
    <row r="1854" spans="8:8" ht="32.25" customHeight="1">
      <c r="A1854" s="20">
        <v>11.0</v>
      </c>
      <c r="B1854" s="21" t="s">
        <v>1856</v>
      </c>
      <c r="C1854" s="22">
        <v>240786.0</v>
      </c>
      <c r="D1854" s="21" t="s">
        <v>606</v>
      </c>
      <c r="E1854" s="22" t="s">
        <v>1827</v>
      </c>
      <c r="F1854" s="14">
        <v>0.5208333333333334</v>
      </c>
      <c r="G1854" s="25"/>
    </row>
    <row r="1855" spans="8:8" ht="32.25" customHeight="1">
      <c r="A1855" s="24">
        <v>12.0</v>
      </c>
      <c r="B1855" s="21" t="s">
        <v>1857</v>
      </c>
      <c r="C1855" s="22">
        <v>240870.0</v>
      </c>
      <c r="D1855" s="21" t="s">
        <v>606</v>
      </c>
      <c r="E1855" s="22" t="s">
        <v>1827</v>
      </c>
      <c r="F1855" s="14">
        <v>0.5208333333333334</v>
      </c>
      <c r="G1855" s="25"/>
    </row>
    <row r="1856" spans="8:8" ht="32.25" customHeight="1">
      <c r="A1856" s="20">
        <v>13.0</v>
      </c>
      <c r="B1856" s="12" t="s">
        <v>1858</v>
      </c>
      <c r="C1856" s="13">
        <v>240831.0</v>
      </c>
      <c r="D1856" s="21" t="s">
        <v>606</v>
      </c>
      <c r="E1856" s="22" t="s">
        <v>1827</v>
      </c>
      <c r="F1856" s="14">
        <v>0.5208333333333334</v>
      </c>
      <c r="G1856" s="25"/>
    </row>
    <row r="1857" spans="8:8" ht="32.25" customHeight="1">
      <c r="A1857" s="24">
        <v>14.0</v>
      </c>
      <c r="B1857" s="21" t="s">
        <v>1859</v>
      </c>
      <c r="C1857" s="22">
        <v>241134.0</v>
      </c>
      <c r="D1857" s="21" t="s">
        <v>606</v>
      </c>
      <c r="E1857" s="13" t="s">
        <v>1827</v>
      </c>
      <c r="F1857" s="14">
        <v>0.5208333333333334</v>
      </c>
      <c r="G1857" s="25"/>
    </row>
    <row r="1858" spans="8:8" ht="32.25" customHeight="1">
      <c r="A1858" s="20">
        <v>15.0</v>
      </c>
      <c r="B1858" s="12" t="s">
        <v>1860</v>
      </c>
      <c r="C1858" s="13">
        <v>240770.0</v>
      </c>
      <c r="D1858" s="12" t="s">
        <v>606</v>
      </c>
      <c r="E1858" s="13" t="s">
        <v>1827</v>
      </c>
      <c r="F1858" s="14">
        <v>0.5208333333333334</v>
      </c>
      <c r="G1858" s="25"/>
    </row>
    <row r="1859" spans="8:8" ht="32.25" customHeight="1">
      <c r="A1859" s="24">
        <v>16.0</v>
      </c>
      <c r="B1859" s="12" t="s">
        <v>1861</v>
      </c>
      <c r="C1859" s="13">
        <v>240844.0</v>
      </c>
      <c r="D1859" s="12" t="s">
        <v>606</v>
      </c>
      <c r="E1859" s="13" t="s">
        <v>1827</v>
      </c>
      <c r="F1859" s="14">
        <v>0.5208333333333334</v>
      </c>
      <c r="G1859" s="25"/>
    </row>
    <row r="1860" spans="8:8" ht="32.25" customHeight="1">
      <c r="A1860" s="20">
        <v>17.0</v>
      </c>
      <c r="B1860" s="12" t="s">
        <v>1862</v>
      </c>
      <c r="C1860" s="13">
        <v>240854.0</v>
      </c>
      <c r="D1860" s="12" t="s">
        <v>606</v>
      </c>
      <c r="E1860" s="13" t="s">
        <v>1827</v>
      </c>
      <c r="F1860" s="14">
        <v>0.5208333333333334</v>
      </c>
      <c r="G1860" s="25"/>
    </row>
    <row r="1861" spans="8:8" ht="32.25" customHeight="1">
      <c r="A1861" s="24">
        <v>18.0</v>
      </c>
      <c r="B1861" s="12" t="s">
        <v>1863</v>
      </c>
      <c r="C1861" s="13">
        <v>241087.0</v>
      </c>
      <c r="D1861" s="12" t="s">
        <v>606</v>
      </c>
      <c r="E1861" s="13" t="s">
        <v>1827</v>
      </c>
      <c r="F1861" s="14">
        <v>0.5208333333333334</v>
      </c>
      <c r="G1861" s="25"/>
    </row>
    <row r="1862" spans="8:8" ht="32.25" customHeight="1">
      <c r="A1862" s="20">
        <v>19.0</v>
      </c>
      <c r="B1862" s="21" t="s">
        <v>1864</v>
      </c>
      <c r="C1862" s="22">
        <v>240505.0</v>
      </c>
      <c r="D1862" s="21" t="s">
        <v>606</v>
      </c>
      <c r="E1862" s="22" t="s">
        <v>1827</v>
      </c>
      <c r="F1862" s="14">
        <v>0.5208333333333334</v>
      </c>
      <c r="G1862" s="25"/>
    </row>
    <row r="1863" spans="8:8" ht="32.25" customHeight="1">
      <c r="A1863" s="8" t="s">
        <v>18</v>
      </c>
      <c r="B1863" s="9" t="s">
        <v>19</v>
      </c>
      <c r="C1863" s="9" t="s">
        <v>20</v>
      </c>
      <c r="D1863" s="9" t="s">
        <v>21</v>
      </c>
      <c r="E1863" s="9" t="s">
        <v>22</v>
      </c>
      <c r="F1863" s="10" t="s">
        <v>23</v>
      </c>
      <c r="G1863" s="9" t="s">
        <v>982</v>
      </c>
    </row>
    <row r="1864" spans="8:8" ht="32.25" customHeight="1">
      <c r="A1864" s="45">
        <v>1.0</v>
      </c>
      <c r="B1864" s="46" t="s">
        <v>1865</v>
      </c>
      <c r="C1864" s="47">
        <v>252120.0</v>
      </c>
      <c r="D1864" s="48" t="s">
        <v>104</v>
      </c>
      <c r="E1864" s="49" t="s">
        <v>1512</v>
      </c>
      <c r="F1864" s="14">
        <v>0.5208333333333334</v>
      </c>
      <c r="G1864" s="13"/>
    </row>
    <row r="1865" spans="8:8" ht="32.25" customHeight="1">
      <c r="A1865" s="45">
        <v>2.0</v>
      </c>
      <c r="B1865" s="50" t="s">
        <v>1866</v>
      </c>
      <c r="C1865" s="47">
        <v>252758.0</v>
      </c>
      <c r="D1865" s="48" t="s">
        <v>90</v>
      </c>
      <c r="E1865" s="47" t="s">
        <v>1512</v>
      </c>
      <c r="F1865" s="14">
        <v>0.5208333333333334</v>
      </c>
      <c r="G1865" s="25"/>
    </row>
    <row r="1866" spans="8:8" ht="32.25" customHeight="1">
      <c r="A1866" s="51">
        <v>3.0</v>
      </c>
      <c r="B1866" s="23" t="s">
        <v>1867</v>
      </c>
      <c r="C1866" s="24">
        <v>252919.0</v>
      </c>
      <c r="D1866" s="52" t="s">
        <v>1868</v>
      </c>
      <c r="E1866" s="24" t="s">
        <v>1512</v>
      </c>
      <c r="F1866" s="14">
        <v>0.5625</v>
      </c>
      <c r="G1866" s="25"/>
    </row>
    <row r="1867" spans="8:8" ht="32.25" customHeight="1">
      <c r="A1867" s="24"/>
      <c r="B1867" s="13"/>
      <c r="C1867" s="13"/>
      <c r="D1867" s="13"/>
      <c r="E1867" s="13"/>
      <c r="F1867" s="14">
        <v>0.5208333333333334</v>
      </c>
      <c r="G1867" s="25"/>
    </row>
    <row r="1868" spans="8:8" ht="32.25" customHeight="1">
      <c r="A1868" s="24"/>
      <c r="B1868" s="13"/>
      <c r="C1868" s="13"/>
      <c r="D1868" s="13"/>
      <c r="E1868" s="13"/>
      <c r="F1868" s="14">
        <v>0.5208333333333334</v>
      </c>
      <c r="G1868" s="25"/>
    </row>
    <row r="1869" spans="8:8" ht="32.25" customHeight="1">
      <c r="A1869" s="24"/>
      <c r="B1869" s="13"/>
      <c r="C1869" s="13"/>
      <c r="D1869" s="13"/>
      <c r="E1869" s="13"/>
      <c r="F1869" s="14">
        <v>0.5208333333333334</v>
      </c>
      <c r="G1869" s="25"/>
    </row>
    <row r="1870" spans="8:8" ht="32.25" customHeight="1">
      <c r="A1870" s="24"/>
      <c r="B1870" s="13"/>
      <c r="C1870" s="13"/>
      <c r="D1870" s="13"/>
      <c r="E1870" s="13"/>
      <c r="F1870" s="14">
        <v>0.5208333333333334</v>
      </c>
      <c r="G1870" s="25"/>
    </row>
    <row r="1871" spans="8:8" ht="32.25" customHeight="1">
      <c r="A1871" s="53"/>
      <c r="B1871" s="54"/>
      <c r="C1871" s="54"/>
      <c r="D1871" s="54"/>
      <c r="E1871" s="54"/>
      <c r="F1871" s="54"/>
      <c r="G1871" s="54"/>
    </row>
    <row r="1872" spans="8:8" ht="32.25" customHeight="1">
      <c r="A1872" s="55"/>
      <c r="B1872" s="56"/>
      <c r="C1872" s="56"/>
      <c r="D1872" s="56"/>
      <c r="E1872" s="56"/>
      <c r="F1872" s="56"/>
      <c r="G1872" s="56"/>
    </row>
    <row r="1873" spans="8:8" ht="32.25" customHeight="1">
      <c r="A1873" s="55"/>
      <c r="B1873" s="56"/>
      <c r="C1873" s="56"/>
      <c r="D1873" s="56"/>
      <c r="E1873" s="56"/>
      <c r="F1873" s="56"/>
      <c r="G1873" s="56"/>
    </row>
    <row r="1874" spans="8:8" ht="32.25" customHeight="1">
      <c r="A1874" s="55"/>
      <c r="B1874" s="56"/>
      <c r="C1874" s="56"/>
      <c r="D1874" s="56"/>
      <c r="E1874" s="56"/>
      <c r="F1874" s="56"/>
      <c r="G1874" s="56"/>
    </row>
    <row r="1875" spans="8:8" ht="32.25" customHeight="1">
      <c r="A1875" s="55"/>
      <c r="B1875" s="56"/>
      <c r="C1875" s="56"/>
      <c r="D1875" s="56"/>
      <c r="E1875" s="56"/>
      <c r="F1875" s="56"/>
      <c r="G1875" s="56"/>
    </row>
    <row r="1876" spans="8:8" ht="32.25" customHeight="1">
      <c r="A1876" s="55"/>
      <c r="B1876" s="56"/>
      <c r="C1876" s="56"/>
      <c r="D1876" s="56"/>
      <c r="E1876" s="56"/>
      <c r="F1876" s="56"/>
      <c r="G1876" s="56"/>
    </row>
    <row r="1877" spans="8:8" ht="32.25" customHeight="1">
      <c r="A1877" s="55"/>
      <c r="B1877" s="56"/>
      <c r="C1877" s="56"/>
      <c r="D1877" s="56"/>
      <c r="E1877" s="56"/>
      <c r="F1877" s="56"/>
      <c r="G1877" s="56"/>
    </row>
    <row r="1878" spans="8:8" ht="32.25" customHeight="1">
      <c r="A1878" s="55"/>
      <c r="B1878" s="56"/>
      <c r="C1878" s="56"/>
      <c r="D1878" s="56"/>
      <c r="E1878" s="56"/>
      <c r="F1878" s="56"/>
      <c r="G1878" s="56"/>
    </row>
    <row r="1879" spans="8:8" ht="32.25" customHeight="1">
      <c r="A1879" s="55"/>
      <c r="B1879" s="56"/>
      <c r="C1879" s="56"/>
      <c r="D1879" s="56"/>
      <c r="E1879" s="56"/>
      <c r="F1879" s="56"/>
      <c r="G1879" s="56"/>
    </row>
    <row r="1880" spans="8:8" ht="32.25" customHeight="1">
      <c r="A1880" s="55"/>
      <c r="B1880" s="56"/>
      <c r="C1880" s="56"/>
      <c r="D1880" s="56"/>
      <c r="E1880" s="56"/>
      <c r="F1880" s="56"/>
      <c r="G1880" s="56"/>
    </row>
    <row r="1881" spans="8:8" ht="32.25" customHeight="1">
      <c r="A1881" s="55"/>
      <c r="B1881" s="56"/>
      <c r="C1881" s="56"/>
      <c r="D1881" s="56"/>
      <c r="E1881" s="56"/>
      <c r="F1881" s="56"/>
      <c r="G1881" s="56"/>
    </row>
    <row r="1882" spans="8:8" ht="32.25" customHeight="1">
      <c r="A1882" s="55"/>
      <c r="B1882" s="56"/>
      <c r="C1882" s="56"/>
      <c r="D1882" s="56"/>
      <c r="E1882" s="56"/>
      <c r="F1882" s="56"/>
      <c r="G1882" s="56"/>
    </row>
    <row r="1883" spans="8:8" ht="32.25" customHeight="1">
      <c r="A1883" s="55"/>
      <c r="B1883" s="56"/>
      <c r="C1883" s="56"/>
      <c r="D1883" s="56"/>
      <c r="E1883" s="56"/>
      <c r="F1883" s="56"/>
      <c r="G1883" s="56"/>
    </row>
    <row r="1884" spans="8:8" ht="32.25" customHeight="1">
      <c r="A1884" s="55"/>
      <c r="B1884" s="56"/>
      <c r="C1884" s="56"/>
      <c r="D1884" s="56"/>
      <c r="E1884" s="56"/>
      <c r="F1884" s="56"/>
      <c r="G1884" s="56"/>
    </row>
    <row r="1885" spans="8:8" ht="32.25" customHeight="1">
      <c r="A1885" s="55"/>
      <c r="B1885" s="56"/>
      <c r="C1885" s="56"/>
      <c r="D1885" s="56"/>
      <c r="E1885" s="56"/>
      <c r="F1885" s="56"/>
      <c r="G1885" s="56"/>
    </row>
    <row r="1886" spans="8:8" ht="32.25" customHeight="1">
      <c r="A1886" s="55"/>
      <c r="B1886" s="56"/>
      <c r="C1886" s="56"/>
      <c r="D1886" s="56"/>
      <c r="E1886" s="56"/>
      <c r="F1886" s="56"/>
      <c r="G1886" s="56"/>
    </row>
    <row r="1887" spans="8:8" ht="32.25" customHeight="1">
      <c r="A1887" s="55"/>
      <c r="B1887" s="56"/>
      <c r="C1887" s="56"/>
      <c r="D1887" s="56"/>
      <c r="E1887" s="56"/>
      <c r="F1887" s="56"/>
      <c r="G1887" s="56"/>
    </row>
    <row r="1888" spans="8:8" ht="32.25" customHeight="1">
      <c r="A1888" s="55"/>
      <c r="B1888" s="56"/>
      <c r="C1888" s="56"/>
      <c r="D1888" s="56"/>
      <c r="E1888" s="56"/>
      <c r="F1888" s="56"/>
      <c r="G1888" s="56"/>
    </row>
    <row r="1889" spans="8:8" ht="32.25" customHeight="1">
      <c r="A1889" s="55"/>
      <c r="B1889" s="56"/>
      <c r="C1889" s="56"/>
      <c r="D1889" s="56"/>
      <c r="E1889" s="56"/>
      <c r="F1889" s="56"/>
      <c r="G1889" s="56"/>
    </row>
    <row r="1890" spans="8:8" ht="32.25" customHeight="1">
      <c r="A1890" s="55"/>
      <c r="B1890" s="56"/>
      <c r="C1890" s="56"/>
      <c r="D1890" s="56"/>
      <c r="E1890" s="56"/>
      <c r="F1890" s="56"/>
      <c r="G1890" s="56"/>
    </row>
    <row r="1891" spans="8:8" ht="32.25" customHeight="1">
      <c r="A1891" s="55"/>
      <c r="B1891" s="56"/>
      <c r="C1891" s="56"/>
      <c r="D1891" s="56"/>
      <c r="E1891" s="56"/>
      <c r="F1891" s="56"/>
      <c r="G1891" s="56"/>
    </row>
    <row r="1892" spans="8:8" ht="32.25" customHeight="1">
      <c r="A1892" s="55"/>
      <c r="B1892" s="56"/>
      <c r="C1892" s="56"/>
      <c r="D1892" s="56"/>
      <c r="E1892" s="56"/>
      <c r="F1892" s="56"/>
      <c r="G1892" s="56"/>
    </row>
    <row r="1893" spans="8:8" ht="32.25" customHeight="1">
      <c r="A1893" s="55"/>
      <c r="B1893" s="56"/>
      <c r="C1893" s="56"/>
      <c r="D1893" s="56"/>
      <c r="E1893" s="56"/>
      <c r="F1893" s="56"/>
      <c r="G1893" s="56"/>
    </row>
    <row r="1894" spans="8:8" ht="32.25" customHeight="1">
      <c r="A1894" s="55"/>
      <c r="B1894" s="56"/>
      <c r="C1894" s="56"/>
      <c r="D1894" s="56"/>
      <c r="E1894" s="56"/>
      <c r="F1894" s="56"/>
      <c r="G1894" s="56"/>
    </row>
    <row r="1895" spans="8:8" ht="32.25" customHeight="1">
      <c r="A1895" s="55"/>
      <c r="B1895" s="56"/>
      <c r="C1895" s="56"/>
      <c r="D1895" s="56"/>
      <c r="E1895" s="56"/>
      <c r="F1895" s="56"/>
      <c r="G1895" s="56"/>
    </row>
    <row r="1896" spans="8:8" ht="32.25" customHeight="1">
      <c r="A1896" s="55"/>
      <c r="B1896" s="56"/>
      <c r="C1896" s="56"/>
      <c r="D1896" s="56"/>
      <c r="E1896" s="56"/>
      <c r="F1896" s="56"/>
      <c r="G1896" s="56"/>
    </row>
    <row r="1897" spans="8:8" ht="32.25" customHeight="1">
      <c r="A1897" s="55"/>
      <c r="B1897" s="56"/>
      <c r="C1897" s="56"/>
      <c r="D1897" s="56"/>
      <c r="E1897" s="56"/>
      <c r="F1897" s="56"/>
      <c r="G1897" s="56"/>
    </row>
    <row r="1898" spans="8:8" ht="32.25" customHeight="1">
      <c r="A1898" s="55"/>
      <c r="B1898" s="56"/>
      <c r="C1898" s="56"/>
      <c r="D1898" s="56"/>
      <c r="E1898" s="56"/>
      <c r="F1898" s="56"/>
      <c r="G1898" s="56"/>
    </row>
    <row r="1899" spans="8:8" ht="32.25" customHeight="1">
      <c r="A1899" s="55"/>
      <c r="B1899" s="56"/>
      <c r="C1899" s="56"/>
      <c r="D1899" s="56"/>
      <c r="E1899" s="56"/>
      <c r="F1899" s="56"/>
      <c r="G1899" s="56"/>
    </row>
    <row r="1900" spans="8:8" ht="32.25" customHeight="1">
      <c r="A1900" s="55"/>
      <c r="B1900" s="56"/>
      <c r="C1900" s="56"/>
      <c r="D1900" s="56"/>
      <c r="E1900" s="56"/>
      <c r="F1900" s="56"/>
      <c r="G1900" s="56"/>
    </row>
    <row r="1901" spans="8:8" ht="32.25" customHeight="1">
      <c r="A1901" s="55"/>
      <c r="B1901" s="56"/>
      <c r="C1901" s="56"/>
      <c r="D1901" s="56"/>
      <c r="E1901" s="56"/>
      <c r="F1901" s="56"/>
      <c r="G1901" s="56"/>
    </row>
    <row r="1902" spans="8:8" ht="32.25" customHeight="1">
      <c r="A1902" s="55"/>
      <c r="B1902" s="56"/>
      <c r="C1902" s="56"/>
      <c r="D1902" s="56"/>
      <c r="E1902" s="56"/>
      <c r="F1902" s="56"/>
      <c r="G1902" s="56"/>
    </row>
    <row r="1903" spans="8:8" ht="32.25" customHeight="1">
      <c r="A1903" s="55"/>
      <c r="B1903" s="56"/>
      <c r="C1903" s="56"/>
      <c r="D1903" s="56"/>
      <c r="E1903" s="56"/>
      <c r="F1903" s="56"/>
      <c r="G1903" s="56"/>
    </row>
    <row r="1904" spans="8:8" ht="32.25" customHeight="1">
      <c r="A1904" s="55"/>
      <c r="B1904" s="56"/>
      <c r="C1904" s="56"/>
      <c r="D1904" s="56"/>
      <c r="E1904" s="56"/>
      <c r="F1904" s="56"/>
      <c r="G1904" s="56"/>
    </row>
    <row r="1905" spans="8:8" ht="32.25" customHeight="1">
      <c r="A1905" s="55"/>
      <c r="B1905" s="56"/>
      <c r="C1905" s="56"/>
      <c r="D1905" s="56"/>
      <c r="E1905" s="56"/>
      <c r="F1905" s="56"/>
      <c r="G1905" s="56"/>
    </row>
    <row r="1906" spans="8:8" ht="32.25" customHeight="1">
      <c r="A1906" s="55"/>
      <c r="B1906" s="56"/>
      <c r="C1906" s="56"/>
      <c r="D1906" s="56"/>
      <c r="E1906" s="56"/>
      <c r="F1906" s="56"/>
      <c r="G1906" s="56"/>
    </row>
    <row r="1907" spans="8:8" ht="32.25" customHeight="1">
      <c r="A1907" s="55"/>
      <c r="B1907" s="56"/>
      <c r="C1907" s="56"/>
      <c r="D1907" s="56"/>
      <c r="E1907" s="56"/>
      <c r="F1907" s="56"/>
      <c r="G1907" s="56"/>
    </row>
    <row r="1908" spans="8:8" ht="32.25" customHeight="1">
      <c r="A1908" s="55"/>
      <c r="B1908" s="56"/>
      <c r="C1908" s="56"/>
      <c r="D1908" s="56"/>
      <c r="E1908" s="56"/>
      <c r="F1908" s="56"/>
      <c r="G1908" s="56"/>
    </row>
    <row r="1909" spans="8:8" ht="32.25" customHeight="1">
      <c r="A1909" s="55"/>
      <c r="B1909" s="56"/>
      <c r="C1909" s="56"/>
      <c r="D1909" s="56"/>
      <c r="E1909" s="56"/>
      <c r="F1909" s="56"/>
      <c r="G1909" s="56"/>
    </row>
    <row r="1910" spans="8:8" ht="32.25" customHeight="1">
      <c r="A1910" s="55"/>
      <c r="B1910" s="56"/>
      <c r="C1910" s="56"/>
      <c r="D1910" s="56"/>
      <c r="E1910" s="56"/>
      <c r="F1910" s="56"/>
      <c r="G1910" s="56"/>
    </row>
    <row r="1911" spans="8:8" ht="32.25" customHeight="1">
      <c r="A1911" s="55"/>
      <c r="B1911" s="56"/>
      <c r="C1911" s="56"/>
      <c r="D1911" s="56"/>
      <c r="E1911" s="56"/>
      <c r="F1911" s="56"/>
      <c r="G1911" s="56"/>
    </row>
    <row r="1912" spans="8:8" ht="32.25" customHeight="1">
      <c r="A1912" s="55"/>
      <c r="B1912" s="56"/>
      <c r="C1912" s="56"/>
      <c r="D1912" s="56"/>
      <c r="E1912" s="56"/>
      <c r="F1912" s="56"/>
      <c r="G1912" s="56"/>
    </row>
    <row r="1913" spans="8:8" ht="32.25" customHeight="1">
      <c r="A1913" s="55"/>
      <c r="B1913" s="56"/>
      <c r="C1913" s="56"/>
      <c r="D1913" s="56"/>
      <c r="E1913" s="56"/>
      <c r="F1913" s="56"/>
      <c r="G1913" s="56"/>
    </row>
    <row r="1914" spans="8:8" ht="32.25" customHeight="1">
      <c r="A1914" s="55"/>
      <c r="B1914" s="56"/>
      <c r="C1914" s="56"/>
      <c r="D1914" s="56"/>
      <c r="E1914" s="56"/>
      <c r="F1914" s="56"/>
      <c r="G1914" s="56"/>
    </row>
    <row r="1915" spans="8:8" ht="32.25" customHeight="1">
      <c r="A1915" s="55"/>
      <c r="B1915" s="56"/>
      <c r="C1915" s="56"/>
      <c r="D1915" s="56"/>
      <c r="E1915" s="56"/>
      <c r="F1915" s="56"/>
      <c r="G1915" s="56"/>
    </row>
    <row r="1916" spans="8:8" ht="32.25" customHeight="1">
      <c r="A1916" s="55"/>
      <c r="B1916" s="56"/>
      <c r="C1916" s="56"/>
      <c r="D1916" s="56"/>
      <c r="E1916" s="56"/>
      <c r="F1916" s="56"/>
      <c r="G1916" s="56"/>
    </row>
    <row r="1917" spans="8:8" ht="32.25" customHeight="1">
      <c r="A1917" s="55"/>
      <c r="B1917" s="56"/>
      <c r="C1917" s="56"/>
      <c r="D1917" s="56"/>
      <c r="E1917" s="56"/>
      <c r="F1917" s="56"/>
      <c r="G1917" s="56"/>
    </row>
    <row r="1918" spans="8:8" ht="32.25" customHeight="1">
      <c r="A1918" s="55"/>
      <c r="B1918" s="56"/>
      <c r="C1918" s="56"/>
      <c r="D1918" s="56"/>
      <c r="E1918" s="56"/>
      <c r="F1918" s="56"/>
      <c r="G1918" s="56"/>
    </row>
    <row r="1919" spans="8:8" ht="32.25" customHeight="1">
      <c r="A1919" s="55"/>
      <c r="B1919" s="56"/>
      <c r="C1919" s="56"/>
      <c r="D1919" s="56"/>
      <c r="E1919" s="56"/>
      <c r="F1919" s="56"/>
      <c r="G1919" s="56"/>
    </row>
    <row r="1920" spans="8:8" ht="32.25" customHeight="1">
      <c r="A1920" s="55"/>
      <c r="B1920" s="56"/>
      <c r="C1920" s="56"/>
      <c r="D1920" s="56"/>
      <c r="E1920" s="56"/>
      <c r="F1920" s="56"/>
      <c r="G1920" s="56"/>
    </row>
    <row r="1921" spans="8:8" ht="32.25" customHeight="1">
      <c r="A1921" s="55"/>
      <c r="B1921" s="56"/>
      <c r="C1921" s="56"/>
      <c r="D1921" s="56"/>
      <c r="E1921" s="56"/>
      <c r="F1921" s="56"/>
      <c r="G1921" s="57"/>
    </row>
    <row r="1922" spans="8:8" ht="32.25" customHeight="1">
      <c r="A1922" s="55"/>
      <c r="B1922" s="56"/>
      <c r="C1922" s="56"/>
      <c r="D1922" s="56"/>
      <c r="E1922" s="56"/>
      <c r="F1922" s="56"/>
      <c r="G1922" s="57"/>
    </row>
    <row r="1923" spans="8:8" ht="32.25" customHeight="1">
      <c r="A1923" s="55"/>
      <c r="B1923" s="56"/>
      <c r="C1923" s="56"/>
      <c r="D1923" s="56"/>
      <c r="E1923" s="56"/>
      <c r="F1923" s="56"/>
      <c r="G1923" s="57"/>
    </row>
    <row r="1924" spans="8:8" ht="32.25" customHeight="1">
      <c r="A1924" s="55"/>
      <c r="B1924" s="56"/>
      <c r="C1924" s="56"/>
      <c r="D1924" s="56"/>
      <c r="E1924" s="56"/>
      <c r="F1924" s="56"/>
      <c r="G1924" s="57"/>
    </row>
    <row r="1925" spans="8:8" ht="32.25" customHeight="1">
      <c r="A1925" s="55"/>
      <c r="B1925" s="56"/>
      <c r="C1925" s="56"/>
      <c r="D1925" s="56"/>
      <c r="E1925" s="56"/>
      <c r="F1925" s="56"/>
      <c r="G1925" s="57"/>
    </row>
    <row r="1926" spans="8:8" ht="32.25" customHeight="1">
      <c r="A1926" s="55"/>
      <c r="B1926" s="56"/>
      <c r="C1926" s="56"/>
      <c r="D1926" s="56"/>
      <c r="E1926" s="56"/>
      <c r="F1926" s="56"/>
      <c r="G1926" s="57"/>
    </row>
    <row r="1927" spans="8:8" ht="32.25" customHeight="1">
      <c r="A1927" s="55"/>
      <c r="B1927" s="56"/>
      <c r="C1927" s="56"/>
      <c r="D1927" s="56"/>
      <c r="E1927" s="56"/>
      <c r="F1927" s="56"/>
      <c r="G1927" s="57"/>
    </row>
    <row r="1928" spans="8:8" ht="32.25" customHeight="1">
      <c r="A1928" s="55"/>
      <c r="B1928" s="56"/>
      <c r="C1928" s="56"/>
      <c r="D1928" s="56"/>
      <c r="E1928" s="56"/>
      <c r="F1928" s="56"/>
      <c r="G1928" s="57"/>
    </row>
    <row r="1929" spans="8:8" ht="32.25" customHeight="1">
      <c r="A1929" s="55"/>
      <c r="B1929" s="56"/>
      <c r="C1929" s="56"/>
      <c r="D1929" s="56"/>
      <c r="E1929" s="56"/>
      <c r="F1929" s="56"/>
      <c r="G1929" s="57"/>
    </row>
    <row r="1930" spans="8:8" ht="32.25" customHeight="1">
      <c r="A1930" s="55"/>
      <c r="B1930" s="56"/>
      <c r="C1930" s="56"/>
      <c r="D1930" s="56"/>
      <c r="E1930" s="56"/>
      <c r="F1930" s="56"/>
      <c r="G1930" s="57"/>
    </row>
    <row r="1931" spans="8:8" ht="32.25" customHeight="1">
      <c r="A1931" s="55"/>
      <c r="B1931" s="56"/>
      <c r="C1931" s="56"/>
      <c r="D1931" s="56"/>
      <c r="E1931" s="56"/>
      <c r="F1931" s="56"/>
      <c r="G1931" s="57"/>
    </row>
    <row r="1932" spans="8:8" ht="32.25" customHeight="1">
      <c r="A1932" s="55"/>
      <c r="B1932" s="56"/>
      <c r="C1932" s="56"/>
      <c r="D1932" s="56"/>
      <c r="E1932" s="56"/>
      <c r="F1932" s="56"/>
      <c r="G1932" s="57"/>
    </row>
    <row r="1933" spans="8:8" ht="32.25" customHeight="1">
      <c r="A1933" s="55"/>
      <c r="B1933" s="56"/>
      <c r="C1933" s="56"/>
      <c r="D1933" s="56"/>
      <c r="E1933" s="56"/>
      <c r="F1933" s="56"/>
      <c r="G1933" s="57"/>
    </row>
    <row r="1934" spans="8:8" ht="32.25" customHeight="1">
      <c r="A1934" s="55"/>
      <c r="B1934" s="56"/>
      <c r="C1934" s="56"/>
      <c r="D1934" s="56"/>
      <c r="E1934" s="56"/>
      <c r="F1934" s="56"/>
      <c r="G1934" s="57"/>
    </row>
    <row r="1935" spans="8:8" ht="32.25" customHeight="1">
      <c r="A1935" s="55"/>
      <c r="B1935" s="56"/>
      <c r="C1935" s="56"/>
      <c r="D1935" s="56"/>
      <c r="E1935" s="56"/>
      <c r="F1935" s="56"/>
      <c r="G1935" s="57"/>
    </row>
    <row r="1936" spans="8:8" ht="32.25" customHeight="1">
      <c r="A1936" s="55"/>
      <c r="B1936" s="56"/>
      <c r="C1936" s="56"/>
      <c r="D1936" s="56"/>
      <c r="E1936" s="56"/>
      <c r="F1936" s="56"/>
      <c r="G1936" s="57"/>
    </row>
    <row r="1937" spans="8:8" ht="32.25" customHeight="1">
      <c r="A1937" s="55"/>
      <c r="B1937" s="56"/>
      <c r="C1937" s="56"/>
      <c r="D1937" s="56"/>
      <c r="E1937" s="56"/>
      <c r="F1937" s="56"/>
      <c r="G1937" s="57"/>
    </row>
    <row r="1938" spans="8:8" ht="32.25" customHeight="1">
      <c r="A1938" s="55"/>
      <c r="B1938" s="56"/>
      <c r="C1938" s="56"/>
      <c r="D1938" s="56"/>
      <c r="E1938" s="56"/>
      <c r="F1938" s="56"/>
      <c r="G1938" s="57"/>
    </row>
    <row r="1939" spans="8:8" ht="32.25" customHeight="1">
      <c r="A1939" s="55"/>
      <c r="B1939" s="56"/>
      <c r="C1939" s="56"/>
      <c r="D1939" s="56"/>
      <c r="E1939" s="56"/>
      <c r="F1939" s="56"/>
      <c r="G1939" s="57"/>
    </row>
    <row r="1940" spans="8:8" ht="32.25" customHeight="1">
      <c r="A1940" s="55"/>
      <c r="B1940" s="56"/>
      <c r="C1940" s="56"/>
      <c r="D1940" s="56"/>
      <c r="E1940" s="56"/>
      <c r="F1940" s="56"/>
      <c r="G1940" s="57"/>
    </row>
    <row r="1941" spans="8:8" ht="32.25" customHeight="1">
      <c r="A1941" s="55"/>
      <c r="B1941" s="56"/>
      <c r="C1941" s="56"/>
      <c r="D1941" s="56"/>
      <c r="E1941" s="56"/>
      <c r="F1941" s="56"/>
      <c r="G1941" s="57"/>
    </row>
    <row r="1942" spans="8:8" ht="32.25" customHeight="1">
      <c r="A1942" s="55"/>
      <c r="B1942" s="56"/>
      <c r="C1942" s="56"/>
      <c r="D1942" s="56"/>
      <c r="E1942" s="56"/>
      <c r="F1942" s="56"/>
      <c r="G1942" s="57"/>
    </row>
    <row r="1943" spans="8:8" ht="32.25" customHeight="1">
      <c r="A1943" s="55"/>
      <c r="B1943" s="56"/>
      <c r="C1943" s="56"/>
      <c r="D1943" s="56"/>
      <c r="E1943" s="56"/>
      <c r="F1943" s="56"/>
      <c r="G1943" s="57"/>
    </row>
    <row r="1944" spans="8:8" ht="32.25" customHeight="1">
      <c r="A1944" s="55"/>
      <c r="B1944" s="56"/>
      <c r="C1944" s="56"/>
      <c r="D1944" s="56"/>
      <c r="E1944" s="56"/>
      <c r="F1944" s="56"/>
      <c r="G1944" s="57"/>
    </row>
    <row r="1945" spans="8:8" ht="32.25" customHeight="1">
      <c r="A1945" s="55"/>
      <c r="B1945" s="56"/>
      <c r="C1945" s="56"/>
      <c r="D1945" s="56"/>
      <c r="E1945" s="56"/>
      <c r="F1945" s="56"/>
      <c r="G1945" s="57"/>
    </row>
    <row r="1946" spans="8:8" ht="32.25" customHeight="1">
      <c r="A1946" s="55"/>
      <c r="B1946" s="56"/>
      <c r="C1946" s="56"/>
      <c r="D1946" s="56"/>
      <c r="E1946" s="56"/>
      <c r="F1946" s="56"/>
      <c r="G1946" s="57"/>
    </row>
    <row r="1947" spans="8:8" ht="32.25" customHeight="1">
      <c r="A1947" s="55"/>
      <c r="B1947" s="56"/>
      <c r="C1947" s="56"/>
      <c r="D1947" s="56"/>
      <c r="E1947" s="56"/>
      <c r="F1947" s="56"/>
      <c r="G1947" s="57"/>
    </row>
    <row r="1948" spans="8:8" ht="32.25" customHeight="1">
      <c r="A1948" s="55"/>
      <c r="B1948" s="56"/>
      <c r="C1948" s="56"/>
      <c r="D1948" s="56"/>
      <c r="E1948" s="56"/>
      <c r="F1948" s="56"/>
      <c r="G1948" s="57"/>
    </row>
    <row r="1949" spans="8:8" ht="32.25" customHeight="1">
      <c r="A1949" s="55"/>
      <c r="B1949" s="56"/>
      <c r="C1949" s="56"/>
      <c r="D1949" s="56"/>
      <c r="E1949" s="56"/>
      <c r="F1949" s="56"/>
      <c r="G1949" s="57"/>
    </row>
    <row r="1950" spans="8:8" ht="32.25" customHeight="1">
      <c r="A1950" s="55"/>
      <c r="B1950" s="56"/>
      <c r="C1950" s="56"/>
      <c r="D1950" s="56"/>
      <c r="E1950" s="56"/>
      <c r="F1950" s="56"/>
      <c r="G1950" s="57"/>
    </row>
    <row r="1951" spans="8:8" ht="32.25" customHeight="1">
      <c r="A1951" s="55"/>
      <c r="B1951" s="56"/>
      <c r="C1951" s="56"/>
      <c r="D1951" s="56"/>
      <c r="E1951" s="56"/>
      <c r="F1951" s="56"/>
      <c r="G1951" s="57"/>
    </row>
    <row r="1952" spans="8:8" ht="32.25" customHeight="1">
      <c r="A1952" s="55"/>
      <c r="B1952" s="56"/>
      <c r="C1952" s="56"/>
      <c r="D1952" s="56"/>
      <c r="E1952" s="56"/>
      <c r="F1952" s="56"/>
      <c r="G1952" s="57"/>
    </row>
    <row r="1953" spans="8:8" ht="32.25" customHeight="1">
      <c r="A1953" s="55"/>
      <c r="B1953" s="56"/>
      <c r="C1953" s="56"/>
      <c r="D1953" s="56"/>
      <c r="E1953" s="56"/>
      <c r="F1953" s="56"/>
      <c r="G1953" s="57"/>
    </row>
    <row r="1954" spans="8:8" ht="32.25" customHeight="1">
      <c r="A1954" s="55"/>
      <c r="B1954" s="56"/>
      <c r="C1954" s="56"/>
      <c r="D1954" s="56"/>
      <c r="E1954" s="56"/>
      <c r="F1954" s="56"/>
      <c r="G1954" s="57"/>
    </row>
    <row r="1955" spans="8:8" ht="32.25" customHeight="1">
      <c r="A1955" s="55"/>
      <c r="B1955" s="56"/>
      <c r="C1955" s="56"/>
      <c r="D1955" s="56"/>
      <c r="E1955" s="56"/>
      <c r="F1955" s="56"/>
      <c r="G1955" s="57"/>
    </row>
    <row r="1956" spans="8:8" ht="32.25" customHeight="1">
      <c r="A1956" s="55"/>
      <c r="B1956" s="56"/>
      <c r="C1956" s="56"/>
      <c r="D1956" s="56"/>
      <c r="E1956" s="56"/>
      <c r="F1956" s="56"/>
      <c r="G1956" s="57"/>
    </row>
    <row r="1957" spans="8:8" ht="32.25" customHeight="1">
      <c r="A1957" s="55"/>
      <c r="B1957" s="56"/>
      <c r="C1957" s="56"/>
      <c r="D1957" s="56"/>
      <c r="E1957" s="56"/>
      <c r="F1957" s="56"/>
      <c r="G1957" s="57"/>
    </row>
    <row r="1958" spans="8:8" ht="32.25" customHeight="1">
      <c r="A1958" s="55"/>
      <c r="B1958" s="56"/>
      <c r="C1958" s="56"/>
      <c r="D1958" s="56"/>
      <c r="E1958" s="56"/>
      <c r="F1958" s="56"/>
      <c r="G1958" s="57"/>
    </row>
    <row r="1959" spans="8:8" ht="32.25" customHeight="1">
      <c r="A1959" s="55"/>
      <c r="B1959" s="56"/>
      <c r="C1959" s="56"/>
      <c r="D1959" s="56"/>
      <c r="E1959" s="56"/>
      <c r="F1959" s="56"/>
      <c r="G1959" s="57"/>
    </row>
    <row r="1960" spans="8:8" ht="32.25" customHeight="1">
      <c r="A1960" s="55"/>
      <c r="B1960" s="56"/>
      <c r="C1960" s="56"/>
      <c r="D1960" s="56"/>
      <c r="E1960" s="56"/>
      <c r="F1960" s="56"/>
      <c r="G1960" s="57"/>
    </row>
    <row r="1961" spans="8:8" ht="32.25" customHeight="1">
      <c r="A1961" s="55"/>
      <c r="B1961" s="56"/>
      <c r="C1961" s="56"/>
      <c r="D1961" s="56"/>
      <c r="E1961" s="56"/>
      <c r="F1961" s="56"/>
      <c r="G1961" s="57"/>
    </row>
    <row r="1962" spans="8:8" ht="32.25" customHeight="1">
      <c r="A1962" s="55"/>
      <c r="B1962" s="56"/>
      <c r="C1962" s="56"/>
      <c r="D1962" s="56"/>
      <c r="E1962" s="56"/>
      <c r="F1962" s="56"/>
      <c r="G1962" s="57"/>
    </row>
    <row r="1963" spans="8:8" ht="32.25" customHeight="1">
      <c r="A1963" s="55"/>
      <c r="B1963" s="56"/>
      <c r="C1963" s="56"/>
      <c r="D1963" s="56"/>
      <c r="E1963" s="56"/>
      <c r="F1963" s="56"/>
      <c r="G1963" s="57"/>
    </row>
    <row r="1964" spans="8:8" ht="32.25" customHeight="1">
      <c r="A1964" s="55"/>
      <c r="B1964" s="56"/>
      <c r="C1964" s="56"/>
      <c r="D1964" s="56"/>
      <c r="E1964" s="56"/>
      <c r="F1964" s="56"/>
      <c r="G1964" s="57"/>
    </row>
    <row r="1965" spans="8:8" ht="32.25" customHeight="1">
      <c r="A1965" s="55"/>
      <c r="B1965" s="56"/>
      <c r="C1965" s="56"/>
      <c r="D1965" s="56"/>
      <c r="E1965" s="56"/>
      <c r="F1965" s="56"/>
      <c r="G1965" s="57"/>
    </row>
    <row r="1966" spans="8:8" ht="32.25" customHeight="1">
      <c r="A1966" s="55"/>
      <c r="B1966" s="56"/>
      <c r="C1966" s="56"/>
      <c r="D1966" s="56"/>
      <c r="E1966" s="56"/>
      <c r="F1966" s="56"/>
      <c r="G1966" s="57"/>
    </row>
    <row r="1967" spans="8:8" ht="32.25" customHeight="1">
      <c r="A1967" s="55"/>
      <c r="B1967" s="56"/>
      <c r="C1967" s="56"/>
      <c r="D1967" s="56"/>
      <c r="E1967" s="56"/>
      <c r="F1967" s="56"/>
      <c r="G1967" s="57"/>
    </row>
    <row r="1968" spans="8:8" ht="32.25" customHeight="1">
      <c r="A1968" s="55"/>
      <c r="B1968" s="56"/>
      <c r="C1968" s="56"/>
      <c r="D1968" s="56"/>
      <c r="E1968" s="56"/>
      <c r="F1968" s="56"/>
      <c r="G1968" s="57"/>
    </row>
    <row r="1969" spans="8:8" ht="32.25" customHeight="1">
      <c r="A1969" s="55"/>
      <c r="B1969" s="56"/>
      <c r="C1969" s="56"/>
      <c r="D1969" s="56"/>
      <c r="E1969" s="56"/>
      <c r="F1969" s="56"/>
      <c r="G1969" s="57"/>
    </row>
    <row r="1970" spans="8:8" ht="32.25" customHeight="1">
      <c r="A1970" s="55"/>
      <c r="B1970" s="56"/>
      <c r="C1970" s="56"/>
      <c r="D1970" s="56"/>
      <c r="E1970" s="56"/>
      <c r="F1970" s="56"/>
      <c r="G1970" s="57"/>
    </row>
    <row r="1971" spans="8:8" ht="32.25" customHeight="1">
      <c r="A1971" s="55"/>
      <c r="B1971" s="56"/>
      <c r="C1971" s="56"/>
      <c r="D1971" s="56"/>
      <c r="E1971" s="56"/>
      <c r="F1971" s="56"/>
      <c r="G1971" s="57"/>
    </row>
    <row r="1972" spans="8:8" ht="32.25" customHeight="1">
      <c r="A1972" s="55"/>
      <c r="B1972" s="56"/>
      <c r="C1972" s="56"/>
      <c r="D1972" s="56"/>
      <c r="E1972" s="56"/>
      <c r="F1972" s="56"/>
      <c r="G1972" s="57"/>
    </row>
    <row r="1973" spans="8:8" ht="32.25" customHeight="1">
      <c r="A1973" s="55"/>
      <c r="B1973" s="56"/>
      <c r="C1973" s="56"/>
      <c r="D1973" s="56"/>
      <c r="E1973" s="56"/>
      <c r="F1973" s="56"/>
      <c r="G1973" s="57"/>
    </row>
    <row r="1974" spans="8:8" ht="32.25" customHeight="1">
      <c r="A1974" s="55"/>
      <c r="B1974" s="56"/>
      <c r="C1974" s="56"/>
      <c r="D1974" s="56"/>
      <c r="E1974" s="56"/>
      <c r="F1974" s="56"/>
      <c r="G1974" s="57"/>
    </row>
    <row r="1975" spans="8:8" ht="32.25" customHeight="1">
      <c r="A1975" s="55"/>
      <c r="B1975" s="56"/>
      <c r="C1975" s="56"/>
      <c r="D1975" s="56"/>
      <c r="E1975" s="56"/>
      <c r="F1975" s="56"/>
      <c r="G1975" s="57"/>
    </row>
    <row r="1976" spans="8:8" ht="32.25" customHeight="1">
      <c r="A1976" s="55"/>
      <c r="B1976" s="56"/>
      <c r="C1976" s="56"/>
      <c r="D1976" s="56"/>
      <c r="E1976" s="56"/>
      <c r="F1976" s="56"/>
      <c r="G1976" s="57"/>
    </row>
    <row r="1977" spans="8:8" ht="32.25" customHeight="1">
      <c r="A1977" s="55"/>
      <c r="B1977" s="56"/>
      <c r="C1977" s="56"/>
      <c r="D1977" s="56"/>
      <c r="E1977" s="56"/>
      <c r="F1977" s="56"/>
      <c r="G1977" s="57"/>
    </row>
    <row r="1978" spans="8:8" ht="32.25" customHeight="1">
      <c r="A1978" s="55"/>
      <c r="B1978" s="56"/>
      <c r="C1978" s="56"/>
      <c r="D1978" s="56"/>
      <c r="E1978" s="56"/>
      <c r="F1978" s="56"/>
      <c r="G1978" s="57"/>
    </row>
    <row r="1979" spans="8:8" ht="32.25" customHeight="1">
      <c r="A1979" s="55"/>
      <c r="B1979" s="56"/>
      <c r="C1979" s="56"/>
      <c r="D1979" s="56"/>
      <c r="E1979" s="56"/>
      <c r="F1979" s="56"/>
      <c r="G1979" s="57"/>
    </row>
    <row r="1980" spans="8:8" ht="32.25" customHeight="1">
      <c r="A1980" s="55"/>
      <c r="B1980" s="56"/>
      <c r="C1980" s="56"/>
      <c r="D1980" s="56"/>
      <c r="E1980" s="56"/>
      <c r="F1980" s="56"/>
      <c r="G1980" s="57"/>
    </row>
    <row r="1981" spans="8:8" ht="32.25" customHeight="1">
      <c r="A1981" s="55"/>
      <c r="B1981" s="56"/>
      <c r="C1981" s="56"/>
      <c r="D1981" s="56"/>
      <c r="E1981" s="56"/>
      <c r="F1981" s="56"/>
      <c r="G1981" s="57"/>
    </row>
    <row r="1982" spans="8:8" ht="32.25" customHeight="1">
      <c r="A1982" s="55"/>
      <c r="B1982" s="56"/>
      <c r="C1982" s="56"/>
      <c r="D1982" s="56"/>
      <c r="E1982" s="56"/>
      <c r="F1982" s="56"/>
      <c r="G1982" s="57"/>
    </row>
    <row r="1983" spans="8:8" ht="32.25" customHeight="1">
      <c r="A1983" s="55"/>
      <c r="B1983" s="56"/>
      <c r="C1983" s="56"/>
      <c r="D1983" s="56"/>
      <c r="E1983" s="56"/>
      <c r="F1983" s="56"/>
      <c r="G1983" s="57"/>
    </row>
    <row r="1984" spans="8:8" ht="32.25" customHeight="1">
      <c r="A1984" s="55"/>
      <c r="B1984" s="56"/>
      <c r="C1984" s="56"/>
      <c r="D1984" s="56"/>
      <c r="E1984" s="56"/>
      <c r="F1984" s="56"/>
      <c r="G1984" s="57"/>
    </row>
    <row r="1985" spans="8:8" ht="32.25" customHeight="1">
      <c r="A1985" s="55"/>
      <c r="B1985" s="56"/>
      <c r="C1985" s="56"/>
      <c r="D1985" s="56"/>
      <c r="E1985" s="56"/>
      <c r="F1985" s="56"/>
      <c r="G1985" s="57"/>
    </row>
    <row r="1986" spans="8:8" ht="32.25" customHeight="1">
      <c r="A1986" s="55"/>
      <c r="B1986" s="56"/>
      <c r="C1986" s="56"/>
      <c r="D1986" s="56"/>
      <c r="E1986" s="56"/>
      <c r="F1986" s="56"/>
      <c r="G1986" s="57"/>
    </row>
    <row r="1987" spans="8:8" ht="32.25" customHeight="1">
      <c r="A1987" s="55"/>
      <c r="B1987" s="56"/>
      <c r="C1987" s="56"/>
      <c r="D1987" s="56"/>
      <c r="E1987" s="56"/>
      <c r="F1987" s="56"/>
      <c r="G1987" s="57"/>
    </row>
    <row r="1988" spans="8:8" ht="32.25" customHeight="1">
      <c r="A1988" s="55"/>
      <c r="B1988" s="56"/>
      <c r="C1988" s="56"/>
      <c r="D1988" s="56"/>
      <c r="E1988" s="56"/>
      <c r="F1988" s="56"/>
      <c r="G1988" s="57"/>
    </row>
    <row r="1989" spans="8:8" ht="32.25" customHeight="1">
      <c r="A1989" s="55"/>
      <c r="B1989" s="56"/>
      <c r="C1989" s="56"/>
      <c r="D1989" s="56"/>
      <c r="E1989" s="56"/>
      <c r="F1989" s="56"/>
      <c r="G1989" s="57"/>
    </row>
    <row r="1990" spans="8:8" ht="32.25" customHeight="1">
      <c r="A1990" s="55"/>
      <c r="B1990" s="56"/>
      <c r="C1990" s="56"/>
      <c r="D1990" s="56"/>
      <c r="E1990" s="56"/>
      <c r="F1990" s="56"/>
      <c r="G1990" s="57"/>
    </row>
    <row r="1991" spans="8:8" ht="32.25" customHeight="1">
      <c r="A1991" s="55"/>
      <c r="B1991" s="56"/>
      <c r="C1991" s="56"/>
      <c r="D1991" s="56"/>
      <c r="E1991" s="56"/>
      <c r="F1991" s="56"/>
      <c r="G1991" s="57"/>
    </row>
    <row r="1992" spans="8:8" ht="32.25" customHeight="1">
      <c r="A1992" s="55"/>
      <c r="B1992" s="56"/>
      <c r="C1992" s="56"/>
      <c r="D1992" s="56"/>
      <c r="E1992" s="56"/>
      <c r="F1992" s="56"/>
      <c r="G1992" s="57"/>
    </row>
    <row r="1993" spans="8:8" ht="32.25" customHeight="1">
      <c r="A1993" s="55"/>
      <c r="B1993" s="56"/>
      <c r="C1993" s="56"/>
      <c r="D1993" s="56"/>
      <c r="E1993" s="56"/>
      <c r="F1993" s="56"/>
      <c r="G1993" s="57"/>
    </row>
    <row r="1994" spans="8:8" ht="32.25" customHeight="1">
      <c r="A1994" s="55"/>
      <c r="B1994" s="56"/>
      <c r="C1994" s="56"/>
      <c r="D1994" s="56"/>
      <c r="E1994" s="56"/>
      <c r="F1994" s="56"/>
      <c r="G1994" s="57"/>
    </row>
    <row r="1995" spans="8:8" ht="32.25" customHeight="1">
      <c r="A1995" s="55"/>
      <c r="B1995" s="56"/>
      <c r="C1995" s="56"/>
      <c r="D1995" s="56"/>
      <c r="E1995" s="56"/>
      <c r="F1995" s="56"/>
      <c r="G1995" s="57"/>
    </row>
    <row r="1996" spans="8:8" ht="32.25" customHeight="1">
      <c r="A1996" s="55"/>
      <c r="B1996" s="56"/>
      <c r="C1996" s="56"/>
      <c r="D1996" s="56"/>
      <c r="E1996" s="56"/>
      <c r="F1996" s="56"/>
      <c r="G1996" s="57"/>
    </row>
    <row r="1997" spans="8:8" ht="32.25" customHeight="1">
      <c r="A1997" s="55"/>
      <c r="B1997" s="56"/>
      <c r="C1997" s="56"/>
      <c r="D1997" s="56"/>
      <c r="E1997" s="56"/>
      <c r="F1997" s="56"/>
      <c r="G1997" s="57"/>
    </row>
    <row r="1998" spans="8:8" ht="32.25" customHeight="1">
      <c r="A1998" s="55"/>
      <c r="B1998" s="56"/>
      <c r="C1998" s="56"/>
      <c r="D1998" s="56"/>
      <c r="E1998" s="56"/>
      <c r="F1998" s="56"/>
      <c r="G1998" s="57"/>
    </row>
    <row r="1999" spans="8:8" ht="32.25" customHeight="1">
      <c r="A1999" s="55"/>
      <c r="B1999" s="56"/>
      <c r="C1999" s="56"/>
      <c r="D1999" s="56"/>
      <c r="E1999" s="56"/>
      <c r="F1999" s="56"/>
      <c r="G1999" s="57"/>
    </row>
    <row r="2000" spans="8:8" ht="32.25" customHeight="1">
      <c r="A2000" s="55"/>
      <c r="B2000" s="56"/>
      <c r="C2000" s="56"/>
      <c r="D2000" s="56"/>
      <c r="E2000" s="56"/>
      <c r="F2000" s="56"/>
      <c r="G2000" s="57"/>
    </row>
    <row r="2001" spans="8:8" ht="32.25" customHeight="1">
      <c r="A2001" s="55"/>
      <c r="B2001" s="56"/>
      <c r="C2001" s="56"/>
      <c r="D2001" s="56"/>
      <c r="E2001" s="56"/>
      <c r="F2001" s="56"/>
      <c r="G2001" s="57"/>
    </row>
    <row r="2002" spans="8:8" ht="32.25" customHeight="1">
      <c r="A2002" s="55"/>
      <c r="B2002" s="56"/>
      <c r="C2002" s="56"/>
      <c r="D2002" s="56"/>
      <c r="E2002" s="56"/>
      <c r="F2002" s="56"/>
      <c r="G2002" s="57"/>
    </row>
    <row r="2003" spans="8:8" ht="32.25" customHeight="1">
      <c r="A2003" s="55"/>
      <c r="B2003" s="56"/>
      <c r="C2003" s="56"/>
      <c r="D2003" s="56"/>
      <c r="E2003" s="56"/>
      <c r="F2003" s="56"/>
      <c r="G2003" s="57"/>
    </row>
    <row r="2004" spans="8:8" ht="32.25" customHeight="1">
      <c r="A2004" s="55"/>
      <c r="B2004" s="56"/>
      <c r="C2004" s="56"/>
      <c r="D2004" s="56"/>
      <c r="E2004" s="56"/>
      <c r="F2004" s="56"/>
      <c r="G2004" s="57"/>
    </row>
    <row r="2005" spans="8:8" ht="32.25" customHeight="1">
      <c r="A2005" s="55"/>
      <c r="B2005" s="56"/>
      <c r="C2005" s="56"/>
      <c r="D2005" s="56"/>
      <c r="E2005" s="56"/>
      <c r="F2005" s="56"/>
      <c r="G2005" s="57"/>
    </row>
    <row r="2006" spans="8:8" ht="32.25" customHeight="1">
      <c r="A2006" s="55"/>
      <c r="B2006" s="56"/>
      <c r="C2006" s="56"/>
      <c r="D2006" s="56"/>
      <c r="E2006" s="56"/>
      <c r="F2006" s="56"/>
      <c r="G2006" s="57"/>
    </row>
    <row r="2007" spans="8:8" ht="32.25" customHeight="1">
      <c r="A2007" s="55"/>
      <c r="B2007" s="56"/>
      <c r="C2007" s="56"/>
      <c r="D2007" s="56"/>
      <c r="E2007" s="56"/>
      <c r="F2007" s="56"/>
      <c r="G2007" s="57"/>
    </row>
    <row r="2008" spans="8:8" ht="32.25" customHeight="1">
      <c r="A2008" s="55"/>
      <c r="B2008" s="56"/>
      <c r="C2008" s="56"/>
      <c r="D2008" s="56"/>
      <c r="E2008" s="56"/>
      <c r="F2008" s="56"/>
      <c r="G2008" s="57"/>
    </row>
    <row r="2009" spans="8:8" ht="32.25" customHeight="1">
      <c r="A2009" s="55"/>
      <c r="B2009" s="56"/>
      <c r="C2009" s="56"/>
      <c r="D2009" s="56"/>
      <c r="E2009" s="56"/>
      <c r="F2009" s="56"/>
      <c r="G2009" s="57"/>
    </row>
    <row r="2010" spans="8:8" ht="32.25" customHeight="1">
      <c r="A2010" s="55"/>
      <c r="B2010" s="56"/>
      <c r="C2010" s="56"/>
      <c r="D2010" s="56"/>
      <c r="E2010" s="56"/>
      <c r="F2010" s="56"/>
      <c r="G2010" s="57"/>
    </row>
    <row r="2011" spans="8:8" ht="32.25" customHeight="1">
      <c r="A2011" s="55"/>
      <c r="B2011" s="56"/>
      <c r="C2011" s="56"/>
      <c r="D2011" s="56"/>
      <c r="E2011" s="56"/>
      <c r="F2011" s="56"/>
      <c r="G2011" s="57"/>
    </row>
    <row r="2012" spans="8:8" ht="32.25" customHeight="1">
      <c r="A2012" s="55"/>
      <c r="B2012" s="56"/>
      <c r="C2012" s="56"/>
      <c r="D2012" s="56"/>
      <c r="E2012" s="56"/>
      <c r="F2012" s="56"/>
      <c r="G2012" s="57"/>
    </row>
    <row r="2013" spans="8:8" ht="32.25" customHeight="1">
      <c r="A2013" s="55"/>
      <c r="B2013" s="56"/>
      <c r="C2013" s="56"/>
      <c r="D2013" s="56"/>
      <c r="E2013" s="56"/>
      <c r="F2013" s="56"/>
      <c r="G2013" s="57"/>
    </row>
    <row r="2014" spans="8:8" ht="32.25" customHeight="1">
      <c r="A2014" s="55"/>
      <c r="B2014" s="56"/>
      <c r="C2014" s="56"/>
      <c r="D2014" s="56"/>
      <c r="E2014" s="56"/>
      <c r="F2014" s="56"/>
      <c r="G2014" s="57"/>
    </row>
    <row r="2015" spans="8:8" ht="32.25" customHeight="1">
      <c r="A2015" s="55"/>
      <c r="B2015" s="56"/>
      <c r="C2015" s="56"/>
      <c r="D2015" s="56"/>
      <c r="E2015" s="56"/>
      <c r="F2015" s="56"/>
      <c r="G2015" s="57"/>
    </row>
    <row r="2016" spans="8:8" ht="32.25" customHeight="1">
      <c r="A2016" s="55"/>
      <c r="B2016" s="56"/>
      <c r="C2016" s="56"/>
      <c r="D2016" s="56"/>
      <c r="E2016" s="56"/>
      <c r="F2016" s="56"/>
      <c r="G2016" s="57"/>
    </row>
    <row r="2017" spans="8:8" ht="32.25" customHeight="1">
      <c r="A2017" s="55"/>
      <c r="B2017" s="56"/>
      <c r="C2017" s="56"/>
      <c r="D2017" s="56"/>
      <c r="E2017" s="56"/>
      <c r="F2017" s="56"/>
      <c r="G2017" s="57"/>
    </row>
    <row r="2018" spans="8:8" ht="32.25" customHeight="1">
      <c r="A2018" s="55"/>
      <c r="B2018" s="56"/>
      <c r="C2018" s="56"/>
      <c r="D2018" s="56"/>
      <c r="E2018" s="56"/>
      <c r="F2018" s="56"/>
      <c r="G2018" s="57"/>
    </row>
    <row r="2019" spans="8:8" ht="32.25" customHeight="1">
      <c r="A2019" s="55"/>
      <c r="B2019" s="56"/>
      <c r="C2019" s="56"/>
      <c r="D2019" s="56"/>
      <c r="E2019" s="56"/>
      <c r="F2019" s="56"/>
      <c r="G2019" s="57"/>
    </row>
    <row r="2020" spans="8:8" ht="32.25" customHeight="1">
      <c r="A2020" s="55"/>
      <c r="B2020" s="56"/>
      <c r="C2020" s="56"/>
      <c r="D2020" s="56"/>
      <c r="E2020" s="56"/>
      <c r="F2020" s="56"/>
      <c r="G2020" s="57"/>
    </row>
    <row r="2021" spans="8:8" ht="32.25" customHeight="1">
      <c r="A2021" s="55"/>
      <c r="B2021" s="56"/>
      <c r="C2021" s="56"/>
      <c r="D2021" s="56"/>
      <c r="E2021" s="56"/>
      <c r="F2021" s="56"/>
      <c r="G2021" s="57"/>
    </row>
    <row r="2022" spans="8:8" ht="32.25" customHeight="1">
      <c r="A2022" s="55"/>
      <c r="B2022" s="56"/>
      <c r="C2022" s="56"/>
      <c r="D2022" s="56"/>
      <c r="E2022" s="56"/>
      <c r="F2022" s="56"/>
      <c r="G2022" s="57"/>
    </row>
    <row r="2023" spans="8:8" ht="32.25" customHeight="1">
      <c r="A2023" s="55"/>
      <c r="B2023" s="56"/>
      <c r="C2023" s="56"/>
      <c r="D2023" s="56"/>
      <c r="E2023" s="56"/>
      <c r="F2023" s="56"/>
      <c r="G2023" s="57"/>
    </row>
    <row r="2024" spans="8:8" ht="32.25" customHeight="1">
      <c r="A2024" s="55"/>
      <c r="B2024" s="56"/>
      <c r="C2024" s="56"/>
      <c r="D2024" s="56"/>
      <c r="E2024" s="56"/>
      <c r="F2024" s="56"/>
      <c r="G2024" s="57"/>
    </row>
    <row r="2025" spans="8:8" ht="32.25" customHeight="1">
      <c r="A2025" s="55"/>
      <c r="B2025" s="56"/>
      <c r="C2025" s="56"/>
      <c r="D2025" s="56"/>
      <c r="E2025" s="56"/>
      <c r="F2025" s="56"/>
      <c r="G2025" s="57"/>
    </row>
    <row r="2026" spans="8:8" ht="32.25" customHeight="1">
      <c r="A2026" s="55"/>
      <c r="B2026" s="56"/>
      <c r="C2026" s="56"/>
      <c r="D2026" s="56"/>
      <c r="E2026" s="56"/>
      <c r="F2026" s="56"/>
      <c r="G2026" s="57"/>
    </row>
    <row r="2027" spans="8:8" ht="32.25" customHeight="1">
      <c r="A2027" s="55"/>
      <c r="B2027" s="56"/>
      <c r="C2027" s="56"/>
      <c r="D2027" s="56"/>
      <c r="E2027" s="56"/>
      <c r="F2027" s="56"/>
      <c r="G2027" s="57"/>
    </row>
    <row r="2028" spans="8:8" ht="32.25" customHeight="1">
      <c r="A2028" s="55"/>
      <c r="B2028" s="56"/>
      <c r="C2028" s="56"/>
      <c r="D2028" s="56"/>
      <c r="E2028" s="56"/>
      <c r="F2028" s="56"/>
      <c r="G2028" s="57"/>
    </row>
    <row r="2029" spans="8:8" ht="32.25" customHeight="1">
      <c r="A2029" s="55"/>
      <c r="B2029" s="56"/>
      <c r="C2029" s="56"/>
      <c r="D2029" s="56"/>
      <c r="E2029" s="56"/>
      <c r="F2029" s="56"/>
      <c r="G2029" s="57"/>
    </row>
    <row r="2030" spans="8:8" ht="32.25" customHeight="1">
      <c r="A2030" s="55"/>
      <c r="B2030" s="56"/>
      <c r="C2030" s="56"/>
      <c r="D2030" s="56"/>
      <c r="E2030" s="56"/>
      <c r="F2030" s="56"/>
      <c r="G2030" s="57"/>
    </row>
    <row r="2031" spans="8:8" ht="32.25" customHeight="1">
      <c r="A2031" s="55"/>
      <c r="B2031" s="56"/>
      <c r="C2031" s="56"/>
      <c r="D2031" s="56"/>
      <c r="E2031" s="56"/>
      <c r="F2031" s="56"/>
      <c r="G2031" s="57"/>
    </row>
    <row r="2032" spans="8:8" ht="32.25" customHeight="1">
      <c r="A2032" s="55"/>
      <c r="B2032" s="56"/>
      <c r="C2032" s="56"/>
      <c r="D2032" s="56"/>
      <c r="E2032" s="56"/>
      <c r="F2032" s="56"/>
      <c r="G2032" s="57"/>
    </row>
    <row r="2033" spans="8:8" ht="32.25" customHeight="1">
      <c r="A2033" s="55"/>
      <c r="B2033" s="56"/>
      <c r="C2033" s="56"/>
      <c r="D2033" s="56"/>
      <c r="E2033" s="56"/>
      <c r="F2033" s="56"/>
      <c r="G2033" s="57"/>
    </row>
    <row r="2034" spans="8:8" ht="32.25" customHeight="1">
      <c r="A2034" s="55"/>
      <c r="B2034" s="56"/>
      <c r="C2034" s="56"/>
      <c r="D2034" s="56"/>
      <c r="E2034" s="56"/>
      <c r="F2034" s="56"/>
      <c r="G2034" s="57"/>
    </row>
    <row r="2035" spans="8:8" ht="32.25" customHeight="1">
      <c r="A2035" s="55"/>
      <c r="B2035" s="56"/>
      <c r="C2035" s="56"/>
      <c r="D2035" s="56"/>
      <c r="E2035" s="56"/>
      <c r="F2035" s="56"/>
      <c r="G2035" s="57"/>
    </row>
    <row r="2036" spans="8:8" ht="32.25" customHeight="1">
      <c r="A2036" s="55"/>
      <c r="B2036" s="56"/>
      <c r="C2036" s="56"/>
      <c r="D2036" s="56"/>
      <c r="E2036" s="56"/>
      <c r="F2036" s="56"/>
      <c r="G2036" s="57"/>
    </row>
    <row r="2037" spans="8:8" ht="32.25" customHeight="1">
      <c r="A2037" s="55"/>
      <c r="B2037" s="56"/>
      <c r="C2037" s="56"/>
      <c r="D2037" s="56"/>
      <c r="E2037" s="56"/>
      <c r="F2037" s="56"/>
      <c r="G2037" s="57"/>
    </row>
    <row r="2038" spans="8:8" ht="32.25" customHeight="1">
      <c r="A2038" s="55"/>
      <c r="B2038" s="56"/>
      <c r="C2038" s="56"/>
      <c r="D2038" s="56"/>
      <c r="E2038" s="56"/>
      <c r="F2038" s="56"/>
      <c r="G2038" s="57"/>
    </row>
    <row r="2039" spans="8:8" ht="32.25" customHeight="1">
      <c r="A2039" s="55"/>
      <c r="B2039" s="56"/>
      <c r="C2039" s="56"/>
      <c r="D2039" s="56"/>
      <c r="E2039" s="56"/>
      <c r="F2039" s="56"/>
      <c r="G2039" s="57"/>
    </row>
    <row r="2040" spans="8:8" ht="32.25" customHeight="1">
      <c r="A2040" s="55"/>
      <c r="B2040" s="56"/>
      <c r="C2040" s="56"/>
      <c r="D2040" s="56"/>
      <c r="E2040" s="56"/>
      <c r="F2040" s="56"/>
      <c r="G2040" s="57"/>
    </row>
    <row r="2041" spans="8:8" ht="32.25" customHeight="1">
      <c r="A2041" s="55"/>
      <c r="B2041" s="56"/>
      <c r="C2041" s="56"/>
      <c r="D2041" s="56"/>
      <c r="E2041" s="56"/>
      <c r="F2041" s="56"/>
      <c r="G2041" s="57"/>
    </row>
    <row r="2042" spans="8:8" ht="32.25" customHeight="1">
      <c r="A2042" s="55"/>
      <c r="B2042" s="56"/>
      <c r="C2042" s="56"/>
      <c r="D2042" s="56"/>
      <c r="E2042" s="56"/>
      <c r="F2042" s="56"/>
      <c r="G2042" s="57"/>
    </row>
    <row r="2043" spans="8:8" ht="32.25" customHeight="1">
      <c r="A2043" s="55"/>
      <c r="B2043" s="56"/>
      <c r="C2043" s="56"/>
      <c r="D2043" s="56"/>
      <c r="E2043" s="56"/>
      <c r="F2043" s="56"/>
      <c r="G2043" s="57"/>
    </row>
    <row r="2044" spans="8:8" ht="32.25" customHeight="1">
      <c r="A2044" s="55"/>
      <c r="B2044" s="56"/>
      <c r="C2044" s="56"/>
      <c r="D2044" s="56"/>
      <c r="E2044" s="56"/>
      <c r="F2044" s="56"/>
      <c r="G2044" s="57"/>
    </row>
    <row r="2045" spans="8:8" ht="32.25" customHeight="1">
      <c r="A2045" s="55"/>
      <c r="B2045" s="56"/>
      <c r="C2045" s="56"/>
      <c r="D2045" s="56"/>
      <c r="E2045" s="56"/>
      <c r="F2045" s="56"/>
      <c r="G2045" s="57"/>
    </row>
    <row r="2046" spans="8:8" ht="32.25" customHeight="1">
      <c r="A2046" s="55"/>
      <c r="B2046" s="56"/>
      <c r="C2046" s="56"/>
      <c r="D2046" s="56"/>
      <c r="E2046" s="56"/>
      <c r="F2046" s="56"/>
      <c r="G2046" s="57"/>
    </row>
    <row r="2047" spans="8:8" ht="32.25" customHeight="1">
      <c r="A2047" s="55"/>
      <c r="B2047" s="56"/>
      <c r="C2047" s="56"/>
      <c r="D2047" s="56"/>
      <c r="E2047" s="56"/>
      <c r="F2047" s="56"/>
      <c r="G2047" s="57"/>
    </row>
    <row r="2048" spans="8:8" ht="32.25" customHeight="1">
      <c r="A2048" s="55"/>
      <c r="B2048" s="56"/>
      <c r="C2048" s="56"/>
      <c r="D2048" s="56"/>
      <c r="E2048" s="56"/>
      <c r="F2048" s="56"/>
      <c r="G2048" s="57"/>
    </row>
    <row r="2049" spans="8:8" ht="32.25" customHeight="1">
      <c r="A2049" s="55"/>
      <c r="B2049" s="56"/>
      <c r="C2049" s="56"/>
      <c r="D2049" s="56"/>
      <c r="E2049" s="56"/>
      <c r="F2049" s="56"/>
      <c r="G2049" s="57"/>
    </row>
    <row r="2050" spans="8:8" ht="32.25" customHeight="1">
      <c r="A2050" s="55"/>
      <c r="B2050" s="56"/>
      <c r="C2050" s="56"/>
      <c r="D2050" s="56"/>
      <c r="E2050" s="56"/>
      <c r="F2050" s="56"/>
      <c r="G2050" s="57"/>
    </row>
    <row r="2051" spans="8:8" ht="32.25" customHeight="1">
      <c r="A2051" s="55"/>
      <c r="B2051" s="56"/>
      <c r="C2051" s="56"/>
      <c r="D2051" s="56"/>
      <c r="E2051" s="56"/>
      <c r="F2051" s="56"/>
      <c r="G2051" s="57"/>
    </row>
    <row r="2052" spans="8:8" ht="32.25" customHeight="1">
      <c r="A2052" s="55"/>
      <c r="B2052" s="56"/>
      <c r="C2052" s="56"/>
      <c r="D2052" s="56"/>
      <c r="E2052" s="56"/>
      <c r="F2052" s="56"/>
      <c r="G2052" s="57"/>
    </row>
    <row r="2053" spans="8:8" ht="32.25" customHeight="1">
      <c r="A2053" s="55"/>
      <c r="B2053" s="56"/>
      <c r="C2053" s="56"/>
      <c r="D2053" s="56"/>
      <c r="E2053" s="56"/>
      <c r="F2053" s="56"/>
      <c r="G2053" s="57"/>
    </row>
    <row r="2054" spans="8:8" ht="32.25" customHeight="1">
      <c r="A2054" s="55"/>
      <c r="B2054" s="56"/>
      <c r="C2054" s="56"/>
      <c r="D2054" s="56"/>
      <c r="E2054" s="56"/>
      <c r="F2054" s="56"/>
      <c r="G2054" s="57"/>
    </row>
    <row r="2055" spans="8:8" ht="32.25" customHeight="1">
      <c r="A2055" s="55"/>
      <c r="B2055" s="56"/>
      <c r="C2055" s="56"/>
      <c r="D2055" s="56"/>
      <c r="E2055" s="56"/>
      <c r="F2055" s="56"/>
      <c r="G2055" s="57"/>
    </row>
    <row r="2056" spans="8:8" ht="32.25" customHeight="1">
      <c r="A2056" s="55"/>
      <c r="B2056" s="56"/>
      <c r="C2056" s="56"/>
      <c r="D2056" s="56"/>
      <c r="E2056" s="56"/>
      <c r="F2056" s="56"/>
      <c r="G2056" s="57"/>
    </row>
    <row r="2057" spans="8:8" ht="32.25" customHeight="1">
      <c r="A2057" s="55"/>
      <c r="B2057" s="56"/>
      <c r="C2057" s="56"/>
      <c r="D2057" s="56"/>
      <c r="E2057" s="56"/>
      <c r="F2057" s="56"/>
      <c r="G2057" s="57"/>
    </row>
    <row r="2058" spans="8:8" ht="32.25" customHeight="1">
      <c r="A2058" s="55"/>
      <c r="B2058" s="56"/>
      <c r="C2058" s="56"/>
      <c r="D2058" s="56"/>
      <c r="E2058" s="56"/>
      <c r="F2058" s="56"/>
      <c r="G2058" s="57"/>
    </row>
    <row r="2059" spans="8:8" ht="32.25" customHeight="1">
      <c r="A2059" s="55"/>
      <c r="B2059" s="56"/>
      <c r="C2059" s="56"/>
      <c r="D2059" s="56"/>
      <c r="E2059" s="56"/>
      <c r="F2059" s="56"/>
      <c r="G2059" s="57"/>
    </row>
    <row r="2060" spans="8:8" ht="32.25" customHeight="1">
      <c r="A2060" s="55"/>
      <c r="B2060" s="56"/>
      <c r="C2060" s="56"/>
      <c r="D2060" s="56"/>
      <c r="E2060" s="56"/>
      <c r="F2060" s="56"/>
      <c r="G2060" s="57"/>
    </row>
    <row r="2061" spans="8:8" ht="32.25" customHeight="1">
      <c r="A2061" s="55"/>
      <c r="B2061" s="56"/>
      <c r="C2061" s="56"/>
      <c r="D2061" s="56"/>
      <c r="E2061" s="56"/>
      <c r="F2061" s="56"/>
      <c r="G2061" s="57"/>
    </row>
    <row r="2062" spans="8:8" ht="32.25" customHeight="1">
      <c r="A2062" s="55"/>
      <c r="B2062" s="56"/>
      <c r="C2062" s="56"/>
      <c r="D2062" s="56"/>
      <c r="E2062" s="56"/>
      <c r="F2062" s="56"/>
      <c r="G2062" s="57"/>
    </row>
    <row r="2063" spans="8:8" ht="32.25" customHeight="1">
      <c r="A2063" s="55"/>
      <c r="B2063" s="56"/>
      <c r="C2063" s="56"/>
      <c r="D2063" s="56"/>
      <c r="E2063" s="56"/>
      <c r="F2063" s="56"/>
      <c r="G2063" s="57"/>
    </row>
    <row r="2064" spans="8:8" ht="32.25" customHeight="1">
      <c r="A2064" s="55"/>
      <c r="B2064" s="56"/>
      <c r="C2064" s="56"/>
      <c r="D2064" s="56"/>
      <c r="E2064" s="56"/>
      <c r="F2064" s="56"/>
      <c r="G2064" s="57"/>
    </row>
    <row r="2065" spans="8:8" ht="32.25" customHeight="1">
      <c r="A2065" s="55"/>
      <c r="B2065" s="56"/>
      <c r="C2065" s="56"/>
      <c r="D2065" s="56"/>
      <c r="E2065" s="56"/>
      <c r="F2065" s="56"/>
      <c r="G2065" s="57"/>
    </row>
    <row r="2066" spans="8:8" ht="32.25" customHeight="1">
      <c r="A2066" s="55"/>
      <c r="B2066" s="56"/>
      <c r="C2066" s="56"/>
      <c r="D2066" s="56"/>
      <c r="E2066" s="56"/>
      <c r="F2066" s="56"/>
      <c r="G2066" s="57"/>
    </row>
    <row r="2067" spans="8:8" ht="32.25" customHeight="1">
      <c r="A2067" s="55"/>
      <c r="B2067" s="56"/>
      <c r="C2067" s="56"/>
      <c r="D2067" s="56"/>
      <c r="E2067" s="56"/>
      <c r="F2067" s="56"/>
      <c r="G2067" s="57"/>
    </row>
    <row r="2068" spans="8:8" ht="32.25" customHeight="1">
      <c r="A2068" s="55"/>
      <c r="B2068" s="56"/>
      <c r="C2068" s="56"/>
      <c r="D2068" s="56"/>
      <c r="E2068" s="56"/>
      <c r="F2068" s="56"/>
      <c r="G2068" s="57"/>
    </row>
    <row r="2069" spans="8:8" ht="32.25" customHeight="1">
      <c r="A2069" s="55"/>
      <c r="B2069" s="56"/>
      <c r="C2069" s="56"/>
      <c r="D2069" s="56"/>
      <c r="E2069" s="56"/>
      <c r="F2069" s="56"/>
      <c r="G2069" s="57"/>
    </row>
    <row r="2070" spans="8:8" ht="32.25" customHeight="1">
      <c r="A2070" s="55"/>
      <c r="B2070" s="56"/>
      <c r="C2070" s="56"/>
      <c r="D2070" s="56"/>
      <c r="E2070" s="56"/>
      <c r="F2070" s="56"/>
      <c r="G2070" s="57"/>
    </row>
    <row r="2071" spans="8:8" ht="32.25" customHeight="1">
      <c r="A2071" s="55"/>
      <c r="B2071" s="56"/>
      <c r="C2071" s="56"/>
      <c r="D2071" s="56"/>
      <c r="E2071" s="56"/>
      <c r="F2071" s="56"/>
      <c r="G2071" s="57"/>
    </row>
    <row r="2072" spans="8:8" ht="32.25" customHeight="1">
      <c r="A2072" s="55"/>
      <c r="B2072" s="56"/>
      <c r="C2072" s="56"/>
      <c r="D2072" s="56"/>
      <c r="E2072" s="56"/>
      <c r="F2072" s="56"/>
      <c r="G2072" s="57"/>
    </row>
    <row r="2073" spans="8:8" ht="32.25" customHeight="1">
      <c r="A2073" s="55"/>
      <c r="B2073" s="56"/>
      <c r="C2073" s="56"/>
      <c r="D2073" s="56"/>
      <c r="E2073" s="56"/>
      <c r="F2073" s="56"/>
      <c r="G2073" s="57"/>
    </row>
    <row r="2074" spans="8:8" ht="32.25" customHeight="1">
      <c r="A2074" s="55"/>
      <c r="B2074" s="56"/>
      <c r="C2074" s="56"/>
      <c r="D2074" s="56"/>
      <c r="E2074" s="56"/>
      <c r="F2074" s="56"/>
      <c r="G2074" s="57"/>
    </row>
    <row r="2075" spans="8:8" ht="32.25" customHeight="1">
      <c r="A2075" s="55"/>
      <c r="B2075" s="56"/>
      <c r="C2075" s="56"/>
      <c r="D2075" s="56"/>
      <c r="E2075" s="56"/>
      <c r="F2075" s="56"/>
      <c r="G2075" s="57"/>
    </row>
    <row r="2076" spans="8:8" ht="32.25" customHeight="1">
      <c r="A2076" s="55"/>
      <c r="B2076" s="56"/>
      <c r="C2076" s="56"/>
      <c r="D2076" s="56"/>
      <c r="E2076" s="56"/>
      <c r="F2076" s="56"/>
      <c r="G2076" s="57"/>
    </row>
    <row r="2077" spans="8:8" ht="32.25" customHeight="1">
      <c r="A2077" s="55"/>
      <c r="B2077" s="56"/>
      <c r="C2077" s="56"/>
      <c r="D2077" s="56"/>
      <c r="E2077" s="56"/>
      <c r="F2077" s="56"/>
      <c r="G2077" s="57"/>
    </row>
    <row r="2078" spans="8:8" ht="32.25" customHeight="1">
      <c r="A2078" s="55"/>
      <c r="B2078" s="56"/>
      <c r="C2078" s="56"/>
      <c r="D2078" s="56"/>
      <c r="E2078" s="56"/>
      <c r="F2078" s="56"/>
      <c r="G2078" s="57"/>
    </row>
    <row r="2079" spans="8:8" ht="32.25" customHeight="1">
      <c r="A2079" s="55"/>
      <c r="B2079" s="56"/>
      <c r="C2079" s="56"/>
      <c r="D2079" s="56"/>
      <c r="E2079" s="56"/>
      <c r="F2079" s="56"/>
      <c r="G2079" s="57"/>
    </row>
    <row r="2080" spans="8:8" ht="32.25" customHeight="1">
      <c r="A2080" s="55"/>
      <c r="B2080" s="56"/>
      <c r="C2080" s="56"/>
      <c r="D2080" s="56"/>
      <c r="E2080" s="56"/>
      <c r="F2080" s="56"/>
      <c r="G2080" s="57"/>
    </row>
    <row r="2081" spans="8:8" ht="32.25" customHeight="1">
      <c r="A2081" s="55"/>
      <c r="B2081" s="56"/>
      <c r="C2081" s="56"/>
      <c r="D2081" s="56"/>
      <c r="E2081" s="56"/>
      <c r="F2081" s="56"/>
      <c r="G2081" s="57"/>
    </row>
    <row r="2082" spans="8:8" ht="32.25" customHeight="1">
      <c r="A2082" s="55"/>
      <c r="B2082" s="56"/>
      <c r="C2082" s="56"/>
      <c r="D2082" s="56"/>
      <c r="E2082" s="56"/>
      <c r="F2082" s="56"/>
      <c r="G2082" s="57"/>
    </row>
    <row r="2083" spans="8:8" ht="32.25" customHeight="1">
      <c r="A2083" s="55"/>
      <c r="B2083" s="56"/>
      <c r="C2083" s="56"/>
      <c r="D2083" s="56"/>
      <c r="E2083" s="56"/>
      <c r="F2083" s="56"/>
      <c r="G2083" s="57"/>
    </row>
    <row r="2084" spans="8:8" ht="32.25" customHeight="1">
      <c r="A2084" s="55"/>
      <c r="B2084" s="56"/>
      <c r="C2084" s="56"/>
      <c r="D2084" s="56"/>
      <c r="E2084" s="56"/>
      <c r="F2084" s="56"/>
      <c r="G2084" s="57"/>
    </row>
    <row r="2085" spans="8:8" ht="32.25" customHeight="1">
      <c r="A2085" s="55"/>
      <c r="B2085" s="56"/>
      <c r="C2085" s="56"/>
      <c r="D2085" s="56"/>
      <c r="E2085" s="56"/>
      <c r="F2085" s="56"/>
      <c r="G2085" s="57"/>
    </row>
    <row r="2086" spans="8:8" ht="32.25" customHeight="1">
      <c r="A2086" s="55"/>
      <c r="B2086" s="56"/>
      <c r="C2086" s="56"/>
      <c r="D2086" s="56"/>
      <c r="E2086" s="56"/>
      <c r="F2086" s="56"/>
      <c r="G2086" s="57"/>
    </row>
    <row r="2087" spans="8:8" ht="32.25" customHeight="1">
      <c r="A2087" s="55"/>
      <c r="B2087" s="56"/>
      <c r="C2087" s="56"/>
      <c r="D2087" s="56"/>
      <c r="E2087" s="56"/>
      <c r="F2087" s="56"/>
      <c r="G2087" s="57"/>
    </row>
    <row r="2088" spans="8:8" ht="32.25" customHeight="1">
      <c r="A2088" s="55"/>
      <c r="B2088" s="56"/>
      <c r="C2088" s="56"/>
      <c r="D2088" s="56"/>
      <c r="E2088" s="56"/>
      <c r="F2088" s="56"/>
      <c r="G2088" s="57"/>
    </row>
    <row r="2089" spans="8:8" ht="32.25" customHeight="1">
      <c r="A2089" s="55"/>
      <c r="B2089" s="56"/>
      <c r="C2089" s="56"/>
      <c r="D2089" s="56"/>
      <c r="E2089" s="56"/>
      <c r="F2089" s="56"/>
      <c r="G2089" s="57"/>
    </row>
    <row r="2090" spans="8:8" ht="32.25" customHeight="1">
      <c r="A2090" s="55"/>
      <c r="B2090" s="56"/>
      <c r="C2090" s="56"/>
      <c r="D2090" s="56"/>
      <c r="E2090" s="56"/>
      <c r="F2090" s="56"/>
      <c r="G2090" s="57"/>
    </row>
    <row r="2091" spans="8:8" ht="32.25" customHeight="1">
      <c r="A2091" s="55"/>
      <c r="B2091" s="56"/>
      <c r="C2091" s="56"/>
      <c r="D2091" s="56"/>
      <c r="E2091" s="56"/>
      <c r="F2091" s="56"/>
      <c r="G2091" s="57"/>
    </row>
    <row r="2092" spans="8:8" ht="32.25" customHeight="1">
      <c r="A2092" s="55"/>
      <c r="B2092" s="56"/>
      <c r="C2092" s="56"/>
      <c r="D2092" s="56"/>
      <c r="E2092" s="56"/>
      <c r="F2092" s="56"/>
      <c r="G2092" s="57"/>
    </row>
    <row r="2093" spans="8:8" ht="32.25" customHeight="1">
      <c r="A2093" s="55"/>
      <c r="B2093" s="56"/>
      <c r="C2093" s="56"/>
      <c r="D2093" s="56"/>
      <c r="E2093" s="56"/>
      <c r="F2093" s="56"/>
      <c r="G2093" s="57"/>
    </row>
    <row r="2094" spans="8:8" ht="32.25" customHeight="1">
      <c r="A2094" s="55"/>
      <c r="B2094" s="56"/>
      <c r="C2094" s="56"/>
      <c r="D2094" s="56"/>
      <c r="E2094" s="56"/>
      <c r="F2094" s="56"/>
      <c r="G2094" s="57"/>
    </row>
    <row r="2095" spans="8:8" ht="32.25" customHeight="1">
      <c r="A2095" s="55"/>
      <c r="B2095" s="56"/>
      <c r="C2095" s="56"/>
      <c r="D2095" s="56"/>
      <c r="E2095" s="56"/>
      <c r="F2095" s="56"/>
      <c r="G2095" s="57"/>
    </row>
    <row r="2096" spans="8:8" ht="32.25" customHeight="1">
      <c r="A2096" s="55"/>
      <c r="B2096" s="56"/>
      <c r="C2096" s="56"/>
      <c r="D2096" s="56"/>
      <c r="E2096" s="56"/>
      <c r="F2096" s="56"/>
      <c r="G2096" s="57"/>
    </row>
    <row r="2097" spans="8:8" ht="32.25" customHeight="1">
      <c r="A2097" s="55"/>
      <c r="B2097" s="56"/>
      <c r="C2097" s="56"/>
      <c r="D2097" s="56"/>
      <c r="E2097" s="56"/>
      <c r="F2097" s="56"/>
      <c r="G2097" s="57"/>
    </row>
    <row r="2098" spans="8:8" ht="32.25" customHeight="1">
      <c r="A2098" s="55"/>
      <c r="B2098" s="56"/>
      <c r="C2098" s="56"/>
      <c r="D2098" s="56"/>
      <c r="E2098" s="56"/>
      <c r="F2098" s="56"/>
      <c r="G2098" s="57"/>
    </row>
    <row r="2099" spans="8:8" ht="32.25" customHeight="1">
      <c r="A2099" s="55"/>
      <c r="B2099" s="56"/>
      <c r="C2099" s="56"/>
      <c r="D2099" s="56"/>
      <c r="E2099" s="56"/>
      <c r="F2099" s="56"/>
      <c r="G2099" s="57"/>
    </row>
    <row r="2100" spans="8:8" ht="32.25" customHeight="1">
      <c r="A2100" s="55"/>
      <c r="B2100" s="56"/>
      <c r="C2100" s="56"/>
      <c r="D2100" s="56"/>
      <c r="E2100" s="56"/>
      <c r="F2100" s="56"/>
      <c r="G2100" s="57"/>
    </row>
    <row r="2101" spans="8:8" ht="32.25" customHeight="1">
      <c r="A2101" s="55"/>
      <c r="B2101" s="56"/>
      <c r="C2101" s="56"/>
      <c r="D2101" s="56"/>
      <c r="E2101" s="56"/>
      <c r="F2101" s="56"/>
      <c r="G2101" s="57"/>
    </row>
    <row r="2102" spans="8:8" ht="32.25" customHeight="1">
      <c r="A2102" s="55"/>
      <c r="B2102" s="56"/>
      <c r="C2102" s="56"/>
      <c r="D2102" s="56"/>
      <c r="E2102" s="56"/>
      <c r="F2102" s="56"/>
      <c r="G2102" s="57"/>
    </row>
    <row r="2103" spans="8:8" ht="32.25" customHeight="1">
      <c r="A2103" s="55"/>
      <c r="B2103" s="56"/>
      <c r="C2103" s="56"/>
      <c r="D2103" s="56"/>
      <c r="E2103" s="56"/>
      <c r="F2103" s="56"/>
      <c r="G2103" s="57"/>
    </row>
    <row r="2104" spans="8:8" ht="32.25" customHeight="1">
      <c r="A2104" s="55"/>
      <c r="B2104" s="56"/>
      <c r="C2104" s="56"/>
      <c r="D2104" s="56"/>
      <c r="E2104" s="56"/>
      <c r="F2104" s="56"/>
      <c r="G2104" s="57"/>
    </row>
    <row r="2105" spans="8:8" ht="32.25" customHeight="1">
      <c r="A2105" s="55"/>
      <c r="B2105" s="56"/>
      <c r="C2105" s="56"/>
      <c r="D2105" s="56"/>
      <c r="E2105" s="56"/>
      <c r="F2105" s="56"/>
      <c r="G2105" s="57"/>
    </row>
    <row r="2106" spans="8:8" ht="32.25" customHeight="1">
      <c r="A2106" s="55"/>
      <c r="B2106" s="56"/>
      <c r="C2106" s="56"/>
      <c r="D2106" s="56"/>
      <c r="E2106" s="56"/>
      <c r="F2106" s="56"/>
      <c r="G2106" s="57"/>
    </row>
    <row r="2107" spans="8:8" ht="32.25" customHeight="1">
      <c r="A2107" s="55"/>
      <c r="B2107" s="56"/>
      <c r="C2107" s="56"/>
      <c r="D2107" s="56"/>
      <c r="E2107" s="56"/>
      <c r="F2107" s="56"/>
      <c r="G2107" s="57"/>
    </row>
    <row r="2108" spans="8:8" ht="32.25" customHeight="1">
      <c r="A2108" s="55"/>
      <c r="B2108" s="56"/>
      <c r="C2108" s="56"/>
      <c r="D2108" s="56"/>
      <c r="E2108" s="56"/>
      <c r="F2108" s="56"/>
      <c r="G2108" s="57"/>
    </row>
    <row r="2109" spans="8:8" ht="32.25" customHeight="1">
      <c r="A2109" s="55"/>
      <c r="B2109" s="56"/>
      <c r="C2109" s="56"/>
      <c r="D2109" s="56"/>
      <c r="E2109" s="56"/>
      <c r="F2109" s="56"/>
      <c r="G2109" s="57"/>
    </row>
    <row r="2110" spans="8:8" ht="32.25" customHeight="1">
      <c r="A2110" s="55"/>
      <c r="B2110" s="56"/>
      <c r="C2110" s="56"/>
      <c r="D2110" s="56"/>
      <c r="E2110" s="56"/>
      <c r="F2110" s="56"/>
      <c r="G2110" s="57"/>
    </row>
    <row r="2111" spans="8:8" ht="32.25" customHeight="1">
      <c r="A2111" s="55"/>
      <c r="B2111" s="56"/>
      <c r="C2111" s="56"/>
      <c r="D2111" s="56"/>
      <c r="E2111" s="56"/>
      <c r="F2111" s="56"/>
      <c r="G2111" s="57"/>
    </row>
    <row r="2112" spans="8:8" ht="32.25" customHeight="1">
      <c r="A2112" s="55"/>
      <c r="B2112" s="56"/>
      <c r="C2112" s="56"/>
      <c r="D2112" s="56"/>
      <c r="E2112" s="56"/>
      <c r="F2112" s="56"/>
      <c r="G2112" s="57"/>
    </row>
    <row r="2113" spans="8:8" ht="32.25" customHeight="1">
      <c r="A2113" s="55"/>
      <c r="B2113" s="56"/>
      <c r="C2113" s="56"/>
      <c r="D2113" s="56"/>
      <c r="E2113" s="56"/>
      <c r="F2113" s="56"/>
      <c r="G2113" s="57"/>
    </row>
    <row r="2114" spans="8:8" ht="32.25" customHeight="1">
      <c r="A2114" s="55"/>
      <c r="B2114" s="56"/>
      <c r="C2114" s="56"/>
      <c r="D2114" s="56"/>
      <c r="E2114" s="56"/>
      <c r="F2114" s="56"/>
      <c r="G2114" s="57"/>
    </row>
    <row r="2115" spans="8:8" ht="32.25" customHeight="1">
      <c r="A2115" s="55"/>
      <c r="B2115" s="56"/>
      <c r="C2115" s="56"/>
      <c r="D2115" s="56"/>
      <c r="E2115" s="56"/>
      <c r="F2115" s="56"/>
      <c r="G2115" s="57"/>
    </row>
    <row r="2116" spans="8:8" ht="32.25" customHeight="1">
      <c r="A2116" s="55"/>
      <c r="B2116" s="56"/>
      <c r="C2116" s="56"/>
      <c r="D2116" s="56"/>
      <c r="E2116" s="56"/>
      <c r="F2116" s="56"/>
      <c r="G2116" s="57"/>
    </row>
    <row r="2117" spans="8:8" ht="32.25" customHeight="1">
      <c r="A2117" s="55"/>
      <c r="B2117" s="56"/>
      <c r="C2117" s="56"/>
      <c r="D2117" s="56"/>
      <c r="E2117" s="56"/>
      <c r="F2117" s="56"/>
      <c r="G2117" s="57"/>
    </row>
    <row r="2118" spans="8:8" ht="32.25" customHeight="1">
      <c r="A2118" s="55"/>
      <c r="B2118" s="56"/>
      <c r="C2118" s="56"/>
      <c r="D2118" s="56"/>
      <c r="E2118" s="56"/>
      <c r="F2118" s="56"/>
      <c r="G2118" s="57"/>
    </row>
    <row r="2119" spans="8:8" ht="32.25" customHeight="1">
      <c r="A2119" s="55"/>
      <c r="B2119" s="56"/>
      <c r="C2119" s="56"/>
      <c r="D2119" s="56"/>
      <c r="E2119" s="56"/>
      <c r="F2119" s="56"/>
      <c r="G2119" s="57"/>
    </row>
    <row r="2120" spans="8:8" ht="32.25" customHeight="1">
      <c r="A2120" s="55"/>
      <c r="B2120" s="56"/>
      <c r="C2120" s="56"/>
      <c r="D2120" s="56"/>
      <c r="E2120" s="56"/>
      <c r="F2120" s="56"/>
      <c r="G2120" s="57"/>
    </row>
    <row r="2121" spans="8:8" ht="32.25" customHeight="1">
      <c r="A2121" s="55"/>
      <c r="B2121" s="56"/>
      <c r="C2121" s="56"/>
      <c r="D2121" s="56"/>
      <c r="E2121" s="56"/>
      <c r="F2121" s="56"/>
      <c r="G2121" s="57"/>
    </row>
    <row r="2122" spans="8:8" ht="32.25" customHeight="1">
      <c r="A2122" s="55"/>
      <c r="B2122" s="56"/>
      <c r="C2122" s="56"/>
      <c r="D2122" s="56"/>
      <c r="E2122" s="56"/>
      <c r="F2122" s="56"/>
      <c r="G2122" s="57"/>
    </row>
    <row r="2123" spans="8:8" ht="32.25" customHeight="1">
      <c r="A2123" s="55"/>
      <c r="B2123" s="56"/>
      <c r="C2123" s="56"/>
      <c r="D2123" s="56"/>
      <c r="E2123" s="56"/>
      <c r="F2123" s="56"/>
      <c r="G2123" s="57"/>
    </row>
    <row r="2124" spans="8:8" ht="32.25" customHeight="1">
      <c r="A2124" s="55"/>
      <c r="B2124" s="56"/>
      <c r="C2124" s="56"/>
      <c r="D2124" s="56"/>
      <c r="E2124" s="56"/>
      <c r="F2124" s="56"/>
      <c r="G2124" s="57"/>
    </row>
    <row r="2125" spans="8:8" ht="32.25" customHeight="1">
      <c r="A2125" s="55"/>
      <c r="B2125" s="56"/>
      <c r="C2125" s="56"/>
      <c r="D2125" s="56"/>
      <c r="E2125" s="56"/>
      <c r="F2125" s="56"/>
      <c r="G2125" s="57"/>
    </row>
    <row r="2126" spans="8:8" ht="32.25" customHeight="1">
      <c r="A2126" s="55"/>
      <c r="B2126" s="56"/>
      <c r="C2126" s="56"/>
      <c r="D2126" s="56"/>
      <c r="E2126" s="56"/>
      <c r="F2126" s="56"/>
      <c r="G2126" s="57"/>
    </row>
    <row r="2127" spans="8:8" ht="32.25" customHeight="1">
      <c r="A2127" s="55"/>
      <c r="B2127" s="56"/>
      <c r="C2127" s="56"/>
      <c r="D2127" s="56"/>
      <c r="E2127" s="56"/>
      <c r="F2127" s="56"/>
      <c r="G2127" s="57"/>
    </row>
    <row r="2128" spans="8:8" ht="32.25" customHeight="1">
      <c r="A2128" s="55"/>
      <c r="B2128" s="56"/>
      <c r="C2128" s="56"/>
      <c r="D2128" s="56"/>
      <c r="E2128" s="56"/>
      <c r="F2128" s="56"/>
      <c r="G2128" s="57"/>
    </row>
    <row r="2129" spans="8:8" ht="32.25" customHeight="1">
      <c r="A2129" s="55"/>
      <c r="B2129" s="56"/>
      <c r="C2129" s="56"/>
      <c r="D2129" s="56"/>
      <c r="E2129" s="56"/>
      <c r="F2129" s="56"/>
      <c r="G2129" s="57"/>
    </row>
    <row r="2130" spans="8:8" ht="32.25" customHeight="1">
      <c r="A2130" s="55"/>
      <c r="B2130" s="56"/>
      <c r="C2130" s="56"/>
      <c r="D2130" s="56"/>
      <c r="E2130" s="56"/>
      <c r="F2130" s="56"/>
      <c r="G2130" s="57"/>
    </row>
    <row r="2131" spans="8:8" ht="32.25" customHeight="1">
      <c r="A2131" s="55"/>
      <c r="B2131" s="56"/>
      <c r="C2131" s="56"/>
      <c r="D2131" s="56"/>
      <c r="E2131" s="56"/>
      <c r="F2131" s="56"/>
      <c r="G2131" s="57"/>
    </row>
    <row r="2132" spans="8:8" ht="32.25" customHeight="1">
      <c r="A2132" s="55"/>
      <c r="B2132" s="56"/>
      <c r="C2132" s="56"/>
      <c r="D2132" s="56"/>
      <c r="E2132" s="56"/>
      <c r="F2132" s="56"/>
      <c r="G2132" s="57"/>
    </row>
    <row r="2133" spans="8:8" ht="32.25" customHeight="1">
      <c r="A2133" s="55"/>
      <c r="B2133" s="56"/>
      <c r="C2133" s="56"/>
      <c r="D2133" s="56"/>
      <c r="E2133" s="56"/>
      <c r="F2133" s="56"/>
      <c r="G2133" s="57"/>
    </row>
    <row r="2134" spans="8:8" ht="32.25" customHeight="1">
      <c r="A2134" s="55"/>
      <c r="B2134" s="56"/>
      <c r="C2134" s="56"/>
      <c r="D2134" s="56"/>
      <c r="E2134" s="56"/>
      <c r="F2134" s="56"/>
      <c r="G2134" s="57"/>
    </row>
    <row r="2135" spans="8:8" ht="32.25" customHeight="1">
      <c r="A2135" s="55"/>
      <c r="B2135" s="56"/>
      <c r="C2135" s="56"/>
      <c r="D2135" s="56"/>
      <c r="E2135" s="56"/>
      <c r="F2135" s="56"/>
      <c r="G2135" s="57"/>
    </row>
    <row r="2136" spans="8:8" ht="32.25" customHeight="1">
      <c r="A2136" s="55"/>
      <c r="B2136" s="56"/>
      <c r="C2136" s="56"/>
      <c r="D2136" s="56"/>
      <c r="E2136" s="56"/>
      <c r="F2136" s="56"/>
      <c r="G2136" s="57"/>
    </row>
    <row r="2137" spans="8:8" ht="32.25" customHeight="1">
      <c r="A2137" s="55"/>
      <c r="B2137" s="56"/>
      <c r="C2137" s="56"/>
      <c r="D2137" s="56"/>
      <c r="E2137" s="56"/>
      <c r="F2137" s="56"/>
      <c r="G2137" s="57"/>
    </row>
    <row r="2138" spans="8:8" ht="32.25" customHeight="1">
      <c r="A2138" s="55"/>
      <c r="B2138" s="56"/>
      <c r="C2138" s="56"/>
      <c r="D2138" s="56"/>
      <c r="E2138" s="56"/>
      <c r="F2138" s="56"/>
      <c r="G2138" s="57"/>
    </row>
    <row r="2139" spans="8:8" ht="32.25" customHeight="1">
      <c r="A2139" s="55"/>
      <c r="B2139" s="56"/>
      <c r="C2139" s="56"/>
      <c r="D2139" s="56"/>
      <c r="E2139" s="56"/>
      <c r="F2139" s="56"/>
      <c r="G2139" s="57"/>
    </row>
    <row r="2140" spans="8:8" ht="32.25" customHeight="1">
      <c r="A2140" s="55"/>
      <c r="B2140" s="56"/>
      <c r="C2140" s="56"/>
      <c r="D2140" s="56"/>
      <c r="E2140" s="56"/>
      <c r="F2140" s="56"/>
      <c r="G2140" s="57"/>
    </row>
    <row r="2141" spans="8:8" ht="32.25" customHeight="1">
      <c r="A2141" s="55"/>
      <c r="B2141" s="56"/>
      <c r="C2141" s="56"/>
      <c r="D2141" s="56"/>
      <c r="E2141" s="56"/>
      <c r="F2141" s="56"/>
      <c r="G2141" s="57"/>
    </row>
    <row r="2142" spans="8:8" ht="32.25" customHeight="1">
      <c r="A2142" s="55"/>
      <c r="B2142" s="56"/>
      <c r="C2142" s="56"/>
      <c r="D2142" s="56"/>
      <c r="E2142" s="56"/>
      <c r="F2142" s="56"/>
      <c r="G2142" s="57"/>
    </row>
    <row r="2143" spans="8:8" ht="32.25" customHeight="1">
      <c r="A2143" s="55"/>
      <c r="B2143" s="56"/>
      <c r="C2143" s="56"/>
      <c r="D2143" s="56"/>
      <c r="E2143" s="56"/>
      <c r="F2143" s="56"/>
      <c r="G2143" s="57"/>
    </row>
    <row r="2144" spans="8:8" ht="32.25" customHeight="1">
      <c r="A2144" s="55"/>
      <c r="B2144" s="56"/>
      <c r="C2144" s="56"/>
      <c r="D2144" s="56"/>
      <c r="E2144" s="56"/>
      <c r="F2144" s="56"/>
      <c r="G2144" s="57"/>
    </row>
    <row r="2145" spans="8:8" ht="32.25" customHeight="1">
      <c r="A2145" s="55"/>
      <c r="B2145" s="56"/>
      <c r="C2145" s="56"/>
      <c r="D2145" s="56"/>
      <c r="E2145" s="56"/>
      <c r="F2145" s="56"/>
      <c r="G2145" s="57"/>
    </row>
    <row r="2146" spans="8:8" ht="32.25" customHeight="1">
      <c r="A2146" s="55"/>
      <c r="B2146" s="56"/>
      <c r="C2146" s="56"/>
      <c r="D2146" s="56"/>
      <c r="E2146" s="56"/>
      <c r="F2146" s="56"/>
      <c r="G2146" s="57"/>
    </row>
    <row r="2147" spans="8:8" ht="32.25" customHeight="1">
      <c r="A2147" s="55"/>
      <c r="B2147" s="56"/>
      <c r="C2147" s="56"/>
      <c r="D2147" s="56"/>
      <c r="E2147" s="56"/>
      <c r="F2147" s="56"/>
      <c r="G2147" s="57"/>
    </row>
    <row r="2148" spans="8:8" ht="32.25" customHeight="1">
      <c r="A2148" s="55"/>
      <c r="B2148" s="56"/>
      <c r="C2148" s="56"/>
      <c r="D2148" s="56"/>
      <c r="E2148" s="56"/>
      <c r="F2148" s="56"/>
      <c r="G2148" s="57"/>
    </row>
    <row r="2149" spans="8:8" ht="32.25" customHeight="1">
      <c r="A2149" s="55"/>
      <c r="B2149" s="56"/>
      <c r="C2149" s="56"/>
      <c r="D2149" s="56"/>
      <c r="E2149" s="56"/>
      <c r="F2149" s="56"/>
      <c r="G2149" s="57"/>
    </row>
    <row r="2150" spans="8:8" ht="32.25" customHeight="1">
      <c r="A2150" s="55"/>
      <c r="B2150" s="56"/>
      <c r="C2150" s="56"/>
      <c r="D2150" s="56"/>
      <c r="E2150" s="56"/>
      <c r="F2150" s="56"/>
      <c r="G2150" s="57"/>
    </row>
    <row r="2151" spans="8:8" ht="32.25" customHeight="1">
      <c r="A2151" s="55"/>
      <c r="B2151" s="56"/>
      <c r="C2151" s="56"/>
      <c r="D2151" s="56"/>
      <c r="E2151" s="56"/>
      <c r="F2151" s="56"/>
      <c r="G2151" s="57"/>
    </row>
    <row r="2152" spans="8:8" ht="32.25" customHeight="1">
      <c r="A2152" s="55"/>
      <c r="B2152" s="56"/>
      <c r="C2152" s="56"/>
      <c r="D2152" s="56"/>
      <c r="E2152" s="56"/>
      <c r="F2152" s="56"/>
      <c r="G2152" s="57"/>
    </row>
    <row r="2153" spans="8:8" ht="32.25" customHeight="1">
      <c r="A2153" s="55"/>
      <c r="B2153" s="56"/>
      <c r="C2153" s="56"/>
      <c r="D2153" s="56"/>
      <c r="E2153" s="56"/>
      <c r="F2153" s="56"/>
      <c r="G2153" s="57"/>
    </row>
    <row r="2154" spans="8:8" ht="32.25" customHeight="1">
      <c r="A2154" s="55"/>
      <c r="B2154" s="56"/>
      <c r="C2154" s="56"/>
      <c r="D2154" s="56"/>
      <c r="E2154" s="56"/>
      <c r="F2154" s="56"/>
      <c r="G2154" s="57"/>
    </row>
    <row r="2155" spans="8:8" ht="32.25" customHeight="1">
      <c r="A2155" s="55"/>
      <c r="B2155" s="56"/>
      <c r="C2155" s="56"/>
      <c r="D2155" s="56"/>
      <c r="E2155" s="56"/>
      <c r="F2155" s="56"/>
      <c r="G2155" s="57"/>
    </row>
    <row r="2156" spans="8:8" ht="32.25" customHeight="1">
      <c r="A2156" s="55"/>
      <c r="B2156" s="56"/>
      <c r="C2156" s="56"/>
      <c r="D2156" s="56"/>
      <c r="E2156" s="56"/>
      <c r="F2156" s="56"/>
      <c r="G2156" s="57"/>
    </row>
    <row r="2157" spans="8:8" ht="32.25" customHeight="1">
      <c r="A2157" s="55"/>
      <c r="B2157" s="56"/>
      <c r="C2157" s="56"/>
      <c r="D2157" s="56"/>
      <c r="E2157" s="56"/>
      <c r="F2157" s="56"/>
      <c r="G2157" s="57"/>
    </row>
    <row r="2158" spans="8:8" ht="32.25" customHeight="1">
      <c r="A2158" s="55"/>
      <c r="B2158" s="56"/>
      <c r="C2158" s="56"/>
      <c r="D2158" s="56"/>
      <c r="E2158" s="56"/>
      <c r="F2158" s="56"/>
      <c r="G2158" s="57"/>
    </row>
    <row r="2159" spans="8:8" ht="32.25" customHeight="1">
      <c r="A2159" s="55"/>
      <c r="B2159" s="56"/>
      <c r="C2159" s="56"/>
      <c r="D2159" s="56"/>
      <c r="E2159" s="56"/>
      <c r="F2159" s="56"/>
      <c r="G2159" s="57"/>
    </row>
    <row r="2160" spans="8:8" ht="32.25" customHeight="1">
      <c r="A2160" s="55"/>
      <c r="B2160" s="56"/>
      <c r="C2160" s="56"/>
      <c r="D2160" s="56"/>
      <c r="E2160" s="56"/>
      <c r="F2160" s="56"/>
      <c r="G2160" s="57"/>
    </row>
    <row r="2161" spans="8:8" ht="32.25" customHeight="1">
      <c r="A2161" s="55"/>
      <c r="B2161" s="56"/>
      <c r="C2161" s="56"/>
      <c r="D2161" s="56"/>
      <c r="E2161" s="56"/>
      <c r="F2161" s="56"/>
      <c r="G2161" s="57"/>
    </row>
    <row r="2162" spans="8:8" ht="32.25" customHeight="1">
      <c r="A2162" s="55"/>
      <c r="B2162" s="56"/>
      <c r="C2162" s="56"/>
      <c r="D2162" s="56"/>
      <c r="E2162" s="56"/>
      <c r="F2162" s="56"/>
      <c r="G2162" s="57"/>
    </row>
    <row r="2163" spans="8:8" ht="32.25" customHeight="1">
      <c r="A2163" s="55"/>
      <c r="B2163" s="56"/>
      <c r="C2163" s="56"/>
      <c r="D2163" s="56"/>
      <c r="E2163" s="56"/>
      <c r="F2163" s="56"/>
      <c r="G2163" s="57"/>
    </row>
    <row r="2164" spans="8:8" ht="32.25" customHeight="1">
      <c r="A2164" s="55"/>
      <c r="B2164" s="56"/>
      <c r="C2164" s="56"/>
      <c r="D2164" s="56"/>
      <c r="E2164" s="56"/>
      <c r="F2164" s="56"/>
      <c r="G2164" s="57"/>
    </row>
    <row r="2165" spans="8:8" ht="32.25" customHeight="1">
      <c r="A2165" s="55"/>
      <c r="B2165" s="56"/>
      <c r="C2165" s="56"/>
      <c r="D2165" s="56"/>
      <c r="E2165" s="56"/>
      <c r="F2165" s="56"/>
      <c r="G2165" s="57"/>
    </row>
    <row r="2166" spans="8:8" ht="32.25" customHeight="1">
      <c r="A2166" s="55"/>
      <c r="B2166" s="56"/>
      <c r="C2166" s="56"/>
      <c r="D2166" s="56"/>
      <c r="E2166" s="56"/>
      <c r="F2166" s="56"/>
      <c r="G2166" s="57"/>
    </row>
    <row r="2167" spans="8:8" ht="32.25" customHeight="1">
      <c r="A2167" s="55"/>
      <c r="B2167" s="56"/>
      <c r="C2167" s="56"/>
      <c r="D2167" s="56"/>
      <c r="E2167" s="56"/>
      <c r="F2167" s="56"/>
      <c r="G2167" s="57"/>
    </row>
    <row r="2168" spans="8:8" ht="32.25" customHeight="1">
      <c r="A2168" s="55"/>
      <c r="B2168" s="56"/>
      <c r="C2168" s="56"/>
      <c r="D2168" s="56"/>
      <c r="E2168" s="56"/>
      <c r="F2168" s="56"/>
      <c r="G2168" s="57"/>
    </row>
    <row r="2169" spans="8:8" ht="32.25" customHeight="1">
      <c r="A2169" s="55"/>
      <c r="B2169" s="56"/>
      <c r="C2169" s="56"/>
      <c r="D2169" s="56"/>
      <c r="E2169" s="56"/>
      <c r="F2169" s="56"/>
      <c r="G2169" s="57"/>
    </row>
    <row r="2170" spans="8:8" ht="32.25" customHeight="1">
      <c r="A2170" s="55"/>
      <c r="B2170" s="56"/>
      <c r="C2170" s="56"/>
      <c r="D2170" s="56"/>
      <c r="E2170" s="56"/>
      <c r="F2170" s="56"/>
      <c r="G2170" s="57"/>
    </row>
    <row r="2171" spans="8:8" ht="32.25" customHeight="1">
      <c r="A2171" s="55"/>
      <c r="B2171" s="56"/>
      <c r="C2171" s="56"/>
      <c r="D2171" s="56"/>
      <c r="E2171" s="56"/>
      <c r="F2171" s="56"/>
      <c r="G2171" s="57"/>
    </row>
    <row r="2172" spans="8:8" ht="32.25" customHeight="1">
      <c r="A2172" s="55"/>
      <c r="B2172" s="56"/>
      <c r="C2172" s="56"/>
      <c r="D2172" s="56"/>
      <c r="E2172" s="56"/>
      <c r="F2172" s="56"/>
      <c r="G2172" s="57"/>
    </row>
    <row r="2173" spans="8:8" ht="32.25" customHeight="1">
      <c r="A2173" s="55"/>
      <c r="B2173" s="56"/>
      <c r="C2173" s="56"/>
      <c r="D2173" s="56"/>
      <c r="E2173" s="56"/>
      <c r="F2173" s="56"/>
      <c r="G2173" s="57"/>
    </row>
    <row r="2174" spans="8:8" ht="32.25" customHeight="1">
      <c r="A2174" s="55"/>
      <c r="B2174" s="56"/>
      <c r="C2174" s="56"/>
      <c r="D2174" s="56"/>
      <c r="E2174" s="56"/>
      <c r="F2174" s="56"/>
      <c r="G2174" s="57"/>
    </row>
    <row r="2175" spans="8:8" ht="32.25" customHeight="1">
      <c r="A2175" s="55"/>
      <c r="B2175" s="56"/>
      <c r="C2175" s="56"/>
      <c r="D2175" s="56"/>
      <c r="E2175" s="56"/>
      <c r="F2175" s="56"/>
      <c r="G2175" s="57"/>
    </row>
    <row r="2176" spans="8:8" ht="32.25" customHeight="1">
      <c r="A2176" s="55"/>
      <c r="B2176" s="56"/>
      <c r="C2176" s="56"/>
      <c r="D2176" s="56"/>
      <c r="E2176" s="56"/>
      <c r="F2176" s="56"/>
      <c r="G2176" s="57"/>
    </row>
    <row r="2177" spans="8:8" ht="32.25" customHeight="1">
      <c r="A2177" s="55"/>
      <c r="B2177" s="56"/>
      <c r="C2177" s="56"/>
      <c r="D2177" s="56"/>
      <c r="E2177" s="56"/>
      <c r="F2177" s="56"/>
      <c r="G2177" s="57"/>
    </row>
    <row r="2178" spans="8:8" ht="32.25" customHeight="1">
      <c r="A2178" s="55"/>
      <c r="B2178" s="56"/>
      <c r="C2178" s="56"/>
      <c r="D2178" s="56"/>
      <c r="E2178" s="56"/>
      <c r="F2178" s="56"/>
      <c r="G2178" s="57"/>
    </row>
    <row r="2179" spans="8:8" ht="32.25" customHeight="1">
      <c r="A2179" s="55"/>
      <c r="B2179" s="56"/>
      <c r="C2179" s="56"/>
      <c r="D2179" s="56"/>
      <c r="E2179" s="56"/>
      <c r="F2179" s="56"/>
      <c r="G2179" s="57"/>
    </row>
    <row r="2180" spans="8:8" ht="32.25" customHeight="1">
      <c r="A2180" s="55"/>
      <c r="B2180" s="56"/>
      <c r="C2180" s="56"/>
      <c r="D2180" s="56"/>
      <c r="E2180" s="56"/>
      <c r="F2180" s="56"/>
      <c r="G2180" s="57"/>
    </row>
    <row r="2181" spans="8:8" ht="32.25" customHeight="1">
      <c r="A2181" s="55"/>
      <c r="B2181" s="56"/>
      <c r="C2181" s="56"/>
      <c r="D2181" s="56"/>
      <c r="E2181" s="56"/>
      <c r="F2181" s="56"/>
      <c r="G2181" s="57"/>
    </row>
    <row r="2182" spans="8:8" ht="32.25" customHeight="1">
      <c r="A2182" s="55"/>
      <c r="B2182" s="56"/>
      <c r="C2182" s="56"/>
      <c r="D2182" s="56"/>
      <c r="E2182" s="56"/>
      <c r="F2182" s="56"/>
      <c r="G2182" s="57"/>
    </row>
    <row r="2183" spans="8:8" ht="32.25" customHeight="1">
      <c r="A2183" s="55"/>
      <c r="B2183" s="56"/>
      <c r="C2183" s="56"/>
      <c r="D2183" s="56"/>
      <c r="E2183" s="56"/>
      <c r="F2183" s="56"/>
      <c r="G2183" s="57"/>
    </row>
    <row r="2184" spans="8:8" ht="32.25" customHeight="1">
      <c r="A2184" s="55"/>
      <c r="B2184" s="56"/>
      <c r="C2184" s="56"/>
      <c r="D2184" s="56"/>
      <c r="E2184" s="56"/>
      <c r="F2184" s="56"/>
      <c r="G2184" s="57"/>
    </row>
    <row r="2185" spans="8:8" ht="32.25" customHeight="1">
      <c r="A2185" s="55"/>
      <c r="B2185" s="56"/>
      <c r="C2185" s="56"/>
      <c r="D2185" s="56"/>
      <c r="E2185" s="56"/>
      <c r="F2185" s="56"/>
      <c r="G2185" s="57"/>
    </row>
    <row r="2186" spans="8:8" ht="32.25" customHeight="1">
      <c r="A2186" s="55"/>
      <c r="B2186" s="56"/>
      <c r="C2186" s="56"/>
      <c r="D2186" s="56"/>
      <c r="E2186" s="56"/>
      <c r="F2186" s="56"/>
      <c r="G2186" s="57"/>
    </row>
    <row r="2187" spans="8:8" ht="32.25" customHeight="1">
      <c r="A2187" s="55"/>
      <c r="B2187" s="56"/>
      <c r="C2187" s="56"/>
      <c r="D2187" s="56"/>
      <c r="E2187" s="56"/>
      <c r="F2187" s="56"/>
      <c r="G2187" s="57"/>
    </row>
    <row r="2188" spans="8:8" ht="32.25" customHeight="1">
      <c r="A2188" s="55"/>
      <c r="B2188" s="56"/>
      <c r="C2188" s="56"/>
      <c r="D2188" s="56"/>
      <c r="E2188" s="56"/>
      <c r="F2188" s="56"/>
      <c r="G2188" s="57"/>
    </row>
    <row r="2189" spans="8:8" ht="32.25" customHeight="1">
      <c r="A2189" s="55"/>
      <c r="B2189" s="56"/>
      <c r="C2189" s="56"/>
      <c r="D2189" s="56"/>
      <c r="E2189" s="56"/>
      <c r="F2189" s="56"/>
      <c r="G2189" s="57"/>
    </row>
    <row r="2190" spans="8:8" ht="32.25" customHeight="1">
      <c r="A2190" s="55"/>
      <c r="B2190" s="56"/>
      <c r="C2190" s="56"/>
      <c r="D2190" s="56"/>
      <c r="E2190" s="56"/>
      <c r="F2190" s="56"/>
      <c r="G2190" s="57"/>
    </row>
    <row r="2191" spans="8:8" ht="32.25" customHeight="1">
      <c r="A2191" s="55"/>
      <c r="B2191" s="56"/>
      <c r="C2191" s="56"/>
      <c r="D2191" s="56"/>
      <c r="E2191" s="56"/>
      <c r="F2191" s="56"/>
      <c r="G2191" s="57"/>
    </row>
    <row r="2192" spans="8:8" ht="32.25" customHeight="1">
      <c r="A2192" s="55"/>
      <c r="B2192" s="56"/>
      <c r="C2192" s="56"/>
      <c r="D2192" s="56"/>
      <c r="E2192" s="56"/>
      <c r="F2192" s="56"/>
      <c r="G2192" s="57"/>
    </row>
    <row r="2193" spans="8:8" ht="32.25" customHeight="1">
      <c r="A2193" s="55"/>
      <c r="B2193" s="56"/>
      <c r="C2193" s="56"/>
      <c r="D2193" s="56"/>
      <c r="E2193" s="56"/>
      <c r="F2193" s="56"/>
      <c r="G2193" s="57"/>
    </row>
    <row r="2194" spans="8:8" ht="32.25" customHeight="1">
      <c r="A2194" s="55"/>
      <c r="B2194" s="56"/>
      <c r="C2194" s="56"/>
      <c r="D2194" s="56"/>
      <c r="E2194" s="56"/>
      <c r="F2194" s="56"/>
      <c r="G2194" s="57"/>
    </row>
    <row r="2195" spans="8:8" ht="32.25" customHeight="1">
      <c r="A2195" s="55"/>
      <c r="B2195" s="56"/>
      <c r="C2195" s="56"/>
      <c r="D2195" s="56"/>
      <c r="E2195" s="56"/>
      <c r="F2195" s="56"/>
      <c r="G2195" s="57"/>
    </row>
    <row r="2196" spans="8:8" ht="32.25" customHeight="1">
      <c r="A2196" s="55"/>
      <c r="B2196" s="56"/>
      <c r="C2196" s="56"/>
      <c r="D2196" s="56"/>
      <c r="E2196" s="56"/>
      <c r="F2196" s="56"/>
      <c r="G2196" s="57"/>
    </row>
    <row r="2197" spans="8:8" ht="32.25" customHeight="1">
      <c r="A2197" s="55"/>
      <c r="B2197" s="56"/>
      <c r="C2197" s="56"/>
      <c r="D2197" s="56"/>
      <c r="E2197" s="56"/>
      <c r="F2197" s="56"/>
      <c r="G2197" s="57"/>
    </row>
    <row r="2198" spans="8:8" ht="32.25" customHeight="1">
      <c r="A2198" s="55"/>
      <c r="B2198" s="56"/>
      <c r="C2198" s="56"/>
      <c r="D2198" s="56"/>
      <c r="E2198" s="56"/>
      <c r="F2198" s="56"/>
      <c r="G2198" s="57"/>
    </row>
    <row r="2199" spans="8:8" ht="32.25" customHeight="1">
      <c r="A2199" s="55"/>
      <c r="B2199" s="56"/>
      <c r="C2199" s="56"/>
      <c r="D2199" s="56"/>
      <c r="E2199" s="56"/>
      <c r="F2199" s="56"/>
      <c r="G2199" s="57"/>
    </row>
    <row r="2200" spans="8:8" ht="32.25" customHeight="1">
      <c r="A2200" s="55"/>
      <c r="B2200" s="56"/>
      <c r="C2200" s="56"/>
      <c r="D2200" s="56"/>
      <c r="E2200" s="56"/>
      <c r="F2200" s="56"/>
      <c r="G2200" s="57"/>
    </row>
    <row r="2201" spans="8:8" ht="32.25" customHeight="1">
      <c r="A2201" s="55"/>
      <c r="B2201" s="56"/>
      <c r="C2201" s="56"/>
      <c r="D2201" s="56"/>
      <c r="E2201" s="56"/>
      <c r="F2201" s="56"/>
      <c r="G2201" s="57"/>
    </row>
    <row r="2202" spans="8:8" ht="32.25" customHeight="1">
      <c r="A2202" s="55"/>
      <c r="B2202" s="56"/>
      <c r="C2202" s="56"/>
      <c r="D2202" s="56"/>
      <c r="E2202" s="56"/>
      <c r="F2202" s="56"/>
      <c r="G2202" s="57"/>
    </row>
    <row r="2203" spans="8:8" ht="32.25" customHeight="1">
      <c r="A2203" s="55"/>
      <c r="B2203" s="56"/>
      <c r="C2203" s="56"/>
      <c r="D2203" s="56"/>
      <c r="E2203" s="56"/>
      <c r="F2203" s="56"/>
      <c r="G2203" s="57"/>
    </row>
    <row r="2204" spans="8:8" ht="32.25" customHeight="1">
      <c r="A2204" s="55"/>
      <c r="B2204" s="56"/>
      <c r="C2204" s="56"/>
      <c r="D2204" s="56"/>
      <c r="E2204" s="56"/>
      <c r="F2204" s="56"/>
      <c r="G2204" s="57"/>
    </row>
    <row r="2205" spans="8:8" ht="32.25" customHeight="1">
      <c r="A2205" s="55"/>
      <c r="B2205" s="56"/>
      <c r="C2205" s="56"/>
      <c r="D2205" s="56"/>
      <c r="E2205" s="56"/>
      <c r="F2205" s="56"/>
      <c r="G2205" s="57"/>
    </row>
    <row r="2206" spans="8:8" ht="32.25" customHeight="1">
      <c r="A2206" s="55"/>
      <c r="B2206" s="56"/>
      <c r="C2206" s="56"/>
      <c r="D2206" s="56"/>
      <c r="E2206" s="56"/>
      <c r="F2206" s="56"/>
      <c r="G2206" s="57"/>
    </row>
    <row r="2207" spans="8:8" ht="32.25" customHeight="1">
      <c r="A2207" s="55"/>
      <c r="B2207" s="56"/>
      <c r="C2207" s="56"/>
      <c r="D2207" s="56"/>
      <c r="E2207" s="56"/>
      <c r="F2207" s="56"/>
      <c r="G2207" s="57"/>
    </row>
    <row r="2208" spans="8:8" ht="32.25" customHeight="1">
      <c r="A2208" s="55"/>
      <c r="B2208" s="56"/>
      <c r="C2208" s="56"/>
      <c r="D2208" s="56"/>
      <c r="E2208" s="56"/>
      <c r="F2208" s="56"/>
      <c r="G2208" s="57"/>
    </row>
    <row r="2209" spans="8:8" ht="32.25" customHeight="1">
      <c r="A2209" s="55"/>
      <c r="B2209" s="56"/>
      <c r="C2209" s="56"/>
      <c r="D2209" s="56"/>
      <c r="E2209" s="56"/>
      <c r="F2209" s="56"/>
      <c r="G2209" s="57"/>
    </row>
    <row r="2210" spans="8:8" ht="32.25" customHeight="1">
      <c r="A2210" s="55"/>
      <c r="B2210" s="56"/>
      <c r="C2210" s="56"/>
      <c r="D2210" s="56"/>
      <c r="E2210" s="56"/>
      <c r="F2210" s="56"/>
      <c r="G2210" s="57"/>
    </row>
    <row r="2211" spans="8:8" ht="32.25" customHeight="1">
      <c r="A2211" s="55"/>
      <c r="B2211" s="56"/>
      <c r="C2211" s="56"/>
      <c r="D2211" s="56"/>
      <c r="E2211" s="56"/>
      <c r="F2211" s="56"/>
      <c r="G2211" s="57"/>
    </row>
    <row r="2212" spans="8:8" ht="32.25" customHeight="1">
      <c r="A2212" s="55"/>
      <c r="B2212" s="56"/>
      <c r="C2212" s="56"/>
      <c r="D2212" s="56"/>
      <c r="E2212" s="56"/>
      <c r="F2212" s="56"/>
      <c r="G2212" s="57"/>
    </row>
    <row r="2213" spans="8:8" ht="32.25" customHeight="1">
      <c r="A2213" s="55"/>
      <c r="B2213" s="56"/>
      <c r="C2213" s="56"/>
      <c r="D2213" s="56"/>
      <c r="E2213" s="56"/>
      <c r="F2213" s="56"/>
      <c r="G2213" s="57"/>
    </row>
    <row r="2214" spans="8:8" ht="32.25" customHeight="1">
      <c r="A2214" s="55"/>
      <c r="B2214" s="56"/>
      <c r="C2214" s="56"/>
      <c r="D2214" s="56"/>
      <c r="E2214" s="56"/>
      <c r="F2214" s="56"/>
      <c r="G2214" s="57"/>
    </row>
    <row r="2215" spans="8:8" ht="32.25" customHeight="1">
      <c r="A2215" s="55"/>
      <c r="B2215" s="56"/>
      <c r="C2215" s="56"/>
      <c r="D2215" s="56"/>
      <c r="E2215" s="56"/>
      <c r="F2215" s="56"/>
      <c r="G2215" s="57"/>
    </row>
    <row r="2216" spans="8:8" ht="32.25" customHeight="1">
      <c r="A2216" s="55"/>
      <c r="B2216" s="56"/>
      <c r="C2216" s="56"/>
      <c r="D2216" s="56"/>
      <c r="E2216" s="56"/>
      <c r="F2216" s="56"/>
      <c r="G2216" s="57"/>
    </row>
    <row r="2217" spans="8:8" ht="32.25" customHeight="1">
      <c r="A2217" s="55"/>
      <c r="B2217" s="56"/>
      <c r="C2217" s="56"/>
      <c r="D2217" s="56"/>
      <c r="E2217" s="56"/>
      <c r="F2217" s="56"/>
      <c r="G2217" s="57"/>
    </row>
    <row r="2218" spans="8:8" ht="32.25" customHeight="1">
      <c r="A2218" s="55"/>
      <c r="B2218" s="56"/>
      <c r="C2218" s="56"/>
      <c r="D2218" s="56"/>
      <c r="E2218" s="56"/>
      <c r="F2218" s="56"/>
      <c r="G2218" s="57"/>
    </row>
    <row r="2219" spans="8:8" ht="32.25" customHeight="1">
      <c r="A2219" s="55"/>
      <c r="B2219" s="56"/>
      <c r="C2219" s="56"/>
      <c r="D2219" s="56"/>
      <c r="E2219" s="56"/>
      <c r="F2219" s="56"/>
      <c r="G2219" s="57"/>
    </row>
    <row r="2220" spans="8:8" ht="32.25" customHeight="1">
      <c r="A2220" s="55"/>
      <c r="B2220" s="56"/>
      <c r="C2220" s="56"/>
      <c r="D2220" s="56"/>
      <c r="E2220" s="56"/>
      <c r="F2220" s="56"/>
      <c r="G2220" s="57"/>
    </row>
    <row r="2221" spans="8:8" ht="32.25" customHeight="1">
      <c r="A2221" s="55"/>
      <c r="B2221" s="56"/>
      <c r="C2221" s="56"/>
      <c r="D2221" s="56"/>
      <c r="E2221" s="56"/>
      <c r="F2221" s="56"/>
      <c r="G2221" s="57"/>
    </row>
    <row r="2222" spans="8:8" ht="32.25" customHeight="1">
      <c r="A2222" s="55"/>
      <c r="B2222" s="56"/>
      <c r="C2222" s="56"/>
      <c r="D2222" s="56"/>
      <c r="E2222" s="56"/>
      <c r="F2222" s="56"/>
      <c r="G2222" s="57"/>
    </row>
    <row r="2223" spans="8:8" ht="32.25" customHeight="1">
      <c r="A2223" s="55"/>
      <c r="B2223" s="56"/>
      <c r="C2223" s="56"/>
      <c r="D2223" s="56"/>
      <c r="E2223" s="56"/>
      <c r="F2223" s="56"/>
      <c r="G2223" s="57"/>
    </row>
    <row r="2224" spans="8:8" ht="32.25" customHeight="1">
      <c r="A2224" s="55"/>
      <c r="B2224" s="56"/>
      <c r="C2224" s="56"/>
      <c r="D2224" s="56"/>
      <c r="E2224" s="56"/>
      <c r="F2224" s="56"/>
      <c r="G2224" s="57"/>
    </row>
    <row r="2225" spans="8:8" ht="32.25" customHeight="1">
      <c r="A2225" s="55"/>
      <c r="B2225" s="56"/>
      <c r="C2225" s="56"/>
      <c r="D2225" s="56"/>
      <c r="E2225" s="56"/>
      <c r="F2225" s="56"/>
      <c r="G2225" s="57"/>
    </row>
    <row r="2226" spans="8:8" ht="32.25" customHeight="1">
      <c r="A2226" s="55"/>
      <c r="B2226" s="56"/>
      <c r="C2226" s="56"/>
      <c r="D2226" s="56"/>
      <c r="E2226" s="56"/>
      <c r="F2226" s="56"/>
      <c r="G2226" s="57"/>
    </row>
    <row r="2227" spans="8:8" ht="32.25" customHeight="1">
      <c r="A2227" s="55"/>
      <c r="B2227" s="56"/>
      <c r="C2227" s="56"/>
      <c r="D2227" s="56"/>
      <c r="E2227" s="56"/>
      <c r="F2227" s="56"/>
      <c r="G2227" s="57"/>
    </row>
    <row r="2228" spans="8:8" ht="32.25" customHeight="1">
      <c r="A2228" s="55"/>
      <c r="B2228" s="56"/>
      <c r="C2228" s="56"/>
      <c r="D2228" s="56"/>
      <c r="E2228" s="56"/>
      <c r="F2228" s="56"/>
      <c r="G2228" s="57"/>
    </row>
    <row r="2229" spans="8:8" ht="32.25" customHeight="1">
      <c r="A2229" s="55"/>
      <c r="B2229" s="56"/>
      <c r="C2229" s="56"/>
      <c r="D2229" s="56"/>
      <c r="E2229" s="56"/>
      <c r="F2229" s="56"/>
      <c r="G2229" s="57"/>
    </row>
    <row r="2230" spans="8:8" ht="32.25" customHeight="1">
      <c r="A2230" s="55"/>
      <c r="B2230" s="56"/>
      <c r="C2230" s="56"/>
      <c r="D2230" s="56"/>
      <c r="E2230" s="56"/>
      <c r="F2230" s="56"/>
      <c r="G2230" s="57"/>
    </row>
    <row r="2231" spans="8:8" ht="32.25" customHeight="1">
      <c r="A2231" s="55"/>
      <c r="B2231" s="56"/>
      <c r="C2231" s="56"/>
      <c r="D2231" s="56"/>
      <c r="E2231" s="56"/>
      <c r="F2231" s="56"/>
      <c r="G2231" s="57"/>
    </row>
    <row r="2232" spans="8:8" ht="32.25" customHeight="1">
      <c r="A2232" s="55"/>
      <c r="B2232" s="56"/>
      <c r="C2232" s="56"/>
      <c r="D2232" s="56"/>
      <c r="E2232" s="56"/>
      <c r="F2232" s="56"/>
      <c r="G2232" s="57"/>
    </row>
    <row r="2233" spans="8:8" ht="32.25" customHeight="1">
      <c r="A2233" s="55"/>
      <c r="B2233" s="56"/>
      <c r="C2233" s="56"/>
      <c r="D2233" s="56"/>
      <c r="E2233" s="56"/>
      <c r="F2233" s="56"/>
      <c r="G2233" s="57"/>
    </row>
    <row r="2234" spans="8:8" ht="32.25" customHeight="1">
      <c r="A2234" s="55"/>
      <c r="B2234" s="56"/>
      <c r="C2234" s="56"/>
      <c r="D2234" s="56"/>
      <c r="E2234" s="56"/>
      <c r="F2234" s="56"/>
      <c r="G2234" s="57"/>
    </row>
    <row r="2235" spans="8:8" ht="32.25" customHeight="1">
      <c r="A2235" s="55"/>
      <c r="B2235" s="56"/>
      <c r="C2235" s="56"/>
      <c r="D2235" s="56"/>
      <c r="E2235" s="56"/>
      <c r="F2235" s="56"/>
      <c r="G2235" s="57"/>
    </row>
    <row r="2236" spans="8:8" ht="32.25" customHeight="1">
      <c r="A2236" s="55"/>
      <c r="B2236" s="56"/>
      <c r="C2236" s="56"/>
      <c r="D2236" s="56"/>
      <c r="E2236" s="56"/>
      <c r="F2236" s="56"/>
      <c r="G2236" s="57"/>
    </row>
    <row r="2237" spans="8:8" ht="32.25" customHeight="1">
      <c r="A2237" s="55"/>
      <c r="B2237" s="56"/>
      <c r="C2237" s="56"/>
      <c r="D2237" s="56"/>
      <c r="E2237" s="56"/>
      <c r="F2237" s="56"/>
      <c r="G2237" s="57"/>
    </row>
    <row r="2238" spans="8:8" ht="32.25" customHeight="1">
      <c r="A2238" s="55"/>
      <c r="B2238" s="56"/>
      <c r="C2238" s="56"/>
      <c r="D2238" s="56"/>
      <c r="E2238" s="56"/>
      <c r="F2238" s="56"/>
      <c r="G2238" s="57"/>
    </row>
    <row r="2239" spans="8:8" ht="32.25" customHeight="1">
      <c r="A2239" s="55"/>
      <c r="B2239" s="56"/>
      <c r="C2239" s="56"/>
      <c r="D2239" s="56"/>
      <c r="E2239" s="56"/>
      <c r="F2239" s="56"/>
      <c r="G2239" s="57"/>
    </row>
    <row r="2240" spans="8:8" ht="32.25" customHeight="1">
      <c r="A2240" s="55"/>
      <c r="B2240" s="56"/>
      <c r="C2240" s="56"/>
      <c r="D2240" s="56"/>
      <c r="E2240" s="56"/>
      <c r="F2240" s="56"/>
      <c r="G2240" s="57"/>
    </row>
    <row r="2241" spans="8:8" ht="32.25" customHeight="1">
      <c r="A2241" s="55"/>
      <c r="B2241" s="56"/>
      <c r="C2241" s="56"/>
      <c r="D2241" s="56"/>
      <c r="E2241" s="56"/>
      <c r="F2241" s="56"/>
      <c r="G2241" s="57"/>
    </row>
    <row r="2242" spans="8:8" ht="32.25" customHeight="1">
      <c r="A2242" s="55"/>
      <c r="B2242" s="56"/>
      <c r="C2242" s="56"/>
      <c r="D2242" s="56"/>
      <c r="E2242" s="56"/>
      <c r="F2242" s="56"/>
      <c r="G2242" s="57"/>
    </row>
    <row r="2243" spans="8:8" ht="32.25" customHeight="1">
      <c r="A2243" s="55"/>
      <c r="B2243" s="56"/>
      <c r="C2243" s="56"/>
      <c r="D2243" s="56"/>
      <c r="E2243" s="56"/>
      <c r="F2243" s="56"/>
      <c r="G2243" s="57"/>
    </row>
    <row r="2244" spans="8:8" ht="32.25" customHeight="1">
      <c r="A2244" s="55"/>
      <c r="B2244" s="56"/>
      <c r="C2244" s="56"/>
      <c r="D2244" s="56"/>
      <c r="E2244" s="56"/>
      <c r="F2244" s="56"/>
      <c r="G2244" s="57"/>
    </row>
    <row r="2245" spans="8:8" ht="32.25" customHeight="1">
      <c r="A2245" s="55"/>
      <c r="B2245" s="56"/>
      <c r="C2245" s="56"/>
      <c r="D2245" s="56"/>
      <c r="E2245" s="56"/>
      <c r="F2245" s="56"/>
      <c r="G2245" s="57"/>
    </row>
    <row r="2246" spans="8:8" ht="32.25" customHeight="1">
      <c r="A2246" s="55"/>
      <c r="B2246" s="56"/>
      <c r="C2246" s="56"/>
      <c r="D2246" s="56"/>
      <c r="E2246" s="56"/>
      <c r="F2246" s="56"/>
      <c r="G2246" s="57"/>
    </row>
    <row r="2247" spans="8:8" ht="32.25" customHeight="1">
      <c r="A2247" s="55"/>
      <c r="B2247" s="56"/>
      <c r="C2247" s="56"/>
      <c r="D2247" s="56"/>
      <c r="E2247" s="56"/>
      <c r="F2247" s="56"/>
      <c r="G2247" s="57"/>
    </row>
    <row r="2248" spans="8:8" ht="32.25" customHeight="1">
      <c r="A2248" s="55"/>
      <c r="B2248" s="56"/>
      <c r="C2248" s="56"/>
      <c r="D2248" s="56"/>
      <c r="E2248" s="56"/>
      <c r="F2248" s="56"/>
      <c r="G2248" s="57"/>
    </row>
    <row r="2249" spans="8:8" ht="32.25" customHeight="1">
      <c r="A2249" s="55"/>
      <c r="B2249" s="56"/>
      <c r="C2249" s="56"/>
      <c r="D2249" s="56"/>
      <c r="E2249" s="56"/>
      <c r="F2249" s="56"/>
      <c r="G2249" s="57"/>
    </row>
    <row r="2250" spans="8:8" ht="32.25" customHeight="1">
      <c r="A2250" s="55"/>
      <c r="B2250" s="56"/>
      <c r="C2250" s="56"/>
      <c r="D2250" s="56"/>
      <c r="E2250" s="56"/>
      <c r="F2250" s="56"/>
      <c r="G2250" s="57"/>
    </row>
    <row r="2251" spans="8:8" ht="32.25" customHeight="1">
      <c r="A2251" s="55"/>
      <c r="B2251" s="56"/>
      <c r="C2251" s="56"/>
      <c r="D2251" s="56"/>
      <c r="E2251" s="56"/>
      <c r="F2251" s="56"/>
      <c r="G2251" s="57"/>
    </row>
    <row r="2252" spans="8:8" ht="32.25" customHeight="1">
      <c r="A2252" s="55"/>
      <c r="B2252" s="56"/>
      <c r="C2252" s="56"/>
      <c r="D2252" s="56"/>
      <c r="E2252" s="56"/>
      <c r="F2252" s="56"/>
      <c r="G2252" s="57"/>
    </row>
    <row r="2253" spans="8:8" ht="32.25" customHeight="1">
      <c r="A2253" s="55"/>
      <c r="B2253" s="56"/>
      <c r="C2253" s="56"/>
      <c r="D2253" s="56"/>
      <c r="E2253" s="56"/>
      <c r="F2253" s="56"/>
      <c r="G2253" s="57"/>
    </row>
    <row r="2254" spans="8:8" ht="32.25" customHeight="1">
      <c r="A2254" s="55"/>
      <c r="B2254" s="56"/>
      <c r="C2254" s="56"/>
      <c r="D2254" s="56"/>
      <c r="E2254" s="56"/>
      <c r="F2254" s="56"/>
      <c r="G2254" s="57"/>
    </row>
    <row r="2255" spans="8:8" ht="32.25" customHeight="1">
      <c r="A2255" s="55"/>
      <c r="B2255" s="56"/>
      <c r="C2255" s="56"/>
      <c r="D2255" s="56"/>
      <c r="E2255" s="56"/>
      <c r="F2255" s="56"/>
      <c r="G2255" s="57"/>
    </row>
    <row r="2256" spans="8:8" ht="32.25" customHeight="1">
      <c r="A2256" s="55"/>
      <c r="B2256" s="56"/>
      <c r="C2256" s="56"/>
      <c r="D2256" s="56"/>
      <c r="E2256" s="56"/>
      <c r="F2256" s="56"/>
      <c r="G2256" s="57"/>
    </row>
    <row r="2257" spans="8:8" ht="32.25" customHeight="1">
      <c r="A2257" s="55"/>
      <c r="B2257" s="56"/>
      <c r="C2257" s="56"/>
      <c r="D2257" s="56"/>
      <c r="E2257" s="56"/>
      <c r="F2257" s="56"/>
      <c r="G2257" s="57"/>
    </row>
    <row r="2258" spans="8:8" ht="32.25" customHeight="1">
      <c r="A2258" s="55"/>
      <c r="B2258" s="56"/>
      <c r="C2258" s="56"/>
      <c r="D2258" s="56"/>
      <c r="E2258" s="56"/>
      <c r="F2258" s="56"/>
      <c r="G2258" s="57"/>
    </row>
    <row r="2259" spans="8:8" ht="32.25" customHeight="1">
      <c r="A2259" s="55"/>
      <c r="B2259" s="56"/>
      <c r="C2259" s="56"/>
      <c r="D2259" s="56"/>
      <c r="E2259" s="56"/>
      <c r="F2259" s="56"/>
      <c r="G2259" s="57"/>
    </row>
    <row r="2260" spans="8:8" ht="32.25" customHeight="1">
      <c r="A2260" s="55"/>
      <c r="B2260" s="56"/>
      <c r="C2260" s="56"/>
      <c r="D2260" s="56"/>
      <c r="E2260" s="56"/>
      <c r="F2260" s="56"/>
      <c r="G2260" s="57"/>
    </row>
    <row r="2261" spans="8:8" ht="32.25" customHeight="1">
      <c r="A2261" s="55"/>
      <c r="B2261" s="56"/>
      <c r="C2261" s="56"/>
      <c r="D2261" s="56"/>
      <c r="E2261" s="56"/>
      <c r="F2261" s="56"/>
      <c r="G2261" s="57"/>
    </row>
    <row r="2262" spans="8:8" ht="32.25" customHeight="1">
      <c r="A2262" s="55"/>
      <c r="B2262" s="56"/>
      <c r="C2262" s="56"/>
      <c r="D2262" s="56"/>
      <c r="E2262" s="56"/>
      <c r="F2262" s="56"/>
      <c r="G2262" s="57"/>
    </row>
    <row r="2263" spans="8:8" ht="32.25" customHeight="1">
      <c r="A2263" s="55"/>
      <c r="B2263" s="56"/>
      <c r="C2263" s="56"/>
      <c r="D2263" s="56"/>
      <c r="E2263" s="56"/>
      <c r="F2263" s="56"/>
      <c r="G2263" s="57"/>
    </row>
    <row r="2264" spans="8:8" ht="32.25" customHeight="1">
      <c r="A2264" s="55"/>
      <c r="B2264" s="56"/>
      <c r="C2264" s="56"/>
      <c r="D2264" s="56"/>
      <c r="E2264" s="56"/>
      <c r="F2264" s="56"/>
      <c r="G2264" s="57"/>
    </row>
    <row r="2265" spans="8:8" ht="32.25" customHeight="1">
      <c r="A2265" s="55"/>
      <c r="B2265" s="56"/>
      <c r="C2265" s="56"/>
      <c r="D2265" s="56"/>
      <c r="E2265" s="56"/>
      <c r="F2265" s="56"/>
      <c r="G2265" s="57"/>
    </row>
    <row r="2266" spans="8:8" ht="32.25" customHeight="1">
      <c r="A2266" s="55"/>
      <c r="B2266" s="56"/>
      <c r="C2266" s="56"/>
      <c r="D2266" s="56"/>
      <c r="E2266" s="56"/>
      <c r="F2266" s="56"/>
      <c r="G2266" s="57"/>
    </row>
    <row r="2267" spans="8:8" ht="32.25" customHeight="1">
      <c r="A2267" s="55"/>
      <c r="B2267" s="56"/>
      <c r="C2267" s="56"/>
      <c r="D2267" s="56"/>
      <c r="E2267" s="56"/>
      <c r="F2267" s="56"/>
      <c r="G2267" s="57"/>
    </row>
    <row r="2268" spans="8:8" ht="32.25" customHeight="1">
      <c r="A2268" s="55"/>
      <c r="B2268" s="56"/>
      <c r="C2268" s="56"/>
      <c r="D2268" s="56"/>
      <c r="E2268" s="56"/>
      <c r="F2268" s="56"/>
      <c r="G2268" s="57"/>
    </row>
    <row r="2269" spans="8:8" ht="32.25" customHeight="1">
      <c r="A2269" s="55"/>
      <c r="B2269" s="56"/>
      <c r="C2269" s="56"/>
      <c r="D2269" s="56"/>
      <c r="E2269" s="56"/>
      <c r="F2269" s="56"/>
      <c r="G2269" s="57"/>
    </row>
    <row r="2270" spans="8:8" ht="32.25" customHeight="1">
      <c r="A2270" s="55"/>
      <c r="B2270" s="56"/>
      <c r="C2270" s="56"/>
      <c r="D2270" s="56"/>
      <c r="E2270" s="56"/>
      <c r="F2270" s="56"/>
      <c r="G2270" s="57"/>
    </row>
    <row r="2271" spans="8:8" ht="32.25" customHeight="1">
      <c r="A2271" s="55"/>
      <c r="B2271" s="56"/>
      <c r="C2271" s="56"/>
      <c r="D2271" s="56"/>
      <c r="E2271" s="56"/>
      <c r="F2271" s="56"/>
      <c r="G2271" s="57"/>
    </row>
    <row r="2272" spans="8:8" ht="32.25" customHeight="1">
      <c r="A2272" s="55"/>
      <c r="B2272" s="56"/>
      <c r="C2272" s="56"/>
      <c r="D2272" s="56"/>
      <c r="E2272" s="56"/>
      <c r="F2272" s="56"/>
      <c r="G2272" s="57"/>
    </row>
    <row r="2273" spans="8:8" ht="32.25" customHeight="1">
      <c r="A2273" s="55"/>
      <c r="B2273" s="56"/>
      <c r="C2273" s="56"/>
      <c r="D2273" s="56"/>
      <c r="E2273" s="56"/>
      <c r="F2273" s="56"/>
      <c r="G2273" s="57"/>
    </row>
    <row r="2274" spans="8:8" ht="32.25" customHeight="1">
      <c r="A2274" s="55"/>
      <c r="B2274" s="56"/>
      <c r="C2274" s="56"/>
      <c r="D2274" s="56"/>
      <c r="E2274" s="56"/>
      <c r="F2274" s="56"/>
      <c r="G2274" s="57"/>
    </row>
    <row r="2275" spans="8:8" ht="32.25" customHeight="1">
      <c r="A2275" s="55"/>
      <c r="B2275" s="56"/>
      <c r="C2275" s="56"/>
      <c r="D2275" s="56"/>
      <c r="E2275" s="56"/>
      <c r="F2275" s="56"/>
      <c r="G2275" s="57"/>
    </row>
    <row r="2276" spans="8:8" ht="32.25" customHeight="1">
      <c r="A2276" s="55"/>
      <c r="B2276" s="56"/>
      <c r="C2276" s="56"/>
      <c r="D2276" s="56"/>
      <c r="E2276" s="56"/>
      <c r="F2276" s="56"/>
      <c r="G2276" s="57"/>
    </row>
    <row r="2277" spans="8:8" ht="32.25" customHeight="1">
      <c r="A2277" s="55"/>
      <c r="B2277" s="56"/>
      <c r="C2277" s="56"/>
      <c r="D2277" s="56"/>
      <c r="E2277" s="56"/>
      <c r="F2277" s="56"/>
      <c r="G2277" s="57"/>
    </row>
    <row r="2278" spans="8:8" ht="32.25" customHeight="1">
      <c r="A2278" s="55"/>
      <c r="B2278" s="56"/>
      <c r="C2278" s="56"/>
      <c r="D2278" s="56"/>
      <c r="E2278" s="56"/>
      <c r="F2278" s="56"/>
      <c r="G2278" s="57"/>
    </row>
    <row r="2279" spans="8:8" ht="32.25" customHeight="1">
      <c r="A2279" s="55"/>
      <c r="B2279" s="56"/>
      <c r="C2279" s="56"/>
      <c r="D2279" s="56"/>
      <c r="E2279" s="56"/>
      <c r="F2279" s="56"/>
      <c r="G2279" s="57"/>
    </row>
    <row r="2280" spans="8:8" ht="32.25" customHeight="1">
      <c r="A2280" s="55"/>
      <c r="B2280" s="56"/>
      <c r="C2280" s="56"/>
      <c r="D2280" s="56"/>
      <c r="E2280" s="56"/>
      <c r="F2280" s="56"/>
      <c r="G2280" s="57"/>
    </row>
    <row r="2281" spans="8:8" ht="32.25" customHeight="1">
      <c r="A2281" s="55"/>
      <c r="B2281" s="56"/>
      <c r="C2281" s="56"/>
      <c r="D2281" s="56"/>
      <c r="E2281" s="56"/>
      <c r="F2281" s="56"/>
      <c r="G2281" s="57"/>
    </row>
    <row r="2282" spans="8:8" ht="32.25" customHeight="1">
      <c r="A2282" s="55"/>
      <c r="B2282" s="56"/>
      <c r="C2282" s="56"/>
      <c r="D2282" s="56"/>
      <c r="E2282" s="56"/>
      <c r="F2282" s="56"/>
      <c r="G2282" s="57"/>
    </row>
    <row r="2283" spans="8:8" ht="32.25" customHeight="1">
      <c r="A2283" s="55"/>
      <c r="B2283" s="56"/>
      <c r="C2283" s="56"/>
      <c r="D2283" s="56"/>
      <c r="E2283" s="56"/>
      <c r="F2283" s="56"/>
      <c r="G2283" s="57"/>
    </row>
    <row r="2284" spans="8:8" ht="32.25" customHeight="1">
      <c r="A2284" s="55"/>
      <c r="B2284" s="56"/>
      <c r="C2284" s="56"/>
      <c r="D2284" s="56"/>
      <c r="E2284" s="56"/>
      <c r="F2284" s="56"/>
      <c r="G2284" s="57"/>
    </row>
    <row r="2285" spans="8:8" ht="32.25" customHeight="1">
      <c r="A2285" s="55"/>
      <c r="B2285" s="56"/>
      <c r="C2285" s="56"/>
      <c r="D2285" s="56"/>
      <c r="E2285" s="56"/>
      <c r="F2285" s="56"/>
      <c r="G2285" s="57"/>
    </row>
    <row r="2286" spans="8:8" ht="32.25" customHeight="1">
      <c r="A2286" s="55"/>
      <c r="B2286" s="56"/>
      <c r="C2286" s="56"/>
      <c r="D2286" s="56"/>
      <c r="E2286" s="56"/>
      <c r="F2286" s="56"/>
      <c r="G2286" s="57"/>
    </row>
    <row r="2287" spans="8:8" ht="32.25" customHeight="1">
      <c r="A2287" s="55"/>
      <c r="B2287" s="56"/>
      <c r="C2287" s="56"/>
      <c r="D2287" s="56"/>
      <c r="E2287" s="56"/>
      <c r="F2287" s="56"/>
      <c r="G2287" s="57"/>
    </row>
    <row r="2288" spans="8:8" ht="32.25" customHeight="1">
      <c r="A2288" s="55"/>
      <c r="B2288" s="56"/>
      <c r="C2288" s="56"/>
      <c r="D2288" s="56"/>
      <c r="E2288" s="56"/>
      <c r="F2288" s="56"/>
      <c r="G2288" s="57"/>
    </row>
    <row r="2289" spans="8:8" ht="32.25" customHeight="1">
      <c r="A2289" s="55"/>
      <c r="B2289" s="56"/>
      <c r="C2289" s="56"/>
      <c r="D2289" s="56"/>
      <c r="E2289" s="56"/>
      <c r="F2289" s="56"/>
      <c r="G2289" s="57"/>
    </row>
    <row r="2290" spans="8:8" ht="32.25" customHeight="1">
      <c r="A2290" s="55"/>
      <c r="B2290" s="56"/>
      <c r="C2290" s="56"/>
      <c r="D2290" s="56"/>
      <c r="E2290" s="56"/>
      <c r="F2290" s="56"/>
      <c r="G2290" s="57"/>
    </row>
    <row r="2291" spans="8:8" ht="32.25" customHeight="1">
      <c r="A2291" s="55"/>
      <c r="B2291" s="56"/>
      <c r="C2291" s="56"/>
      <c r="D2291" s="56"/>
      <c r="E2291" s="56"/>
      <c r="F2291" s="56"/>
      <c r="G2291" s="57"/>
    </row>
    <row r="2292" spans="8:8" ht="32.25" customHeight="1">
      <c r="A2292" s="55"/>
      <c r="B2292" s="56"/>
      <c r="C2292" s="56"/>
      <c r="D2292" s="56"/>
      <c r="E2292" s="56"/>
      <c r="F2292" s="56"/>
      <c r="G2292" s="57"/>
    </row>
    <row r="2293" spans="8:8" ht="32.25" customHeight="1">
      <c r="A2293" s="55"/>
      <c r="B2293" s="56"/>
      <c r="C2293" s="56"/>
      <c r="D2293" s="56"/>
      <c r="E2293" s="56"/>
      <c r="F2293" s="56"/>
      <c r="G2293" s="57"/>
    </row>
    <row r="2294" spans="8:8" ht="32.25" customHeight="1">
      <c r="A2294" s="55"/>
      <c r="B2294" s="56"/>
      <c r="C2294" s="56"/>
      <c r="D2294" s="56"/>
      <c r="E2294" s="56"/>
      <c r="F2294" s="56"/>
      <c r="G2294" s="57"/>
    </row>
    <row r="2295" spans="8:8" ht="32.25" customHeight="1">
      <c r="A2295" s="55"/>
      <c r="B2295" s="56"/>
      <c r="C2295" s="56"/>
      <c r="D2295" s="56"/>
      <c r="E2295" s="56"/>
      <c r="F2295" s="56"/>
      <c r="G2295" s="57"/>
    </row>
    <row r="2296" spans="8:8" ht="32.25" customHeight="1">
      <c r="A2296" s="55"/>
      <c r="B2296" s="56"/>
      <c r="C2296" s="56"/>
      <c r="D2296" s="56"/>
      <c r="E2296" s="56"/>
      <c r="F2296" s="56"/>
      <c r="G2296" s="57"/>
    </row>
    <row r="2297" spans="8:8" ht="32.25" customHeight="1">
      <c r="A2297" s="55"/>
      <c r="B2297" s="56"/>
      <c r="C2297" s="56"/>
      <c r="D2297" s="56"/>
      <c r="E2297" s="56"/>
      <c r="F2297" s="56"/>
      <c r="G2297" s="57"/>
    </row>
    <row r="2298" spans="8:8" ht="32.25" customHeight="1">
      <c r="A2298" s="55"/>
      <c r="B2298" s="56"/>
      <c r="C2298" s="56"/>
      <c r="D2298" s="56"/>
      <c r="E2298" s="56"/>
      <c r="F2298" s="56"/>
      <c r="G2298" s="57"/>
    </row>
    <row r="2299" spans="8:8" ht="32.25" customHeight="1">
      <c r="A2299" s="55"/>
      <c r="B2299" s="56"/>
      <c r="C2299" s="56"/>
      <c r="D2299" s="56"/>
      <c r="E2299" s="56"/>
      <c r="F2299" s="56"/>
      <c r="G2299" s="57"/>
    </row>
    <row r="2300" spans="8:8" ht="32.25" customHeight="1">
      <c r="A2300" s="55"/>
      <c r="B2300" s="56"/>
      <c r="C2300" s="56"/>
      <c r="D2300" s="56"/>
      <c r="E2300" s="56"/>
      <c r="F2300" s="56"/>
      <c r="G2300" s="57"/>
    </row>
    <row r="2301" spans="8:8" ht="32.25" customHeight="1">
      <c r="A2301" s="55"/>
      <c r="B2301" s="56"/>
      <c r="C2301" s="56"/>
      <c r="D2301" s="56"/>
      <c r="E2301" s="56"/>
      <c r="F2301" s="56"/>
      <c r="G2301" s="57"/>
    </row>
    <row r="2302" spans="8:8" ht="32.25" customHeight="1">
      <c r="A2302" s="55"/>
      <c r="B2302" s="56"/>
      <c r="C2302" s="56"/>
      <c r="D2302" s="56"/>
      <c r="E2302" s="56"/>
      <c r="F2302" s="56"/>
      <c r="G2302" s="57"/>
    </row>
    <row r="2303" spans="8:8" ht="32.25" customHeight="1">
      <c r="A2303" s="55"/>
      <c r="B2303" s="56"/>
      <c r="C2303" s="56"/>
      <c r="D2303" s="56"/>
      <c r="E2303" s="56"/>
      <c r="F2303" s="56"/>
      <c r="G2303" s="57"/>
    </row>
    <row r="2304" spans="8:8" ht="32.25" customHeight="1">
      <c r="A2304" s="55"/>
      <c r="B2304" s="56"/>
      <c r="C2304" s="56"/>
      <c r="D2304" s="56"/>
      <c r="E2304" s="56"/>
      <c r="F2304" s="56"/>
      <c r="G2304" s="57"/>
    </row>
    <row r="2305" spans="8:8" ht="32.25" customHeight="1">
      <c r="A2305" s="55"/>
      <c r="B2305" s="56"/>
      <c r="C2305" s="56"/>
      <c r="D2305" s="56"/>
      <c r="E2305" s="56"/>
      <c r="F2305" s="56"/>
      <c r="G2305" s="57"/>
    </row>
    <row r="2306" spans="8:8" ht="32.25" customHeight="1">
      <c r="A2306" s="55"/>
      <c r="B2306" s="56"/>
      <c r="C2306" s="56"/>
      <c r="D2306" s="56"/>
      <c r="E2306" s="56"/>
      <c r="F2306" s="56"/>
      <c r="G2306" s="57"/>
    </row>
    <row r="2307" spans="8:8" ht="32.25" customHeight="1">
      <c r="A2307" s="55"/>
      <c r="B2307" s="56"/>
      <c r="C2307" s="56"/>
      <c r="D2307" s="56"/>
      <c r="E2307" s="56"/>
      <c r="F2307" s="56"/>
      <c r="G2307" s="57"/>
    </row>
    <row r="2308" spans="8:8" ht="32.25" customHeight="1">
      <c r="A2308" s="55"/>
      <c r="B2308" s="56"/>
      <c r="C2308" s="56"/>
      <c r="D2308" s="56"/>
      <c r="E2308" s="56"/>
      <c r="F2308" s="56"/>
      <c r="G2308" s="57"/>
    </row>
    <row r="2309" spans="8:8" ht="32.25" customHeight="1">
      <c r="A2309" s="55"/>
      <c r="B2309" s="56"/>
      <c r="C2309" s="56"/>
      <c r="D2309" s="56"/>
      <c r="E2309" s="56"/>
      <c r="F2309" s="56"/>
      <c r="G2309" s="57"/>
    </row>
    <row r="2310" spans="8:8" ht="32.25" customHeight="1">
      <c r="A2310" s="55"/>
      <c r="B2310" s="56"/>
      <c r="C2310" s="56"/>
      <c r="D2310" s="56"/>
      <c r="E2310" s="56"/>
      <c r="F2310" s="56"/>
      <c r="G2310" s="57"/>
    </row>
    <row r="2311" spans="8:8" ht="32.25" customHeight="1">
      <c r="A2311" s="55"/>
      <c r="B2311" s="56"/>
      <c r="C2311" s="56"/>
      <c r="D2311" s="56"/>
      <c r="E2311" s="56"/>
      <c r="F2311" s="56"/>
      <c r="G2311" s="57"/>
    </row>
    <row r="2312" spans="8:8" ht="32.25" customHeight="1">
      <c r="A2312" s="55"/>
      <c r="B2312" s="56"/>
      <c r="C2312" s="56"/>
      <c r="D2312" s="56"/>
      <c r="E2312" s="56"/>
      <c r="F2312" s="56"/>
      <c r="G2312" s="57"/>
    </row>
    <row r="2313" spans="8:8" ht="32.25" customHeight="1">
      <c r="A2313" s="55"/>
      <c r="B2313" s="56"/>
      <c r="C2313" s="56"/>
      <c r="D2313" s="56"/>
      <c r="E2313" s="56"/>
      <c r="F2313" s="56"/>
      <c r="G2313" s="57"/>
    </row>
    <row r="2314" spans="8:8" ht="32.25" customHeight="1">
      <c r="A2314" s="55"/>
      <c r="B2314" s="56"/>
      <c r="C2314" s="56"/>
      <c r="D2314" s="56"/>
      <c r="E2314" s="56"/>
      <c r="F2314" s="56"/>
      <c r="G2314" s="57"/>
    </row>
    <row r="2315" spans="8:8" ht="32.25" customHeight="1">
      <c r="A2315" s="55"/>
      <c r="B2315" s="56"/>
      <c r="C2315" s="56"/>
      <c r="D2315" s="56"/>
      <c r="E2315" s="56"/>
      <c r="F2315" s="56"/>
      <c r="G2315" s="57"/>
    </row>
    <row r="2316" spans="8:8" ht="32.25" customHeight="1">
      <c r="A2316" s="55"/>
      <c r="B2316" s="56"/>
      <c r="C2316" s="56"/>
      <c r="D2316" s="56"/>
      <c r="E2316" s="56"/>
      <c r="F2316" s="56"/>
      <c r="G2316" s="57"/>
    </row>
    <row r="2317" spans="8:8" ht="32.25" customHeight="1">
      <c r="A2317" s="55"/>
      <c r="B2317" s="56"/>
      <c r="C2317" s="56"/>
      <c r="D2317" s="56"/>
      <c r="E2317" s="56"/>
      <c r="F2317" s="56"/>
      <c r="G2317" s="57"/>
    </row>
    <row r="2318" spans="8:8" ht="32.25" customHeight="1">
      <c r="A2318" s="55"/>
      <c r="B2318" s="56"/>
      <c r="C2318" s="56"/>
      <c r="D2318" s="56"/>
      <c r="E2318" s="56"/>
      <c r="F2318" s="56"/>
      <c r="G2318" s="57"/>
    </row>
    <row r="2319" spans="8:8" ht="32.25" customHeight="1">
      <c r="A2319" s="55"/>
      <c r="B2319" s="56"/>
      <c r="C2319" s="56"/>
      <c r="D2319" s="56"/>
      <c r="E2319" s="56"/>
      <c r="F2319" s="56"/>
      <c r="G2319" s="57"/>
    </row>
    <row r="2320" spans="8:8" ht="32.25" customHeight="1">
      <c r="A2320" s="55"/>
      <c r="B2320" s="56"/>
      <c r="C2320" s="56"/>
      <c r="D2320" s="56"/>
      <c r="E2320" s="56"/>
      <c r="F2320" s="56"/>
      <c r="G2320" s="57"/>
    </row>
    <row r="2321" spans="8:8" ht="32.25" customHeight="1">
      <c r="A2321" s="55"/>
      <c r="B2321" s="56"/>
      <c r="C2321" s="56"/>
      <c r="D2321" s="56"/>
      <c r="E2321" s="56"/>
      <c r="F2321" s="56"/>
      <c r="G2321" s="57"/>
    </row>
    <row r="2322" spans="8:8" ht="32.25" customHeight="1">
      <c r="A2322" s="55"/>
      <c r="B2322" s="56"/>
      <c r="C2322" s="56"/>
      <c r="D2322" s="56"/>
      <c r="E2322" s="56"/>
      <c r="F2322" s="56"/>
      <c r="G2322" s="57"/>
    </row>
    <row r="2323" spans="8:8" ht="32.25" customHeight="1">
      <c r="A2323" s="55"/>
      <c r="B2323" s="56"/>
      <c r="C2323" s="56"/>
      <c r="D2323" s="56"/>
      <c r="E2323" s="56"/>
      <c r="F2323" s="56"/>
      <c r="G2323" s="57"/>
    </row>
    <row r="2324" spans="8:8" ht="32.25" customHeight="1">
      <c r="A2324" s="55"/>
      <c r="B2324" s="56"/>
      <c r="C2324" s="56"/>
      <c r="D2324" s="56"/>
      <c r="E2324" s="56"/>
      <c r="F2324" s="56"/>
      <c r="G2324" s="57"/>
    </row>
    <row r="2325" spans="8:8" ht="32.25" customHeight="1">
      <c r="A2325" s="55"/>
      <c r="B2325" s="56"/>
      <c r="C2325" s="56"/>
      <c r="D2325" s="56"/>
      <c r="E2325" s="56"/>
      <c r="F2325" s="56"/>
      <c r="G2325" s="57"/>
    </row>
    <row r="2326" spans="8:8" ht="32.25" customHeight="1">
      <c r="A2326" s="55"/>
      <c r="B2326" s="56"/>
      <c r="C2326" s="56"/>
      <c r="D2326" s="56"/>
      <c r="E2326" s="56"/>
      <c r="F2326" s="56"/>
      <c r="G2326" s="57"/>
    </row>
    <row r="2327" spans="8:8" ht="32.25" customHeight="1">
      <c r="A2327" s="55"/>
      <c r="B2327" s="56"/>
      <c r="C2327" s="56"/>
      <c r="D2327" s="56"/>
      <c r="E2327" s="56"/>
      <c r="F2327" s="56"/>
      <c r="G2327" s="57"/>
    </row>
    <row r="2328" spans="8:8" ht="32.25" customHeight="1">
      <c r="A2328" s="55"/>
      <c r="B2328" s="56"/>
      <c r="C2328" s="56"/>
      <c r="D2328" s="56"/>
      <c r="E2328" s="56"/>
      <c r="F2328" s="56"/>
      <c r="G2328" s="57"/>
    </row>
    <row r="2329" spans="8:8" ht="32.25" customHeight="1">
      <c r="A2329" s="55"/>
      <c r="B2329" s="56"/>
      <c r="C2329" s="56"/>
      <c r="D2329" s="56"/>
      <c r="E2329" s="56"/>
      <c r="F2329" s="56"/>
      <c r="G2329" s="57"/>
    </row>
    <row r="2330" spans="8:8" ht="32.25" customHeight="1">
      <c r="A2330" s="55"/>
      <c r="B2330" s="56"/>
      <c r="C2330" s="56"/>
      <c r="D2330" s="56"/>
      <c r="E2330" s="56"/>
      <c r="F2330" s="56"/>
      <c r="G2330" s="57"/>
    </row>
    <row r="2331" spans="8:8" ht="32.25" customHeight="1">
      <c r="A2331" s="55"/>
      <c r="B2331" s="56"/>
      <c r="C2331" s="56"/>
      <c r="D2331" s="56"/>
      <c r="E2331" s="56"/>
      <c r="F2331" s="56"/>
      <c r="G2331" s="57"/>
    </row>
    <row r="2332" spans="8:8" ht="32.25" customHeight="1">
      <c r="A2332" s="55"/>
      <c r="B2332" s="56"/>
      <c r="C2332" s="56"/>
      <c r="D2332" s="56"/>
      <c r="E2332" s="56"/>
      <c r="F2332" s="56"/>
      <c r="G2332" s="57"/>
    </row>
    <row r="2333" spans="8:8" ht="32.25" customHeight="1">
      <c r="A2333" s="55"/>
      <c r="B2333" s="56"/>
      <c r="C2333" s="56"/>
      <c r="D2333" s="56"/>
      <c r="E2333" s="56"/>
      <c r="F2333" s="56"/>
      <c r="G2333" s="57"/>
    </row>
    <row r="2334" spans="8:8" ht="32.25" customHeight="1">
      <c r="A2334" s="55"/>
      <c r="B2334" s="56"/>
      <c r="C2334" s="56"/>
      <c r="D2334" s="56"/>
      <c r="E2334" s="56"/>
      <c r="F2334" s="56"/>
      <c r="G2334" s="57"/>
    </row>
    <row r="2335" spans="8:8" ht="32.25" customHeight="1">
      <c r="A2335" s="55"/>
      <c r="B2335" s="56"/>
      <c r="C2335" s="56"/>
      <c r="D2335" s="56"/>
      <c r="E2335" s="56"/>
      <c r="F2335" s="56"/>
      <c r="G2335" s="57"/>
    </row>
    <row r="2336" spans="8:8" ht="32.25" customHeight="1">
      <c r="A2336" s="55"/>
      <c r="B2336" s="56"/>
      <c r="C2336" s="56"/>
      <c r="D2336" s="56"/>
      <c r="E2336" s="56"/>
      <c r="F2336" s="56"/>
      <c r="G2336" s="57"/>
    </row>
    <row r="2337" spans="8:8" ht="32.25" customHeight="1">
      <c r="A2337" s="55"/>
      <c r="B2337" s="56"/>
      <c r="C2337" s="56"/>
      <c r="D2337" s="56"/>
      <c r="E2337" s="56"/>
      <c r="F2337" s="56"/>
      <c r="G2337" s="57"/>
    </row>
    <row r="2338" spans="8:8" ht="32.25" customHeight="1">
      <c r="A2338" s="55"/>
      <c r="B2338" s="56"/>
      <c r="C2338" s="56"/>
      <c r="D2338" s="56"/>
      <c r="E2338" s="56"/>
      <c r="F2338" s="56"/>
      <c r="G2338" s="57"/>
    </row>
    <row r="2339" spans="8:8" ht="32.25" customHeight="1">
      <c r="A2339" s="55"/>
      <c r="B2339" s="56"/>
      <c r="C2339" s="56"/>
      <c r="D2339" s="56"/>
      <c r="E2339" s="56"/>
      <c r="F2339" s="56"/>
      <c r="G2339" s="57"/>
    </row>
    <row r="2340" spans="8:8" ht="32.25" customHeight="1">
      <c r="A2340" s="55"/>
      <c r="B2340" s="56"/>
      <c r="C2340" s="56"/>
      <c r="D2340" s="56"/>
      <c r="E2340" s="56"/>
      <c r="F2340" s="56"/>
      <c r="G2340" s="57"/>
    </row>
    <row r="2341" spans="8:8" ht="32.25" customHeight="1">
      <c r="A2341" s="55"/>
      <c r="B2341" s="56"/>
      <c r="C2341" s="56"/>
      <c r="D2341" s="56"/>
      <c r="E2341" s="56"/>
      <c r="F2341" s="56"/>
      <c r="G2341" s="57"/>
    </row>
    <row r="2342" spans="8:8" ht="32.25" customHeight="1">
      <c r="A2342" s="55"/>
      <c r="B2342" s="56"/>
      <c r="C2342" s="56"/>
      <c r="D2342" s="56"/>
      <c r="E2342" s="56"/>
      <c r="F2342" s="56"/>
      <c r="G2342" s="57"/>
    </row>
    <row r="2343" spans="8:8" ht="32.25" customHeight="1">
      <c r="A2343" s="55"/>
      <c r="B2343" s="56"/>
      <c r="C2343" s="56"/>
      <c r="D2343" s="56"/>
      <c r="E2343" s="56"/>
      <c r="F2343" s="56"/>
      <c r="G2343" s="57"/>
    </row>
    <row r="2344" spans="8:8" ht="32.25" customHeight="1">
      <c r="A2344" s="55"/>
      <c r="B2344" s="56"/>
      <c r="C2344" s="56"/>
      <c r="D2344" s="56"/>
      <c r="E2344" s="56"/>
      <c r="F2344" s="56"/>
      <c r="G2344" s="57"/>
    </row>
    <row r="2345" spans="8:8" ht="32.25" customHeight="1">
      <c r="A2345" s="55"/>
      <c r="B2345" s="56"/>
      <c r="C2345" s="56"/>
      <c r="D2345" s="56"/>
      <c r="E2345" s="56"/>
      <c r="F2345" s="56"/>
      <c r="G2345" s="57"/>
    </row>
    <row r="2346" spans="8:8" ht="32.25" customHeight="1">
      <c r="A2346" s="55"/>
      <c r="B2346" s="56"/>
      <c r="C2346" s="56"/>
      <c r="D2346" s="56"/>
      <c r="E2346" s="56"/>
      <c r="F2346" s="56"/>
      <c r="G2346" s="57"/>
    </row>
    <row r="2347" spans="8:8" ht="32.25" customHeight="1">
      <c r="A2347" s="55"/>
      <c r="B2347" s="56"/>
      <c r="C2347" s="56"/>
      <c r="D2347" s="56"/>
      <c r="E2347" s="56"/>
      <c r="F2347" s="56"/>
      <c r="G2347" s="57"/>
    </row>
    <row r="2348" spans="8:8" ht="32.25" customHeight="1">
      <c r="A2348" s="55"/>
      <c r="B2348" s="56"/>
      <c r="C2348" s="56"/>
      <c r="D2348" s="56"/>
      <c r="E2348" s="56"/>
      <c r="F2348" s="56"/>
      <c r="G2348" s="57"/>
    </row>
    <row r="2349" spans="8:8" ht="32.25" customHeight="1">
      <c r="A2349" s="55"/>
      <c r="B2349" s="56"/>
      <c r="C2349" s="56"/>
      <c r="D2349" s="56"/>
      <c r="E2349" s="56"/>
      <c r="F2349" s="56"/>
      <c r="G2349" s="57"/>
    </row>
    <row r="2350" spans="8:8" ht="32.25" customHeight="1">
      <c r="A2350" s="55"/>
      <c r="B2350" s="56"/>
      <c r="C2350" s="56"/>
      <c r="D2350" s="56"/>
      <c r="E2350" s="56"/>
      <c r="F2350" s="56"/>
      <c r="G2350" s="57"/>
    </row>
    <row r="2351" spans="8:8" ht="32.25" customHeight="1">
      <c r="A2351" s="55"/>
      <c r="B2351" s="56"/>
      <c r="C2351" s="56"/>
      <c r="D2351" s="56"/>
      <c r="E2351" s="56"/>
      <c r="F2351" s="56"/>
      <c r="G2351" s="57"/>
    </row>
    <row r="2352" spans="8:8" ht="32.25" customHeight="1">
      <c r="A2352" s="55"/>
      <c r="B2352" s="56"/>
      <c r="C2352" s="56"/>
      <c r="D2352" s="56"/>
      <c r="E2352" s="56"/>
      <c r="F2352" s="56"/>
      <c r="G2352" s="57"/>
    </row>
    <row r="2353" spans="8:8" ht="32.25" customHeight="1">
      <c r="A2353" s="55"/>
      <c r="B2353" s="56"/>
      <c r="C2353" s="56"/>
      <c r="D2353" s="56"/>
      <c r="E2353" s="56"/>
      <c r="F2353" s="56"/>
      <c r="G2353" s="57"/>
    </row>
    <row r="2354" spans="8:8" ht="32.25" customHeight="1">
      <c r="A2354" s="55"/>
      <c r="B2354" s="56"/>
      <c r="C2354" s="56"/>
      <c r="D2354" s="56"/>
      <c r="E2354" s="56"/>
      <c r="F2354" s="56"/>
      <c r="G2354" s="57"/>
    </row>
    <row r="2355" spans="8:8" ht="32.25" customHeight="1">
      <c r="A2355" s="55"/>
      <c r="B2355" s="56"/>
      <c r="C2355" s="56"/>
      <c r="D2355" s="56"/>
      <c r="E2355" s="56"/>
      <c r="F2355" s="56"/>
      <c r="G2355" s="57"/>
    </row>
    <row r="2356" spans="8:8" ht="32.25" customHeight="1">
      <c r="A2356" s="55"/>
      <c r="B2356" s="56"/>
      <c r="C2356" s="56"/>
      <c r="D2356" s="56"/>
      <c r="E2356" s="56"/>
      <c r="F2356" s="56"/>
      <c r="G2356" s="57"/>
    </row>
    <row r="2357" spans="8:8" ht="32.25" customHeight="1">
      <c r="A2357" s="55"/>
      <c r="B2357" s="56"/>
      <c r="C2357" s="56"/>
      <c r="D2357" s="56"/>
      <c r="E2357" s="56"/>
      <c r="F2357" s="56"/>
      <c r="G2357" s="57"/>
    </row>
    <row r="2358" spans="8:8" ht="32.25" customHeight="1">
      <c r="A2358" s="55"/>
      <c r="B2358" s="56"/>
      <c r="C2358" s="56"/>
      <c r="D2358" s="56"/>
      <c r="E2358" s="56"/>
      <c r="F2358" s="56"/>
      <c r="G2358" s="57"/>
    </row>
    <row r="2359" spans="8:8" ht="32.25" customHeight="1">
      <c r="A2359" s="55"/>
      <c r="B2359" s="56"/>
      <c r="C2359" s="56"/>
      <c r="D2359" s="56"/>
      <c r="E2359" s="56"/>
      <c r="F2359" s="56"/>
      <c r="G2359" s="57"/>
    </row>
    <row r="2360" spans="8:8" ht="32.25" customHeight="1">
      <c r="A2360" s="55"/>
      <c r="B2360" s="56"/>
      <c r="C2360" s="56"/>
      <c r="D2360" s="56"/>
      <c r="E2360" s="56"/>
      <c r="F2360" s="56"/>
      <c r="G2360" s="57"/>
    </row>
    <row r="2361" spans="8:8" ht="32.25" customHeight="1">
      <c r="A2361" s="55"/>
      <c r="B2361" s="56"/>
      <c r="C2361" s="56"/>
      <c r="D2361" s="56"/>
      <c r="E2361" s="56"/>
      <c r="F2361" s="56"/>
      <c r="G2361" s="57"/>
    </row>
    <row r="2362" spans="8:8" ht="32.25" customHeight="1">
      <c r="A2362" s="55"/>
      <c r="B2362" s="56"/>
      <c r="C2362" s="56"/>
      <c r="D2362" s="56"/>
      <c r="E2362" s="56"/>
      <c r="F2362" s="56"/>
      <c r="G2362" s="57"/>
    </row>
    <row r="2363" spans="8:8" ht="32.25" customHeight="1">
      <c r="A2363" s="55"/>
      <c r="B2363" s="56"/>
      <c r="C2363" s="56"/>
      <c r="D2363" s="56"/>
      <c r="E2363" s="56"/>
      <c r="F2363" s="56"/>
      <c r="G2363" s="57"/>
    </row>
    <row r="2364" spans="8:8" ht="32.25" customHeight="1">
      <c r="A2364" s="55"/>
      <c r="B2364" s="56"/>
      <c r="C2364" s="56"/>
      <c r="D2364" s="56"/>
      <c r="E2364" s="56"/>
      <c r="F2364" s="56"/>
      <c r="G2364" s="57"/>
    </row>
    <row r="2365" spans="8:8" ht="32.25" customHeight="1">
      <c r="A2365" s="55"/>
      <c r="B2365" s="56"/>
      <c r="C2365" s="56"/>
      <c r="D2365" s="56"/>
      <c r="E2365" s="56"/>
      <c r="F2365" s="56"/>
      <c r="G2365" s="57"/>
    </row>
    <row r="2366" spans="8:8" ht="32.25" customHeight="1">
      <c r="A2366" s="55"/>
      <c r="B2366" s="56"/>
      <c r="C2366" s="56"/>
      <c r="D2366" s="56"/>
      <c r="E2366" s="56"/>
      <c r="F2366" s="56"/>
      <c r="G2366" s="57"/>
    </row>
    <row r="2367" spans="8:8" ht="32.25" customHeight="1">
      <c r="A2367" s="55"/>
      <c r="B2367" s="56"/>
      <c r="C2367" s="56"/>
      <c r="D2367" s="56"/>
      <c r="E2367" s="56"/>
      <c r="F2367" s="56"/>
      <c r="G2367" s="57"/>
    </row>
    <row r="2368" spans="8:8" ht="32.25" customHeight="1">
      <c r="A2368" s="55"/>
      <c r="B2368" s="56"/>
      <c r="C2368" s="56"/>
      <c r="D2368" s="56"/>
      <c r="E2368" s="56"/>
      <c r="F2368" s="56"/>
      <c r="G2368" s="57"/>
    </row>
    <row r="2369" spans="8:8" ht="32.25" customHeight="1">
      <c r="A2369" s="55"/>
      <c r="B2369" s="56"/>
      <c r="C2369" s="56"/>
      <c r="D2369" s="56"/>
      <c r="E2369" s="56"/>
      <c r="F2369" s="56"/>
      <c r="G2369" s="57"/>
    </row>
    <row r="2370" spans="8:8" ht="32.25" customHeight="1">
      <c r="A2370" s="55"/>
      <c r="B2370" s="56"/>
      <c r="C2370" s="56"/>
      <c r="D2370" s="56"/>
      <c r="E2370" s="56"/>
      <c r="F2370" s="56"/>
      <c r="G2370" s="57"/>
    </row>
    <row r="2371" spans="8:8" ht="32.25" customHeight="1">
      <c r="A2371" s="55"/>
      <c r="B2371" s="56"/>
      <c r="C2371" s="56"/>
      <c r="D2371" s="56"/>
      <c r="E2371" s="56"/>
      <c r="F2371" s="56"/>
      <c r="G2371" s="57"/>
    </row>
    <row r="2372" spans="8:8" ht="32.25" customHeight="1">
      <c r="A2372" s="55"/>
      <c r="B2372" s="56"/>
      <c r="C2372" s="56"/>
      <c r="D2372" s="56"/>
      <c r="E2372" s="56"/>
      <c r="F2372" s="56"/>
      <c r="G2372" s="57"/>
    </row>
    <row r="2373" spans="8:8" ht="32.25" customHeight="1">
      <c r="A2373" s="55"/>
      <c r="B2373" s="56"/>
      <c r="C2373" s="56"/>
      <c r="D2373" s="56"/>
      <c r="E2373" s="56"/>
      <c r="F2373" s="56"/>
      <c r="G2373" s="57"/>
    </row>
    <row r="2374" spans="8:8" ht="32.25" customHeight="1">
      <c r="A2374" s="55"/>
      <c r="B2374" s="56"/>
      <c r="C2374" s="56"/>
      <c r="D2374" s="56"/>
      <c r="E2374" s="56"/>
      <c r="F2374" s="56"/>
      <c r="G2374" s="57"/>
    </row>
    <row r="2375" spans="8:8" ht="32.25" customHeight="1">
      <c r="A2375" s="55"/>
      <c r="B2375" s="56"/>
      <c r="C2375" s="56"/>
      <c r="D2375" s="56"/>
      <c r="E2375" s="56"/>
      <c r="F2375" s="56"/>
      <c r="G2375" s="57"/>
    </row>
    <row r="2376" spans="8:8" ht="32.25" customHeight="1">
      <c r="A2376" s="55"/>
      <c r="B2376" s="56"/>
      <c r="C2376" s="56"/>
      <c r="D2376" s="56"/>
      <c r="E2376" s="56"/>
      <c r="F2376" s="56"/>
      <c r="G2376" s="57"/>
    </row>
    <row r="2377" spans="8:8" ht="32.25" customHeight="1">
      <c r="A2377" s="55"/>
      <c r="B2377" s="56"/>
      <c r="C2377" s="56"/>
      <c r="D2377" s="56"/>
      <c r="E2377" s="56"/>
      <c r="F2377" s="56"/>
      <c r="G2377" s="57"/>
    </row>
    <row r="2378" spans="8:8" ht="32.25" customHeight="1">
      <c r="A2378" s="55"/>
      <c r="B2378" s="56"/>
      <c r="C2378" s="56"/>
      <c r="D2378" s="56"/>
      <c r="E2378" s="56"/>
      <c r="F2378" s="56"/>
      <c r="G2378" s="57"/>
    </row>
    <row r="2379" spans="8:8" ht="32.25" customHeight="1">
      <c r="A2379" s="55"/>
      <c r="B2379" s="56"/>
      <c r="C2379" s="56"/>
      <c r="D2379" s="56"/>
      <c r="E2379" s="56"/>
      <c r="F2379" s="56"/>
      <c r="G2379" s="57"/>
    </row>
    <row r="2380" spans="8:8" ht="32.25" customHeight="1">
      <c r="A2380" s="55"/>
      <c r="B2380" s="56"/>
      <c r="C2380" s="56"/>
      <c r="D2380" s="56"/>
      <c r="E2380" s="56"/>
      <c r="F2380" s="56"/>
      <c r="G2380" s="57"/>
    </row>
    <row r="2381" spans="8:8" ht="32.25" customHeight="1">
      <c r="A2381" s="55"/>
      <c r="B2381" s="56"/>
      <c r="C2381" s="56"/>
      <c r="D2381" s="56"/>
      <c r="E2381" s="56"/>
      <c r="F2381" s="56"/>
      <c r="G2381" s="57"/>
    </row>
    <row r="2382" spans="8:8" ht="32.25" customHeight="1">
      <c r="A2382" s="55"/>
      <c r="B2382" s="56"/>
      <c r="C2382" s="56"/>
      <c r="D2382" s="56"/>
      <c r="E2382" s="56"/>
      <c r="F2382" s="56"/>
      <c r="G2382" s="57"/>
    </row>
    <row r="2383" spans="8:8" ht="32.25" customHeight="1">
      <c r="A2383" s="55"/>
      <c r="B2383" s="56"/>
      <c r="C2383" s="56"/>
      <c r="D2383" s="56"/>
      <c r="E2383" s="56"/>
      <c r="F2383" s="56"/>
      <c r="G2383" s="57"/>
    </row>
    <row r="2384" spans="8:8" ht="32.25" customHeight="1">
      <c r="A2384" s="55"/>
      <c r="B2384" s="56"/>
      <c r="C2384" s="56"/>
      <c r="D2384" s="56"/>
      <c r="E2384" s="56"/>
      <c r="F2384" s="56"/>
      <c r="G2384" s="57"/>
    </row>
    <row r="2385" spans="8:8" ht="32.25" customHeight="1">
      <c r="A2385" s="55"/>
      <c r="B2385" s="56"/>
      <c r="C2385" s="56"/>
      <c r="D2385" s="56"/>
      <c r="E2385" s="56"/>
      <c r="F2385" s="56"/>
      <c r="G2385" s="57"/>
    </row>
    <row r="2386" spans="8:8" ht="32.25" customHeight="1">
      <c r="A2386" s="55"/>
      <c r="B2386" s="56"/>
      <c r="C2386" s="56"/>
      <c r="D2386" s="56"/>
      <c r="E2386" s="56"/>
      <c r="F2386" s="56"/>
      <c r="G2386" s="57"/>
    </row>
    <row r="2387" spans="8:8" ht="32.25" customHeight="1">
      <c r="A2387" s="55"/>
      <c r="B2387" s="56"/>
      <c r="C2387" s="56"/>
      <c r="D2387" s="56"/>
      <c r="E2387" s="56"/>
      <c r="F2387" s="56"/>
      <c r="G2387" s="57"/>
    </row>
    <row r="2388" spans="8:8" ht="32.25" customHeight="1">
      <c r="A2388" s="55"/>
      <c r="B2388" s="56"/>
      <c r="C2388" s="56"/>
      <c r="D2388" s="56"/>
      <c r="E2388" s="56"/>
      <c r="F2388" s="56"/>
      <c r="G2388" s="57"/>
    </row>
    <row r="2389" spans="8:8" ht="32.25" customHeight="1">
      <c r="A2389" s="55"/>
      <c r="B2389" s="56"/>
      <c r="C2389" s="56"/>
      <c r="D2389" s="56"/>
      <c r="E2389" s="56"/>
      <c r="F2389" s="56"/>
      <c r="G2389" s="57"/>
    </row>
    <row r="2390" spans="8:8" ht="32.25" customHeight="1">
      <c r="A2390" s="55"/>
      <c r="B2390" s="56"/>
      <c r="C2390" s="56"/>
      <c r="D2390" s="56"/>
      <c r="E2390" s="56"/>
      <c r="F2390" s="56"/>
      <c r="G2390" s="57"/>
    </row>
    <row r="2391" spans="8:8" ht="32.25" customHeight="1">
      <c r="A2391" s="55"/>
      <c r="B2391" s="56"/>
      <c r="C2391" s="56"/>
      <c r="D2391" s="56"/>
      <c r="E2391" s="56"/>
      <c r="F2391" s="56"/>
      <c r="G2391" s="57"/>
    </row>
    <row r="2392" spans="8:8" ht="32.25" customHeight="1">
      <c r="A2392" s="55"/>
      <c r="B2392" s="56"/>
      <c r="C2392" s="56"/>
      <c r="D2392" s="56"/>
      <c r="E2392" s="56"/>
      <c r="F2392" s="56"/>
      <c r="G2392" s="57"/>
    </row>
    <row r="2393" spans="8:8" ht="32.25" customHeight="1">
      <c r="A2393" s="55"/>
      <c r="B2393" s="56"/>
      <c r="C2393" s="56"/>
      <c r="D2393" s="56"/>
      <c r="E2393" s="56"/>
      <c r="F2393" s="56"/>
      <c r="G2393" s="57"/>
    </row>
    <row r="2394" spans="8:8" ht="32.25" customHeight="1">
      <c r="A2394" s="55"/>
      <c r="B2394" s="56"/>
      <c r="C2394" s="56"/>
      <c r="D2394" s="56"/>
      <c r="E2394" s="56"/>
      <c r="F2394" s="56"/>
      <c r="G2394" s="57"/>
    </row>
    <row r="2395" spans="8:8" ht="32.25" customHeight="1">
      <c r="A2395" s="55"/>
      <c r="B2395" s="56"/>
      <c r="C2395" s="56"/>
      <c r="D2395" s="56"/>
      <c r="E2395" s="56"/>
      <c r="F2395" s="56"/>
      <c r="G2395" s="57"/>
    </row>
    <row r="2396" spans="8:8" ht="32.25" customHeight="1">
      <c r="A2396" s="55"/>
      <c r="B2396" s="56"/>
      <c r="C2396" s="56"/>
      <c r="D2396" s="56"/>
      <c r="E2396" s="56"/>
      <c r="F2396" s="56"/>
      <c r="G2396" s="57"/>
    </row>
    <row r="2397" spans="8:8" ht="32.25" customHeight="1">
      <c r="A2397" s="55"/>
      <c r="B2397" s="56"/>
      <c r="C2397" s="56"/>
      <c r="D2397" s="56"/>
      <c r="E2397" s="56"/>
      <c r="F2397" s="56"/>
      <c r="G2397" s="57"/>
    </row>
    <row r="2398" spans="8:8" ht="32.25" customHeight="1">
      <c r="A2398" s="55"/>
      <c r="B2398" s="56"/>
      <c r="C2398" s="56"/>
      <c r="D2398" s="56"/>
      <c r="E2398" s="56"/>
      <c r="F2398" s="56"/>
      <c r="G2398" s="57"/>
    </row>
    <row r="2399" spans="8:8" ht="32.25" customHeight="1">
      <c r="A2399" s="55"/>
      <c r="B2399" s="56"/>
      <c r="C2399" s="56"/>
      <c r="D2399" s="56"/>
      <c r="E2399" s="56"/>
      <c r="F2399" s="56"/>
      <c r="G2399" s="57"/>
    </row>
    <row r="2400" spans="8:8" ht="32.25" customHeight="1">
      <c r="A2400" s="55"/>
      <c r="B2400" s="56"/>
      <c r="C2400" s="56"/>
      <c r="D2400" s="56"/>
      <c r="E2400" s="56"/>
      <c r="F2400" s="56"/>
      <c r="G2400" s="57"/>
    </row>
    <row r="2401" spans="8:8" ht="32.25" customHeight="1">
      <c r="A2401" s="55"/>
      <c r="B2401" s="56"/>
      <c r="C2401" s="56"/>
      <c r="D2401" s="56"/>
      <c r="E2401" s="56"/>
      <c r="F2401" s="56"/>
      <c r="G2401" s="57"/>
    </row>
    <row r="2402" spans="8:8" ht="32.25" customHeight="1">
      <c r="A2402" s="55"/>
      <c r="B2402" s="56"/>
      <c r="C2402" s="56"/>
      <c r="D2402" s="56"/>
      <c r="E2402" s="56"/>
      <c r="F2402" s="56"/>
      <c r="G2402" s="57"/>
    </row>
    <row r="2403" spans="8:8" ht="32.25" customHeight="1">
      <c r="A2403" s="55"/>
      <c r="B2403" s="56"/>
      <c r="C2403" s="56"/>
      <c r="D2403" s="56"/>
      <c r="E2403" s="56"/>
      <c r="F2403" s="56"/>
      <c r="G2403" s="57"/>
    </row>
    <row r="2404" spans="8:8" ht="32.25" customHeight="1">
      <c r="A2404" s="55"/>
      <c r="B2404" s="56"/>
      <c r="C2404" s="56"/>
      <c r="D2404" s="56"/>
      <c r="E2404" s="56"/>
      <c r="F2404" s="56"/>
      <c r="G2404" s="57"/>
    </row>
    <row r="2405" spans="8:8" ht="32.25" customHeight="1">
      <c r="A2405" s="55"/>
      <c r="B2405" s="56"/>
      <c r="C2405" s="56"/>
      <c r="D2405" s="56"/>
      <c r="E2405" s="56"/>
      <c r="F2405" s="56"/>
      <c r="G2405" s="57"/>
    </row>
    <row r="2406" spans="8:8" ht="32.25" customHeight="1">
      <c r="A2406" s="55"/>
      <c r="B2406" s="56"/>
      <c r="C2406" s="56"/>
      <c r="D2406" s="56"/>
      <c r="E2406" s="56"/>
      <c r="F2406" s="56"/>
      <c r="G2406" s="57"/>
    </row>
    <row r="2407" spans="8:8" ht="32.25" customHeight="1">
      <c r="A2407" s="55"/>
      <c r="B2407" s="56"/>
      <c r="C2407" s="56"/>
      <c r="D2407" s="56"/>
      <c r="E2407" s="56"/>
      <c r="F2407" s="56"/>
      <c r="G2407" s="57"/>
    </row>
    <row r="2408" spans="8:8" ht="32.25" customHeight="1">
      <c r="A2408" s="55"/>
      <c r="B2408" s="56"/>
      <c r="C2408" s="56"/>
      <c r="D2408" s="56"/>
      <c r="E2408" s="56"/>
      <c r="F2408" s="56"/>
      <c r="G2408" s="57"/>
    </row>
    <row r="2409" spans="8:8" ht="32.25" customHeight="1">
      <c r="A2409" s="55"/>
      <c r="B2409" s="56"/>
      <c r="C2409" s="56"/>
      <c r="D2409" s="56"/>
      <c r="E2409" s="56"/>
      <c r="F2409" s="56"/>
      <c r="G2409" s="57"/>
    </row>
    <row r="2410" spans="8:8" ht="32.25" customHeight="1">
      <c r="A2410" s="55"/>
      <c r="B2410" s="56"/>
      <c r="C2410" s="56"/>
      <c r="D2410" s="56"/>
      <c r="E2410" s="56"/>
      <c r="F2410" s="56"/>
      <c r="G2410" s="57"/>
    </row>
    <row r="2411" spans="8:8" ht="32.25" customHeight="1">
      <c r="A2411" s="55"/>
      <c r="B2411" s="56"/>
      <c r="C2411" s="56"/>
      <c r="D2411" s="56"/>
      <c r="E2411" s="56"/>
      <c r="F2411" s="56"/>
      <c r="G2411" s="57"/>
    </row>
    <row r="2412" spans="8:8" ht="32.25" customHeight="1">
      <c r="A2412" s="55"/>
      <c r="B2412" s="56"/>
      <c r="C2412" s="56"/>
      <c r="D2412" s="56"/>
      <c r="E2412" s="56"/>
      <c r="F2412" s="56"/>
      <c r="G2412" s="57"/>
    </row>
    <row r="2413" spans="8:8" ht="32.25" customHeight="1">
      <c r="A2413" s="55"/>
      <c r="B2413" s="56"/>
      <c r="C2413" s="56"/>
      <c r="D2413" s="56"/>
      <c r="E2413" s="56"/>
      <c r="F2413" s="56"/>
      <c r="G2413" s="57"/>
    </row>
    <row r="2414" spans="8:8" ht="32.25" customHeight="1">
      <c r="A2414" s="55"/>
      <c r="B2414" s="56"/>
      <c r="C2414" s="56"/>
      <c r="D2414" s="56"/>
      <c r="E2414" s="56"/>
      <c r="F2414" s="56"/>
      <c r="G2414" s="57"/>
    </row>
    <row r="2415" spans="8:8" ht="32.25" customHeight="1">
      <c r="A2415" s="55"/>
      <c r="B2415" s="56"/>
      <c r="C2415" s="56"/>
      <c r="D2415" s="56"/>
      <c r="E2415" s="56"/>
      <c r="F2415" s="56"/>
      <c r="G2415" s="57"/>
    </row>
    <row r="2416" spans="8:8" ht="32.25" customHeight="1">
      <c r="A2416" s="55"/>
      <c r="B2416" s="56"/>
      <c r="C2416" s="56"/>
      <c r="D2416" s="56"/>
      <c r="E2416" s="56"/>
      <c r="F2416" s="56"/>
      <c r="G2416" s="57"/>
    </row>
    <row r="2417" spans="8:8" ht="32.25" customHeight="1">
      <c r="A2417" s="55"/>
      <c r="B2417" s="56"/>
      <c r="C2417" s="56"/>
      <c r="D2417" s="56"/>
      <c r="E2417" s="56"/>
      <c r="F2417" s="56"/>
      <c r="G2417" s="57"/>
    </row>
    <row r="2418" spans="8:8" ht="32.25" customHeight="1">
      <c r="A2418" s="55"/>
      <c r="B2418" s="56"/>
      <c r="C2418" s="56"/>
      <c r="D2418" s="56"/>
      <c r="E2418" s="56"/>
      <c r="F2418" s="56"/>
      <c r="G2418" s="57"/>
    </row>
    <row r="2419" spans="8:8" ht="32.25" customHeight="1">
      <c r="A2419" s="55"/>
      <c r="B2419" s="56"/>
      <c r="C2419" s="56"/>
      <c r="D2419" s="56"/>
      <c r="E2419" s="56"/>
      <c r="F2419" s="56"/>
      <c r="G2419" s="57"/>
    </row>
    <row r="2420" spans="8:8" ht="32.25" customHeight="1">
      <c r="A2420" s="55"/>
      <c r="B2420" s="56"/>
      <c r="C2420" s="56"/>
      <c r="D2420" s="56"/>
      <c r="E2420" s="56"/>
      <c r="F2420" s="56"/>
      <c r="G2420" s="57"/>
    </row>
    <row r="2421" spans="8:8" ht="32.25" customHeight="1">
      <c r="A2421" s="55"/>
      <c r="B2421" s="56"/>
      <c r="C2421" s="56"/>
      <c r="D2421" s="56"/>
      <c r="E2421" s="56"/>
      <c r="F2421" s="56"/>
      <c r="G2421" s="57"/>
    </row>
    <row r="2422" spans="8:8" ht="32.25" customHeight="1">
      <c r="A2422" s="55"/>
      <c r="B2422" s="56"/>
      <c r="C2422" s="56"/>
      <c r="D2422" s="56"/>
      <c r="E2422" s="56"/>
      <c r="F2422" s="56"/>
      <c r="G2422" s="57"/>
    </row>
    <row r="2423" spans="8:8" ht="32.25" customHeight="1">
      <c r="A2423" s="55"/>
      <c r="B2423" s="56"/>
      <c r="C2423" s="56"/>
      <c r="D2423" s="56"/>
      <c r="E2423" s="56"/>
      <c r="F2423" s="56"/>
      <c r="G2423" s="57"/>
    </row>
    <row r="2424" spans="8:8" ht="32.25" customHeight="1">
      <c r="A2424" s="55"/>
      <c r="B2424" s="56"/>
      <c r="C2424" s="56"/>
      <c r="D2424" s="56"/>
      <c r="E2424" s="56"/>
      <c r="F2424" s="56"/>
      <c r="G2424" s="57"/>
    </row>
    <row r="2425" spans="8:8" ht="32.25" customHeight="1">
      <c r="A2425" s="55"/>
      <c r="B2425" s="56"/>
      <c r="C2425" s="56"/>
      <c r="D2425" s="56"/>
      <c r="E2425" s="56"/>
      <c r="F2425" s="56"/>
      <c r="G2425" s="57"/>
    </row>
    <row r="2426" spans="8:8" ht="32.25" customHeight="1">
      <c r="A2426" s="55"/>
      <c r="B2426" s="56"/>
      <c r="C2426" s="56"/>
      <c r="D2426" s="56"/>
      <c r="E2426" s="56"/>
      <c r="F2426" s="56"/>
      <c r="G2426" s="57"/>
    </row>
    <row r="2427" spans="8:8" ht="32.25" customHeight="1">
      <c r="A2427" s="55"/>
      <c r="B2427" s="56"/>
      <c r="C2427" s="56"/>
      <c r="D2427" s="56"/>
      <c r="E2427" s="56"/>
      <c r="F2427" s="56"/>
      <c r="G2427" s="57"/>
    </row>
    <row r="2428" spans="8:8" ht="32.25" customHeight="1">
      <c r="A2428" s="55"/>
      <c r="B2428" s="56"/>
      <c r="C2428" s="56"/>
      <c r="D2428" s="56"/>
      <c r="E2428" s="56"/>
      <c r="F2428" s="56"/>
      <c r="G2428" s="57"/>
    </row>
    <row r="2429" spans="8:8" ht="32.25" customHeight="1">
      <c r="A2429" s="55"/>
      <c r="B2429" s="56"/>
      <c r="C2429" s="56"/>
      <c r="D2429" s="56"/>
      <c r="E2429" s="56"/>
      <c r="F2429" s="56"/>
      <c r="G2429" s="57"/>
    </row>
    <row r="2430" spans="8:8" ht="32.25" customHeight="1">
      <c r="A2430" s="55"/>
      <c r="B2430" s="56"/>
      <c r="C2430" s="56"/>
      <c r="D2430" s="56"/>
      <c r="E2430" s="56"/>
      <c r="F2430" s="56"/>
      <c r="G2430" s="57"/>
    </row>
    <row r="2431" spans="8:8" ht="32.25" customHeight="1">
      <c r="A2431" s="55"/>
      <c r="B2431" s="56"/>
      <c r="C2431" s="56"/>
      <c r="D2431" s="56"/>
      <c r="E2431" s="56"/>
      <c r="F2431" s="56"/>
      <c r="G2431" s="57"/>
    </row>
    <row r="2432" spans="8:8" ht="32.25" customHeight="1">
      <c r="A2432" s="55"/>
      <c r="B2432" s="56"/>
      <c r="C2432" s="56"/>
      <c r="D2432" s="56"/>
      <c r="E2432" s="56"/>
      <c r="F2432" s="56"/>
      <c r="G2432" s="57"/>
    </row>
    <row r="2433" spans="8:8" ht="32.25" customHeight="1">
      <c r="A2433" s="55"/>
      <c r="B2433" s="56"/>
      <c r="C2433" s="56"/>
      <c r="D2433" s="56"/>
      <c r="E2433" s="56"/>
      <c r="F2433" s="56"/>
      <c r="G2433" s="57"/>
    </row>
    <row r="2434" spans="8:8" ht="32.25" customHeight="1">
      <c r="A2434" s="55"/>
      <c r="B2434" s="56"/>
      <c r="C2434" s="56"/>
      <c r="D2434" s="56"/>
      <c r="E2434" s="56"/>
      <c r="F2434" s="56"/>
      <c r="G2434" s="57"/>
    </row>
    <row r="2435" spans="8:8" ht="32.25" customHeight="1">
      <c r="A2435" s="55"/>
      <c r="B2435" s="56"/>
      <c r="C2435" s="56"/>
      <c r="D2435" s="56"/>
      <c r="E2435" s="56"/>
      <c r="F2435" s="56"/>
      <c r="G2435" s="57"/>
    </row>
    <row r="2436" spans="8:8" ht="32.25" customHeight="1">
      <c r="A2436" s="55"/>
      <c r="B2436" s="56"/>
      <c r="C2436" s="56"/>
      <c r="D2436" s="56"/>
      <c r="E2436" s="56"/>
      <c r="F2436" s="56"/>
      <c r="G2436" s="57"/>
    </row>
    <row r="2437" spans="8:8" ht="32.25" customHeight="1">
      <c r="A2437" s="55"/>
      <c r="B2437" s="56"/>
      <c r="C2437" s="56"/>
      <c r="D2437" s="56"/>
      <c r="E2437" s="56"/>
      <c r="F2437" s="56"/>
      <c r="G2437" s="57"/>
    </row>
    <row r="2438" spans="8:8" ht="32.25" customHeight="1">
      <c r="A2438" s="55"/>
      <c r="B2438" s="56"/>
      <c r="C2438" s="56"/>
      <c r="D2438" s="56"/>
      <c r="E2438" s="56"/>
      <c r="F2438" s="56"/>
      <c r="G2438" s="57"/>
    </row>
    <row r="2439" spans="8:8" ht="32.25" customHeight="1">
      <c r="A2439" s="55"/>
      <c r="B2439" s="56"/>
      <c r="C2439" s="56"/>
      <c r="D2439" s="56"/>
      <c r="E2439" s="56"/>
      <c r="F2439" s="56"/>
      <c r="G2439" s="57"/>
    </row>
    <row r="2440" spans="8:8" ht="32.25" customHeight="1">
      <c r="A2440" s="55"/>
      <c r="B2440" s="56"/>
      <c r="C2440" s="56"/>
      <c r="D2440" s="56"/>
      <c r="E2440" s="56"/>
      <c r="F2440" s="56"/>
      <c r="G2440" s="57"/>
    </row>
    <row r="2441" spans="8:8" ht="32.25" customHeight="1">
      <c r="A2441" s="55"/>
      <c r="B2441" s="56"/>
      <c r="C2441" s="56"/>
      <c r="D2441" s="56"/>
      <c r="E2441" s="56"/>
      <c r="F2441" s="56"/>
      <c r="G2441" s="57"/>
    </row>
    <row r="2442" spans="8:8" ht="32.25" customHeight="1">
      <c r="A2442" s="55"/>
      <c r="B2442" s="56"/>
      <c r="C2442" s="56"/>
      <c r="D2442" s="56"/>
      <c r="E2442" s="56"/>
      <c r="F2442" s="56"/>
      <c r="G2442" s="57"/>
    </row>
    <row r="2443" spans="8:8" ht="32.25" customHeight="1">
      <c r="A2443" s="55"/>
      <c r="B2443" s="56"/>
      <c r="C2443" s="56"/>
      <c r="D2443" s="56"/>
      <c r="E2443" s="56"/>
      <c r="F2443" s="56"/>
      <c r="G2443" s="57"/>
    </row>
    <row r="2444" spans="8:8" ht="32.25" customHeight="1">
      <c r="A2444" s="55"/>
      <c r="B2444" s="56"/>
      <c r="C2444" s="56"/>
      <c r="D2444" s="56"/>
      <c r="E2444" s="56"/>
      <c r="F2444" s="56"/>
      <c r="G2444" s="57"/>
    </row>
    <row r="2445" spans="8:8" ht="32.25" customHeight="1">
      <c r="A2445" s="55"/>
      <c r="B2445" s="56"/>
      <c r="C2445" s="56"/>
      <c r="D2445" s="56"/>
      <c r="E2445" s="56"/>
      <c r="F2445" s="56"/>
      <c r="G2445" s="57"/>
    </row>
    <row r="2446" spans="8:8" ht="32.25" customHeight="1">
      <c r="A2446" s="55"/>
      <c r="B2446" s="56"/>
      <c r="C2446" s="56"/>
      <c r="D2446" s="56"/>
      <c r="E2446" s="56"/>
      <c r="F2446" s="56"/>
      <c r="G2446" s="57"/>
    </row>
    <row r="2447" spans="8:8" ht="32.25" customHeight="1">
      <c r="A2447" s="55"/>
      <c r="B2447" s="56"/>
      <c r="C2447" s="56"/>
      <c r="D2447" s="56"/>
      <c r="E2447" s="56"/>
      <c r="F2447" s="56"/>
      <c r="G2447" s="57"/>
    </row>
    <row r="2448" spans="8:8" ht="32.25" customHeight="1">
      <c r="A2448" s="55"/>
      <c r="B2448" s="56"/>
      <c r="C2448" s="56"/>
      <c r="D2448" s="56"/>
      <c r="E2448" s="56"/>
      <c r="F2448" s="56"/>
      <c r="G2448" s="57"/>
    </row>
    <row r="2449" spans="8:8" ht="32.25" customHeight="1">
      <c r="A2449" s="55"/>
      <c r="B2449" s="56"/>
      <c r="C2449" s="56"/>
      <c r="D2449" s="56"/>
      <c r="E2449" s="56"/>
      <c r="F2449" s="56"/>
      <c r="G2449" s="57"/>
    </row>
    <row r="2450" spans="8:8" ht="32.25" customHeight="1">
      <c r="A2450" s="55"/>
      <c r="B2450" s="56"/>
      <c r="C2450" s="56"/>
      <c r="D2450" s="56"/>
      <c r="E2450" s="56"/>
      <c r="F2450" s="56"/>
      <c r="G2450" s="57"/>
    </row>
    <row r="2451" spans="8:8" ht="32.25" customHeight="1">
      <c r="A2451" s="55"/>
      <c r="B2451" s="56"/>
      <c r="C2451" s="56"/>
      <c r="D2451" s="56"/>
      <c r="E2451" s="56"/>
      <c r="F2451" s="56"/>
      <c r="G2451" s="57"/>
    </row>
    <row r="2452" spans="8:8" ht="32.25" customHeight="1">
      <c r="A2452" s="55"/>
      <c r="B2452" s="56"/>
      <c r="C2452" s="56"/>
      <c r="D2452" s="56"/>
      <c r="E2452" s="56"/>
      <c r="F2452" s="56"/>
      <c r="G2452" s="57"/>
    </row>
    <row r="2453" spans="8:8" ht="32.25" customHeight="1">
      <c r="A2453" s="55"/>
      <c r="B2453" s="56"/>
      <c r="C2453" s="56"/>
      <c r="D2453" s="56"/>
      <c r="E2453" s="56"/>
      <c r="F2453" s="56"/>
      <c r="G2453" s="57"/>
    </row>
    <row r="2454" spans="8:8" ht="32.25" customHeight="1">
      <c r="A2454" s="55"/>
      <c r="B2454" s="56"/>
      <c r="C2454" s="56"/>
      <c r="D2454" s="56"/>
      <c r="E2454" s="56"/>
      <c r="F2454" s="56"/>
      <c r="G2454" s="57"/>
    </row>
    <row r="2455" spans="8:8" ht="32.25" customHeight="1">
      <c r="A2455" s="55"/>
      <c r="B2455" s="56"/>
      <c r="C2455" s="56"/>
      <c r="D2455" s="56"/>
      <c r="E2455" s="56"/>
      <c r="F2455" s="56"/>
      <c r="G2455" s="57"/>
    </row>
    <row r="2456" spans="8:8" ht="32.25" customHeight="1">
      <c r="A2456" s="55"/>
      <c r="B2456" s="56"/>
      <c r="C2456" s="56"/>
      <c r="D2456" s="56"/>
      <c r="E2456" s="56"/>
      <c r="F2456" s="56"/>
      <c r="G2456" s="57"/>
    </row>
    <row r="2457" spans="8:8" ht="32.25" customHeight="1">
      <c r="A2457" s="55"/>
      <c r="B2457" s="56"/>
      <c r="C2457" s="56"/>
      <c r="D2457" s="56"/>
      <c r="E2457" s="56"/>
      <c r="F2457" s="56"/>
      <c r="G2457" s="57"/>
    </row>
    <row r="2458" spans="8:8" ht="32.25" customHeight="1">
      <c r="A2458" s="55"/>
      <c r="B2458" s="56"/>
      <c r="C2458" s="56"/>
      <c r="D2458" s="56"/>
      <c r="E2458" s="56"/>
      <c r="F2458" s="56"/>
      <c r="G2458" s="57"/>
    </row>
    <row r="2459" spans="8:8" ht="32.25" customHeight="1">
      <c r="A2459" s="55"/>
      <c r="B2459" s="56"/>
      <c r="C2459" s="56"/>
      <c r="D2459" s="56"/>
      <c r="E2459" s="56"/>
      <c r="F2459" s="56"/>
      <c r="G2459" s="57"/>
    </row>
    <row r="2460" spans="8:8" ht="32.25" customHeight="1">
      <c r="A2460" s="55"/>
      <c r="B2460" s="56"/>
      <c r="C2460" s="56"/>
      <c r="D2460" s="56"/>
      <c r="E2460" s="56"/>
      <c r="F2460" s="56"/>
      <c r="G2460" s="57"/>
    </row>
    <row r="2461" spans="8:8" ht="32.25" customHeight="1">
      <c r="A2461" s="55"/>
      <c r="B2461" s="56"/>
      <c r="C2461" s="56"/>
      <c r="D2461" s="56"/>
      <c r="E2461" s="56"/>
      <c r="F2461" s="56"/>
      <c r="G2461" s="57"/>
    </row>
    <row r="2462" spans="8:8" ht="32.25" customHeight="1">
      <c r="A2462" s="55"/>
      <c r="B2462" s="56"/>
      <c r="C2462" s="56"/>
      <c r="D2462" s="56"/>
      <c r="E2462" s="56"/>
      <c r="F2462" s="56"/>
      <c r="G2462" s="57"/>
    </row>
    <row r="2463" spans="8:8" ht="32.25" customHeight="1">
      <c r="A2463" s="55"/>
      <c r="B2463" s="56"/>
      <c r="C2463" s="56"/>
      <c r="D2463" s="56"/>
      <c r="E2463" s="56"/>
      <c r="F2463" s="56"/>
      <c r="G2463" s="57"/>
    </row>
    <row r="2464" spans="8:8" ht="32.25" customHeight="1">
      <c r="A2464" s="55"/>
      <c r="B2464" s="56"/>
      <c r="C2464" s="56"/>
      <c r="D2464" s="56"/>
      <c r="E2464" s="56"/>
      <c r="F2464" s="56"/>
      <c r="G2464" s="57"/>
    </row>
    <row r="2465" spans="8:8" ht="32.25" customHeight="1">
      <c r="A2465" s="55"/>
      <c r="B2465" s="56"/>
      <c r="C2465" s="56"/>
      <c r="D2465" s="56"/>
      <c r="E2465" s="56"/>
      <c r="F2465" s="56"/>
      <c r="G2465" s="57"/>
    </row>
    <row r="2466" spans="8:8" ht="32.25" customHeight="1">
      <c r="A2466" s="55"/>
      <c r="B2466" s="56"/>
      <c r="C2466" s="56"/>
      <c r="D2466" s="56"/>
      <c r="E2466" s="56"/>
      <c r="F2466" s="56"/>
      <c r="G2466" s="57"/>
    </row>
    <row r="2467" spans="8:8" ht="32.25" customHeight="1">
      <c r="A2467" s="55"/>
      <c r="B2467" s="56"/>
      <c r="C2467" s="56"/>
      <c r="D2467" s="56"/>
      <c r="E2467" s="56"/>
      <c r="F2467" s="56"/>
      <c r="G2467" s="57"/>
    </row>
    <row r="2468" spans="8:8" ht="32.25" customHeight="1">
      <c r="A2468" s="55"/>
      <c r="B2468" s="56"/>
      <c r="C2468" s="56"/>
      <c r="D2468" s="56"/>
      <c r="E2468" s="56"/>
      <c r="F2468" s="56"/>
      <c r="G2468" s="57"/>
    </row>
    <row r="2469" spans="8:8" ht="32.25" customHeight="1">
      <c r="A2469" s="55"/>
      <c r="B2469" s="56"/>
      <c r="C2469" s="56"/>
      <c r="D2469" s="56"/>
      <c r="E2469" s="56"/>
      <c r="F2469" s="56"/>
      <c r="G2469" s="57"/>
    </row>
    <row r="2470" spans="8:8" ht="32.25" customHeight="1">
      <c r="A2470" s="55"/>
      <c r="B2470" s="56"/>
      <c r="C2470" s="56"/>
      <c r="D2470" s="56"/>
      <c r="E2470" s="56"/>
      <c r="F2470" s="56"/>
      <c r="G2470" s="57"/>
    </row>
    <row r="2471" spans="8:8" ht="32.25" customHeight="1">
      <c r="A2471" s="55"/>
      <c r="B2471" s="56"/>
      <c r="C2471" s="56"/>
      <c r="D2471" s="56"/>
      <c r="E2471" s="56"/>
      <c r="F2471" s="56"/>
      <c r="G2471" s="57"/>
    </row>
    <row r="2472" spans="8:8" ht="32.25" customHeight="1">
      <c r="A2472" s="55"/>
      <c r="B2472" s="56"/>
      <c r="C2472" s="56"/>
      <c r="D2472" s="56"/>
      <c r="E2472" s="56"/>
      <c r="F2472" s="56"/>
      <c r="G2472" s="57"/>
    </row>
    <row r="2473" spans="8:8" ht="32.25" customHeight="1">
      <c r="A2473" s="55"/>
      <c r="B2473" s="56"/>
      <c r="C2473" s="56"/>
      <c r="D2473" s="56"/>
      <c r="E2473" s="56"/>
      <c r="F2473" s="56"/>
      <c r="G2473" s="57"/>
    </row>
    <row r="2474" spans="8:8" ht="32.25" customHeight="1">
      <c r="A2474" s="55"/>
      <c r="B2474" s="56"/>
      <c r="C2474" s="56"/>
      <c r="D2474" s="56"/>
      <c r="E2474" s="56"/>
      <c r="F2474" s="56"/>
      <c r="G2474" s="57"/>
    </row>
    <row r="2475" spans="8:8" ht="32.25" customHeight="1">
      <c r="A2475" s="55"/>
      <c r="B2475" s="56"/>
      <c r="C2475" s="56"/>
      <c r="D2475" s="56"/>
      <c r="E2475" s="56"/>
      <c r="F2475" s="56"/>
      <c r="G2475" s="57"/>
    </row>
    <row r="2476" spans="8:8" ht="32.25" customHeight="1">
      <c r="A2476" s="55"/>
      <c r="B2476" s="56"/>
      <c r="C2476" s="56"/>
      <c r="D2476" s="56"/>
      <c r="E2476" s="56"/>
      <c r="F2476" s="56"/>
      <c r="G2476" s="57"/>
    </row>
    <row r="2477" spans="8:8" ht="32.25" customHeight="1">
      <c r="A2477" s="55"/>
      <c r="B2477" s="56"/>
      <c r="C2477" s="56"/>
      <c r="D2477" s="56"/>
      <c r="E2477" s="56"/>
      <c r="F2477" s="56"/>
      <c r="G2477" s="57"/>
    </row>
    <row r="2478" spans="8:8" ht="32.25" customHeight="1">
      <c r="A2478" s="55"/>
      <c r="B2478" s="56"/>
      <c r="C2478" s="56"/>
      <c r="D2478" s="56"/>
      <c r="E2478" s="56"/>
      <c r="F2478" s="56"/>
      <c r="G2478" s="57"/>
    </row>
    <row r="2479" spans="8:8" ht="32.25" customHeight="1">
      <c r="A2479" s="55"/>
      <c r="B2479" s="56"/>
      <c r="C2479" s="56"/>
      <c r="D2479" s="56"/>
      <c r="E2479" s="56"/>
      <c r="F2479" s="56"/>
      <c r="G2479" s="57"/>
    </row>
    <row r="2480" spans="8:8" ht="32.25" customHeight="1">
      <c r="A2480" s="55"/>
      <c r="B2480" s="56"/>
      <c r="C2480" s="56"/>
      <c r="D2480" s="56"/>
      <c r="E2480" s="56"/>
      <c r="F2480" s="56"/>
      <c r="G2480" s="57"/>
    </row>
    <row r="2481" spans="8:8" ht="32.25" customHeight="1">
      <c r="A2481" s="55"/>
      <c r="B2481" s="56"/>
      <c r="C2481" s="56"/>
      <c r="D2481" s="56"/>
      <c r="E2481" s="56"/>
      <c r="F2481" s="56"/>
      <c r="G2481" s="57"/>
    </row>
    <row r="2482" spans="8:8" ht="32.25" customHeight="1">
      <c r="A2482" s="55"/>
      <c r="B2482" s="56"/>
      <c r="C2482" s="56"/>
      <c r="D2482" s="56"/>
      <c r="E2482" s="56"/>
      <c r="F2482" s="56"/>
      <c r="G2482" s="57"/>
    </row>
    <row r="2483" spans="8:8" ht="32.25" customHeight="1">
      <c r="A2483" s="55"/>
      <c r="B2483" s="56"/>
      <c r="C2483" s="56"/>
      <c r="D2483" s="56"/>
      <c r="E2483" s="56"/>
      <c r="F2483" s="56"/>
      <c r="G2483" s="57"/>
    </row>
    <row r="2484" spans="8:8" ht="32.25" customHeight="1">
      <c r="A2484" s="55"/>
      <c r="B2484" s="56"/>
      <c r="C2484" s="56"/>
      <c r="D2484" s="56"/>
      <c r="E2484" s="56"/>
      <c r="F2484" s="56"/>
      <c r="G2484" s="57"/>
    </row>
    <row r="2485" spans="8:8" ht="32.25" customHeight="1">
      <c r="A2485" s="55"/>
      <c r="B2485" s="56"/>
      <c r="C2485" s="56"/>
      <c r="D2485" s="56"/>
      <c r="E2485" s="56"/>
      <c r="F2485" s="56"/>
      <c r="G2485" s="57"/>
    </row>
    <row r="2486" spans="8:8" ht="32.25" customHeight="1">
      <c r="A2486" s="55"/>
      <c r="B2486" s="56"/>
      <c r="C2486" s="56"/>
      <c r="D2486" s="56"/>
      <c r="E2486" s="56"/>
      <c r="F2486" s="56"/>
      <c r="G2486" s="57"/>
    </row>
    <row r="2487" spans="8:8" ht="32.25" customHeight="1">
      <c r="A2487" s="55"/>
      <c r="B2487" s="56"/>
      <c r="C2487" s="56"/>
      <c r="D2487" s="56"/>
      <c r="E2487" s="56"/>
      <c r="F2487" s="56"/>
      <c r="G2487" s="57"/>
    </row>
    <row r="2488" spans="8:8" ht="32.25" customHeight="1">
      <c r="A2488" s="55"/>
      <c r="B2488" s="56"/>
      <c r="C2488" s="56"/>
      <c r="D2488" s="56"/>
      <c r="E2488" s="56"/>
      <c r="F2488" s="56"/>
      <c r="G2488" s="57"/>
    </row>
    <row r="2489" spans="8:8" ht="32.25" customHeight="1">
      <c r="A2489" s="55"/>
      <c r="B2489" s="56"/>
      <c r="C2489" s="56"/>
      <c r="D2489" s="56"/>
      <c r="E2489" s="56"/>
      <c r="F2489" s="56"/>
      <c r="G2489" s="57"/>
    </row>
    <row r="2490" spans="8:8" ht="32.25" customHeight="1">
      <c r="A2490" s="55"/>
      <c r="B2490" s="56"/>
      <c r="C2490" s="56"/>
      <c r="D2490" s="56"/>
      <c r="E2490" s="56"/>
      <c r="F2490" s="56"/>
      <c r="G2490" s="57"/>
    </row>
    <row r="2491" spans="8:8" ht="32.25" customHeight="1">
      <c r="A2491" s="55"/>
      <c r="B2491" s="56"/>
      <c r="C2491" s="56"/>
      <c r="D2491" s="56"/>
      <c r="E2491" s="56"/>
      <c r="F2491" s="56"/>
      <c r="G2491" s="57"/>
    </row>
    <row r="2492" spans="8:8" ht="32.25" customHeight="1">
      <c r="A2492" s="55"/>
      <c r="B2492" s="56"/>
      <c r="C2492" s="56"/>
      <c r="D2492" s="56"/>
      <c r="E2492" s="56"/>
      <c r="F2492" s="56"/>
      <c r="G2492" s="57"/>
    </row>
    <row r="2493" spans="8:8" ht="32.25" customHeight="1">
      <c r="A2493" s="55"/>
      <c r="B2493" s="56"/>
      <c r="C2493" s="56"/>
      <c r="D2493" s="56"/>
      <c r="E2493" s="56"/>
      <c r="F2493" s="56"/>
      <c r="G2493" s="57"/>
    </row>
    <row r="2494" spans="8:8" ht="32.25" customHeight="1">
      <c r="A2494" s="55"/>
      <c r="B2494" s="56"/>
      <c r="C2494" s="56"/>
      <c r="D2494" s="56"/>
      <c r="E2494" s="56"/>
      <c r="F2494" s="56"/>
      <c r="G2494" s="57"/>
    </row>
    <row r="2495" spans="8:8" ht="32.25" customHeight="1">
      <c r="A2495" s="55"/>
      <c r="B2495" s="56"/>
      <c r="C2495" s="56"/>
      <c r="D2495" s="56"/>
      <c r="E2495" s="56"/>
      <c r="F2495" s="56"/>
      <c r="G2495" s="57"/>
    </row>
    <row r="2496" spans="8:8" ht="32.25" customHeight="1">
      <c r="A2496" s="55"/>
      <c r="B2496" s="56"/>
      <c r="C2496" s="56"/>
      <c r="D2496" s="56"/>
      <c r="E2496" s="56"/>
      <c r="F2496" s="56"/>
      <c r="G2496" s="57"/>
    </row>
    <row r="2497" spans="8:8" ht="32.25" customHeight="1">
      <c r="A2497" s="55"/>
      <c r="B2497" s="56"/>
      <c r="C2497" s="56"/>
      <c r="D2497" s="56"/>
      <c r="E2497" s="56"/>
      <c r="F2497" s="56"/>
      <c r="G2497" s="57"/>
    </row>
    <row r="2498" spans="8:8" ht="32.25" customHeight="1">
      <c r="A2498" s="55"/>
      <c r="B2498" s="56"/>
      <c r="C2498" s="56"/>
      <c r="D2498" s="56"/>
      <c r="E2498" s="56"/>
      <c r="F2498" s="56"/>
      <c r="G2498" s="57"/>
    </row>
    <row r="2499" spans="8:8" ht="32.25" customHeight="1">
      <c r="A2499" s="55"/>
      <c r="B2499" s="56"/>
      <c r="C2499" s="56"/>
      <c r="D2499" s="56"/>
      <c r="E2499" s="56"/>
      <c r="F2499" s="56"/>
      <c r="G2499" s="57"/>
    </row>
    <row r="2500" spans="8:8" ht="32.25" customHeight="1">
      <c r="A2500" s="55"/>
      <c r="B2500" s="56"/>
      <c r="C2500" s="56"/>
      <c r="D2500" s="56"/>
      <c r="E2500" s="56"/>
      <c r="F2500" s="56"/>
      <c r="G2500" s="57"/>
    </row>
    <row r="2501" spans="8:8" ht="32.25" customHeight="1">
      <c r="A2501" s="55"/>
      <c r="B2501" s="56"/>
      <c r="C2501" s="56"/>
      <c r="D2501" s="56"/>
      <c r="E2501" s="56"/>
      <c r="F2501" s="56"/>
      <c r="G2501" s="57"/>
    </row>
    <row r="2502" spans="8:8" ht="32.25" customHeight="1">
      <c r="A2502" s="55"/>
      <c r="B2502" s="56"/>
      <c r="C2502" s="56"/>
      <c r="D2502" s="56"/>
      <c r="E2502" s="56"/>
      <c r="F2502" s="56"/>
      <c r="G2502" s="57"/>
    </row>
    <row r="2503" spans="8:8" ht="32.25" customHeight="1">
      <c r="A2503" s="55"/>
      <c r="B2503" s="56"/>
      <c r="C2503" s="56"/>
      <c r="D2503" s="56"/>
      <c r="E2503" s="56"/>
      <c r="F2503" s="56"/>
      <c r="G2503" s="57"/>
    </row>
    <row r="2504" spans="8:8" ht="32.25" customHeight="1">
      <c r="A2504" s="55"/>
      <c r="B2504" s="56"/>
      <c r="C2504" s="56"/>
      <c r="D2504" s="56"/>
      <c r="E2504" s="56"/>
      <c r="F2504" s="56"/>
      <c r="G2504" s="57"/>
    </row>
    <row r="2505" spans="8:8" ht="32.25" customHeight="1">
      <c r="A2505" s="55"/>
      <c r="B2505" s="56"/>
      <c r="C2505" s="56"/>
      <c r="D2505" s="56"/>
      <c r="E2505" s="56"/>
      <c r="F2505" s="56"/>
      <c r="G2505" s="57"/>
    </row>
    <row r="2506" spans="8:8" ht="32.25" customHeight="1">
      <c r="A2506" s="55"/>
      <c r="B2506" s="56"/>
      <c r="C2506" s="56"/>
      <c r="D2506" s="56"/>
      <c r="E2506" s="56"/>
      <c r="F2506" s="56"/>
      <c r="G2506" s="57"/>
    </row>
    <row r="2507" spans="8:8" ht="32.25" customHeight="1">
      <c r="A2507" s="55"/>
      <c r="B2507" s="56"/>
      <c r="C2507" s="56"/>
      <c r="D2507" s="56"/>
      <c r="E2507" s="56"/>
      <c r="F2507" s="56"/>
      <c r="G2507" s="57"/>
    </row>
    <row r="2508" spans="8:8" ht="32.25" customHeight="1">
      <c r="A2508" s="55"/>
      <c r="B2508" s="56"/>
      <c r="C2508" s="56"/>
      <c r="D2508" s="56"/>
      <c r="E2508" s="56"/>
      <c r="F2508" s="56"/>
      <c r="G2508" s="57"/>
    </row>
    <row r="2509" spans="8:8" ht="32.25" customHeight="1">
      <c r="A2509" s="55"/>
      <c r="B2509" s="56"/>
      <c r="C2509" s="56"/>
      <c r="D2509" s="56"/>
      <c r="E2509" s="56"/>
      <c r="F2509" s="56"/>
      <c r="G2509" s="57"/>
    </row>
    <row r="2510" spans="8:8" ht="32.25" customHeight="1">
      <c r="A2510" s="55"/>
      <c r="B2510" s="56"/>
      <c r="C2510" s="56"/>
      <c r="D2510" s="56"/>
      <c r="E2510" s="56"/>
      <c r="F2510" s="56"/>
      <c r="G2510" s="57"/>
    </row>
    <row r="2511" spans="8:8" ht="32.25" customHeight="1">
      <c r="A2511" s="55"/>
      <c r="B2511" s="56"/>
      <c r="C2511" s="56"/>
      <c r="D2511" s="56"/>
      <c r="E2511" s="56"/>
      <c r="F2511" s="56"/>
      <c r="G2511" s="57"/>
    </row>
    <row r="2512" spans="8:8" ht="32.25" customHeight="1">
      <c r="A2512" s="55"/>
      <c r="B2512" s="56"/>
      <c r="C2512" s="56"/>
      <c r="D2512" s="56"/>
      <c r="E2512" s="56"/>
      <c r="F2512" s="56"/>
      <c r="G2512" s="57"/>
    </row>
    <row r="2513" spans="8:8" ht="32.25" customHeight="1">
      <c r="A2513" s="55"/>
      <c r="B2513" s="56"/>
      <c r="C2513" s="56"/>
      <c r="D2513" s="56"/>
      <c r="E2513" s="56"/>
      <c r="F2513" s="56"/>
      <c r="G2513" s="57"/>
    </row>
    <row r="2514" spans="8:8" ht="32.25" customHeight="1">
      <c r="A2514" s="55"/>
      <c r="B2514" s="56"/>
      <c r="C2514" s="56"/>
      <c r="D2514" s="56"/>
      <c r="E2514" s="56"/>
      <c r="F2514" s="56"/>
      <c r="G2514" s="57"/>
    </row>
    <row r="2515" spans="8:8" ht="32.25" customHeight="1">
      <c r="A2515" s="55"/>
      <c r="B2515" s="56"/>
      <c r="C2515" s="56"/>
      <c r="D2515" s="56"/>
      <c r="E2515" s="56"/>
      <c r="F2515" s="56"/>
      <c r="G2515" s="57"/>
    </row>
    <row r="2516" spans="8:8" ht="32.25" customHeight="1">
      <c r="A2516" s="55"/>
      <c r="B2516" s="56"/>
      <c r="C2516" s="56"/>
      <c r="D2516" s="56"/>
      <c r="E2516" s="56"/>
      <c r="F2516" s="56"/>
      <c r="G2516" s="57"/>
    </row>
    <row r="2517" spans="8:8" ht="32.25" customHeight="1">
      <c r="A2517" s="55"/>
      <c r="B2517" s="56"/>
      <c r="C2517" s="56"/>
      <c r="D2517" s="56"/>
      <c r="E2517" s="56"/>
      <c r="F2517" s="56"/>
      <c r="G2517" s="57"/>
    </row>
    <row r="2518" spans="8:8" ht="32.25" customHeight="1">
      <c r="A2518" s="55"/>
      <c r="B2518" s="56"/>
      <c r="C2518" s="56"/>
      <c r="D2518" s="56"/>
      <c r="E2518" s="56"/>
      <c r="F2518" s="56"/>
      <c r="G2518" s="57"/>
    </row>
    <row r="2519" spans="8:8" ht="32.25" customHeight="1">
      <c r="A2519" s="55"/>
      <c r="B2519" s="56"/>
      <c r="C2519" s="56"/>
      <c r="D2519" s="56"/>
      <c r="E2519" s="56"/>
      <c r="F2519" s="56"/>
      <c r="G2519" s="57"/>
    </row>
    <row r="2520" spans="8:8" ht="32.25" customHeight="1">
      <c r="A2520" s="55"/>
      <c r="B2520" s="56"/>
      <c r="C2520" s="56"/>
      <c r="D2520" s="56"/>
      <c r="E2520" s="56"/>
      <c r="F2520" s="56"/>
      <c r="G2520" s="57"/>
    </row>
    <row r="2521" spans="8:8" ht="32.25" customHeight="1">
      <c r="A2521" s="55"/>
      <c r="B2521" s="56"/>
      <c r="C2521" s="56"/>
      <c r="D2521" s="56"/>
      <c r="E2521" s="56"/>
      <c r="F2521" s="56"/>
      <c r="G2521" s="57"/>
    </row>
    <row r="2522" spans="8:8" ht="32.25" customHeight="1">
      <c r="A2522" s="55"/>
      <c r="B2522" s="56"/>
      <c r="C2522" s="56"/>
      <c r="D2522" s="56"/>
      <c r="E2522" s="56"/>
      <c r="F2522" s="56"/>
      <c r="G2522" s="57"/>
    </row>
    <row r="2523" spans="8:8" ht="32.25" customHeight="1">
      <c r="A2523" s="55"/>
      <c r="B2523" s="56"/>
      <c r="C2523" s="56"/>
      <c r="D2523" s="56"/>
      <c r="E2523" s="56"/>
      <c r="F2523" s="56"/>
      <c r="G2523" s="57"/>
    </row>
    <row r="2524" spans="8:8" ht="32.25" customHeight="1">
      <c r="A2524" s="55"/>
      <c r="B2524" s="56"/>
      <c r="C2524" s="56"/>
      <c r="D2524" s="56"/>
      <c r="E2524" s="56"/>
      <c r="F2524" s="56"/>
      <c r="G2524" s="57"/>
    </row>
    <row r="2525" spans="8:8" ht="32.25" customHeight="1">
      <c r="A2525" s="55"/>
      <c r="B2525" s="56"/>
      <c r="C2525" s="56"/>
      <c r="D2525" s="56"/>
      <c r="E2525" s="56"/>
      <c r="F2525" s="56"/>
      <c r="G2525" s="57"/>
    </row>
    <row r="2526" spans="8:8" ht="32.25" customHeight="1">
      <c r="A2526" s="55"/>
      <c r="B2526" s="56"/>
      <c r="C2526" s="56"/>
      <c r="D2526" s="56"/>
      <c r="E2526" s="56"/>
      <c r="F2526" s="56"/>
      <c r="G2526" s="57"/>
    </row>
    <row r="2527" spans="8:8" ht="32.25" customHeight="1">
      <c r="A2527" s="55"/>
      <c r="B2527" s="56"/>
      <c r="C2527" s="56"/>
      <c r="D2527" s="56"/>
      <c r="E2527" s="56"/>
      <c r="F2527" s="56"/>
      <c r="G2527" s="57"/>
    </row>
    <row r="2528" spans="8:8" ht="32.25" customHeight="1">
      <c r="A2528" s="55"/>
      <c r="B2528" s="56"/>
      <c r="C2528" s="56"/>
      <c r="D2528" s="56"/>
      <c r="E2528" s="56"/>
      <c r="F2528" s="56"/>
      <c r="G2528" s="57"/>
    </row>
    <row r="2529" spans="8:8" ht="32.25" customHeight="1">
      <c r="A2529" s="55"/>
      <c r="B2529" s="56"/>
      <c r="C2529" s="56"/>
      <c r="D2529" s="56"/>
      <c r="E2529" s="56"/>
      <c r="F2529" s="56"/>
      <c r="G2529" s="57"/>
    </row>
    <row r="2530" spans="8:8" ht="32.25" customHeight="1">
      <c r="A2530" s="55"/>
      <c r="B2530" s="56"/>
      <c r="C2530" s="56"/>
      <c r="D2530" s="56"/>
      <c r="E2530" s="56"/>
      <c r="F2530" s="56"/>
      <c r="G2530" s="57"/>
    </row>
    <row r="2531" spans="8:8" ht="32.25" customHeight="1">
      <c r="A2531" s="55"/>
      <c r="B2531" s="56"/>
      <c r="C2531" s="56"/>
      <c r="D2531" s="56"/>
      <c r="E2531" s="56"/>
      <c r="F2531" s="56"/>
      <c r="G2531" s="57"/>
    </row>
    <row r="2532" spans="8:8" ht="32.25" customHeight="1">
      <c r="A2532" s="55"/>
      <c r="B2532" s="56"/>
      <c r="C2532" s="56"/>
      <c r="D2532" s="56"/>
      <c r="E2532" s="56"/>
      <c r="F2532" s="56"/>
      <c r="G2532" s="57"/>
    </row>
    <row r="2533" spans="8:8" ht="32.25" customHeight="1">
      <c r="A2533" s="55"/>
      <c r="B2533" s="56"/>
      <c r="C2533" s="56"/>
      <c r="D2533" s="56"/>
      <c r="E2533" s="56"/>
      <c r="F2533" s="56"/>
      <c r="G2533" s="57"/>
    </row>
    <row r="2534" spans="8:8" ht="32.25" customHeight="1">
      <c r="A2534" s="55"/>
      <c r="B2534" s="56"/>
      <c r="C2534" s="56"/>
      <c r="D2534" s="56"/>
      <c r="E2534" s="56"/>
      <c r="F2534" s="56"/>
      <c r="G2534" s="57"/>
    </row>
    <row r="2535" spans="8:8" ht="32.25" customHeight="1">
      <c r="A2535" s="55"/>
      <c r="B2535" s="56"/>
      <c r="C2535" s="56"/>
      <c r="D2535" s="56"/>
      <c r="E2535" s="56"/>
      <c r="F2535" s="56"/>
      <c r="G2535" s="57"/>
    </row>
    <row r="2536" spans="8:8" ht="32.25" customHeight="1">
      <c r="A2536" s="55"/>
      <c r="B2536" s="56"/>
      <c r="C2536" s="56"/>
      <c r="D2536" s="56"/>
      <c r="E2536" s="56"/>
      <c r="F2536" s="56"/>
      <c r="G2536" s="57"/>
    </row>
    <row r="2537" spans="8:8" ht="32.25" customHeight="1">
      <c r="A2537" s="55"/>
      <c r="B2537" s="56"/>
      <c r="C2537" s="56"/>
      <c r="D2537" s="56"/>
      <c r="E2537" s="56"/>
      <c r="F2537" s="56"/>
      <c r="G2537" s="57"/>
    </row>
    <row r="2538" spans="8:8" ht="32.25" customHeight="1">
      <c r="A2538" s="55"/>
      <c r="B2538" s="56"/>
      <c r="C2538" s="56"/>
      <c r="D2538" s="56"/>
      <c r="E2538" s="56"/>
      <c r="F2538" s="56"/>
      <c r="G2538" s="57"/>
    </row>
    <row r="2539" spans="8:8" ht="32.25" customHeight="1">
      <c r="A2539" s="55"/>
      <c r="B2539" s="56"/>
      <c r="C2539" s="56"/>
      <c r="D2539" s="56"/>
      <c r="E2539" s="56"/>
      <c r="F2539" s="56"/>
      <c r="G2539" s="57"/>
    </row>
    <row r="2540" spans="8:8" ht="32.25" customHeight="1">
      <c r="A2540" s="55"/>
      <c r="B2540" s="56"/>
      <c r="C2540" s="56"/>
      <c r="D2540" s="56"/>
      <c r="E2540" s="56"/>
      <c r="F2540" s="56"/>
      <c r="G2540" s="57"/>
    </row>
    <row r="2541" spans="8:8" ht="32.25" customHeight="1">
      <c r="A2541" s="55"/>
      <c r="B2541" s="56"/>
      <c r="C2541" s="56"/>
      <c r="D2541" s="56"/>
      <c r="E2541" s="56"/>
      <c r="F2541" s="56"/>
      <c r="G2541" s="57"/>
    </row>
    <row r="2542" spans="8:8" ht="32.25" customHeight="1">
      <c r="A2542" s="55"/>
      <c r="B2542" s="56"/>
      <c r="C2542" s="56"/>
      <c r="D2542" s="56"/>
      <c r="E2542" s="56"/>
      <c r="F2542" s="56"/>
      <c r="G2542" s="57"/>
    </row>
    <row r="2543" spans="8:8" ht="32.25" customHeight="1">
      <c r="A2543" s="55"/>
      <c r="B2543" s="56"/>
      <c r="C2543" s="56"/>
      <c r="D2543" s="56"/>
      <c r="E2543" s="56"/>
      <c r="F2543" s="56"/>
      <c r="G2543" s="57"/>
    </row>
    <row r="2544" spans="8:8" ht="32.25" customHeight="1">
      <c r="A2544" s="55"/>
      <c r="B2544" s="56"/>
      <c r="C2544" s="56"/>
      <c r="D2544" s="56"/>
      <c r="E2544" s="56"/>
      <c r="F2544" s="56"/>
      <c r="G2544" s="57"/>
    </row>
    <row r="2545" spans="8:8" ht="32.25" customHeight="1">
      <c r="A2545" s="55"/>
      <c r="B2545" s="56"/>
      <c r="C2545" s="56"/>
      <c r="D2545" s="56"/>
      <c r="E2545" s="56"/>
      <c r="F2545" s="56"/>
      <c r="G2545" s="57"/>
    </row>
    <row r="2546" spans="8:8" ht="32.25" customHeight="1">
      <c r="A2546" s="55"/>
      <c r="B2546" s="56"/>
      <c r="C2546" s="56"/>
      <c r="D2546" s="56"/>
      <c r="E2546" s="56"/>
      <c r="F2546" s="56"/>
      <c r="G2546" s="57"/>
    </row>
    <row r="2547" spans="8:8" ht="32.25" customHeight="1">
      <c r="A2547" s="55"/>
      <c r="B2547" s="56"/>
      <c r="C2547" s="56"/>
      <c r="D2547" s="56"/>
      <c r="E2547" s="56"/>
      <c r="F2547" s="56"/>
      <c r="G2547" s="57"/>
    </row>
    <row r="2548" spans="8:8" ht="32.25" customHeight="1">
      <c r="A2548" s="55"/>
      <c r="B2548" s="56"/>
      <c r="C2548" s="56"/>
      <c r="D2548" s="56"/>
      <c r="E2548" s="56"/>
      <c r="F2548" s="56"/>
      <c r="G2548" s="57"/>
    </row>
    <row r="2549" spans="8:8" ht="32.25" customHeight="1">
      <c r="A2549" s="55"/>
      <c r="B2549" s="56"/>
      <c r="C2549" s="56"/>
      <c r="D2549" s="56"/>
      <c r="E2549" s="56"/>
      <c r="F2549" s="56"/>
      <c r="G2549" s="57"/>
    </row>
    <row r="2550" spans="8:8" ht="32.25" customHeight="1">
      <c r="A2550" s="55"/>
      <c r="B2550" s="56"/>
      <c r="C2550" s="56"/>
      <c r="D2550" s="56"/>
      <c r="E2550" s="56"/>
      <c r="F2550" s="56"/>
      <c r="G2550" s="57"/>
    </row>
    <row r="2551" spans="8:8" ht="32.25" customHeight="1">
      <c r="A2551" s="55"/>
      <c r="B2551" s="56"/>
      <c r="C2551" s="56"/>
      <c r="D2551" s="56"/>
      <c r="E2551" s="56"/>
      <c r="F2551" s="56"/>
      <c r="G2551" s="57"/>
    </row>
    <row r="2552" spans="8:8" ht="32.25" customHeight="1">
      <c r="A2552" s="55"/>
      <c r="B2552" s="56"/>
      <c r="C2552" s="56"/>
      <c r="D2552" s="56"/>
      <c r="E2552" s="56"/>
      <c r="F2552" s="56"/>
      <c r="G2552" s="57"/>
    </row>
    <row r="2553" spans="8:8" ht="32.25" customHeight="1">
      <c r="A2553" s="55"/>
      <c r="B2553" s="56"/>
      <c r="C2553" s="56"/>
      <c r="D2553" s="56"/>
      <c r="E2553" s="56"/>
      <c r="F2553" s="56"/>
      <c r="G2553" s="57"/>
    </row>
    <row r="2554" spans="8:8" ht="32.25" customHeight="1">
      <c r="A2554" s="55"/>
      <c r="B2554" s="56"/>
      <c r="C2554" s="56"/>
      <c r="D2554" s="56"/>
      <c r="E2554" s="56"/>
      <c r="F2554" s="56"/>
      <c r="G2554" s="57"/>
    </row>
    <row r="2555" spans="8:8" ht="32.25" customHeight="1">
      <c r="A2555" s="55"/>
      <c r="B2555" s="56"/>
      <c r="C2555" s="56"/>
      <c r="D2555" s="56"/>
      <c r="E2555" s="56"/>
      <c r="F2555" s="56"/>
      <c r="G2555" s="57"/>
    </row>
    <row r="2556" spans="8:8" ht="32.25" customHeight="1">
      <c r="A2556" s="55"/>
      <c r="B2556" s="56"/>
      <c r="C2556" s="56"/>
      <c r="D2556" s="56"/>
      <c r="E2556" s="56"/>
      <c r="F2556" s="56"/>
      <c r="G2556" s="57"/>
    </row>
    <row r="2557" spans="8:8" ht="32.25" customHeight="1">
      <c r="A2557" s="55"/>
      <c r="B2557" s="56"/>
      <c r="C2557" s="56"/>
      <c r="D2557" s="56"/>
      <c r="E2557" s="56"/>
      <c r="F2557" s="56"/>
      <c r="G2557" s="57"/>
    </row>
    <row r="2558" spans="8:8" ht="32.25" customHeight="1">
      <c r="A2558" s="55"/>
      <c r="B2558" s="56"/>
      <c r="C2558" s="56"/>
      <c r="D2558" s="56"/>
      <c r="E2558" s="56"/>
      <c r="F2558" s="56"/>
      <c r="G2558" s="57"/>
    </row>
    <row r="2559" spans="8:8" ht="32.25" customHeight="1">
      <c r="A2559" s="55"/>
      <c r="B2559" s="56"/>
      <c r="C2559" s="56"/>
      <c r="D2559" s="56"/>
      <c r="E2559" s="56"/>
      <c r="F2559" s="56"/>
      <c r="G2559" s="57"/>
    </row>
    <row r="2560" spans="8:8" ht="32.25" customHeight="1">
      <c r="A2560" s="55"/>
      <c r="B2560" s="56"/>
      <c r="C2560" s="56"/>
      <c r="D2560" s="56"/>
      <c r="E2560" s="56"/>
      <c r="F2560" s="56"/>
      <c r="G2560" s="57"/>
    </row>
    <row r="2561" spans="8:8" ht="32.25" customHeight="1">
      <c r="A2561" s="55"/>
      <c r="B2561" s="56"/>
      <c r="C2561" s="56"/>
      <c r="D2561" s="56"/>
      <c r="E2561" s="56"/>
      <c r="F2561" s="56"/>
      <c r="G2561" s="57"/>
    </row>
    <row r="2562" spans="8:8" ht="32.25" customHeight="1">
      <c r="A2562" s="55"/>
      <c r="B2562" s="56"/>
      <c r="C2562" s="56"/>
      <c r="D2562" s="56"/>
      <c r="E2562" s="56"/>
      <c r="F2562" s="56"/>
      <c r="G2562" s="57"/>
    </row>
    <row r="2563" spans="8:8" ht="32.25" customHeight="1">
      <c r="A2563" s="55"/>
      <c r="B2563" s="56"/>
      <c r="C2563" s="56"/>
      <c r="D2563" s="56"/>
      <c r="E2563" s="56"/>
      <c r="F2563" s="56"/>
      <c r="G2563" s="57"/>
    </row>
    <row r="2564" spans="8:8" ht="32.25" customHeight="1">
      <c r="A2564" s="55"/>
      <c r="B2564" s="56"/>
      <c r="C2564" s="56"/>
      <c r="D2564" s="56"/>
      <c r="E2564" s="56"/>
      <c r="F2564" s="56"/>
      <c r="G2564" s="57"/>
    </row>
    <row r="2565" spans="8:8" ht="32.25" customHeight="1">
      <c r="A2565" s="55"/>
      <c r="B2565" s="56"/>
      <c r="C2565" s="56"/>
      <c r="D2565" s="56"/>
      <c r="E2565" s="56"/>
      <c r="F2565" s="56"/>
      <c r="G2565" s="57"/>
    </row>
    <row r="2566" spans="8:8" ht="32.25" customHeight="1">
      <c r="A2566" s="55"/>
      <c r="B2566" s="56"/>
      <c r="C2566" s="56"/>
      <c r="D2566" s="56"/>
      <c r="E2566" s="56"/>
      <c r="F2566" s="56"/>
      <c r="G2566" s="57"/>
    </row>
    <row r="2567" spans="8:8" ht="32.25" customHeight="1">
      <c r="A2567" s="55"/>
      <c r="B2567" s="56"/>
      <c r="C2567" s="56"/>
      <c r="D2567" s="56"/>
      <c r="E2567" s="56"/>
      <c r="F2567" s="56"/>
      <c r="G2567" s="57"/>
    </row>
    <row r="2568" spans="8:8" ht="32.25" customHeight="1">
      <c r="A2568" s="55"/>
      <c r="B2568" s="56"/>
      <c r="C2568" s="56"/>
      <c r="D2568" s="56"/>
      <c r="E2568" s="56"/>
      <c r="F2568" s="56"/>
      <c r="G2568" s="57"/>
    </row>
    <row r="2569" spans="8:8" ht="32.25" customHeight="1">
      <c r="A2569" s="55"/>
      <c r="B2569" s="56"/>
      <c r="C2569" s="56"/>
      <c r="D2569" s="56"/>
      <c r="E2569" s="56"/>
      <c r="F2569" s="56"/>
      <c r="G2569" s="57"/>
    </row>
    <row r="2570" spans="8:8" ht="32.25" customHeight="1">
      <c r="A2570" s="55"/>
      <c r="B2570" s="56"/>
      <c r="C2570" s="56"/>
      <c r="D2570" s="56"/>
      <c r="E2570" s="56"/>
      <c r="F2570" s="56"/>
      <c r="G2570" s="57"/>
    </row>
    <row r="2571" spans="8:8" ht="32.25" customHeight="1">
      <c r="A2571" s="55"/>
      <c r="B2571" s="56"/>
      <c r="C2571" s="56"/>
      <c r="D2571" s="56"/>
      <c r="E2571" s="56"/>
      <c r="F2571" s="56"/>
      <c r="G2571" s="57"/>
    </row>
    <row r="2572" spans="8:8" ht="32.25" customHeight="1">
      <c r="A2572" s="55"/>
      <c r="B2572" s="56"/>
      <c r="C2572" s="56"/>
      <c r="D2572" s="56"/>
      <c r="E2572" s="56"/>
      <c r="F2572" s="56"/>
      <c r="G2572" s="57"/>
    </row>
    <row r="2573" spans="8:8" ht="32.25" customHeight="1">
      <c r="A2573" s="55"/>
      <c r="B2573" s="56"/>
      <c r="C2573" s="56"/>
      <c r="D2573" s="56"/>
      <c r="E2573" s="56"/>
      <c r="F2573" s="56"/>
      <c r="G2573" s="57"/>
    </row>
    <row r="2574" spans="8:8" ht="32.25" customHeight="1">
      <c r="A2574" s="55"/>
      <c r="B2574" s="56"/>
      <c r="C2574" s="56"/>
      <c r="D2574" s="56"/>
      <c r="E2574" s="56"/>
      <c r="F2574" s="56"/>
      <c r="G2574" s="57"/>
    </row>
    <row r="2575" spans="8:8" ht="32.25" customHeight="1">
      <c r="A2575" s="55"/>
      <c r="B2575" s="56"/>
      <c r="C2575" s="56"/>
      <c r="D2575" s="56"/>
      <c r="E2575" s="56"/>
      <c r="F2575" s="56"/>
      <c r="G2575" s="57"/>
    </row>
    <row r="2576" spans="8:8" ht="32.25" customHeight="1">
      <c r="A2576" s="55"/>
      <c r="B2576" s="56"/>
      <c r="C2576" s="56"/>
      <c r="D2576" s="56"/>
      <c r="E2576" s="56"/>
      <c r="F2576" s="56"/>
      <c r="G2576" s="57"/>
    </row>
    <row r="2577" spans="8:8" ht="32.25" customHeight="1">
      <c r="A2577" s="55"/>
      <c r="B2577" s="56"/>
      <c r="C2577" s="56"/>
      <c r="D2577" s="56"/>
      <c r="E2577" s="56"/>
      <c r="F2577" s="56"/>
      <c r="G2577" s="57"/>
    </row>
    <row r="2578" spans="8:8" ht="32.25" customHeight="1">
      <c r="A2578" s="55"/>
      <c r="B2578" s="56"/>
      <c r="C2578" s="56"/>
      <c r="D2578" s="56"/>
      <c r="E2578" s="56"/>
      <c r="F2578" s="56"/>
      <c r="G2578" s="57"/>
    </row>
    <row r="2579" spans="8:8" ht="32.25" customHeight="1">
      <c r="A2579" s="55"/>
      <c r="B2579" s="56"/>
      <c r="C2579" s="56"/>
      <c r="D2579" s="56"/>
      <c r="E2579" s="56"/>
      <c r="F2579" s="56"/>
      <c r="G2579" s="57"/>
    </row>
    <row r="2580" spans="8:8" ht="32.25" customHeight="1">
      <c r="A2580" s="55"/>
      <c r="B2580" s="56"/>
      <c r="C2580" s="56"/>
      <c r="D2580" s="56"/>
      <c r="E2580" s="56"/>
      <c r="F2580" s="56"/>
      <c r="G2580" s="57"/>
    </row>
    <row r="2581" spans="8:8" ht="32.25" customHeight="1">
      <c r="A2581" s="55"/>
      <c r="B2581" s="56"/>
      <c r="C2581" s="56"/>
      <c r="D2581" s="56"/>
      <c r="E2581" s="56"/>
      <c r="F2581" s="56"/>
      <c r="G2581" s="57"/>
    </row>
    <row r="2582" spans="8:8" ht="32.25" customHeight="1">
      <c r="A2582" s="55"/>
      <c r="B2582" s="56"/>
      <c r="C2582" s="56"/>
      <c r="D2582" s="56"/>
      <c r="E2582" s="56"/>
      <c r="F2582" s="56"/>
      <c r="G2582" s="57"/>
    </row>
    <row r="2583" spans="8:8" ht="32.25" customHeight="1">
      <c r="A2583" s="55"/>
      <c r="B2583" s="56"/>
      <c r="C2583" s="56"/>
      <c r="D2583" s="56"/>
      <c r="E2583" s="56"/>
      <c r="F2583" s="56"/>
      <c r="G2583" s="57"/>
    </row>
    <row r="2584" spans="8:8" ht="32.25" customHeight="1">
      <c r="A2584" s="55"/>
      <c r="B2584" s="56"/>
      <c r="C2584" s="56"/>
      <c r="D2584" s="56"/>
      <c r="E2584" s="56"/>
      <c r="F2584" s="56"/>
      <c r="G2584" s="57"/>
    </row>
    <row r="2585" spans="8:8" ht="32.25" customHeight="1">
      <c r="A2585" s="55"/>
      <c r="B2585" s="56"/>
      <c r="C2585" s="56"/>
      <c r="D2585" s="56"/>
      <c r="E2585" s="56"/>
      <c r="F2585" s="56"/>
      <c r="G2585" s="57"/>
    </row>
    <row r="2586" spans="8:8" ht="32.25" customHeight="1">
      <c r="A2586" s="55"/>
      <c r="B2586" s="56"/>
      <c r="C2586" s="56"/>
      <c r="D2586" s="56"/>
      <c r="E2586" s="56"/>
      <c r="F2586" s="56"/>
      <c r="G2586" s="57"/>
    </row>
    <row r="2587" spans="8:8" ht="32.25" customHeight="1">
      <c r="A2587" s="55"/>
      <c r="B2587" s="56"/>
      <c r="C2587" s="56"/>
      <c r="D2587" s="56"/>
      <c r="E2587" s="56"/>
      <c r="F2587" s="56"/>
      <c r="G2587" s="57"/>
    </row>
    <row r="2588" spans="8:8" ht="32.25" customHeight="1">
      <c r="A2588" s="55"/>
      <c r="B2588" s="56"/>
      <c r="C2588" s="56"/>
      <c r="D2588" s="56"/>
      <c r="E2588" s="56"/>
      <c r="F2588" s="56"/>
      <c r="G2588" s="57"/>
    </row>
    <row r="2589" spans="8:8" ht="32.25" customHeight="1">
      <c r="A2589" s="55"/>
      <c r="B2589" s="56"/>
      <c r="C2589" s="56"/>
      <c r="D2589" s="56"/>
      <c r="E2589" s="56"/>
      <c r="F2589" s="56"/>
      <c r="G2589" s="57"/>
    </row>
    <row r="2590" spans="8:8" ht="32.25" customHeight="1">
      <c r="A2590" s="55"/>
      <c r="B2590" s="56"/>
      <c r="C2590" s="56"/>
      <c r="D2590" s="56"/>
      <c r="E2590" s="56"/>
      <c r="F2590" s="56"/>
      <c r="G2590" s="57"/>
    </row>
    <row r="2591" spans="8:8" ht="32.25" customHeight="1">
      <c r="A2591" s="55"/>
      <c r="B2591" s="56"/>
      <c r="C2591" s="56"/>
      <c r="D2591" s="56"/>
      <c r="E2591" s="56"/>
      <c r="F2591" s="56"/>
      <c r="G2591" s="57"/>
    </row>
    <row r="2592" spans="8:8" ht="32.25" customHeight="1">
      <c r="A2592" s="55"/>
      <c r="B2592" s="56"/>
      <c r="C2592" s="56"/>
      <c r="D2592" s="56"/>
      <c r="E2592" s="56"/>
      <c r="F2592" s="56"/>
      <c r="G2592" s="57"/>
    </row>
    <row r="2593" spans="8:8" ht="32.25" customHeight="1">
      <c r="A2593" s="55"/>
      <c r="B2593" s="56"/>
      <c r="C2593" s="56"/>
      <c r="D2593" s="56"/>
      <c r="E2593" s="56"/>
      <c r="F2593" s="56"/>
      <c r="G2593" s="57"/>
    </row>
    <row r="2594" spans="8:8" ht="32.25" customHeight="1">
      <c r="A2594" s="55"/>
      <c r="B2594" s="56"/>
      <c r="C2594" s="56"/>
      <c r="D2594" s="56"/>
      <c r="E2594" s="56"/>
      <c r="F2594" s="56"/>
      <c r="G2594" s="57"/>
    </row>
    <row r="2595" spans="8:8" ht="32.25" customHeight="1">
      <c r="A2595" s="55"/>
      <c r="B2595" s="56"/>
      <c r="C2595" s="56"/>
      <c r="D2595" s="56"/>
      <c r="E2595" s="56"/>
      <c r="F2595" s="56"/>
      <c r="G2595" s="57"/>
    </row>
    <row r="2596" spans="8:8" ht="32.25" customHeight="1">
      <c r="A2596" s="55"/>
      <c r="B2596" s="56"/>
      <c r="C2596" s="56"/>
      <c r="D2596" s="56"/>
      <c r="E2596" s="56"/>
      <c r="F2596" s="56"/>
      <c r="G2596" s="57"/>
    </row>
    <row r="2597" spans="8:8" ht="32.25" customHeight="1">
      <c r="A2597" s="55"/>
      <c r="B2597" s="56"/>
      <c r="C2597" s="56"/>
      <c r="D2597" s="56"/>
      <c r="E2597" s="56"/>
      <c r="F2597" s="56"/>
      <c r="G2597" s="57"/>
    </row>
    <row r="2598" spans="8:8" ht="32.25" customHeight="1">
      <c r="A2598" s="55"/>
      <c r="B2598" s="56"/>
      <c r="C2598" s="56"/>
      <c r="D2598" s="56"/>
      <c r="E2598" s="56"/>
      <c r="F2598" s="56"/>
      <c r="G2598" s="57"/>
    </row>
    <row r="2599" spans="8:8" ht="32.25" customHeight="1">
      <c r="A2599" s="55"/>
      <c r="B2599" s="56"/>
      <c r="C2599" s="56"/>
      <c r="D2599" s="56"/>
      <c r="E2599" s="56"/>
      <c r="F2599" s="56"/>
      <c r="G2599" s="57"/>
    </row>
    <row r="2600" spans="8:8" ht="32.25" customHeight="1">
      <c r="A2600" s="55"/>
      <c r="B2600" s="56"/>
      <c r="C2600" s="56"/>
      <c r="D2600" s="56"/>
      <c r="E2600" s="56"/>
      <c r="F2600" s="56"/>
      <c r="G2600" s="57"/>
    </row>
    <row r="2601" spans="8:8" ht="32.25" customHeight="1">
      <c r="A2601" s="55"/>
      <c r="B2601" s="56"/>
      <c r="C2601" s="56"/>
      <c r="D2601" s="56"/>
      <c r="E2601" s="56"/>
      <c r="F2601" s="56"/>
      <c r="G2601" s="57"/>
    </row>
    <row r="2602" spans="8:8" ht="32.25" customHeight="1">
      <c r="A2602" s="55"/>
      <c r="B2602" s="56"/>
      <c r="C2602" s="56"/>
      <c r="D2602" s="56"/>
      <c r="E2602" s="56"/>
      <c r="F2602" s="56"/>
      <c r="G2602" s="57"/>
    </row>
    <row r="2603" spans="8:8" ht="32.25" customHeight="1">
      <c r="A2603" s="55"/>
      <c r="B2603" s="56"/>
      <c r="C2603" s="56"/>
      <c r="D2603" s="56"/>
      <c r="E2603" s="56"/>
      <c r="F2603" s="56"/>
      <c r="G2603" s="57"/>
    </row>
    <row r="2604" spans="8:8" ht="32.25" customHeight="1">
      <c r="A2604" s="55"/>
      <c r="B2604" s="56"/>
      <c r="C2604" s="56"/>
      <c r="D2604" s="56"/>
      <c r="E2604" s="56"/>
      <c r="F2604" s="56"/>
      <c r="G2604" s="57"/>
    </row>
    <row r="2605" spans="8:8" ht="32.25" customHeight="1">
      <c r="A2605" s="55"/>
      <c r="B2605" s="56"/>
      <c r="C2605" s="56"/>
      <c r="D2605" s="56"/>
      <c r="E2605" s="56"/>
      <c r="F2605" s="56"/>
      <c r="G2605" s="57"/>
    </row>
    <row r="2606" spans="8:8" ht="32.25" customHeight="1">
      <c r="A2606" s="55"/>
      <c r="B2606" s="56"/>
      <c r="C2606" s="56"/>
      <c r="D2606" s="56"/>
      <c r="E2606" s="56"/>
      <c r="F2606" s="56"/>
      <c r="G2606" s="57"/>
    </row>
    <row r="2607" spans="8:8" ht="32.25" customHeight="1">
      <c r="A2607" s="55"/>
      <c r="B2607" s="56"/>
      <c r="C2607" s="56"/>
      <c r="D2607" s="56"/>
      <c r="E2607" s="56"/>
      <c r="F2607" s="56"/>
      <c r="G2607" s="57"/>
    </row>
    <row r="2608" spans="8:8" ht="32.25" customHeight="1">
      <c r="A2608" s="55"/>
      <c r="B2608" s="56"/>
      <c r="C2608" s="56"/>
      <c r="D2608" s="56"/>
      <c r="E2608" s="56"/>
      <c r="F2608" s="56"/>
      <c r="G2608" s="57"/>
    </row>
    <row r="2609" spans="8:8" ht="32.25" customHeight="1">
      <c r="A2609" s="55"/>
      <c r="B2609" s="56"/>
      <c r="C2609" s="56"/>
      <c r="D2609" s="56"/>
      <c r="E2609" s="56"/>
      <c r="F2609" s="56"/>
      <c r="G2609" s="57"/>
    </row>
    <row r="2610" spans="8:8" ht="32.25" customHeight="1">
      <c r="A2610" s="55"/>
      <c r="B2610" s="56"/>
      <c r="C2610" s="56"/>
      <c r="D2610" s="56"/>
      <c r="E2610" s="56"/>
      <c r="F2610" s="56"/>
      <c r="G2610" s="57"/>
    </row>
    <row r="2611" spans="8:8" ht="32.25" customHeight="1">
      <c r="A2611" s="55"/>
      <c r="B2611" s="56"/>
      <c r="C2611" s="56"/>
      <c r="D2611" s="56"/>
      <c r="E2611" s="56"/>
      <c r="F2611" s="56"/>
      <c r="G2611" s="57"/>
    </row>
    <row r="2612" spans="8:8" ht="32.25" customHeight="1">
      <c r="A2612" s="55"/>
      <c r="B2612" s="56"/>
      <c r="C2612" s="56"/>
      <c r="D2612" s="56"/>
      <c r="E2612" s="56"/>
      <c r="F2612" s="56"/>
      <c r="G2612" s="57"/>
    </row>
    <row r="2613" spans="8:8" ht="32.25" customHeight="1">
      <c r="A2613" s="55"/>
      <c r="B2613" s="56"/>
      <c r="C2613" s="56"/>
      <c r="D2613" s="56"/>
      <c r="E2613" s="56"/>
      <c r="F2613" s="56"/>
      <c r="G2613" s="57"/>
    </row>
    <row r="2614" spans="8:8" ht="32.25" customHeight="1">
      <c r="A2614" s="55"/>
      <c r="B2614" s="56"/>
      <c r="C2614" s="56"/>
      <c r="D2614" s="56"/>
      <c r="E2614" s="56"/>
      <c r="F2614" s="56"/>
      <c r="G2614" s="57"/>
    </row>
    <row r="2615" spans="8:8" ht="32.25" customHeight="1">
      <c r="A2615" s="55"/>
      <c r="B2615" s="56"/>
      <c r="C2615" s="56"/>
      <c r="D2615" s="56"/>
      <c r="E2615" s="56"/>
      <c r="F2615" s="56"/>
      <c r="G2615" s="57"/>
    </row>
    <row r="2616" spans="8:8" ht="32.25" customHeight="1">
      <c r="A2616" s="55"/>
      <c r="B2616" s="56"/>
      <c r="C2616" s="56"/>
      <c r="D2616" s="56"/>
      <c r="E2616" s="56"/>
      <c r="F2616" s="56"/>
      <c r="G2616" s="57"/>
    </row>
    <row r="2617" spans="8:8" ht="32.25" customHeight="1">
      <c r="A2617" s="55"/>
      <c r="B2617" s="56"/>
      <c r="C2617" s="56"/>
      <c r="D2617" s="56"/>
      <c r="E2617" s="56"/>
      <c r="F2617" s="56"/>
      <c r="G2617" s="57"/>
    </row>
    <row r="2618" spans="8:8" ht="32.25" customHeight="1">
      <c r="A2618" s="55"/>
      <c r="B2618" s="56"/>
      <c r="C2618" s="56"/>
      <c r="D2618" s="56"/>
      <c r="E2618" s="56"/>
      <c r="F2618" s="56"/>
      <c r="G2618" s="57"/>
    </row>
    <row r="2619" spans="8:8" ht="32.25" customHeight="1">
      <c r="A2619" s="55"/>
      <c r="B2619" s="56"/>
      <c r="C2619" s="56"/>
      <c r="D2619" s="56"/>
      <c r="E2619" s="56"/>
      <c r="F2619" s="56"/>
      <c r="G2619" s="57"/>
    </row>
    <row r="2620" spans="8:8" ht="32.25" customHeight="1">
      <c r="A2620" s="55"/>
      <c r="B2620" s="56"/>
      <c r="C2620" s="56"/>
      <c r="D2620" s="56"/>
      <c r="E2620" s="56"/>
      <c r="F2620" s="56"/>
      <c r="G2620" s="57"/>
    </row>
    <row r="2621" spans="8:8" ht="32.25" customHeight="1">
      <c r="A2621" s="55"/>
      <c r="B2621" s="56"/>
      <c r="C2621" s="56"/>
      <c r="D2621" s="56"/>
      <c r="E2621" s="56"/>
      <c r="F2621" s="56"/>
      <c r="G2621" s="57"/>
    </row>
    <row r="2622" spans="8:8" ht="32.25" customHeight="1">
      <c r="A2622" s="55"/>
      <c r="B2622" s="56"/>
      <c r="C2622" s="56"/>
      <c r="D2622" s="56"/>
      <c r="E2622" s="56"/>
      <c r="F2622" s="56"/>
      <c r="G2622" s="57"/>
    </row>
    <row r="2623" spans="8:8" ht="32.25" customHeight="1">
      <c r="A2623" s="55"/>
      <c r="B2623" s="56"/>
      <c r="C2623" s="56"/>
      <c r="D2623" s="56"/>
      <c r="E2623" s="56"/>
      <c r="F2623" s="56"/>
      <c r="G2623" s="57"/>
    </row>
    <row r="2624" spans="8:8" ht="32.25" customHeight="1">
      <c r="A2624" s="55"/>
      <c r="B2624" s="56"/>
      <c r="C2624" s="56"/>
      <c r="D2624" s="56"/>
      <c r="E2624" s="56"/>
      <c r="F2624" s="56"/>
      <c r="G2624" s="57"/>
    </row>
    <row r="2625" spans="8:8" ht="32.25" customHeight="1">
      <c r="A2625" s="55"/>
      <c r="B2625" s="56"/>
      <c r="C2625" s="56"/>
      <c r="D2625" s="56"/>
      <c r="E2625" s="56"/>
      <c r="F2625" s="56"/>
      <c r="G2625" s="57"/>
    </row>
    <row r="2626" spans="8:8" ht="32.25" customHeight="1">
      <c r="A2626" s="55"/>
      <c r="B2626" s="56"/>
      <c r="C2626" s="56"/>
      <c r="D2626" s="56"/>
      <c r="E2626" s="56"/>
      <c r="F2626" s="56"/>
      <c r="G2626" s="57"/>
    </row>
    <row r="2627" spans="8:8" ht="32.25" customHeight="1">
      <c r="A2627" s="55"/>
      <c r="B2627" s="56"/>
      <c r="C2627" s="56"/>
      <c r="D2627" s="56"/>
      <c r="E2627" s="56"/>
      <c r="F2627" s="56"/>
      <c r="G2627" s="57"/>
    </row>
    <row r="2628" spans="8:8" ht="32.25" customHeight="1">
      <c r="A2628" s="55"/>
      <c r="B2628" s="56"/>
      <c r="C2628" s="56"/>
      <c r="D2628" s="56"/>
      <c r="E2628" s="56"/>
      <c r="F2628" s="56"/>
      <c r="G2628" s="57"/>
    </row>
    <row r="2629" spans="8:8" ht="32.25" customHeight="1">
      <c r="A2629" s="55"/>
      <c r="B2629" s="56"/>
      <c r="C2629" s="56"/>
      <c r="D2629" s="56"/>
      <c r="E2629" s="56"/>
      <c r="F2629" s="56"/>
      <c r="G2629" s="57"/>
    </row>
    <row r="2630" spans="8:8" ht="32.25" customHeight="1">
      <c r="A2630" s="55"/>
      <c r="B2630" s="56"/>
      <c r="C2630" s="56"/>
      <c r="D2630" s="56"/>
      <c r="E2630" s="56"/>
      <c r="F2630" s="56"/>
      <c r="G2630" s="57"/>
    </row>
    <row r="2631" spans="8:8" ht="32.25" customHeight="1">
      <c r="A2631" s="55"/>
      <c r="B2631" s="56"/>
      <c r="C2631" s="56"/>
      <c r="D2631" s="56"/>
      <c r="E2631" s="56"/>
      <c r="F2631" s="56"/>
      <c r="G2631" s="57"/>
    </row>
    <row r="2632" spans="8:8" ht="32.25" customHeight="1">
      <c r="A2632" s="55"/>
      <c r="B2632" s="56"/>
      <c r="C2632" s="56"/>
      <c r="D2632" s="56"/>
      <c r="E2632" s="56"/>
      <c r="F2632" s="56"/>
      <c r="G2632" s="57"/>
    </row>
    <row r="2633" spans="8:8" ht="32.25" customHeight="1">
      <c r="A2633" s="55"/>
      <c r="B2633" s="56"/>
      <c r="C2633" s="56"/>
      <c r="D2633" s="56"/>
      <c r="E2633" s="56"/>
      <c r="F2633" s="56"/>
      <c r="G2633" s="57"/>
    </row>
    <row r="2634" spans="8:8" ht="32.25" customHeight="1">
      <c r="A2634" s="55"/>
      <c r="B2634" s="56"/>
      <c r="C2634" s="56"/>
      <c r="D2634" s="56"/>
      <c r="E2634" s="56"/>
      <c r="F2634" s="56"/>
      <c r="G2634" s="57"/>
    </row>
    <row r="2635" spans="8:8" ht="32.25" customHeight="1">
      <c r="A2635" s="55"/>
      <c r="B2635" s="56"/>
      <c r="C2635" s="56"/>
      <c r="D2635" s="56"/>
      <c r="E2635" s="56"/>
      <c r="F2635" s="56"/>
      <c r="G2635" s="57"/>
    </row>
    <row r="2636" spans="8:8" ht="32.25" customHeight="1">
      <c r="A2636" s="55"/>
      <c r="B2636" s="56"/>
      <c r="C2636" s="56"/>
      <c r="D2636" s="56"/>
      <c r="E2636" s="56"/>
      <c r="F2636" s="56"/>
      <c r="G2636" s="57"/>
    </row>
    <row r="2637" spans="8:8" ht="32.25" customHeight="1">
      <c r="A2637" s="55"/>
      <c r="B2637" s="56"/>
      <c r="C2637" s="56"/>
      <c r="D2637" s="56"/>
      <c r="E2637" s="56"/>
      <c r="F2637" s="56"/>
      <c r="G2637" s="57"/>
    </row>
    <row r="2638" spans="8:8" ht="32.25" customHeight="1">
      <c r="A2638" s="55"/>
      <c r="B2638" s="56"/>
      <c r="C2638" s="56"/>
      <c r="D2638" s="56"/>
      <c r="E2638" s="56"/>
      <c r="F2638" s="56"/>
      <c r="G2638" s="57"/>
    </row>
    <row r="2639" spans="8:8" ht="32.25" customHeight="1">
      <c r="A2639" s="55"/>
      <c r="B2639" s="56"/>
      <c r="C2639" s="56"/>
      <c r="D2639" s="56"/>
      <c r="E2639" s="56"/>
      <c r="F2639" s="56"/>
      <c r="G2639" s="57"/>
    </row>
    <row r="2640" spans="8:8" ht="32.25" customHeight="1">
      <c r="A2640" s="55"/>
      <c r="B2640" s="56"/>
      <c r="C2640" s="56"/>
      <c r="D2640" s="56"/>
      <c r="E2640" s="56"/>
      <c r="F2640" s="56"/>
      <c r="G2640" s="57"/>
    </row>
    <row r="2641" spans="8:8" ht="32.25" customHeight="1">
      <c r="A2641" s="55"/>
      <c r="B2641" s="56"/>
      <c r="C2641" s="56"/>
      <c r="D2641" s="56"/>
      <c r="E2641" s="56"/>
      <c r="F2641" s="56"/>
      <c r="G2641" s="57"/>
    </row>
    <row r="2642" spans="8:8" ht="32.25" customHeight="1">
      <c r="A2642" s="55"/>
      <c r="B2642" s="56"/>
      <c r="C2642" s="56"/>
      <c r="D2642" s="56"/>
      <c r="E2642" s="56"/>
      <c r="F2642" s="56"/>
      <c r="G2642" s="57"/>
    </row>
    <row r="2643" spans="8:8" ht="32.25" customHeight="1">
      <c r="A2643" s="55"/>
      <c r="B2643" s="56"/>
      <c r="C2643" s="56"/>
      <c r="D2643" s="56"/>
      <c r="E2643" s="56"/>
      <c r="F2643" s="56"/>
      <c r="G2643" s="57"/>
    </row>
    <row r="2644" spans="8:8" ht="32.25" customHeight="1">
      <c r="A2644" s="55"/>
      <c r="B2644" s="56"/>
      <c r="C2644" s="56"/>
      <c r="D2644" s="56"/>
      <c r="E2644" s="56"/>
      <c r="F2644" s="56"/>
      <c r="G2644" s="57"/>
    </row>
    <row r="2645" spans="8:8" ht="32.25" customHeight="1">
      <c r="A2645" s="55"/>
      <c r="B2645" s="56"/>
      <c r="C2645" s="56"/>
      <c r="D2645" s="56"/>
      <c r="E2645" s="56"/>
      <c r="F2645" s="56"/>
      <c r="G2645" s="57"/>
    </row>
    <row r="2646" spans="8:8" ht="32.25" customHeight="1">
      <c r="A2646" s="55"/>
      <c r="B2646" s="56"/>
      <c r="C2646" s="56"/>
      <c r="D2646" s="56"/>
      <c r="E2646" s="56"/>
      <c r="F2646" s="56"/>
      <c r="G2646" s="57"/>
    </row>
    <row r="2647" spans="8:8" ht="32.25" customHeight="1">
      <c r="A2647" s="55"/>
      <c r="B2647" s="56"/>
      <c r="C2647" s="56"/>
      <c r="D2647" s="56"/>
      <c r="E2647" s="56"/>
      <c r="F2647" s="56"/>
      <c r="G2647" s="57"/>
    </row>
    <row r="2648" spans="8:8" ht="32.25" customHeight="1">
      <c r="A2648" s="55"/>
      <c r="B2648" s="56"/>
      <c r="C2648" s="56"/>
      <c r="D2648" s="56"/>
      <c r="E2648" s="56"/>
      <c r="F2648" s="56"/>
      <c r="G2648" s="57"/>
    </row>
    <row r="2649" spans="8:8" ht="32.25" customHeight="1">
      <c r="A2649" s="55"/>
      <c r="B2649" s="56"/>
      <c r="C2649" s="56"/>
      <c r="D2649" s="56"/>
      <c r="E2649" s="56"/>
      <c r="F2649" s="56"/>
      <c r="G2649" s="57"/>
    </row>
    <row r="2650" spans="8:8" ht="32.25" customHeight="1">
      <c r="A2650" s="55"/>
      <c r="B2650" s="56"/>
      <c r="C2650" s="56"/>
      <c r="D2650" s="56"/>
      <c r="E2650" s="56"/>
      <c r="F2650" s="56"/>
      <c r="G2650" s="57"/>
    </row>
    <row r="2651" spans="8:8" ht="32.25" customHeight="1">
      <c r="A2651" s="55"/>
      <c r="B2651" s="56"/>
      <c r="C2651" s="56"/>
      <c r="D2651" s="56"/>
      <c r="E2651" s="56"/>
      <c r="F2651" s="56"/>
      <c r="G2651" s="57"/>
    </row>
    <row r="2652" spans="8:8" ht="32.25" customHeight="1">
      <c r="A2652" s="55"/>
      <c r="B2652" s="56"/>
      <c r="C2652" s="56"/>
      <c r="D2652" s="56"/>
      <c r="E2652" s="56"/>
      <c r="F2652" s="56"/>
      <c r="G2652" s="57"/>
    </row>
    <row r="2653" spans="8:8" ht="32.25" customHeight="1">
      <c r="A2653" s="55"/>
      <c r="B2653" s="56"/>
      <c r="C2653" s="56"/>
      <c r="D2653" s="56"/>
      <c r="E2653" s="56"/>
      <c r="F2653" s="56"/>
      <c r="G2653" s="57"/>
    </row>
    <row r="2654" spans="8:8" ht="32.25" customHeight="1">
      <c r="A2654" s="55"/>
      <c r="B2654" s="56"/>
      <c r="C2654" s="56"/>
      <c r="D2654" s="56"/>
      <c r="E2654" s="56"/>
      <c r="F2654" s="56"/>
      <c r="G2654" s="57"/>
    </row>
    <row r="2655" spans="8:8" ht="32.25" customHeight="1">
      <c r="A2655" s="55"/>
      <c r="B2655" s="56"/>
      <c r="C2655" s="56"/>
      <c r="D2655" s="56"/>
      <c r="E2655" s="56"/>
      <c r="F2655" s="56"/>
      <c r="G2655" s="57"/>
    </row>
    <row r="2656" spans="8:8" ht="32.25" customHeight="1">
      <c r="A2656" s="55"/>
      <c r="B2656" s="56"/>
      <c r="C2656" s="56"/>
      <c r="D2656" s="56"/>
      <c r="E2656" s="56"/>
      <c r="F2656" s="56"/>
      <c r="G2656" s="57"/>
    </row>
    <row r="2657" spans="8:8" ht="32.25" customHeight="1">
      <c r="A2657" s="55"/>
      <c r="B2657" s="56"/>
      <c r="C2657" s="56"/>
      <c r="D2657" s="56"/>
      <c r="E2657" s="56"/>
      <c r="F2657" s="56"/>
      <c r="G2657" s="57"/>
    </row>
    <row r="2658" spans="8:8" ht="32.25" customHeight="1">
      <c r="A2658" s="55"/>
      <c r="B2658" s="56"/>
      <c r="C2658" s="56"/>
      <c r="D2658" s="56"/>
      <c r="E2658" s="56"/>
      <c r="F2658" s="56"/>
      <c r="G2658" s="57"/>
    </row>
    <row r="2659" spans="8:8" ht="32.25" customHeight="1">
      <c r="A2659" s="55"/>
      <c r="B2659" s="56"/>
      <c r="C2659" s="56"/>
      <c r="D2659" s="56"/>
      <c r="E2659" s="56"/>
      <c r="F2659" s="56"/>
      <c r="G2659" s="57"/>
    </row>
    <row r="2660" spans="8:8" ht="32.25" customHeight="1">
      <c r="A2660" s="55"/>
      <c r="B2660" s="56"/>
      <c r="C2660" s="56"/>
      <c r="D2660" s="56"/>
      <c r="E2660" s="56"/>
      <c r="F2660" s="56"/>
      <c r="G2660" s="57"/>
    </row>
    <row r="2661" spans="8:8" ht="32.25" customHeight="1">
      <c r="A2661" s="55"/>
      <c r="B2661" s="56"/>
      <c r="C2661" s="56"/>
      <c r="D2661" s="56"/>
      <c r="E2661" s="56"/>
      <c r="F2661" s="56"/>
      <c r="G2661" s="57"/>
    </row>
    <row r="2662" spans="8:8" ht="32.25" customHeight="1">
      <c r="A2662" s="55"/>
      <c r="B2662" s="56"/>
      <c r="C2662" s="56"/>
      <c r="D2662" s="56"/>
      <c r="E2662" s="56"/>
      <c r="F2662" s="56"/>
      <c r="G2662" s="57"/>
    </row>
    <row r="2663" spans="8:8" ht="32.25" customHeight="1">
      <c r="A2663" s="55"/>
      <c r="B2663" s="56"/>
      <c r="C2663" s="56"/>
      <c r="D2663" s="56"/>
      <c r="E2663" s="56"/>
      <c r="F2663" s="56"/>
      <c r="G2663" s="57"/>
    </row>
    <row r="2664" spans="8:8" ht="32.25" customHeight="1">
      <c r="A2664" s="55"/>
      <c r="B2664" s="56"/>
      <c r="C2664" s="56"/>
      <c r="D2664" s="56"/>
      <c r="E2664" s="56"/>
      <c r="F2664" s="56"/>
      <c r="G2664" s="57"/>
    </row>
    <row r="2665" spans="8:8" ht="32.25" customHeight="1">
      <c r="A2665" s="55"/>
      <c r="B2665" s="56"/>
      <c r="C2665" s="56"/>
      <c r="D2665" s="56"/>
      <c r="E2665" s="56"/>
      <c r="F2665" s="56"/>
      <c r="G2665" s="57"/>
    </row>
    <row r="2666" spans="8:8" ht="32.25" customHeight="1">
      <c r="A2666" s="55"/>
      <c r="B2666" s="56"/>
      <c r="C2666" s="56"/>
      <c r="D2666" s="56"/>
      <c r="E2666" s="56"/>
      <c r="F2666" s="56"/>
      <c r="G2666" s="57"/>
    </row>
    <row r="2667" spans="8:8" ht="32.25" customHeight="1">
      <c r="A2667" s="55"/>
      <c r="B2667" s="56"/>
      <c r="C2667" s="56"/>
      <c r="D2667" s="56"/>
      <c r="E2667" s="56"/>
      <c r="F2667" s="56"/>
      <c r="G2667" s="57"/>
    </row>
    <row r="2668" spans="8:8" ht="32.25" customHeight="1">
      <c r="A2668" s="55"/>
      <c r="B2668" s="56"/>
      <c r="C2668" s="56"/>
      <c r="D2668" s="56"/>
      <c r="E2668" s="56"/>
      <c r="F2668" s="56"/>
      <c r="G2668" s="57"/>
    </row>
    <row r="2669" spans="8:8" ht="32.25" customHeight="1">
      <c r="A2669" s="55"/>
      <c r="B2669" s="56"/>
      <c r="C2669" s="56"/>
      <c r="D2669" s="56"/>
      <c r="E2669" s="56"/>
      <c r="F2669" s="56"/>
      <c r="G2669" s="57"/>
    </row>
    <row r="2670" spans="8:8" ht="32.25" customHeight="1">
      <c r="A2670" s="55"/>
      <c r="B2670" s="56"/>
      <c r="C2670" s="56"/>
      <c r="D2670" s="56"/>
      <c r="E2670" s="56"/>
      <c r="F2670" s="56"/>
      <c r="G2670" s="57"/>
    </row>
    <row r="2671" spans="8:8" ht="32.25" customHeight="1">
      <c r="A2671" s="55"/>
      <c r="B2671" s="56"/>
      <c r="C2671" s="56"/>
      <c r="D2671" s="56"/>
      <c r="E2671" s="56"/>
      <c r="F2671" s="56"/>
      <c r="G2671" s="57"/>
    </row>
    <row r="2672" spans="8:8" ht="32.25" customHeight="1">
      <c r="A2672" s="55"/>
      <c r="B2672" s="56"/>
      <c r="C2672" s="56"/>
      <c r="D2672" s="56"/>
      <c r="E2672" s="56"/>
      <c r="F2672" s="56"/>
      <c r="G2672" s="57"/>
    </row>
    <row r="2673" spans="8:8" ht="32.25" customHeight="1">
      <c r="A2673" s="55"/>
      <c r="B2673" s="56"/>
      <c r="C2673" s="56"/>
      <c r="D2673" s="56"/>
      <c r="E2673" s="56"/>
      <c r="F2673" s="56"/>
      <c r="G2673" s="57"/>
    </row>
    <row r="2674" spans="8:8" ht="32.25" customHeight="1">
      <c r="A2674" s="55"/>
      <c r="B2674" s="56"/>
      <c r="C2674" s="56"/>
      <c r="D2674" s="56"/>
      <c r="E2674" s="56"/>
      <c r="F2674" s="56"/>
      <c r="G2674" s="57"/>
    </row>
    <row r="2675" spans="8:8" ht="32.25" customHeight="1">
      <c r="A2675" s="55"/>
      <c r="B2675" s="56"/>
      <c r="C2675" s="56"/>
      <c r="D2675" s="56"/>
      <c r="E2675" s="56"/>
      <c r="F2675" s="56"/>
      <c r="G2675" s="57"/>
    </row>
    <row r="2676" spans="8:8" ht="32.25" customHeight="1">
      <c r="A2676" s="55"/>
      <c r="B2676" s="56"/>
      <c r="C2676" s="56"/>
      <c r="D2676" s="56"/>
      <c r="E2676" s="56"/>
      <c r="F2676" s="56"/>
      <c r="G2676" s="57"/>
    </row>
    <row r="2677" spans="8:8" ht="32.25" customHeight="1">
      <c r="A2677" s="55"/>
      <c r="B2677" s="56"/>
      <c r="C2677" s="56"/>
      <c r="D2677" s="56"/>
      <c r="E2677" s="56"/>
      <c r="F2677" s="56"/>
      <c r="G2677" s="57"/>
    </row>
    <row r="2678" spans="8:8" ht="32.25" customHeight="1">
      <c r="A2678" s="55"/>
      <c r="B2678" s="56"/>
      <c r="C2678" s="56"/>
      <c r="D2678" s="56"/>
      <c r="E2678" s="56"/>
      <c r="F2678" s="56"/>
      <c r="G2678" s="57"/>
    </row>
    <row r="2679" spans="8:8" ht="32.25" customHeight="1">
      <c r="A2679" s="55"/>
      <c r="B2679" s="56"/>
      <c r="C2679" s="56"/>
      <c r="D2679" s="56"/>
      <c r="E2679" s="56"/>
      <c r="F2679" s="56"/>
      <c r="G2679" s="57"/>
    </row>
    <row r="2680" spans="8:8" ht="32.25" customHeight="1">
      <c r="A2680" s="55"/>
      <c r="B2680" s="56"/>
      <c r="C2680" s="56"/>
      <c r="D2680" s="56"/>
      <c r="E2680" s="56"/>
      <c r="F2680" s="56"/>
      <c r="G2680" s="57"/>
    </row>
    <row r="2681" spans="8:8" ht="32.25" customHeight="1">
      <c r="A2681" s="55"/>
      <c r="B2681" s="56"/>
      <c r="C2681" s="56"/>
      <c r="D2681" s="56"/>
      <c r="E2681" s="56"/>
      <c r="F2681" s="56"/>
      <c r="G2681" s="57"/>
    </row>
    <row r="2682" spans="8:8" ht="32.25" customHeight="1">
      <c r="A2682" s="55"/>
      <c r="B2682" s="56"/>
      <c r="C2682" s="56"/>
      <c r="D2682" s="56"/>
      <c r="E2682" s="56"/>
      <c r="F2682" s="56"/>
      <c r="G2682" s="57"/>
    </row>
    <row r="2683" spans="8:8" ht="32.25" customHeight="1">
      <c r="A2683" s="55"/>
      <c r="B2683" s="56"/>
      <c r="C2683" s="56"/>
      <c r="D2683" s="56"/>
      <c r="E2683" s="56"/>
      <c r="F2683" s="56"/>
      <c r="G2683" s="57"/>
    </row>
    <row r="2684" spans="8:8" ht="32.25" customHeight="1">
      <c r="A2684" s="55"/>
      <c r="B2684" s="56"/>
      <c r="C2684" s="56"/>
      <c r="D2684" s="56"/>
      <c r="E2684" s="56"/>
      <c r="F2684" s="56"/>
      <c r="G2684" s="57"/>
    </row>
    <row r="2685" spans="8:8" ht="32.25" customHeight="1">
      <c r="A2685" s="55"/>
      <c r="B2685" s="56"/>
      <c r="C2685" s="56"/>
      <c r="D2685" s="56"/>
      <c r="E2685" s="56"/>
      <c r="F2685" s="56"/>
      <c r="G2685" s="57"/>
    </row>
    <row r="2686" spans="8:8" ht="32.25" customHeight="1">
      <c r="A2686" s="55"/>
      <c r="B2686" s="56"/>
      <c r="C2686" s="56"/>
      <c r="D2686" s="56"/>
      <c r="E2686" s="56"/>
      <c r="F2686" s="56"/>
      <c r="G2686" s="57"/>
    </row>
    <row r="2687" spans="8:8" ht="32.25" customHeight="1">
      <c r="A2687" s="55"/>
      <c r="B2687" s="56"/>
      <c r="C2687" s="56"/>
      <c r="D2687" s="56"/>
      <c r="E2687" s="56"/>
      <c r="F2687" s="56"/>
      <c r="G2687" s="57"/>
    </row>
    <row r="2688" spans="8:8" ht="32.25" customHeight="1">
      <c r="A2688" s="55"/>
      <c r="B2688" s="56"/>
      <c r="C2688" s="56"/>
      <c r="D2688" s="56"/>
      <c r="E2688" s="56"/>
      <c r="F2688" s="56"/>
      <c r="G2688" s="57"/>
    </row>
    <row r="2689" spans="8:8" ht="32.25" customHeight="1">
      <c r="A2689" s="55"/>
      <c r="B2689" s="56"/>
      <c r="C2689" s="56"/>
      <c r="D2689" s="56"/>
      <c r="E2689" s="56"/>
      <c r="F2689" s="56"/>
      <c r="G2689" s="57"/>
    </row>
    <row r="2690" spans="8:8" ht="32.25" customHeight="1">
      <c r="A2690" s="55"/>
      <c r="B2690" s="56"/>
      <c r="C2690" s="56"/>
      <c r="D2690" s="56"/>
      <c r="E2690" s="56"/>
      <c r="F2690" s="56"/>
      <c r="G2690" s="57"/>
    </row>
    <row r="2691" spans="8:8" ht="32.25" customHeight="1">
      <c r="A2691" s="55"/>
      <c r="B2691" s="56"/>
      <c r="C2691" s="56"/>
      <c r="D2691" s="56"/>
      <c r="E2691" s="56"/>
      <c r="F2691" s="56"/>
      <c r="G2691" s="57"/>
    </row>
    <row r="2692" spans="8:8" ht="32.25" customHeight="1">
      <c r="A2692" s="55"/>
      <c r="B2692" s="56"/>
      <c r="C2692" s="56"/>
      <c r="D2692" s="56"/>
      <c r="E2692" s="56"/>
      <c r="F2692" s="56"/>
      <c r="G2692" s="57"/>
    </row>
    <row r="2693" spans="8:8" ht="32.25" customHeight="1">
      <c r="A2693" s="55"/>
      <c r="B2693" s="56"/>
      <c r="C2693" s="56"/>
      <c r="D2693" s="56"/>
      <c r="E2693" s="56"/>
      <c r="F2693" s="56"/>
      <c r="G2693" s="57"/>
    </row>
    <row r="2694" spans="8:8" ht="32.25" customHeight="1">
      <c r="A2694" s="55"/>
      <c r="B2694" s="56"/>
      <c r="C2694" s="56"/>
      <c r="D2694" s="56"/>
      <c r="E2694" s="56"/>
      <c r="F2694" s="56"/>
      <c r="G2694" s="57"/>
    </row>
    <row r="2695" spans="8:8" ht="32.25" customHeight="1">
      <c r="A2695" s="55"/>
      <c r="B2695" s="56"/>
      <c r="C2695" s="56"/>
      <c r="D2695" s="56"/>
      <c r="E2695" s="56"/>
      <c r="F2695" s="56"/>
      <c r="G2695" s="57"/>
    </row>
    <row r="2696" spans="8:8" ht="32.25" customHeight="1">
      <c r="A2696" s="55"/>
      <c r="B2696" s="56"/>
      <c r="C2696" s="56"/>
      <c r="D2696" s="56"/>
      <c r="E2696" s="56"/>
      <c r="F2696" s="56"/>
      <c r="G2696" s="57"/>
    </row>
    <row r="2697" spans="8:8" ht="32.25" customHeight="1">
      <c r="A2697" s="55"/>
      <c r="B2697" s="56"/>
      <c r="C2697" s="56"/>
      <c r="D2697" s="56"/>
      <c r="E2697" s="56"/>
      <c r="F2697" s="56"/>
      <c r="G2697" s="57"/>
    </row>
    <row r="2698" spans="8:8" ht="32.25" customHeight="1">
      <c r="A2698" s="55"/>
      <c r="B2698" s="56"/>
      <c r="C2698" s="56"/>
      <c r="D2698" s="56"/>
      <c r="E2698" s="56"/>
      <c r="F2698" s="56"/>
      <c r="G2698" s="57"/>
    </row>
    <row r="2699" spans="8:8" ht="32.25" customHeight="1">
      <c r="A2699" s="55"/>
      <c r="B2699" s="56"/>
      <c r="C2699" s="56"/>
      <c r="D2699" s="56"/>
      <c r="E2699" s="56"/>
      <c r="F2699" s="56"/>
      <c r="G2699" s="57"/>
    </row>
    <row r="2700" spans="8:8" ht="32.25" customHeight="1">
      <c r="A2700" s="55"/>
      <c r="B2700" s="56"/>
      <c r="C2700" s="56"/>
      <c r="D2700" s="56"/>
      <c r="E2700" s="56"/>
      <c r="F2700" s="56"/>
      <c r="G2700" s="57"/>
    </row>
    <row r="2701" spans="8:8" ht="32.25" customHeight="1">
      <c r="A2701" s="55"/>
      <c r="B2701" s="56"/>
      <c r="C2701" s="56"/>
      <c r="D2701" s="56"/>
      <c r="E2701" s="56"/>
      <c r="F2701" s="56"/>
      <c r="G2701" s="57"/>
    </row>
    <row r="2702" spans="8:8" ht="32.25" customHeight="1">
      <c r="A2702" s="55"/>
      <c r="B2702" s="56"/>
      <c r="C2702" s="56"/>
      <c r="D2702" s="56"/>
      <c r="E2702" s="56"/>
      <c r="F2702" s="56"/>
      <c r="G2702" s="57"/>
    </row>
    <row r="2703" spans="8:8" ht="32.25" customHeight="1">
      <c r="A2703" s="55"/>
      <c r="B2703" s="56"/>
      <c r="C2703" s="56"/>
      <c r="D2703" s="56"/>
      <c r="E2703" s="56"/>
      <c r="F2703" s="56"/>
      <c r="G2703" s="57"/>
    </row>
    <row r="2704" spans="8:8" ht="32.25" customHeight="1">
      <c r="A2704" s="55"/>
      <c r="B2704" s="56"/>
      <c r="C2704" s="56"/>
      <c r="D2704" s="56"/>
      <c r="E2704" s="56"/>
      <c r="F2704" s="56"/>
      <c r="G2704" s="57"/>
    </row>
    <row r="2705" spans="8:8" ht="32.25" customHeight="1">
      <c r="A2705" s="55"/>
      <c r="B2705" s="56"/>
      <c r="C2705" s="56"/>
      <c r="D2705" s="56"/>
      <c r="E2705" s="56"/>
      <c r="F2705" s="56"/>
      <c r="G2705" s="57"/>
    </row>
    <row r="2706" spans="8:8" ht="32.25" customHeight="1">
      <c r="A2706" s="55"/>
      <c r="B2706" s="56"/>
      <c r="C2706" s="56"/>
      <c r="D2706" s="56"/>
      <c r="E2706" s="56"/>
      <c r="F2706" s="56"/>
      <c r="G2706" s="57"/>
    </row>
    <row r="2707" spans="8:8" ht="32.25" customHeight="1">
      <c r="A2707" s="55"/>
      <c r="B2707" s="56"/>
      <c r="C2707" s="56"/>
      <c r="D2707" s="56"/>
      <c r="E2707" s="56"/>
      <c r="F2707" s="56"/>
      <c r="G2707" s="57"/>
    </row>
    <row r="2708" spans="8:8" ht="32.25" customHeight="1">
      <c r="A2708" s="55"/>
      <c r="B2708" s="56"/>
      <c r="C2708" s="56"/>
      <c r="D2708" s="56"/>
      <c r="E2708" s="56"/>
      <c r="F2708" s="56"/>
      <c r="G2708" s="57"/>
    </row>
    <row r="2709" spans="8:8" ht="32.25" customHeight="1">
      <c r="A2709" s="55"/>
      <c r="B2709" s="56"/>
      <c r="C2709" s="56"/>
      <c r="D2709" s="56"/>
      <c r="E2709" s="56"/>
      <c r="F2709" s="56"/>
      <c r="G2709" s="57"/>
    </row>
    <row r="2710" spans="8:8" ht="32.25" customHeight="1">
      <c r="A2710" s="55"/>
      <c r="B2710" s="56"/>
      <c r="C2710" s="56"/>
      <c r="D2710" s="56"/>
      <c r="E2710" s="56"/>
      <c r="F2710" s="56"/>
      <c r="G2710" s="57"/>
    </row>
    <row r="2711" spans="8:8" ht="32.25" customHeight="1">
      <c r="A2711" s="55"/>
      <c r="B2711" s="56"/>
      <c r="C2711" s="56"/>
      <c r="D2711" s="56"/>
      <c r="E2711" s="56"/>
      <c r="F2711" s="56"/>
      <c r="G2711" s="57"/>
    </row>
    <row r="2712" spans="8:8" ht="32.25" customHeight="1">
      <c r="A2712" s="55"/>
      <c r="B2712" s="56"/>
      <c r="C2712" s="56"/>
      <c r="D2712" s="56"/>
      <c r="E2712" s="56"/>
      <c r="F2712" s="56"/>
      <c r="G2712" s="57"/>
    </row>
    <row r="2713" spans="8:8" ht="32.25" customHeight="1">
      <c r="A2713" s="55"/>
      <c r="B2713" s="56"/>
      <c r="C2713" s="56"/>
      <c r="D2713" s="56"/>
      <c r="E2713" s="56"/>
      <c r="F2713" s="56"/>
      <c r="G2713" s="57"/>
    </row>
    <row r="2714" spans="8:8" ht="32.25" customHeight="1">
      <c r="A2714" s="55"/>
      <c r="B2714" s="56"/>
      <c r="C2714" s="56"/>
      <c r="D2714" s="56"/>
      <c r="E2714" s="56"/>
      <c r="F2714" s="56"/>
      <c r="G2714" s="57"/>
    </row>
    <row r="2715" spans="8:8" ht="32.25" customHeight="1">
      <c r="A2715" s="55"/>
      <c r="B2715" s="56"/>
      <c r="C2715" s="56"/>
      <c r="D2715" s="56"/>
      <c r="E2715" s="56"/>
      <c r="F2715" s="56"/>
      <c r="G2715" s="57"/>
    </row>
    <row r="2716" spans="8:8" ht="32.25" customHeight="1">
      <c r="A2716" s="55"/>
      <c r="B2716" s="56"/>
      <c r="C2716" s="56"/>
      <c r="D2716" s="56"/>
      <c r="E2716" s="56"/>
      <c r="F2716" s="56"/>
      <c r="G2716" s="57"/>
    </row>
    <row r="2717" spans="8:8" ht="32.25" customHeight="1">
      <c r="A2717" s="55"/>
      <c r="B2717" s="56"/>
      <c r="C2717" s="56"/>
      <c r="D2717" s="56"/>
      <c r="E2717" s="56"/>
      <c r="F2717" s="56"/>
      <c r="G2717" s="57"/>
    </row>
    <row r="2718" spans="8:8" ht="32.25" customHeight="1">
      <c r="A2718" s="55"/>
      <c r="B2718" s="56"/>
      <c r="C2718" s="56"/>
      <c r="D2718" s="56"/>
      <c r="E2718" s="56"/>
      <c r="F2718" s="56"/>
      <c r="G2718" s="57"/>
    </row>
    <row r="2719" spans="8:8" ht="32.25" customHeight="1">
      <c r="A2719" s="55"/>
      <c r="B2719" s="56"/>
      <c r="C2719" s="56"/>
      <c r="D2719" s="56"/>
      <c r="E2719" s="56"/>
      <c r="F2719" s="56"/>
      <c r="G2719" s="57"/>
    </row>
    <row r="2720" spans="8:8" ht="32.25" customHeight="1">
      <c r="A2720" s="55"/>
      <c r="B2720" s="56"/>
      <c r="C2720" s="56"/>
      <c r="D2720" s="56"/>
      <c r="E2720" s="56"/>
      <c r="F2720" s="56"/>
      <c r="G2720" s="57"/>
    </row>
    <row r="2721" spans="8:8" ht="32.25" customHeight="1">
      <c r="A2721" s="55"/>
      <c r="B2721" s="56"/>
      <c r="C2721" s="56"/>
      <c r="D2721" s="56"/>
      <c r="E2721" s="56"/>
      <c r="F2721" s="56"/>
      <c r="G2721" s="57"/>
    </row>
    <row r="2722" spans="8:8" ht="32.25" customHeight="1">
      <c r="A2722" s="55"/>
      <c r="B2722" s="56"/>
      <c r="C2722" s="56"/>
      <c r="D2722" s="56"/>
      <c r="E2722" s="56"/>
      <c r="F2722" s="56"/>
      <c r="G2722" s="57"/>
    </row>
    <row r="2723" spans="8:8" ht="32.25" customHeight="1">
      <c r="A2723" s="55"/>
      <c r="B2723" s="56"/>
      <c r="C2723" s="56"/>
      <c r="D2723" s="56"/>
      <c r="E2723" s="56"/>
      <c r="F2723" s="56"/>
      <c r="G2723" s="57"/>
    </row>
    <row r="2724" spans="8:8" ht="32.25" customHeight="1">
      <c r="A2724" s="55"/>
      <c r="B2724" s="56"/>
      <c r="C2724" s="56"/>
      <c r="D2724" s="56"/>
      <c r="E2724" s="56"/>
      <c r="F2724" s="56"/>
      <c r="G2724" s="57"/>
    </row>
    <row r="2725" spans="8:8" ht="32.25" customHeight="1">
      <c r="A2725" s="55"/>
      <c r="B2725" s="56"/>
      <c r="C2725" s="56"/>
      <c r="D2725" s="56"/>
      <c r="E2725" s="56"/>
      <c r="F2725" s="56"/>
      <c r="G2725" s="57"/>
    </row>
    <row r="2726" spans="8:8" ht="32.25" customHeight="1">
      <c r="A2726" s="55"/>
      <c r="B2726" s="56"/>
      <c r="C2726" s="56"/>
      <c r="D2726" s="56"/>
      <c r="E2726" s="56"/>
      <c r="F2726" s="56"/>
      <c r="G2726" s="57"/>
    </row>
    <row r="2727" spans="8:8" ht="32.25" customHeight="1">
      <c r="A2727" s="55"/>
      <c r="B2727" s="56"/>
      <c r="C2727" s="56"/>
      <c r="D2727" s="56"/>
      <c r="E2727" s="56"/>
      <c r="F2727" s="56"/>
      <c r="G2727" s="57"/>
    </row>
    <row r="2728" spans="8:8" ht="32.25" customHeight="1">
      <c r="A2728" s="55"/>
      <c r="B2728" s="56"/>
      <c r="C2728" s="56"/>
      <c r="D2728" s="56"/>
      <c r="E2728" s="56"/>
      <c r="F2728" s="56"/>
      <c r="G2728" s="57"/>
    </row>
    <row r="2729" spans="8:8" ht="32.25" customHeight="1">
      <c r="A2729" s="55"/>
      <c r="B2729" s="56"/>
      <c r="C2729" s="56"/>
      <c r="D2729" s="56"/>
      <c r="E2729" s="56"/>
      <c r="F2729" s="56"/>
      <c r="G2729" s="57"/>
    </row>
    <row r="2730" spans="8:8" ht="32.25" customHeight="1">
      <c r="A2730" s="55"/>
      <c r="B2730" s="56"/>
      <c r="C2730" s="56"/>
      <c r="D2730" s="56"/>
      <c r="E2730" s="56"/>
      <c r="F2730" s="56"/>
      <c r="G2730" s="57"/>
    </row>
    <row r="2731" spans="8:8" ht="32.25" customHeight="1">
      <c r="A2731" s="55"/>
      <c r="B2731" s="56"/>
      <c r="C2731" s="56"/>
      <c r="D2731" s="56"/>
      <c r="E2731" s="56"/>
      <c r="F2731" s="56"/>
      <c r="G2731" s="57"/>
    </row>
    <row r="2732" spans="8:8" ht="32.25" customHeight="1">
      <c r="A2732" s="55"/>
      <c r="B2732" s="56"/>
      <c r="C2732" s="56"/>
      <c r="D2732" s="56"/>
      <c r="E2732" s="56"/>
      <c r="F2732" s="56"/>
      <c r="G2732" s="57"/>
    </row>
    <row r="2733" spans="8:8" ht="32.25" customHeight="1">
      <c r="A2733" s="55"/>
      <c r="B2733" s="56"/>
      <c r="C2733" s="56"/>
      <c r="D2733" s="56"/>
      <c r="E2733" s="56"/>
      <c r="F2733" s="56"/>
      <c r="G2733" s="57"/>
    </row>
    <row r="2734" spans="8:8" ht="32.25" customHeight="1">
      <c r="A2734" s="55"/>
      <c r="B2734" s="56"/>
      <c r="C2734" s="56"/>
      <c r="D2734" s="56"/>
      <c r="E2734" s="56"/>
      <c r="F2734" s="56"/>
      <c r="G2734" s="57"/>
    </row>
    <row r="2735" spans="8:8" ht="32.25" customHeight="1">
      <c r="A2735" s="55"/>
      <c r="B2735" s="56"/>
      <c r="C2735" s="56"/>
      <c r="D2735" s="56"/>
      <c r="E2735" s="56"/>
      <c r="F2735" s="56"/>
      <c r="G2735" s="57"/>
    </row>
    <row r="2736" spans="8:8" ht="32.25" customHeight="1">
      <c r="A2736" s="55"/>
      <c r="B2736" s="56"/>
      <c r="C2736" s="56"/>
      <c r="D2736" s="56"/>
      <c r="E2736" s="56"/>
      <c r="F2736" s="56"/>
      <c r="G2736" s="57"/>
    </row>
    <row r="2737" spans="8:8" ht="32.25" customHeight="1">
      <c r="A2737" s="55"/>
      <c r="B2737" s="56"/>
      <c r="C2737" s="56"/>
      <c r="D2737" s="56"/>
      <c r="E2737" s="56"/>
      <c r="F2737" s="56"/>
      <c r="G2737" s="57"/>
    </row>
    <row r="2738" spans="8:8" ht="32.25" customHeight="1">
      <c r="A2738" s="55"/>
      <c r="B2738" s="56"/>
      <c r="C2738" s="56"/>
      <c r="D2738" s="56"/>
      <c r="E2738" s="56"/>
      <c r="F2738" s="56"/>
      <c r="G2738" s="57"/>
    </row>
    <row r="2739" spans="8:8" ht="32.25" customHeight="1">
      <c r="A2739" s="55"/>
      <c r="B2739" s="56"/>
      <c r="C2739" s="56"/>
      <c r="D2739" s="56"/>
      <c r="E2739" s="56"/>
      <c r="F2739" s="56"/>
      <c r="G2739" s="57"/>
    </row>
    <row r="2740" spans="8:8" ht="32.25" customHeight="1">
      <c r="A2740" s="55"/>
      <c r="B2740" s="56"/>
      <c r="C2740" s="56"/>
      <c r="D2740" s="56"/>
      <c r="E2740" s="56"/>
      <c r="F2740" s="56"/>
      <c r="G2740" s="57"/>
    </row>
    <row r="2741" spans="8:8" ht="32.25" customHeight="1">
      <c r="A2741" s="55"/>
      <c r="B2741" s="56"/>
      <c r="C2741" s="56"/>
      <c r="D2741" s="56"/>
      <c r="E2741" s="56"/>
      <c r="F2741" s="56"/>
      <c r="G2741" s="57"/>
    </row>
    <row r="2742" spans="8:8" ht="32.25" customHeight="1">
      <c r="A2742" s="55"/>
      <c r="B2742" s="56"/>
      <c r="C2742" s="56"/>
      <c r="D2742" s="56"/>
      <c r="E2742" s="56"/>
      <c r="F2742" s="56"/>
      <c r="G2742" s="57"/>
    </row>
    <row r="2743" spans="8:8" ht="32.25" customHeight="1">
      <c r="A2743" s="55"/>
      <c r="B2743" s="56"/>
      <c r="C2743" s="56"/>
      <c r="D2743" s="56"/>
      <c r="E2743" s="56"/>
      <c r="F2743" s="56"/>
      <c r="G2743" s="57"/>
    </row>
    <row r="2744" spans="8:8" ht="32.25" customHeight="1">
      <c r="A2744" s="55"/>
      <c r="B2744" s="56"/>
      <c r="C2744" s="56"/>
      <c r="D2744" s="56"/>
      <c r="E2744" s="56"/>
      <c r="F2744" s="56"/>
      <c r="G2744" s="57"/>
    </row>
    <row r="2745" spans="8:8" ht="32.25" customHeight="1">
      <c r="A2745" s="55"/>
      <c r="B2745" s="56"/>
      <c r="C2745" s="56"/>
      <c r="D2745" s="56"/>
      <c r="E2745" s="56"/>
      <c r="F2745" s="56"/>
      <c r="G2745" s="57"/>
    </row>
    <row r="2746" spans="8:8" ht="32.25" customHeight="1">
      <c r="A2746" s="55"/>
      <c r="B2746" s="56"/>
      <c r="C2746" s="56"/>
      <c r="D2746" s="56"/>
      <c r="E2746" s="56"/>
      <c r="F2746" s="56"/>
      <c r="G2746" s="57"/>
    </row>
    <row r="2747" spans="8:8" ht="32.25" customHeight="1">
      <c r="A2747" s="55"/>
      <c r="B2747" s="56"/>
      <c r="C2747" s="56"/>
      <c r="D2747" s="56"/>
      <c r="E2747" s="56"/>
      <c r="F2747" s="56"/>
      <c r="G2747" s="57"/>
    </row>
    <row r="2748" spans="8:8" ht="32.25" customHeight="1">
      <c r="A2748" s="55"/>
      <c r="B2748" s="56"/>
      <c r="C2748" s="56"/>
      <c r="D2748" s="56"/>
      <c r="E2748" s="56"/>
      <c r="F2748" s="56"/>
      <c r="G2748" s="57"/>
    </row>
    <row r="2749" spans="8:8" ht="32.25" customHeight="1">
      <c r="A2749" s="55"/>
      <c r="B2749" s="56"/>
      <c r="C2749" s="56"/>
      <c r="D2749" s="56"/>
      <c r="E2749" s="56"/>
      <c r="F2749" s="56"/>
      <c r="G2749" s="57"/>
    </row>
    <row r="2750" spans="8:8" ht="32.25" customHeight="1">
      <c r="A2750" s="55"/>
      <c r="B2750" s="56"/>
      <c r="C2750" s="56"/>
      <c r="D2750" s="56"/>
      <c r="E2750" s="56"/>
      <c r="F2750" s="56"/>
      <c r="G2750" s="57"/>
    </row>
    <row r="2751" spans="8:8" ht="32.25" customHeight="1">
      <c r="A2751" s="55"/>
      <c r="B2751" s="56"/>
      <c r="C2751" s="56"/>
      <c r="D2751" s="56"/>
      <c r="E2751" s="56"/>
      <c r="F2751" s="56"/>
      <c r="G2751" s="57"/>
    </row>
    <row r="2752" spans="8:8" ht="32.25" customHeight="1">
      <c r="A2752" s="55"/>
      <c r="B2752" s="56"/>
      <c r="C2752" s="56"/>
      <c r="D2752" s="56"/>
      <c r="E2752" s="56"/>
      <c r="F2752" s="56"/>
      <c r="G2752" s="57"/>
    </row>
    <row r="2753" spans="8:8" ht="32.25" customHeight="1">
      <c r="A2753" s="55"/>
      <c r="B2753" s="56"/>
      <c r="C2753" s="56"/>
      <c r="D2753" s="56"/>
      <c r="E2753" s="56"/>
      <c r="F2753" s="56"/>
      <c r="G2753" s="57"/>
    </row>
    <row r="2754" spans="8:8" ht="32.25" customHeight="1">
      <c r="A2754" s="55"/>
      <c r="B2754" s="56"/>
      <c r="C2754" s="56"/>
      <c r="D2754" s="56"/>
      <c r="E2754" s="56"/>
      <c r="F2754" s="56"/>
      <c r="G2754" s="57"/>
    </row>
    <row r="2755" spans="8:8" ht="32.25" customHeight="1">
      <c r="A2755" s="55"/>
      <c r="B2755" s="56"/>
      <c r="C2755" s="56"/>
      <c r="D2755" s="56"/>
      <c r="E2755" s="56"/>
      <c r="F2755" s="56"/>
      <c r="G2755" s="57"/>
    </row>
    <row r="2756" spans="8:8" ht="32.25" customHeight="1">
      <c r="A2756" s="55"/>
      <c r="B2756" s="56"/>
      <c r="C2756" s="56"/>
      <c r="D2756" s="56"/>
      <c r="E2756" s="56"/>
      <c r="F2756" s="56"/>
      <c r="G2756" s="57"/>
    </row>
    <row r="2757" spans="8:8" ht="32.25" customHeight="1">
      <c r="A2757" s="55"/>
      <c r="B2757" s="56"/>
      <c r="C2757" s="56"/>
      <c r="D2757" s="56"/>
      <c r="E2757" s="56"/>
      <c r="F2757" s="56"/>
      <c r="G2757" s="57"/>
    </row>
    <row r="2758" spans="8:8" ht="32.25" customHeight="1">
      <c r="A2758" s="55"/>
      <c r="B2758" s="56"/>
      <c r="C2758" s="56"/>
      <c r="D2758" s="56"/>
      <c r="E2758" s="56"/>
      <c r="F2758" s="56"/>
      <c r="G2758" s="57"/>
    </row>
    <row r="2759" spans="8:8" ht="32.25" customHeight="1">
      <c r="A2759" s="55"/>
      <c r="B2759" s="56"/>
      <c r="C2759" s="56"/>
      <c r="D2759" s="56"/>
      <c r="E2759" s="56"/>
      <c r="F2759" s="56"/>
      <c r="G2759" s="57"/>
    </row>
    <row r="2760" spans="8:8" ht="32.25" customHeight="1">
      <c r="A2760" s="55"/>
      <c r="B2760" s="56"/>
      <c r="C2760" s="56"/>
      <c r="D2760" s="56"/>
      <c r="E2760" s="56"/>
      <c r="F2760" s="56"/>
      <c r="G2760" s="57"/>
    </row>
    <row r="2761" spans="8:8" ht="32.25" customHeight="1">
      <c r="A2761" s="55"/>
      <c r="B2761" s="56"/>
      <c r="C2761" s="56"/>
      <c r="D2761" s="56"/>
      <c r="E2761" s="56"/>
      <c r="F2761" s="56"/>
      <c r="G2761" s="57"/>
    </row>
    <row r="2762" spans="8:8" ht="32.25" customHeight="1">
      <c r="A2762" s="55"/>
      <c r="B2762" s="56"/>
      <c r="C2762" s="56"/>
      <c r="D2762" s="56"/>
      <c r="E2762" s="56"/>
      <c r="F2762" s="56"/>
      <c r="G2762" s="57"/>
    </row>
    <row r="2763" spans="8:8" ht="32.25" customHeight="1">
      <c r="A2763" s="55"/>
      <c r="B2763" s="56"/>
      <c r="C2763" s="56"/>
      <c r="D2763" s="56"/>
      <c r="E2763" s="56"/>
      <c r="F2763" s="56"/>
      <c r="G2763" s="57"/>
    </row>
    <row r="2764" spans="8:8" ht="32.25" customHeight="1">
      <c r="A2764" s="55"/>
      <c r="B2764" s="56"/>
      <c r="C2764" s="56"/>
      <c r="D2764" s="56"/>
      <c r="E2764" s="56"/>
      <c r="F2764" s="56"/>
      <c r="G2764" s="57"/>
    </row>
    <row r="2765" spans="8:8" ht="32.25" customHeight="1">
      <c r="A2765" s="55"/>
      <c r="B2765" s="56"/>
      <c r="C2765" s="56"/>
      <c r="D2765" s="56"/>
      <c r="E2765" s="56"/>
      <c r="F2765" s="56"/>
      <c r="G2765" s="57"/>
    </row>
    <row r="2766" spans="8:8" ht="32.25" customHeight="1">
      <c r="A2766" s="55"/>
      <c r="B2766" s="56"/>
      <c r="C2766" s="56"/>
      <c r="D2766" s="56"/>
      <c r="E2766" s="56"/>
      <c r="F2766" s="56"/>
      <c r="G2766" s="57"/>
    </row>
    <row r="2767" spans="8:8" ht="32.25" customHeight="1">
      <c r="A2767" s="55"/>
      <c r="B2767" s="56"/>
      <c r="C2767" s="56"/>
      <c r="D2767" s="56"/>
      <c r="E2767" s="56"/>
      <c r="F2767" s="56"/>
      <c r="G2767" s="57"/>
    </row>
    <row r="2768" spans="8:8" ht="32.25" customHeight="1">
      <c r="A2768" s="55"/>
      <c r="B2768" s="56"/>
      <c r="C2768" s="56"/>
      <c r="D2768" s="56"/>
      <c r="E2768" s="56"/>
      <c r="F2768" s="56"/>
      <c r="G2768" s="57"/>
    </row>
    <row r="2769" spans="8:8" ht="32.25" customHeight="1">
      <c r="A2769" s="55"/>
      <c r="B2769" s="56"/>
      <c r="C2769" s="56"/>
      <c r="D2769" s="56"/>
      <c r="E2769" s="56"/>
      <c r="F2769" s="56"/>
      <c r="G2769" s="57"/>
    </row>
    <row r="2770" spans="8:8" ht="32.25" customHeight="1">
      <c r="A2770" s="55"/>
      <c r="B2770" s="56"/>
      <c r="C2770" s="56"/>
      <c r="D2770" s="56"/>
      <c r="E2770" s="56"/>
      <c r="F2770" s="56"/>
      <c r="G2770" s="57"/>
    </row>
    <row r="2771" spans="8:8" ht="32.25" customHeight="1">
      <c r="A2771" s="55"/>
      <c r="B2771" s="56"/>
      <c r="C2771" s="56"/>
      <c r="D2771" s="56"/>
      <c r="E2771" s="56"/>
      <c r="F2771" s="56"/>
      <c r="G2771" s="57"/>
    </row>
    <row r="2772" spans="8:8" ht="32.25" customHeight="1">
      <c r="A2772" s="55"/>
      <c r="B2772" s="56"/>
      <c r="C2772" s="56"/>
      <c r="D2772" s="56"/>
      <c r="E2772" s="56"/>
      <c r="F2772" s="56"/>
      <c r="G2772" s="57"/>
    </row>
    <row r="2773" spans="8:8" ht="32.25" customHeight="1">
      <c r="A2773" s="55"/>
      <c r="B2773" s="56"/>
      <c r="C2773" s="56"/>
      <c r="D2773" s="56"/>
      <c r="E2773" s="56"/>
      <c r="F2773" s="56"/>
      <c r="G2773" s="57"/>
    </row>
    <row r="2774" spans="8:8" ht="32.25" customHeight="1">
      <c r="A2774" s="55"/>
      <c r="B2774" s="56"/>
      <c r="C2774" s="56"/>
      <c r="D2774" s="56"/>
      <c r="E2774" s="56"/>
      <c r="F2774" s="56"/>
      <c r="G2774" s="57"/>
    </row>
    <row r="2775" spans="8:8" ht="32.25" customHeight="1">
      <c r="A2775" s="55"/>
      <c r="B2775" s="56"/>
      <c r="C2775" s="56"/>
      <c r="D2775" s="56"/>
      <c r="E2775" s="56"/>
      <c r="F2775" s="56"/>
      <c r="G2775" s="57"/>
    </row>
    <row r="2776" spans="8:8" ht="32.25" customHeight="1">
      <c r="A2776" s="55"/>
      <c r="B2776" s="56"/>
      <c r="C2776" s="56"/>
      <c r="D2776" s="56"/>
      <c r="E2776" s="56"/>
      <c r="F2776" s="56"/>
      <c r="G2776" s="57"/>
    </row>
    <row r="2777" spans="8:8" ht="32.25" customHeight="1">
      <c r="A2777" s="55"/>
      <c r="B2777" s="56"/>
      <c r="C2777" s="56"/>
      <c r="D2777" s="56"/>
      <c r="E2777" s="56"/>
      <c r="F2777" s="56"/>
      <c r="G2777" s="57"/>
    </row>
    <row r="2778" spans="8:8" ht="32.25" customHeight="1">
      <c r="A2778" s="55"/>
      <c r="B2778" s="56"/>
      <c r="C2778" s="56"/>
      <c r="D2778" s="56"/>
      <c r="E2778" s="56"/>
      <c r="F2778" s="56"/>
      <c r="G2778" s="57"/>
    </row>
    <row r="2779" spans="8:8" ht="32.25" customHeight="1">
      <c r="A2779" s="55"/>
      <c r="B2779" s="56"/>
      <c r="C2779" s="56"/>
      <c r="D2779" s="56"/>
      <c r="E2779" s="56"/>
      <c r="F2779" s="56"/>
      <c r="G2779" s="57"/>
    </row>
    <row r="2780" spans="8:8" ht="32.25" customHeight="1">
      <c r="A2780" s="55"/>
      <c r="B2780" s="56"/>
      <c r="C2780" s="56"/>
      <c r="D2780" s="56"/>
      <c r="E2780" s="56"/>
      <c r="F2780" s="56"/>
      <c r="G2780" s="57"/>
    </row>
    <row r="2781" spans="8:8" ht="32.25" customHeight="1">
      <c r="A2781" s="55"/>
      <c r="B2781" s="56"/>
      <c r="C2781" s="56"/>
      <c r="D2781" s="56"/>
      <c r="E2781" s="56"/>
      <c r="F2781" s="56"/>
      <c r="G2781" s="57"/>
    </row>
    <row r="2782" spans="8:8" ht="32.25" customHeight="1">
      <c r="A2782" s="55"/>
      <c r="B2782" s="56"/>
      <c r="C2782" s="56"/>
      <c r="D2782" s="56"/>
      <c r="E2782" s="56"/>
      <c r="F2782" s="56"/>
      <c r="G2782" s="57"/>
    </row>
    <row r="2783" spans="8:8" ht="32.25" customHeight="1">
      <c r="A2783" s="55"/>
      <c r="B2783" s="56"/>
      <c r="C2783" s="56"/>
      <c r="D2783" s="56"/>
      <c r="E2783" s="56"/>
      <c r="F2783" s="56"/>
      <c r="G2783" s="57"/>
    </row>
    <row r="2784" spans="8:8" ht="32.25" customHeight="1">
      <c r="A2784" s="55"/>
      <c r="B2784" s="56"/>
      <c r="C2784" s="56"/>
      <c r="D2784" s="56"/>
      <c r="E2784" s="56"/>
      <c r="F2784" s="56"/>
      <c r="G2784" s="57"/>
    </row>
    <row r="2785" spans="8:8" ht="32.25" customHeight="1">
      <c r="A2785" s="55"/>
      <c r="B2785" s="56"/>
      <c r="C2785" s="56"/>
      <c r="D2785" s="56"/>
      <c r="E2785" s="56"/>
      <c r="F2785" s="56"/>
      <c r="G2785" s="57"/>
    </row>
    <row r="2786" spans="8:8" ht="32.25" customHeight="1">
      <c r="A2786" s="55"/>
      <c r="B2786" s="56"/>
      <c r="C2786" s="56"/>
      <c r="D2786" s="56"/>
      <c r="E2786" s="56"/>
      <c r="F2786" s="56"/>
      <c r="G2786" s="57"/>
    </row>
    <row r="2787" spans="8:8" ht="32.25" customHeight="1">
      <c r="A2787" s="55"/>
      <c r="B2787" s="56"/>
      <c r="C2787" s="56"/>
      <c r="D2787" s="56"/>
      <c r="E2787" s="56"/>
      <c r="F2787" s="56"/>
      <c r="G2787" s="57"/>
    </row>
    <row r="2788" spans="8:8" ht="32.25" customHeight="1">
      <c r="A2788" s="55"/>
      <c r="B2788" s="56"/>
      <c r="C2788" s="56"/>
      <c r="D2788" s="56"/>
      <c r="E2788" s="56"/>
      <c r="F2788" s="56"/>
      <c r="G2788" s="57"/>
    </row>
    <row r="2789" spans="8:8" ht="32.25" customHeight="1">
      <c r="A2789" s="55"/>
      <c r="B2789" s="56"/>
      <c r="C2789" s="56"/>
      <c r="D2789" s="56"/>
      <c r="E2789" s="56"/>
      <c r="F2789" s="56"/>
      <c r="G2789" s="57"/>
    </row>
    <row r="2790" spans="8:8" ht="32.25" customHeight="1">
      <c r="A2790" s="55"/>
      <c r="B2790" s="56"/>
      <c r="C2790" s="56"/>
      <c r="D2790" s="56"/>
      <c r="E2790" s="56"/>
      <c r="F2790" s="56"/>
      <c r="G2790" s="57"/>
    </row>
    <row r="2791" spans="8:8" ht="32.25" customHeight="1">
      <c r="A2791" s="55"/>
      <c r="B2791" s="56"/>
      <c r="C2791" s="56"/>
      <c r="D2791" s="56"/>
      <c r="E2791" s="56"/>
      <c r="F2791" s="56"/>
      <c r="G2791" s="57"/>
    </row>
    <row r="2792" spans="8:8" ht="32.25" customHeight="1">
      <c r="A2792" s="55"/>
      <c r="B2792" s="56"/>
      <c r="C2792" s="56"/>
      <c r="D2792" s="56"/>
      <c r="E2792" s="56"/>
      <c r="F2792" s="56"/>
      <c r="G2792" s="57"/>
    </row>
    <row r="2793" spans="8:8" ht="32.25" customHeight="1">
      <c r="A2793" s="55"/>
      <c r="B2793" s="56"/>
      <c r="C2793" s="56"/>
      <c r="D2793" s="56"/>
      <c r="E2793" s="56"/>
      <c r="F2793" s="56"/>
      <c r="G2793" s="57"/>
    </row>
    <row r="2794" spans="8:8" ht="32.25" customHeight="1">
      <c r="A2794" s="55"/>
      <c r="B2794" s="56"/>
      <c r="C2794" s="56"/>
      <c r="D2794" s="56"/>
      <c r="E2794" s="56"/>
      <c r="F2794" s="56"/>
      <c r="G2794" s="57"/>
    </row>
    <row r="2795" spans="8:8" ht="32.25" customHeight="1">
      <c r="A2795" s="55"/>
      <c r="B2795" s="56"/>
      <c r="C2795" s="56"/>
      <c r="D2795" s="56"/>
      <c r="E2795" s="56"/>
      <c r="F2795" s="56"/>
      <c r="G2795" s="57"/>
    </row>
    <row r="2796" spans="8:8" ht="32.25" customHeight="1">
      <c r="A2796" s="55"/>
      <c r="B2796" s="56"/>
      <c r="C2796" s="56"/>
      <c r="D2796" s="56"/>
      <c r="E2796" s="56"/>
      <c r="F2796" s="56"/>
      <c r="G2796" s="57"/>
    </row>
    <row r="2797" spans="8:8" ht="32.25" customHeight="1">
      <c r="A2797" s="55"/>
      <c r="B2797" s="56"/>
      <c r="C2797" s="56"/>
      <c r="D2797" s="56"/>
      <c r="E2797" s="56"/>
      <c r="F2797" s="56"/>
      <c r="G2797" s="57"/>
    </row>
    <row r="2798" spans="8:8" ht="32.25" customHeight="1">
      <c r="A2798" s="55"/>
      <c r="B2798" s="56"/>
      <c r="C2798" s="56"/>
      <c r="D2798" s="56"/>
      <c r="E2798" s="56"/>
      <c r="F2798" s="56"/>
      <c r="G2798" s="57"/>
    </row>
    <row r="2799" spans="8:8" ht="32.25" customHeight="1">
      <c r="A2799" s="55"/>
      <c r="B2799" s="56"/>
      <c r="C2799" s="56"/>
      <c r="D2799" s="56"/>
      <c r="E2799" s="56"/>
      <c r="F2799" s="56"/>
      <c r="G2799" s="57"/>
    </row>
    <row r="2800" spans="8:8" ht="32.25" customHeight="1">
      <c r="A2800" s="55"/>
      <c r="B2800" s="56"/>
      <c r="C2800" s="56"/>
      <c r="D2800" s="56"/>
      <c r="E2800" s="56"/>
      <c r="F2800" s="56"/>
      <c r="G2800" s="57"/>
    </row>
    <row r="2801" spans="8:8" ht="32.25" customHeight="1">
      <c r="A2801" s="55"/>
      <c r="B2801" s="56"/>
      <c r="C2801" s="56"/>
      <c r="D2801" s="56"/>
      <c r="E2801" s="56"/>
      <c r="F2801" s="56"/>
      <c r="G2801" s="57"/>
    </row>
    <row r="2802" spans="8:8" ht="32.25" customHeight="1">
      <c r="A2802" s="55"/>
      <c r="B2802" s="56"/>
      <c r="C2802" s="56"/>
      <c r="D2802" s="56"/>
      <c r="E2802" s="56"/>
      <c r="F2802" s="56"/>
      <c r="G2802" s="57"/>
    </row>
    <row r="2803" spans="8:8" ht="32.25" customHeight="1">
      <c r="A2803" s="55"/>
      <c r="B2803" s="56"/>
      <c r="C2803" s="56"/>
      <c r="D2803" s="56"/>
      <c r="E2803" s="56"/>
      <c r="F2803" s="56"/>
      <c r="G2803" s="57"/>
    </row>
    <row r="2804" spans="8:8" ht="32.25" customHeight="1">
      <c r="A2804" s="55"/>
      <c r="B2804" s="56"/>
      <c r="C2804" s="56"/>
      <c r="D2804" s="56"/>
      <c r="E2804" s="56"/>
      <c r="F2804" s="56"/>
      <c r="G2804" s="57"/>
    </row>
    <row r="2805" spans="8:8" ht="32.25" customHeight="1">
      <c r="A2805" s="55"/>
      <c r="B2805" s="56"/>
      <c r="C2805" s="56"/>
      <c r="D2805" s="56"/>
      <c r="E2805" s="56"/>
      <c r="F2805" s="56"/>
      <c r="G2805" s="57"/>
    </row>
    <row r="2806" spans="8:8" ht="32.25" customHeight="1">
      <c r="A2806" s="55"/>
      <c r="B2806" s="56"/>
      <c r="C2806" s="56"/>
      <c r="D2806" s="56"/>
      <c r="E2806" s="56"/>
      <c r="F2806" s="56"/>
      <c r="G2806" s="57"/>
    </row>
    <row r="2807" spans="8:8" ht="32.25" customHeight="1">
      <c r="A2807" s="55"/>
      <c r="B2807" s="56"/>
      <c r="C2807" s="56"/>
      <c r="D2807" s="56"/>
      <c r="E2807" s="56"/>
      <c r="F2807" s="56"/>
      <c r="G2807" s="57"/>
    </row>
    <row r="2808" spans="8:8" ht="32.25" customHeight="1">
      <c r="A2808" s="55"/>
      <c r="B2808" s="56"/>
      <c r="C2808" s="56"/>
      <c r="D2808" s="56"/>
      <c r="E2808" s="56"/>
      <c r="F2808" s="56"/>
      <c r="G2808" s="57"/>
    </row>
    <row r="2809" spans="8:8" ht="32.25" customHeight="1">
      <c r="A2809" s="55"/>
      <c r="B2809" s="56"/>
      <c r="C2809" s="56"/>
      <c r="D2809" s="56"/>
      <c r="E2809" s="56"/>
      <c r="F2809" s="56"/>
      <c r="G2809" s="57"/>
    </row>
    <row r="2810" spans="8:8" ht="32.25" customHeight="1">
      <c r="A2810" s="55"/>
      <c r="B2810" s="56"/>
      <c r="C2810" s="56"/>
      <c r="D2810" s="56"/>
      <c r="E2810" s="56"/>
      <c r="F2810" s="56"/>
      <c r="G2810" s="57"/>
    </row>
    <row r="2811" spans="8:8" ht="32.25" customHeight="1">
      <c r="A2811" s="55"/>
      <c r="B2811" s="56"/>
      <c r="C2811" s="56"/>
      <c r="D2811" s="56"/>
      <c r="E2811" s="56"/>
      <c r="F2811" s="56"/>
      <c r="G2811" s="57"/>
    </row>
    <row r="2812" spans="8:8" ht="32.25" customHeight="1">
      <c r="A2812" s="55"/>
      <c r="B2812" s="56"/>
      <c r="C2812" s="56"/>
      <c r="D2812" s="56"/>
      <c r="E2812" s="56"/>
      <c r="F2812" s="56"/>
      <c r="G2812" s="57"/>
    </row>
    <row r="2813" spans="8:8" ht="32.25" customHeight="1">
      <c r="A2813" s="55"/>
      <c r="B2813" s="56"/>
      <c r="C2813" s="56"/>
      <c r="D2813" s="56"/>
      <c r="E2813" s="56"/>
      <c r="F2813" s="56"/>
      <c r="G2813" s="57"/>
    </row>
    <row r="2814" spans="8:8" ht="32.25" customHeight="1">
      <c r="A2814" s="55"/>
      <c r="B2814" s="56"/>
      <c r="C2814" s="56"/>
      <c r="D2814" s="56"/>
      <c r="E2814" s="56"/>
      <c r="F2814" s="56"/>
      <c r="G2814" s="57"/>
    </row>
    <row r="2815" spans="8:8" ht="32.25" customHeight="1">
      <c r="A2815" s="55"/>
      <c r="B2815" s="56"/>
      <c r="C2815" s="56"/>
      <c r="D2815" s="56"/>
      <c r="E2815" s="56"/>
      <c r="F2815" s="56"/>
      <c r="G2815" s="57"/>
    </row>
    <row r="2816" spans="8:8" ht="32.25" customHeight="1">
      <c r="A2816" s="55"/>
      <c r="B2816" s="56"/>
      <c r="C2816" s="56"/>
      <c r="D2816" s="56"/>
      <c r="E2816" s="56"/>
      <c r="F2816" s="56"/>
      <c r="G2816" s="57"/>
    </row>
    <row r="2817" spans="8:8" ht="32.25" customHeight="1">
      <c r="A2817" s="55"/>
      <c r="B2817" s="56"/>
      <c r="C2817" s="56"/>
      <c r="D2817" s="56"/>
      <c r="E2817" s="56"/>
      <c r="F2817" s="56"/>
      <c r="G2817" s="57"/>
    </row>
    <row r="2818" spans="8:8" ht="32.25" customHeight="1">
      <c r="A2818" s="55"/>
      <c r="B2818" s="56"/>
      <c r="C2818" s="56"/>
      <c r="D2818" s="56"/>
      <c r="E2818" s="56"/>
      <c r="F2818" s="56"/>
      <c r="G2818" s="57"/>
    </row>
    <row r="2819" spans="8:8" ht="32.25" customHeight="1">
      <c r="A2819" s="55"/>
      <c r="B2819" s="56"/>
      <c r="C2819" s="56"/>
      <c r="D2819" s="56"/>
      <c r="E2819" s="56"/>
      <c r="F2819" s="56"/>
      <c r="G2819" s="57"/>
    </row>
    <row r="2820" spans="8:8" ht="32.25" customHeight="1">
      <c r="A2820" s="55"/>
      <c r="B2820" s="56"/>
      <c r="C2820" s="56"/>
      <c r="D2820" s="56"/>
      <c r="E2820" s="56"/>
      <c r="F2820" s="56"/>
      <c r="G2820" s="57"/>
    </row>
    <row r="2821" spans="8:8" ht="32.25" customHeight="1">
      <c r="A2821" s="55"/>
      <c r="B2821" s="56"/>
      <c r="C2821" s="56"/>
      <c r="D2821" s="56"/>
      <c r="E2821" s="56"/>
      <c r="F2821" s="56"/>
      <c r="G2821" s="57"/>
    </row>
    <row r="2822" spans="8:8" ht="32.25" customHeight="1">
      <c r="A2822" s="55"/>
      <c r="B2822" s="56"/>
      <c r="C2822" s="56"/>
      <c r="D2822" s="56"/>
      <c r="E2822" s="56"/>
      <c r="F2822" s="56"/>
      <c r="G2822" s="57"/>
    </row>
    <row r="2823" spans="8:8" ht="32.25" customHeight="1">
      <c r="A2823" s="55"/>
      <c r="B2823" s="56"/>
      <c r="C2823" s="56"/>
      <c r="D2823" s="56"/>
      <c r="E2823" s="56"/>
      <c r="F2823" s="56"/>
      <c r="G2823" s="57"/>
    </row>
    <row r="2824" spans="8:8" ht="32.25" customHeight="1">
      <c r="A2824" s="55"/>
      <c r="B2824" s="56"/>
      <c r="C2824" s="56"/>
      <c r="D2824" s="56"/>
      <c r="E2824" s="56"/>
      <c r="F2824" s="56"/>
      <c r="G2824" s="57"/>
    </row>
    <row r="2825" spans="8:8" ht="32.25" customHeight="1">
      <c r="A2825" s="55"/>
      <c r="B2825" s="56"/>
      <c r="C2825" s="56"/>
      <c r="D2825" s="56"/>
      <c r="E2825" s="56"/>
      <c r="F2825" s="56"/>
      <c r="G2825" s="57"/>
    </row>
    <row r="2826" spans="8:8" ht="32.25" customHeight="1">
      <c r="A2826" s="55"/>
      <c r="B2826" s="56"/>
      <c r="C2826" s="56"/>
      <c r="D2826" s="56"/>
      <c r="E2826" s="56"/>
      <c r="F2826" s="56"/>
      <c r="G2826" s="57"/>
    </row>
    <row r="2827" spans="8:8" ht="32.25" customHeight="1">
      <c r="A2827" s="55"/>
      <c r="B2827" s="56"/>
      <c r="C2827" s="56"/>
      <c r="D2827" s="56"/>
      <c r="E2827" s="56"/>
      <c r="F2827" s="56"/>
      <c r="G2827" s="57"/>
    </row>
    <row r="2828" spans="8:8" ht="32.25" customHeight="1">
      <c r="A2828" s="55"/>
      <c r="B2828" s="56"/>
      <c r="C2828" s="56"/>
      <c r="D2828" s="56"/>
      <c r="E2828" s="56"/>
      <c r="F2828" s="56"/>
      <c r="G2828" s="57"/>
    </row>
    <row r="2829" spans="8:8" ht="32.25" customHeight="1">
      <c r="A2829" s="55"/>
      <c r="B2829" s="56"/>
      <c r="C2829" s="56"/>
      <c r="D2829" s="56"/>
      <c r="E2829" s="56"/>
      <c r="F2829" s="56"/>
      <c r="G2829" s="57"/>
    </row>
    <row r="2830" spans="8:8" ht="32.25" customHeight="1">
      <c r="A2830" s="55"/>
      <c r="B2830" s="56"/>
      <c r="C2830" s="56"/>
      <c r="D2830" s="56"/>
      <c r="E2830" s="56"/>
      <c r="F2830" s="56"/>
      <c r="G2830" s="57"/>
    </row>
    <row r="2831" spans="8:8" ht="32.25" customHeight="1">
      <c r="A2831" s="55"/>
      <c r="B2831" s="56"/>
      <c r="C2831" s="56"/>
      <c r="D2831" s="56"/>
      <c r="E2831" s="56"/>
      <c r="F2831" s="56"/>
      <c r="G2831" s="57"/>
    </row>
  </sheetData>
  <mergeCells count="1">
    <mergeCell ref="A1:G1"/>
  </mergeCells>
  <conditionalFormatting sqref="C1662">
    <cfRule type="expression" priority="38" dxfId="0">
      <formula>COUNTIF(#REF!,C1662)&gt;0</formula>
    </cfRule>
    <cfRule type="expression" priority="40" dxfId="1">
      <formula>COUNTIF(#REF!,C1662)&gt;0</formula>
    </cfRule>
    <cfRule type="expression" priority="39" dxfId="2">
      <formula>COUNTIF(#REF!,C1662)&gt;0</formula>
    </cfRule>
  </conditionalFormatting>
  <conditionalFormatting sqref="C1631 C1634">
    <cfRule type="expression" priority="6" dxfId="3">
      <formula>COUNTIF(#REF!,C1631)&gt;0</formula>
    </cfRule>
    <cfRule type="expression" priority="7" dxfId="4">
      <formula>COUNTIF(#REF!,C1631)&gt;0</formula>
    </cfRule>
    <cfRule type="expression" priority="5" dxfId="5">
      <formula>COUNTIF(#REF!,C1631)&gt;0</formula>
    </cfRule>
  </conditionalFormatting>
  <conditionalFormatting sqref="C948">
    <cfRule type="expression" priority="31" dxfId="6">
      <formula>COUNTIF(#REF!,C948)&gt;0</formula>
    </cfRule>
    <cfRule type="expression" priority="30" dxfId="7">
      <formula>COUNTIF(#REF!,C948)&gt;0</formula>
    </cfRule>
    <cfRule type="expression" priority="32" dxfId="8">
      <formula>COUNTIF(#REF!,C948)&gt;0</formula>
    </cfRule>
  </conditionalFormatting>
  <conditionalFormatting sqref="C251">
    <cfRule type="expression" priority="14" dxfId="9">
      <formula>COUNTIF(#REF!,C251)&gt;0</formula>
    </cfRule>
    <cfRule type="expression" priority="15" dxfId="10">
      <formula>COUNTIF(#REF!,C251)&gt;0</formula>
    </cfRule>
  </conditionalFormatting>
  <conditionalFormatting sqref="C1062">
    <cfRule type="expression" priority="8" dxfId="11">
      <formula>COUNTIF(#REF!,C1062)&gt;0</formula>
    </cfRule>
    <cfRule type="expression" priority="9" dxfId="12">
      <formula>COUNTIF(#REF!,C1062)&gt;0</formula>
    </cfRule>
  </conditionalFormatting>
  <conditionalFormatting sqref="C1483 C1500:C1522 C1540:C1550">
    <cfRule type="notContainsBlanks" priority="1" dxfId="13">
      <formula>LEN(TRIM(C1483))&gt;0</formula>
    </cfRule>
  </conditionalFormatting>
  <conditionalFormatting sqref="C1481">
    <cfRule type="expression" priority="22" dxfId="14">
      <formula>COUNTIF(#REF!,C1481)&gt;0</formula>
    </cfRule>
    <cfRule type="expression" priority="21" dxfId="15">
      <formula>COUNTIF(#REF!,C1481)&gt;0</formula>
    </cfRule>
  </conditionalFormatting>
  <conditionalFormatting sqref="C954:C965 C1690 C1719 C1745 C1771 C1797 C1823 C1843 C1845:C1863 C1866:C2831">
    <cfRule type="expression" priority="43" dxfId="16">
      <formula>COUNTIF(#REF!,C954)&gt;0</formula>
    </cfRule>
    <cfRule type="expression" priority="41" dxfId="17">
      <formula>COUNTIF(#REF!,C954)&gt;0</formula>
    </cfRule>
    <cfRule type="expression" priority="42" dxfId="18">
      <formula>COUNTIF(#REF!,C954)&gt;0</formula>
    </cfRule>
  </conditionalFormatting>
  <conditionalFormatting sqref="C1352">
    <cfRule type="expression" priority="23" dxfId="19">
      <formula>COUNTIF(#REF!,C1352)&gt;0</formula>
    </cfRule>
  </conditionalFormatting>
  <conditionalFormatting sqref="C2:C186 C188:C574 C580:C605 C611:C636 C642:C771 C774:C799 C803:C829 C832:C858 C861:C887 C890:C916 C919:C945 C948 C954:C1197 C1199:C1224 C1226:C1251 C1253:C1278 C1280:C1383 C1386:C1411 C1414:C1436 C1442:C1462 C1465:C1475 C1477:C1488 C1500:C1550 C1558:C1578 C1586:C1607 C1612:C1629 C1631:C1688 B1661 C1690:C1717 C1719:C1863 C1866">
    <cfRule type="expression" priority="2" dxfId="20">
      <formula>COUNTIF(#REF!,#REF!)&gt;0</formula>
    </cfRule>
  </conditionalFormatting>
  <conditionalFormatting sqref="C617">
    <cfRule type="expression" priority="17" dxfId="21">
      <formula>COUNTIF(#REF!,C617)&gt;0</formula>
    </cfRule>
  </conditionalFormatting>
  <conditionalFormatting sqref="C1634:C1635">
    <cfRule type="expression" priority="27" dxfId="22">
      <formula>COUNTIF(#REF!,C1634)&gt;0</formula>
    </cfRule>
    <cfRule type="expression" priority="25" dxfId="23">
      <formula>COUNTIF(#REF!,C1634)&gt;0</formula>
    </cfRule>
    <cfRule type="expression" priority="26" dxfId="24">
      <formula>COUNTIF(#REF!,C1634)&gt;0</formula>
    </cfRule>
  </conditionalFormatting>
  <conditionalFormatting sqref="C861">
    <cfRule type="expression" priority="36" dxfId="25">
      <formula>COUNTIF(#REF!,C861)&gt;0</formula>
    </cfRule>
  </conditionalFormatting>
  <conditionalFormatting sqref="C774">
    <cfRule type="expression" priority="33" dxfId="26">
      <formula>COUNTIF(#REF!,C774)&gt;0</formula>
    </cfRule>
  </conditionalFormatting>
  <conditionalFormatting sqref="C76">
    <cfRule type="expression" priority="18" dxfId="27">
      <formula>COUNTIF(#REF!,C76)&gt;0</formula>
    </cfRule>
  </conditionalFormatting>
  <conditionalFormatting sqref="C1471">
    <cfRule type="expression" priority="12" dxfId="28">
      <formula>COUNTIF(#REF!,C1471)&gt;0</formula>
    </cfRule>
    <cfRule type="expression" priority="13" dxfId="29">
      <formula>COUNTIF(#REF!,C1471)&gt;0</formula>
    </cfRule>
    <cfRule type="expression" priority="11" dxfId="30">
      <formula>COUNTIF(#REF!,C1471)&gt;0</formula>
    </cfRule>
  </conditionalFormatting>
  <conditionalFormatting sqref="C1465">
    <cfRule type="expression" priority="28" dxfId="31">
      <formula>COUNTIF(#REF!,C1465)&gt;0</formula>
    </cfRule>
  </conditionalFormatting>
  <conditionalFormatting sqref="C1595:C1600 C1612">
    <cfRule type="expression" priority="4" dxfId="32">
      <formula>COUNTIF(#REF!,C1595)&gt;0</formula>
    </cfRule>
    <cfRule type="expression" priority="3" dxfId="33">
      <formula>COUNTIF(#REF!,C1595)&gt;0</formula>
    </cfRule>
  </conditionalFormatting>
  <conditionalFormatting sqref="C1482">
    <cfRule type="expression" priority="20" dxfId="34">
      <formula>COUNTIF(#REF!,C1482)&gt;0</formula>
    </cfRule>
    <cfRule type="expression" priority="19" dxfId="35">
      <formula>COUNTIF(#REF!,C1482)&gt;0</formula>
    </cfRule>
  </conditionalFormatting>
  <conditionalFormatting sqref="C1017">
    <cfRule type="expression" priority="29" dxfId="36">
      <formula>COUNTIF(#REF!,C1017)&gt;0</formula>
    </cfRule>
  </conditionalFormatting>
  <conditionalFormatting sqref="C832">
    <cfRule type="expression" priority="35" dxfId="37">
      <formula>COUNTIF(#REF!,C832)&gt;0</formula>
    </cfRule>
  </conditionalFormatting>
  <conditionalFormatting sqref="C284">
    <cfRule type="expression" priority="16" dxfId="38">
      <formula>COUNTIF(#REF!,C284)&gt;0</formula>
    </cfRule>
  </conditionalFormatting>
  <conditionalFormatting sqref="C890">
    <cfRule type="expression" priority="37" dxfId="39">
      <formula>COUNTIF(#REF!,C890)&gt;0</formula>
    </cfRule>
  </conditionalFormatting>
  <conditionalFormatting sqref="C618">
    <cfRule type="expression" priority="10" dxfId="40">
      <formula>COUNTIF(#REF!,C618)&gt;0</formula>
    </cfRule>
  </conditionalFormatting>
  <conditionalFormatting sqref="C1037">
    <cfRule type="expression" priority="24" dxfId="41">
      <formula>COUNTIF(#REF!,C1037)&gt;0</formula>
    </cfRule>
  </conditionalFormatting>
  <conditionalFormatting sqref="C803">
    <cfRule type="expression" priority="34" dxfId="42">
      <formula>COUNTIF(#REF!,C803)&gt;0</formula>
    </cfRule>
  </conditionalFormatting>
  <conditionalFormatting sqref="C919">
    <cfRule type="expression" priority="44" dxfId="43">
      <formula>COUNTIF(#REF!,C919)&gt;0</formula>
    </cfRule>
  </conditionalFormatting>
  <printOptions horizontalCentered="1" gridLines="1"/>
  <pageMargins left="0.7" right="0.7" top="0.75" bottom="0.75" header="0.0" footer="0.0"/>
  <pageSetup paperSize="9" fitToHeight="0" pageOrder="overThenDown" orientation="landscape" cellComments="atEnd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93C47D"/>
    <pageSetUpPr fitToPage="1"/>
  </sheetPr>
  <dimension ref="A1:I1130"/>
  <sheetViews>
    <sheetView workbookViewId="0">
      <selection activeCell="A1" sqref="A1:G1"/>
    </sheetView>
  </sheetViews>
  <sheetFormatPr defaultRowHeight="15.0" customHeight="1" defaultColWidth="12"/>
  <cols>
    <col min="1" max="1" customWidth="1" width="11.878906" style="0"/>
    <col min="2" max="2" customWidth="1" width="48.25" style="0"/>
    <col min="3" max="3" customWidth="1" width="12.75" style="0"/>
    <col min="4" max="4" customWidth="1" width="47.378906" style="0"/>
    <col min="5" max="5" customWidth="1" width="13.25" style="0"/>
    <col min="6" max="6" customWidth="1" width="18.378906" style="0"/>
    <col min="7" max="7" customWidth="1" width="40.628906" style="0"/>
  </cols>
  <sheetData>
    <row r="1" spans="8:8" ht="57.75" customHeight="1">
      <c r="A1" s="6" t="s">
        <v>1869</v>
      </c>
      <c r="B1" s="7"/>
      <c r="C1" s="7"/>
      <c r="D1" s="7"/>
      <c r="E1" s="7"/>
      <c r="F1" s="7"/>
      <c r="G1" s="7"/>
    </row>
    <row r="2" spans="8:8" ht="41.25" customHeight="1">
      <c r="A2" s="9" t="s">
        <v>18</v>
      </c>
      <c r="B2" s="9" t="s">
        <v>19</v>
      </c>
      <c r="C2" s="9" t="s">
        <v>1870</v>
      </c>
      <c r="D2" s="9" t="s">
        <v>21</v>
      </c>
      <c r="E2" s="9" t="s">
        <v>22</v>
      </c>
      <c r="F2" s="9" t="s">
        <v>23</v>
      </c>
      <c r="G2" s="9" t="s">
        <v>24</v>
      </c>
    </row>
    <row r="3" spans="8:8" ht="41.25" customHeight="1">
      <c r="A3" s="9" t="s">
        <v>18</v>
      </c>
      <c r="B3" s="9" t="s">
        <v>19</v>
      </c>
      <c r="C3" s="9" t="s">
        <v>1870</v>
      </c>
      <c r="D3" s="9" t="s">
        <v>21</v>
      </c>
      <c r="E3" s="9" t="s">
        <v>22</v>
      </c>
      <c r="F3" s="9" t="s">
        <v>23</v>
      </c>
      <c r="G3" s="9" t="s">
        <v>25</v>
      </c>
    </row>
    <row r="4" spans="8:8" ht="41.25" customHeight="1">
      <c r="A4" s="13">
        <v>1.0</v>
      </c>
      <c r="B4" s="12" t="s">
        <v>1871</v>
      </c>
      <c r="C4" s="13">
        <v>252874.0</v>
      </c>
      <c r="D4" s="12" t="s">
        <v>104</v>
      </c>
      <c r="E4" s="13" t="s">
        <v>28</v>
      </c>
      <c r="F4" s="58">
        <v>0.4166666666666667</v>
      </c>
      <c r="G4" s="13"/>
    </row>
    <row r="5" spans="8:8" ht="41.25" customHeight="1">
      <c r="A5" s="24">
        <v>2.0</v>
      </c>
      <c r="B5" s="19" t="s">
        <v>1872</v>
      </c>
      <c r="C5" s="20">
        <v>252878.0</v>
      </c>
      <c r="D5" s="19" t="s">
        <v>104</v>
      </c>
      <c r="E5" s="20" t="s">
        <v>28</v>
      </c>
      <c r="F5" s="59">
        <v>0.4166666666666667</v>
      </c>
      <c r="G5" s="13"/>
    </row>
    <row r="6" spans="8:8" ht="41.25" customHeight="1">
      <c r="A6" s="13">
        <v>3.0</v>
      </c>
      <c r="B6" s="19" t="s">
        <v>1873</v>
      </c>
      <c r="C6" s="20">
        <v>252875.0</v>
      </c>
      <c r="D6" s="19" t="s">
        <v>104</v>
      </c>
      <c r="E6" s="20" t="s">
        <v>28</v>
      </c>
      <c r="F6" s="59">
        <v>0.4166666666666667</v>
      </c>
      <c r="G6" s="20"/>
    </row>
    <row r="7" spans="8:8" ht="41.25" customHeight="1">
      <c r="A7" s="24">
        <v>4.0</v>
      </c>
      <c r="B7" s="19" t="s">
        <v>1874</v>
      </c>
      <c r="C7" s="20">
        <v>252877.0</v>
      </c>
      <c r="D7" s="19" t="s">
        <v>104</v>
      </c>
      <c r="E7" s="20" t="s">
        <v>28</v>
      </c>
      <c r="F7" s="59">
        <v>0.4166666666666667</v>
      </c>
      <c r="G7" s="20"/>
    </row>
    <row r="8" spans="8:8" ht="41.25" customHeight="1">
      <c r="A8" s="13">
        <v>5.0</v>
      </c>
      <c r="B8" s="19" t="s">
        <v>1875</v>
      </c>
      <c r="C8" s="20">
        <v>252880.0</v>
      </c>
      <c r="D8" s="19" t="s">
        <v>104</v>
      </c>
      <c r="E8" s="20" t="s">
        <v>28</v>
      </c>
      <c r="F8" s="59">
        <v>0.4166666666666667</v>
      </c>
      <c r="G8" s="20"/>
    </row>
    <row r="9" spans="8:8" ht="41.25" customHeight="1">
      <c r="A9" s="24">
        <v>6.0</v>
      </c>
      <c r="B9" s="19" t="s">
        <v>1876</v>
      </c>
      <c r="C9" s="20">
        <v>251980.0</v>
      </c>
      <c r="D9" s="19" t="s">
        <v>104</v>
      </c>
      <c r="E9" s="20" t="s">
        <v>28</v>
      </c>
      <c r="F9" s="59">
        <v>0.4166666666666667</v>
      </c>
      <c r="G9" s="20"/>
    </row>
    <row r="10" spans="8:8" ht="41.25" customHeight="1">
      <c r="A10" s="13">
        <v>7.0</v>
      </c>
      <c r="B10" s="19" t="s">
        <v>1877</v>
      </c>
      <c r="C10" s="20">
        <v>251981.0</v>
      </c>
      <c r="D10" s="19" t="s">
        <v>104</v>
      </c>
      <c r="E10" s="20" t="s">
        <v>28</v>
      </c>
      <c r="F10" s="59">
        <v>0.4166666666666667</v>
      </c>
      <c r="G10" s="20"/>
    </row>
    <row r="11" spans="8:8" ht="41.25" customHeight="1">
      <c r="A11" s="24">
        <v>8.0</v>
      </c>
      <c r="B11" s="19" t="s">
        <v>1878</v>
      </c>
      <c r="C11" s="20">
        <v>251983.0</v>
      </c>
      <c r="D11" s="19" t="s">
        <v>104</v>
      </c>
      <c r="E11" s="20" t="s">
        <v>28</v>
      </c>
      <c r="F11" s="59">
        <v>0.4166666666666667</v>
      </c>
      <c r="G11" s="20"/>
    </row>
    <row r="12" spans="8:8" ht="41.25" customHeight="1">
      <c r="A12" s="13">
        <v>9.0</v>
      </c>
      <c r="B12" s="19" t="s">
        <v>1879</v>
      </c>
      <c r="C12" s="20">
        <v>251984.0</v>
      </c>
      <c r="D12" s="19" t="s">
        <v>104</v>
      </c>
      <c r="E12" s="20" t="s">
        <v>28</v>
      </c>
      <c r="F12" s="59">
        <v>0.4166666666666667</v>
      </c>
      <c r="G12" s="20"/>
    </row>
    <row r="13" spans="8:8" ht="41.25" customHeight="1">
      <c r="A13" s="24">
        <v>10.0</v>
      </c>
      <c r="B13" s="19" t="s">
        <v>1880</v>
      </c>
      <c r="C13" s="20">
        <v>251986.0</v>
      </c>
      <c r="D13" s="19" t="s">
        <v>104</v>
      </c>
      <c r="E13" s="20" t="s">
        <v>28</v>
      </c>
      <c r="F13" s="59">
        <v>0.4166666666666667</v>
      </c>
      <c r="G13" s="20"/>
    </row>
    <row r="14" spans="8:8" ht="41.25" customHeight="1">
      <c r="A14" s="13">
        <v>11.0</v>
      </c>
      <c r="B14" s="19" t="s">
        <v>1881</v>
      </c>
      <c r="C14" s="20">
        <v>251992.0</v>
      </c>
      <c r="D14" s="19" t="s">
        <v>104</v>
      </c>
      <c r="E14" s="20" t="s">
        <v>28</v>
      </c>
      <c r="F14" s="59">
        <v>0.4166666666666667</v>
      </c>
      <c r="G14" s="20"/>
    </row>
    <row r="15" spans="8:8" ht="41.25" customHeight="1">
      <c r="A15" s="24">
        <v>12.0</v>
      </c>
      <c r="B15" s="19" t="s">
        <v>1882</v>
      </c>
      <c r="C15" s="20">
        <v>251991.0</v>
      </c>
      <c r="D15" s="19" t="s">
        <v>104</v>
      </c>
      <c r="E15" s="20" t="s">
        <v>28</v>
      </c>
      <c r="F15" s="59">
        <v>0.4166666666666667</v>
      </c>
      <c r="G15" s="20"/>
    </row>
    <row r="16" spans="8:8" ht="41.25" customHeight="1">
      <c r="A16" s="13">
        <v>13.0</v>
      </c>
      <c r="B16" s="19" t="s">
        <v>1883</v>
      </c>
      <c r="C16" s="20">
        <v>251996.0</v>
      </c>
      <c r="D16" s="19" t="s">
        <v>104</v>
      </c>
      <c r="E16" s="20" t="s">
        <v>28</v>
      </c>
      <c r="F16" s="59">
        <v>0.4166666666666667</v>
      </c>
      <c r="G16" s="20"/>
    </row>
    <row r="17" spans="8:8" ht="41.25" customHeight="1">
      <c r="A17" s="24">
        <v>14.0</v>
      </c>
      <c r="B17" s="19" t="s">
        <v>1884</v>
      </c>
      <c r="C17" s="20">
        <v>252008.0</v>
      </c>
      <c r="D17" s="19" t="s">
        <v>104</v>
      </c>
      <c r="E17" s="20" t="s">
        <v>28</v>
      </c>
      <c r="F17" s="59">
        <v>0.4166666666666667</v>
      </c>
      <c r="G17" s="20"/>
    </row>
    <row r="18" spans="8:8" ht="41.25" customHeight="1">
      <c r="A18" s="13">
        <v>15.0</v>
      </c>
      <c r="B18" s="19" t="s">
        <v>1885</v>
      </c>
      <c r="C18" s="20">
        <v>253003.0</v>
      </c>
      <c r="D18" s="19" t="s">
        <v>90</v>
      </c>
      <c r="E18" s="20" t="s">
        <v>28</v>
      </c>
      <c r="F18" s="59">
        <v>0.4166666666666667</v>
      </c>
      <c r="G18" s="20"/>
    </row>
    <row r="19" spans="8:8" ht="41.25" customHeight="1">
      <c r="A19" s="24">
        <v>16.0</v>
      </c>
      <c r="B19" s="19" t="s">
        <v>1886</v>
      </c>
      <c r="C19" s="20">
        <v>252863.0</v>
      </c>
      <c r="D19" s="33" t="s">
        <v>90</v>
      </c>
      <c r="E19" s="20" t="s">
        <v>28</v>
      </c>
      <c r="F19" s="59">
        <v>0.4166666666666667</v>
      </c>
      <c r="G19" s="20"/>
    </row>
    <row r="20" spans="8:8" ht="41.25" customHeight="1">
      <c r="A20" s="13">
        <v>17.0</v>
      </c>
      <c r="B20" s="19" t="s">
        <v>1887</v>
      </c>
      <c r="C20" s="20">
        <v>253019.0</v>
      </c>
      <c r="D20" s="33" t="s">
        <v>90</v>
      </c>
      <c r="E20" s="20" t="s">
        <v>28</v>
      </c>
      <c r="F20" s="59">
        <v>0.4166666666666667</v>
      </c>
      <c r="G20" s="20"/>
    </row>
    <row r="21" spans="8:8" ht="41.25" customHeight="1">
      <c r="A21" s="24">
        <v>18.0</v>
      </c>
      <c r="B21" s="19" t="s">
        <v>1888</v>
      </c>
      <c r="C21" s="20">
        <v>253083.0</v>
      </c>
      <c r="D21" s="33" t="s">
        <v>104</v>
      </c>
      <c r="E21" s="20" t="s">
        <v>28</v>
      </c>
      <c r="F21" s="59">
        <v>0.4166666666666667</v>
      </c>
      <c r="G21" s="20"/>
    </row>
    <row r="22" spans="8:8" ht="41.25" customHeight="1">
      <c r="A22" s="13">
        <v>19.0</v>
      </c>
      <c r="B22" s="23" t="s">
        <v>1889</v>
      </c>
      <c r="C22" s="24">
        <v>252960.0</v>
      </c>
      <c r="D22" s="19" t="s">
        <v>104</v>
      </c>
      <c r="E22" s="20" t="s">
        <v>28</v>
      </c>
      <c r="F22" s="59">
        <v>0.4166666666666667</v>
      </c>
      <c r="G22" s="20"/>
    </row>
    <row r="23" spans="8:8" ht="41.25" customHeight="1">
      <c r="A23" s="24">
        <v>20.0</v>
      </c>
      <c r="B23" s="23" t="s">
        <v>1890</v>
      </c>
      <c r="C23" s="24">
        <v>253004.0</v>
      </c>
      <c r="D23" s="19" t="s">
        <v>90</v>
      </c>
      <c r="E23" s="20" t="s">
        <v>28</v>
      </c>
      <c r="F23" s="59">
        <v>0.4166666666666667</v>
      </c>
      <c r="G23" s="20"/>
    </row>
    <row r="24" spans="8:8" ht="41.25" customHeight="1">
      <c r="A24" s="13">
        <v>21.0</v>
      </c>
      <c r="B24" s="23" t="s">
        <v>1891</v>
      </c>
      <c r="C24" s="24">
        <v>253090.0</v>
      </c>
      <c r="D24" s="33" t="s">
        <v>90</v>
      </c>
      <c r="E24" s="20" t="s">
        <v>28</v>
      </c>
      <c r="F24" s="59">
        <v>0.4166666666666667</v>
      </c>
      <c r="G24" s="20"/>
    </row>
    <row r="25" spans="8:8" ht="41.25" customHeight="1">
      <c r="A25" s="24">
        <v>22.0</v>
      </c>
      <c r="B25" s="23" t="s">
        <v>1892</v>
      </c>
      <c r="C25" s="24">
        <v>252789.0</v>
      </c>
      <c r="D25" s="33" t="s">
        <v>90</v>
      </c>
      <c r="E25" s="20" t="s">
        <v>28</v>
      </c>
      <c r="F25" s="59">
        <v>0.4166666666666667</v>
      </c>
      <c r="G25" s="20"/>
    </row>
    <row r="26" spans="8:8" ht="41.25" customHeight="1">
      <c r="A26" s="13">
        <v>23.0</v>
      </c>
      <c r="B26" s="19" t="s">
        <v>1893</v>
      </c>
      <c r="C26" s="20">
        <v>251841.0</v>
      </c>
      <c r="D26" s="33" t="s">
        <v>104</v>
      </c>
      <c r="E26" s="24" t="s">
        <v>28</v>
      </c>
      <c r="F26" s="59">
        <v>0.4166666666666667</v>
      </c>
      <c r="G26" s="24"/>
    </row>
    <row r="27" spans="8:8" ht="41.25" customHeight="1">
      <c r="A27" s="24">
        <v>24.0</v>
      </c>
      <c r="B27" s="19" t="s">
        <v>1894</v>
      </c>
      <c r="C27" s="20">
        <v>251822.0</v>
      </c>
      <c r="D27" s="19" t="s">
        <v>104</v>
      </c>
      <c r="E27" s="20" t="s">
        <v>28</v>
      </c>
      <c r="F27" s="59">
        <v>0.4166666666666667</v>
      </c>
      <c r="G27" s="20"/>
    </row>
    <row r="28" spans="8:8" ht="41.25" customHeight="1">
      <c r="A28" s="13">
        <v>25.0</v>
      </c>
      <c r="B28" s="19" t="s">
        <v>1895</v>
      </c>
      <c r="C28" s="20">
        <v>251815.0</v>
      </c>
      <c r="D28" s="19" t="s">
        <v>104</v>
      </c>
      <c r="E28" s="20" t="s">
        <v>28</v>
      </c>
      <c r="F28" s="59">
        <v>0.4166666666666667</v>
      </c>
      <c r="G28" s="20"/>
    </row>
    <row r="29" spans="8:8" ht="41.25" customHeight="1">
      <c r="A29" s="60" t="s">
        <v>18</v>
      </c>
      <c r="B29" s="60" t="s">
        <v>19</v>
      </c>
      <c r="C29" s="60" t="s">
        <v>1870</v>
      </c>
      <c r="D29" s="60" t="s">
        <v>21</v>
      </c>
      <c r="E29" s="60" t="s">
        <v>22</v>
      </c>
      <c r="F29" s="9" t="s">
        <v>23</v>
      </c>
      <c r="G29" s="60" t="s">
        <v>1896</v>
      </c>
    </row>
    <row r="30" spans="8:8" ht="41.25" customHeight="1">
      <c r="A30" s="24">
        <v>1.0</v>
      </c>
      <c r="B30" s="23" t="s">
        <v>1897</v>
      </c>
      <c r="C30" s="24">
        <v>253137.0</v>
      </c>
      <c r="D30" s="23" t="s">
        <v>104</v>
      </c>
      <c r="E30" s="24" t="s">
        <v>28</v>
      </c>
      <c r="F30" s="61">
        <v>0.4166666666666667</v>
      </c>
      <c r="G30" s="24"/>
    </row>
    <row r="31" spans="8:8" ht="41.25" customHeight="1">
      <c r="A31" s="24">
        <v>2.0</v>
      </c>
      <c r="B31" s="12" t="s">
        <v>1898</v>
      </c>
      <c r="C31" s="13">
        <v>251823.0</v>
      </c>
      <c r="D31" s="12" t="s">
        <v>104</v>
      </c>
      <c r="E31" s="13" t="s">
        <v>28</v>
      </c>
      <c r="F31" s="59">
        <v>0.4166666666666667</v>
      </c>
      <c r="G31" s="13"/>
    </row>
    <row r="32" spans="8:8" ht="41.25" customHeight="1">
      <c r="A32" s="24">
        <v>3.0</v>
      </c>
      <c r="B32" s="19" t="s">
        <v>1899</v>
      </c>
      <c r="C32" s="20">
        <v>252015.0</v>
      </c>
      <c r="D32" s="19" t="s">
        <v>104</v>
      </c>
      <c r="E32" s="20" t="s">
        <v>28</v>
      </c>
      <c r="F32" s="59">
        <v>0.4166666666666667</v>
      </c>
      <c r="G32" s="20"/>
    </row>
    <row r="33" spans="8:8" ht="41.25" customHeight="1">
      <c r="A33" s="24">
        <v>4.0</v>
      </c>
      <c r="B33" s="19" t="s">
        <v>1900</v>
      </c>
      <c r="C33" s="20">
        <v>252016.0</v>
      </c>
      <c r="D33" s="19" t="s">
        <v>104</v>
      </c>
      <c r="E33" s="20" t="s">
        <v>28</v>
      </c>
      <c r="F33" s="59">
        <v>0.4166666666666667</v>
      </c>
      <c r="G33" s="20"/>
    </row>
    <row r="34" spans="8:8" ht="41.25" customHeight="1">
      <c r="A34" s="24">
        <v>5.0</v>
      </c>
      <c r="B34" s="19" t="s">
        <v>1901</v>
      </c>
      <c r="C34" s="20">
        <v>252018.0</v>
      </c>
      <c r="D34" s="19" t="s">
        <v>104</v>
      </c>
      <c r="E34" s="20" t="s">
        <v>28</v>
      </c>
      <c r="F34" s="59">
        <v>0.4166666666666667</v>
      </c>
      <c r="G34" s="20"/>
    </row>
    <row r="35" spans="8:8" ht="41.25" customHeight="1">
      <c r="A35" s="24">
        <v>6.0</v>
      </c>
      <c r="B35" s="19" t="s">
        <v>1902</v>
      </c>
      <c r="C35" s="20">
        <v>252017.0</v>
      </c>
      <c r="D35" s="19" t="s">
        <v>104</v>
      </c>
      <c r="E35" s="20" t="s">
        <v>28</v>
      </c>
      <c r="F35" s="59">
        <v>0.4166666666666667</v>
      </c>
      <c r="G35" s="20"/>
    </row>
    <row r="36" spans="8:8" ht="41.25" customHeight="1">
      <c r="A36" s="24">
        <v>7.0</v>
      </c>
      <c r="B36" s="19" t="s">
        <v>1903</v>
      </c>
      <c r="C36" s="20">
        <v>252022.0</v>
      </c>
      <c r="D36" s="19" t="s">
        <v>104</v>
      </c>
      <c r="E36" s="20" t="s">
        <v>28</v>
      </c>
      <c r="F36" s="59">
        <v>0.4166666666666667</v>
      </c>
      <c r="G36" s="20"/>
    </row>
    <row r="37" spans="8:8" ht="41.25" customHeight="1">
      <c r="A37" s="24">
        <v>8.0</v>
      </c>
      <c r="B37" s="19" t="s">
        <v>1904</v>
      </c>
      <c r="C37" s="20">
        <v>252032.0</v>
      </c>
      <c r="D37" s="19" t="s">
        <v>104</v>
      </c>
      <c r="E37" s="20" t="s">
        <v>28</v>
      </c>
      <c r="F37" s="59">
        <v>0.4166666666666667</v>
      </c>
      <c r="G37" s="20"/>
    </row>
    <row r="38" spans="8:8" ht="41.25" customHeight="1">
      <c r="A38" s="24">
        <v>9.0</v>
      </c>
      <c r="B38" s="19" t="s">
        <v>1905</v>
      </c>
      <c r="C38" s="20">
        <v>252041.0</v>
      </c>
      <c r="D38" s="19" t="s">
        <v>104</v>
      </c>
      <c r="E38" s="20" t="s">
        <v>28</v>
      </c>
      <c r="F38" s="59">
        <v>0.4166666666666667</v>
      </c>
      <c r="G38" s="20"/>
    </row>
    <row r="39" spans="8:8" ht="41.25" customHeight="1">
      <c r="A39" s="24">
        <v>10.0</v>
      </c>
      <c r="B39" s="19" t="s">
        <v>1906</v>
      </c>
      <c r="C39" s="20">
        <v>252040.0</v>
      </c>
      <c r="D39" s="19" t="s">
        <v>104</v>
      </c>
      <c r="E39" s="20" t="s">
        <v>28</v>
      </c>
      <c r="F39" s="59">
        <v>0.4166666666666667</v>
      </c>
      <c r="G39" s="20"/>
    </row>
    <row r="40" spans="8:8" ht="41.25" customHeight="1">
      <c r="A40" s="24">
        <v>11.0</v>
      </c>
      <c r="B40" s="19" t="s">
        <v>1907</v>
      </c>
      <c r="C40" s="20">
        <v>252037.0</v>
      </c>
      <c r="D40" s="19" t="s">
        <v>104</v>
      </c>
      <c r="E40" s="20" t="s">
        <v>28</v>
      </c>
      <c r="F40" s="59">
        <v>0.4166666666666667</v>
      </c>
      <c r="G40" s="20"/>
    </row>
    <row r="41" spans="8:8" ht="41.25" customHeight="1">
      <c r="A41" s="24">
        <v>12.0</v>
      </c>
      <c r="B41" s="19" t="s">
        <v>1908</v>
      </c>
      <c r="C41" s="20">
        <v>252039.0</v>
      </c>
      <c r="D41" s="19" t="s">
        <v>104</v>
      </c>
      <c r="E41" s="20" t="s">
        <v>28</v>
      </c>
      <c r="F41" s="59">
        <v>0.4166666666666667</v>
      </c>
      <c r="G41" s="20"/>
    </row>
    <row r="42" spans="8:8" ht="41.25" customHeight="1">
      <c r="A42" s="24">
        <v>13.0</v>
      </c>
      <c r="B42" s="19" t="s">
        <v>1909</v>
      </c>
      <c r="C42" s="20">
        <v>252043.0</v>
      </c>
      <c r="D42" s="19" t="s">
        <v>104</v>
      </c>
      <c r="E42" s="20" t="s">
        <v>28</v>
      </c>
      <c r="F42" s="59">
        <v>0.4166666666666667</v>
      </c>
      <c r="G42" s="20"/>
    </row>
    <row r="43" spans="8:8" ht="41.25" customHeight="1">
      <c r="A43" s="24">
        <v>14.0</v>
      </c>
      <c r="B43" s="19" t="s">
        <v>1910</v>
      </c>
      <c r="C43" s="20">
        <v>252042.0</v>
      </c>
      <c r="D43" s="19" t="s">
        <v>104</v>
      </c>
      <c r="E43" s="20" t="s">
        <v>28</v>
      </c>
      <c r="F43" s="59">
        <v>0.4166666666666667</v>
      </c>
      <c r="G43" s="20"/>
    </row>
    <row r="44" spans="8:8" ht="41.25" customHeight="1">
      <c r="A44" s="24">
        <v>15.0</v>
      </c>
      <c r="B44" s="19" t="s">
        <v>1911</v>
      </c>
      <c r="C44" s="20">
        <v>252047.0</v>
      </c>
      <c r="D44" s="19" t="s">
        <v>104</v>
      </c>
      <c r="E44" s="20" t="s">
        <v>28</v>
      </c>
      <c r="F44" s="59">
        <v>0.4166666666666667</v>
      </c>
      <c r="G44" s="20"/>
    </row>
    <row r="45" spans="8:8" ht="41.25" customHeight="1">
      <c r="A45" s="24">
        <v>16.0</v>
      </c>
      <c r="B45" s="19" t="s">
        <v>1912</v>
      </c>
      <c r="C45" s="20">
        <v>252052.0</v>
      </c>
      <c r="D45" s="19" t="s">
        <v>104</v>
      </c>
      <c r="E45" s="20" t="s">
        <v>28</v>
      </c>
      <c r="F45" s="59">
        <v>0.4166666666666667</v>
      </c>
      <c r="G45" s="20"/>
    </row>
    <row r="46" spans="8:8" ht="41.25" customHeight="1">
      <c r="A46" s="24">
        <v>17.0</v>
      </c>
      <c r="B46" s="19" t="s">
        <v>1913</v>
      </c>
      <c r="C46" s="20">
        <v>252054.0</v>
      </c>
      <c r="D46" s="19" t="s">
        <v>104</v>
      </c>
      <c r="E46" s="20" t="s">
        <v>28</v>
      </c>
      <c r="F46" s="59">
        <v>0.4166666666666667</v>
      </c>
      <c r="G46" s="20"/>
    </row>
    <row r="47" spans="8:8" ht="41.25" customHeight="1">
      <c r="A47" s="24">
        <v>18.0</v>
      </c>
      <c r="B47" s="19" t="s">
        <v>1914</v>
      </c>
      <c r="C47" s="20">
        <v>252062.0</v>
      </c>
      <c r="D47" s="19" t="s">
        <v>104</v>
      </c>
      <c r="E47" s="20" t="s">
        <v>28</v>
      </c>
      <c r="F47" s="59">
        <v>0.4166666666666667</v>
      </c>
      <c r="G47" s="20"/>
    </row>
    <row r="48" spans="8:8" ht="41.25" customHeight="1">
      <c r="A48" s="24">
        <v>19.0</v>
      </c>
      <c r="B48" s="19" t="s">
        <v>1915</v>
      </c>
      <c r="C48" s="20">
        <v>252072.0</v>
      </c>
      <c r="D48" s="19" t="s">
        <v>104</v>
      </c>
      <c r="E48" s="20" t="s">
        <v>28</v>
      </c>
      <c r="F48" s="59">
        <v>0.4166666666666667</v>
      </c>
      <c r="G48" s="20"/>
    </row>
    <row r="49" spans="8:8" ht="41.25" customHeight="1">
      <c r="A49" s="24">
        <v>20.0</v>
      </c>
      <c r="B49" s="19" t="s">
        <v>1916</v>
      </c>
      <c r="C49" s="20">
        <v>252071.0</v>
      </c>
      <c r="D49" s="19" t="s">
        <v>104</v>
      </c>
      <c r="E49" s="20" t="s">
        <v>28</v>
      </c>
      <c r="F49" s="59">
        <v>0.4166666666666667</v>
      </c>
      <c r="G49" s="20"/>
    </row>
    <row r="50" spans="8:8" ht="41.25" customHeight="1">
      <c r="A50" s="24">
        <v>21.0</v>
      </c>
      <c r="B50" s="19" t="s">
        <v>1917</v>
      </c>
      <c r="C50" s="20">
        <v>252690.0</v>
      </c>
      <c r="D50" s="19" t="s">
        <v>90</v>
      </c>
      <c r="E50" s="20" t="s">
        <v>28</v>
      </c>
      <c r="F50" s="59">
        <v>0.4166666666666667</v>
      </c>
      <c r="G50" s="20"/>
    </row>
    <row r="51" spans="8:8" ht="41.25" customHeight="1">
      <c r="A51" s="24">
        <v>22.0</v>
      </c>
      <c r="B51" s="19" t="s">
        <v>1918</v>
      </c>
      <c r="C51" s="20">
        <v>253042.0</v>
      </c>
      <c r="D51" s="33" t="s">
        <v>90</v>
      </c>
      <c r="E51" s="20" t="s">
        <v>28</v>
      </c>
      <c r="F51" s="59">
        <v>0.4166666666666667</v>
      </c>
      <c r="G51" s="20"/>
    </row>
    <row r="52" spans="8:8" ht="41.25" customHeight="1">
      <c r="A52" s="24">
        <v>23.0</v>
      </c>
      <c r="B52" s="19" t="s">
        <v>1919</v>
      </c>
      <c r="C52" s="20">
        <v>252890.0</v>
      </c>
      <c r="D52" s="33" t="s">
        <v>104</v>
      </c>
      <c r="E52" s="20" t="s">
        <v>28</v>
      </c>
      <c r="F52" s="59">
        <v>0.4166666666666667</v>
      </c>
      <c r="G52" s="20"/>
    </row>
    <row r="53" spans="8:8" ht="41.25" customHeight="1">
      <c r="A53" s="24">
        <v>24.0</v>
      </c>
      <c r="B53" s="19" t="s">
        <v>1920</v>
      </c>
      <c r="C53" s="20">
        <v>252747.0</v>
      </c>
      <c r="D53" s="19" t="s">
        <v>90</v>
      </c>
      <c r="E53" s="20" t="s">
        <v>28</v>
      </c>
      <c r="F53" s="59">
        <v>0.4166666666666667</v>
      </c>
      <c r="G53" s="20"/>
    </row>
    <row r="54" spans="8:8" ht="41.25" customHeight="1">
      <c r="A54" s="24">
        <v>25.0</v>
      </c>
      <c r="B54" s="19" t="s">
        <v>1921</v>
      </c>
      <c r="C54" s="20">
        <v>252691.0</v>
      </c>
      <c r="D54" s="33" t="s">
        <v>90</v>
      </c>
      <c r="E54" s="20" t="s">
        <v>28</v>
      </c>
      <c r="F54" s="59">
        <v>0.4166666666666667</v>
      </c>
      <c r="G54" s="20"/>
    </row>
    <row r="55" spans="8:8" ht="41.25" customHeight="1">
      <c r="A55" s="60" t="s">
        <v>18</v>
      </c>
      <c r="B55" s="60" t="s">
        <v>19</v>
      </c>
      <c r="C55" s="60" t="s">
        <v>1870</v>
      </c>
      <c r="D55" s="60" t="s">
        <v>21</v>
      </c>
      <c r="E55" s="60" t="s">
        <v>22</v>
      </c>
      <c r="F55" s="9" t="s">
        <v>23</v>
      </c>
      <c r="G55" s="60" t="s">
        <v>1922</v>
      </c>
    </row>
    <row r="56" spans="8:8" ht="41.25" customHeight="1">
      <c r="A56" s="24">
        <v>1.0</v>
      </c>
      <c r="B56" s="23" t="s">
        <v>1923</v>
      </c>
      <c r="C56" s="24">
        <v>253116.0</v>
      </c>
      <c r="D56" s="33" t="s">
        <v>90</v>
      </c>
      <c r="E56" s="24" t="s">
        <v>28</v>
      </c>
      <c r="F56" s="61">
        <v>0.4166666666666667</v>
      </c>
      <c r="G56" s="24"/>
    </row>
    <row r="57" spans="8:8" ht="41.25" customHeight="1">
      <c r="A57" s="20">
        <v>2.0</v>
      </c>
      <c r="B57" s="19" t="s">
        <v>1924</v>
      </c>
      <c r="C57" s="20">
        <v>252488.0</v>
      </c>
      <c r="D57" s="33" t="s">
        <v>90</v>
      </c>
      <c r="E57" s="20" t="s">
        <v>28</v>
      </c>
      <c r="F57" s="59">
        <v>0.4166666666666667</v>
      </c>
      <c r="G57" s="13"/>
    </row>
    <row r="58" spans="8:8" ht="41.25" customHeight="1">
      <c r="A58" s="24">
        <v>3.0</v>
      </c>
      <c r="B58" s="19" t="s">
        <v>1925</v>
      </c>
      <c r="C58" s="20">
        <v>252803.0</v>
      </c>
      <c r="D58" s="33" t="s">
        <v>90</v>
      </c>
      <c r="E58" s="20" t="s">
        <v>28</v>
      </c>
      <c r="F58" s="59">
        <v>0.4166666666666667</v>
      </c>
      <c r="G58" s="20"/>
    </row>
    <row r="59" spans="8:8" ht="41.25" customHeight="1">
      <c r="A59" s="20">
        <v>4.0</v>
      </c>
      <c r="B59" s="19" t="s">
        <v>1926</v>
      </c>
      <c r="C59" s="20">
        <v>251878.0</v>
      </c>
      <c r="D59" s="33" t="s">
        <v>104</v>
      </c>
      <c r="E59" s="20" t="s">
        <v>28</v>
      </c>
      <c r="F59" s="59">
        <v>0.4166666666666667</v>
      </c>
      <c r="G59" s="20"/>
    </row>
    <row r="60" spans="8:8" ht="41.25" customHeight="1">
      <c r="A60" s="24">
        <v>5.0</v>
      </c>
      <c r="B60" s="19" t="s">
        <v>1927</v>
      </c>
      <c r="C60" s="20">
        <v>251802.0</v>
      </c>
      <c r="D60" s="19" t="s">
        <v>104</v>
      </c>
      <c r="E60" s="20" t="s">
        <v>28</v>
      </c>
      <c r="F60" s="59">
        <v>0.4166666666666667</v>
      </c>
      <c r="G60" s="20"/>
    </row>
    <row r="61" spans="8:8" ht="41.25" customHeight="1">
      <c r="A61" s="20">
        <v>6.0</v>
      </c>
      <c r="B61" s="19" t="s">
        <v>1928</v>
      </c>
      <c r="C61" s="20">
        <v>251863.0</v>
      </c>
      <c r="D61" s="19" t="s">
        <v>104</v>
      </c>
      <c r="E61" s="20" t="s">
        <v>28</v>
      </c>
      <c r="F61" s="59">
        <v>0.4166666666666667</v>
      </c>
      <c r="G61" s="20"/>
    </row>
    <row r="62" spans="8:8" ht="41.25" customHeight="1">
      <c r="A62" s="24">
        <v>7.0</v>
      </c>
      <c r="B62" s="19" t="s">
        <v>1929</v>
      </c>
      <c r="C62" s="20">
        <v>251899.0</v>
      </c>
      <c r="D62" s="19" t="s">
        <v>104</v>
      </c>
      <c r="E62" s="20" t="s">
        <v>28</v>
      </c>
      <c r="F62" s="59">
        <v>0.4166666666666667</v>
      </c>
      <c r="G62" s="20"/>
    </row>
    <row r="63" spans="8:8" ht="41.25" customHeight="1">
      <c r="A63" s="20">
        <v>8.0</v>
      </c>
      <c r="B63" s="19" t="s">
        <v>1930</v>
      </c>
      <c r="C63" s="20">
        <v>251798.0</v>
      </c>
      <c r="D63" s="19" t="s">
        <v>104</v>
      </c>
      <c r="E63" s="20" t="s">
        <v>28</v>
      </c>
      <c r="F63" s="59">
        <v>0.4166666666666667</v>
      </c>
      <c r="G63" s="20"/>
    </row>
    <row r="64" spans="8:8" ht="41.25" customHeight="1">
      <c r="A64" s="24">
        <v>9.0</v>
      </c>
      <c r="B64" s="19" t="s">
        <v>1931</v>
      </c>
      <c r="C64" s="20">
        <v>252974.0</v>
      </c>
      <c r="D64" s="19" t="s">
        <v>104</v>
      </c>
      <c r="E64" s="20" t="s">
        <v>28</v>
      </c>
      <c r="F64" s="59">
        <v>0.4166666666666667</v>
      </c>
      <c r="G64" s="20"/>
    </row>
    <row r="65" spans="8:8" ht="41.25" customHeight="1">
      <c r="A65" s="20">
        <v>10.0</v>
      </c>
      <c r="B65" s="19" t="s">
        <v>1932</v>
      </c>
      <c r="C65" s="20">
        <v>252107.0</v>
      </c>
      <c r="D65" s="19" t="s">
        <v>104</v>
      </c>
      <c r="E65" s="20" t="s">
        <v>28</v>
      </c>
      <c r="F65" s="59">
        <v>0.4166666666666667</v>
      </c>
      <c r="G65" s="20"/>
    </row>
    <row r="66" spans="8:8" ht="41.25" customHeight="1">
      <c r="A66" s="24">
        <v>11.0</v>
      </c>
      <c r="B66" s="19" t="s">
        <v>1933</v>
      </c>
      <c r="C66" s="20">
        <v>252689.0</v>
      </c>
      <c r="D66" s="19" t="s">
        <v>90</v>
      </c>
      <c r="E66" s="20" t="s">
        <v>28</v>
      </c>
      <c r="F66" s="59">
        <v>0.4166666666666667</v>
      </c>
      <c r="G66" s="20"/>
    </row>
    <row r="67" spans="8:8" ht="41.25" customHeight="1">
      <c r="A67" s="20">
        <v>12.0</v>
      </c>
      <c r="B67" s="19" t="s">
        <v>1934</v>
      </c>
      <c r="C67" s="20">
        <v>252742.0</v>
      </c>
      <c r="D67" s="33" t="s">
        <v>90</v>
      </c>
      <c r="E67" s="20" t="s">
        <v>28</v>
      </c>
      <c r="F67" s="59">
        <v>0.4166666666666667</v>
      </c>
      <c r="G67" s="20"/>
    </row>
    <row r="68" spans="8:8" ht="41.25" customHeight="1">
      <c r="A68" s="24">
        <v>13.0</v>
      </c>
      <c r="B68" s="19" t="s">
        <v>1935</v>
      </c>
      <c r="C68" s="20">
        <v>253033.0</v>
      </c>
      <c r="D68" s="33" t="s">
        <v>90</v>
      </c>
      <c r="E68" s="20" t="s">
        <v>28</v>
      </c>
      <c r="F68" s="59">
        <v>0.4166666666666667</v>
      </c>
      <c r="G68" s="20"/>
    </row>
    <row r="69" spans="8:8" ht="41.25" customHeight="1">
      <c r="A69" s="20">
        <v>14.0</v>
      </c>
      <c r="B69" s="19" t="s">
        <v>1936</v>
      </c>
      <c r="C69" s="20">
        <v>253091.0</v>
      </c>
      <c r="D69" s="33" t="s">
        <v>90</v>
      </c>
      <c r="E69" s="20" t="s">
        <v>28</v>
      </c>
      <c r="F69" s="59">
        <v>0.4166666666666667</v>
      </c>
      <c r="G69" s="20"/>
    </row>
    <row r="70" spans="8:8" ht="41.25" customHeight="1">
      <c r="A70" s="24">
        <v>15.0</v>
      </c>
      <c r="B70" s="23" t="s">
        <v>1937</v>
      </c>
      <c r="C70" s="24">
        <v>252552.0</v>
      </c>
      <c r="D70" s="33" t="s">
        <v>90</v>
      </c>
      <c r="E70" s="20" t="s">
        <v>28</v>
      </c>
      <c r="F70" s="59">
        <v>0.4166666666666667</v>
      </c>
      <c r="G70" s="20"/>
    </row>
    <row r="71" spans="8:8" ht="41.25" customHeight="1">
      <c r="A71" s="20">
        <v>16.0</v>
      </c>
      <c r="B71" s="19" t="s">
        <v>1938</v>
      </c>
      <c r="C71" s="20">
        <v>253008.0</v>
      </c>
      <c r="D71" s="33" t="s">
        <v>104</v>
      </c>
      <c r="E71" s="20" t="s">
        <v>28</v>
      </c>
      <c r="F71" s="59">
        <v>0.4166666666666667</v>
      </c>
      <c r="G71" s="20"/>
    </row>
    <row r="72" spans="8:8" ht="41.25" customHeight="1">
      <c r="A72" s="24">
        <v>17.0</v>
      </c>
      <c r="B72" s="19" t="s">
        <v>1939</v>
      </c>
      <c r="C72" s="20">
        <v>252882.0</v>
      </c>
      <c r="D72" s="19" t="s">
        <v>104</v>
      </c>
      <c r="E72" s="20" t="s">
        <v>28</v>
      </c>
      <c r="F72" s="59">
        <v>0.4166666666666667</v>
      </c>
      <c r="G72" s="20"/>
    </row>
    <row r="73" spans="8:8" ht="41.25" customHeight="1">
      <c r="A73" s="20">
        <v>18.0</v>
      </c>
      <c r="B73" s="23" t="s">
        <v>1940</v>
      </c>
      <c r="C73" s="24">
        <v>252805.0</v>
      </c>
      <c r="D73" s="19" t="s">
        <v>90</v>
      </c>
      <c r="E73" s="20" t="s">
        <v>28</v>
      </c>
      <c r="F73" s="59">
        <v>0.4166666666666667</v>
      </c>
      <c r="G73" s="20"/>
    </row>
    <row r="74" spans="8:8" ht="41.25" customHeight="1">
      <c r="A74" s="24">
        <v>19.0</v>
      </c>
      <c r="B74" s="19" t="s">
        <v>1941</v>
      </c>
      <c r="C74" s="20">
        <v>251859.0</v>
      </c>
      <c r="D74" s="33" t="s">
        <v>104</v>
      </c>
      <c r="E74" s="20" t="s">
        <v>28</v>
      </c>
      <c r="F74" s="59">
        <v>0.4166666666666667</v>
      </c>
      <c r="G74" s="20"/>
    </row>
    <row r="75" spans="8:8" ht="41.25" customHeight="1">
      <c r="A75" s="20">
        <v>20.0</v>
      </c>
      <c r="B75" s="19" t="s">
        <v>1942</v>
      </c>
      <c r="C75" s="20">
        <v>251853.0</v>
      </c>
      <c r="D75" s="19" t="s">
        <v>104</v>
      </c>
      <c r="E75" s="20" t="s">
        <v>28</v>
      </c>
      <c r="F75" s="59">
        <v>0.4166666666666667</v>
      </c>
      <c r="G75" s="20"/>
    </row>
    <row r="76" spans="8:8" ht="41.25" customHeight="1">
      <c r="A76" s="24">
        <v>21.0</v>
      </c>
      <c r="B76" s="19" t="s">
        <v>1943</v>
      </c>
      <c r="C76" s="20">
        <v>251879.0</v>
      </c>
      <c r="D76" s="19" t="s">
        <v>104</v>
      </c>
      <c r="E76" s="20" t="s">
        <v>28</v>
      </c>
      <c r="F76" s="59">
        <v>0.4166666666666667</v>
      </c>
      <c r="G76" s="20"/>
    </row>
    <row r="77" spans="8:8" ht="41.25" customHeight="1">
      <c r="A77" s="20">
        <v>22.0</v>
      </c>
      <c r="B77" s="19" t="s">
        <v>1944</v>
      </c>
      <c r="C77" s="20">
        <v>251884.0</v>
      </c>
      <c r="D77" s="19" t="s">
        <v>104</v>
      </c>
      <c r="E77" s="20" t="s">
        <v>28</v>
      </c>
      <c r="F77" s="59">
        <v>0.4166666666666667</v>
      </c>
      <c r="G77" s="20"/>
    </row>
    <row r="78" spans="8:8" ht="41.25" customHeight="1">
      <c r="A78" s="24">
        <v>23.0</v>
      </c>
      <c r="B78" s="19" t="s">
        <v>1945</v>
      </c>
      <c r="C78" s="20">
        <v>251803.0</v>
      </c>
      <c r="D78" s="19" t="s">
        <v>104</v>
      </c>
      <c r="E78" s="20" t="s">
        <v>28</v>
      </c>
      <c r="F78" s="59">
        <v>0.4166666666666667</v>
      </c>
      <c r="G78" s="20"/>
    </row>
    <row r="79" spans="8:8" ht="41.25" customHeight="1">
      <c r="A79" s="20">
        <v>24.0</v>
      </c>
      <c r="B79" s="19" t="s">
        <v>1946</v>
      </c>
      <c r="C79" s="20">
        <v>251866.0</v>
      </c>
      <c r="D79" s="19" t="s">
        <v>104</v>
      </c>
      <c r="E79" s="20" t="s">
        <v>28</v>
      </c>
      <c r="F79" s="59">
        <v>0.4166666666666667</v>
      </c>
      <c r="G79" s="20"/>
    </row>
    <row r="80" spans="8:8" ht="41.25" customHeight="1">
      <c r="A80" s="24">
        <v>25.0</v>
      </c>
      <c r="B80" s="19" t="s">
        <v>1947</v>
      </c>
      <c r="C80" s="20">
        <v>251917.0</v>
      </c>
      <c r="D80" s="19" t="s">
        <v>104</v>
      </c>
      <c r="E80" s="20" t="s">
        <v>28</v>
      </c>
      <c r="F80" s="59">
        <v>0.4166666666666667</v>
      </c>
      <c r="G80" s="20"/>
    </row>
    <row r="81" spans="8:8" ht="41.25" customHeight="1">
      <c r="A81" s="60" t="s">
        <v>18</v>
      </c>
      <c r="B81" s="60" t="s">
        <v>19</v>
      </c>
      <c r="C81" s="60" t="s">
        <v>1870</v>
      </c>
      <c r="D81" s="60" t="s">
        <v>21</v>
      </c>
      <c r="E81" s="60" t="s">
        <v>22</v>
      </c>
      <c r="F81" s="9" t="s">
        <v>23</v>
      </c>
      <c r="G81" s="60" t="s">
        <v>1948</v>
      </c>
    </row>
    <row r="82" spans="8:8" ht="41.25" customHeight="1">
      <c r="A82" s="24">
        <v>1.0</v>
      </c>
      <c r="B82" s="23" t="s">
        <v>1949</v>
      </c>
      <c r="C82" s="24">
        <v>251928.0</v>
      </c>
      <c r="D82" s="23" t="s">
        <v>104</v>
      </c>
      <c r="E82" s="24" t="s">
        <v>28</v>
      </c>
      <c r="F82" s="61">
        <v>0.4166666666666667</v>
      </c>
      <c r="G82" s="24"/>
    </row>
    <row r="83" spans="8:8" ht="41.25" customHeight="1">
      <c r="A83" s="20">
        <v>2.0</v>
      </c>
      <c r="B83" s="19" t="s">
        <v>1950</v>
      </c>
      <c r="C83" s="20">
        <v>251926.0</v>
      </c>
      <c r="D83" s="19" t="s">
        <v>104</v>
      </c>
      <c r="E83" s="20" t="s">
        <v>28</v>
      </c>
      <c r="F83" s="59">
        <v>0.4166666666666667</v>
      </c>
      <c r="G83" s="13"/>
    </row>
    <row r="84" spans="8:8" ht="41.25" customHeight="1">
      <c r="A84" s="24">
        <v>3.0</v>
      </c>
      <c r="B84" s="19" t="s">
        <v>1951</v>
      </c>
      <c r="C84" s="20">
        <v>251940.0</v>
      </c>
      <c r="D84" s="19" t="s">
        <v>104</v>
      </c>
      <c r="E84" s="20" t="s">
        <v>28</v>
      </c>
      <c r="F84" s="59">
        <v>0.4166666666666667</v>
      </c>
      <c r="G84" s="20"/>
    </row>
    <row r="85" spans="8:8" ht="41.25" customHeight="1">
      <c r="A85" s="20">
        <v>4.0</v>
      </c>
      <c r="B85" s="19" t="s">
        <v>1952</v>
      </c>
      <c r="C85" s="20">
        <v>251943.0</v>
      </c>
      <c r="D85" s="19" t="s">
        <v>104</v>
      </c>
      <c r="E85" s="20" t="s">
        <v>28</v>
      </c>
      <c r="F85" s="59">
        <v>0.4166666666666667</v>
      </c>
      <c r="G85" s="20"/>
    </row>
    <row r="86" spans="8:8" ht="41.25" customHeight="1">
      <c r="A86" s="24">
        <v>5.0</v>
      </c>
      <c r="B86" s="19" t="s">
        <v>1953</v>
      </c>
      <c r="C86" s="20">
        <v>252184.0</v>
      </c>
      <c r="D86" s="19" t="s">
        <v>104</v>
      </c>
      <c r="E86" s="20" t="s">
        <v>28</v>
      </c>
      <c r="F86" s="59">
        <v>0.4166666666666667</v>
      </c>
      <c r="G86" s="20"/>
    </row>
    <row r="87" spans="8:8" ht="41.25" customHeight="1">
      <c r="A87" s="20">
        <v>6.0</v>
      </c>
      <c r="B87" s="19" t="s">
        <v>1954</v>
      </c>
      <c r="C87" s="20">
        <v>251804.0</v>
      </c>
      <c r="D87" s="19" t="s">
        <v>104</v>
      </c>
      <c r="E87" s="20" t="s">
        <v>28</v>
      </c>
      <c r="F87" s="59">
        <v>0.4166666666666667</v>
      </c>
      <c r="G87" s="20"/>
    </row>
    <row r="88" spans="8:8" ht="41.25" customHeight="1">
      <c r="A88" s="24">
        <v>7.0</v>
      </c>
      <c r="B88" s="19" t="s">
        <v>1955</v>
      </c>
      <c r="C88" s="20">
        <v>252091.0</v>
      </c>
      <c r="D88" s="19" t="s">
        <v>104</v>
      </c>
      <c r="E88" s="20" t="s">
        <v>28</v>
      </c>
      <c r="F88" s="59">
        <v>0.4166666666666667</v>
      </c>
      <c r="G88" s="20"/>
    </row>
    <row r="89" spans="8:8" ht="41.25" customHeight="1">
      <c r="A89" s="20">
        <v>8.0</v>
      </c>
      <c r="B89" s="19" t="s">
        <v>1956</v>
      </c>
      <c r="C89" s="20">
        <v>251889.0</v>
      </c>
      <c r="D89" s="19" t="s">
        <v>104</v>
      </c>
      <c r="E89" s="20" t="s">
        <v>28</v>
      </c>
      <c r="F89" s="59">
        <v>0.4166666666666667</v>
      </c>
      <c r="G89" s="20"/>
    </row>
    <row r="90" spans="8:8" ht="41.25" customHeight="1">
      <c r="A90" s="24">
        <v>9.0</v>
      </c>
      <c r="B90" s="19" t="s">
        <v>1957</v>
      </c>
      <c r="C90" s="20">
        <v>252102.0</v>
      </c>
      <c r="D90" s="19" t="s">
        <v>104</v>
      </c>
      <c r="E90" s="20" t="s">
        <v>28</v>
      </c>
      <c r="F90" s="59">
        <v>0.4166666666666667</v>
      </c>
      <c r="G90" s="20"/>
    </row>
    <row r="91" spans="8:8" ht="41.25" customHeight="1">
      <c r="A91" s="20">
        <v>10.0</v>
      </c>
      <c r="B91" s="19" t="s">
        <v>1958</v>
      </c>
      <c r="C91" s="20">
        <v>252104.0</v>
      </c>
      <c r="D91" s="19" t="s">
        <v>104</v>
      </c>
      <c r="E91" s="20" t="s">
        <v>28</v>
      </c>
      <c r="F91" s="59">
        <v>0.4166666666666667</v>
      </c>
      <c r="G91" s="20"/>
    </row>
    <row r="92" spans="8:8" ht="41.25" customHeight="1">
      <c r="A92" s="24">
        <v>11.0</v>
      </c>
      <c r="B92" s="19" t="s">
        <v>1959</v>
      </c>
      <c r="C92" s="20">
        <v>252143.0</v>
      </c>
      <c r="D92" s="19" t="s">
        <v>104</v>
      </c>
      <c r="E92" s="20" t="s">
        <v>28</v>
      </c>
      <c r="F92" s="59">
        <v>0.4166666666666667</v>
      </c>
      <c r="G92" s="20"/>
    </row>
    <row r="93" spans="8:8" ht="41.25" customHeight="1">
      <c r="A93" s="20">
        <v>12.0</v>
      </c>
      <c r="B93" s="19" t="s">
        <v>1960</v>
      </c>
      <c r="C93" s="20">
        <v>252157.0</v>
      </c>
      <c r="D93" s="19" t="s">
        <v>104</v>
      </c>
      <c r="E93" s="20" t="s">
        <v>28</v>
      </c>
      <c r="F93" s="59">
        <v>0.4166666666666667</v>
      </c>
      <c r="G93" s="20"/>
    </row>
    <row r="94" spans="8:8" ht="41.25" customHeight="1">
      <c r="A94" s="24">
        <v>13.0</v>
      </c>
      <c r="B94" s="19" t="s">
        <v>1961</v>
      </c>
      <c r="C94" s="20">
        <v>252954.0</v>
      </c>
      <c r="D94" s="19" t="s">
        <v>90</v>
      </c>
      <c r="E94" s="20" t="s">
        <v>28</v>
      </c>
      <c r="F94" s="59">
        <v>0.4166666666666667</v>
      </c>
      <c r="G94" s="20"/>
    </row>
    <row r="95" spans="8:8" ht="41.25" customHeight="1">
      <c r="A95" s="20">
        <v>14.0</v>
      </c>
      <c r="B95" s="19" t="s">
        <v>1962</v>
      </c>
      <c r="C95" s="20">
        <v>253121.0</v>
      </c>
      <c r="D95" s="33" t="s">
        <v>104</v>
      </c>
      <c r="E95" s="20" t="s">
        <v>28</v>
      </c>
      <c r="F95" s="59">
        <v>0.4166666666666667</v>
      </c>
      <c r="G95" s="20"/>
    </row>
    <row r="96" spans="8:8" ht="41.25" customHeight="1">
      <c r="A96" s="24">
        <v>15.0</v>
      </c>
      <c r="B96" s="19" t="s">
        <v>1963</v>
      </c>
      <c r="C96" s="20">
        <v>253036.0</v>
      </c>
      <c r="D96" s="19" t="s">
        <v>104</v>
      </c>
      <c r="E96" s="20" t="s">
        <v>28</v>
      </c>
      <c r="F96" s="59">
        <v>0.4166666666666667</v>
      </c>
      <c r="G96" s="20"/>
    </row>
    <row r="97" spans="8:8" ht="41.25" customHeight="1">
      <c r="A97" s="20">
        <v>16.0</v>
      </c>
      <c r="B97" s="19" t="s">
        <v>1964</v>
      </c>
      <c r="C97" s="20">
        <v>252326.0</v>
      </c>
      <c r="D97" s="19" t="s">
        <v>104</v>
      </c>
      <c r="E97" s="20" t="s">
        <v>28</v>
      </c>
      <c r="F97" s="59">
        <v>0.4166666666666667</v>
      </c>
      <c r="G97" s="20"/>
    </row>
    <row r="98" spans="8:8" ht="41.25" customHeight="1">
      <c r="A98" s="24">
        <v>17.0</v>
      </c>
      <c r="B98" s="19" t="s">
        <v>1965</v>
      </c>
      <c r="C98" s="20">
        <v>253017.0</v>
      </c>
      <c r="D98" s="19" t="s">
        <v>90</v>
      </c>
      <c r="E98" s="20" t="s">
        <v>28</v>
      </c>
      <c r="F98" s="59">
        <v>0.4166666666666667</v>
      </c>
      <c r="G98" s="20"/>
    </row>
    <row r="99" spans="8:8" ht="41.25" customHeight="1">
      <c r="A99" s="20">
        <v>18.0</v>
      </c>
      <c r="B99" s="19" t="s">
        <v>1966</v>
      </c>
      <c r="C99" s="20">
        <v>252997.0</v>
      </c>
      <c r="D99" s="33" t="s">
        <v>90</v>
      </c>
      <c r="E99" s="20" t="s">
        <v>28</v>
      </c>
      <c r="F99" s="59">
        <v>0.4166666666666667</v>
      </c>
      <c r="G99" s="20"/>
    </row>
    <row r="100" spans="8:8" ht="41.25" customHeight="1">
      <c r="A100" s="24">
        <v>19.0</v>
      </c>
      <c r="B100" s="19" t="s">
        <v>1967</v>
      </c>
      <c r="C100" s="20">
        <v>252319.0</v>
      </c>
      <c r="D100" s="33" t="s">
        <v>104</v>
      </c>
      <c r="E100" s="20" t="s">
        <v>28</v>
      </c>
      <c r="F100" s="59">
        <v>0.4166666666666667</v>
      </c>
      <c r="G100" s="20"/>
    </row>
    <row r="101" spans="8:8" ht="41.25" customHeight="1">
      <c r="A101" s="20">
        <v>20.0</v>
      </c>
      <c r="B101" s="19" t="s">
        <v>1968</v>
      </c>
      <c r="C101" s="20">
        <v>252148.0</v>
      </c>
      <c r="D101" s="19" t="s">
        <v>104</v>
      </c>
      <c r="E101" s="20" t="s">
        <v>28</v>
      </c>
      <c r="F101" s="59">
        <v>0.4166666666666667</v>
      </c>
      <c r="G101" s="20"/>
    </row>
    <row r="102" spans="8:8" ht="41.25" customHeight="1">
      <c r="A102" s="24">
        <v>21.0</v>
      </c>
      <c r="B102" s="19" t="s">
        <v>1969</v>
      </c>
      <c r="C102" s="20">
        <v>252159.0</v>
      </c>
      <c r="D102" s="19" t="s">
        <v>104</v>
      </c>
      <c r="E102" s="20" t="s">
        <v>28</v>
      </c>
      <c r="F102" s="59">
        <v>0.4166666666666667</v>
      </c>
      <c r="G102" s="20"/>
    </row>
    <row r="103" spans="8:8" ht="41.25" customHeight="1">
      <c r="A103" s="20">
        <v>22.0</v>
      </c>
      <c r="B103" s="19" t="s">
        <v>1970</v>
      </c>
      <c r="C103" s="20">
        <v>251914.0</v>
      </c>
      <c r="D103" s="19" t="s">
        <v>104</v>
      </c>
      <c r="E103" s="20" t="s">
        <v>28</v>
      </c>
      <c r="F103" s="59">
        <v>0.4166666666666667</v>
      </c>
      <c r="G103" s="20"/>
    </row>
    <row r="104" spans="8:8" ht="41.25" customHeight="1">
      <c r="A104" s="24">
        <v>23.0</v>
      </c>
      <c r="B104" s="19" t="s">
        <v>1971</v>
      </c>
      <c r="C104" s="20">
        <v>251905.0</v>
      </c>
      <c r="D104" s="19" t="s">
        <v>104</v>
      </c>
      <c r="E104" s="24" t="s">
        <v>28</v>
      </c>
      <c r="F104" s="59">
        <v>0.4166666666666667</v>
      </c>
      <c r="G104" s="24"/>
    </row>
    <row r="105" spans="8:8" ht="41.25" customHeight="1">
      <c r="A105" s="20">
        <v>24.0</v>
      </c>
      <c r="B105" s="19" t="s">
        <v>1972</v>
      </c>
      <c r="C105" s="20">
        <v>251908.0</v>
      </c>
      <c r="D105" s="19" t="s">
        <v>104</v>
      </c>
      <c r="E105" s="20" t="s">
        <v>28</v>
      </c>
      <c r="F105" s="59">
        <v>0.4166666666666667</v>
      </c>
      <c r="G105" s="20"/>
    </row>
    <row r="106" spans="8:8" ht="41.25" customHeight="1">
      <c r="A106" s="20">
        <v>25.0</v>
      </c>
      <c r="B106" s="19" t="s">
        <v>1973</v>
      </c>
      <c r="C106" s="20">
        <v>252810.0</v>
      </c>
      <c r="D106" s="19" t="s">
        <v>90</v>
      </c>
      <c r="E106" s="20" t="s">
        <v>28</v>
      </c>
      <c r="F106" s="59">
        <v>0.4166666666666667</v>
      </c>
      <c r="G106" s="20"/>
    </row>
    <row r="107" spans="8:8" ht="41.25" customHeight="1">
      <c r="A107" s="60" t="s">
        <v>18</v>
      </c>
      <c r="B107" s="60" t="s">
        <v>19</v>
      </c>
      <c r="C107" s="60" t="s">
        <v>1870</v>
      </c>
      <c r="D107" s="60" t="s">
        <v>21</v>
      </c>
      <c r="E107" s="60" t="s">
        <v>22</v>
      </c>
      <c r="F107" s="9" t="s">
        <v>23</v>
      </c>
      <c r="G107" s="60" t="s">
        <v>1974</v>
      </c>
    </row>
    <row r="108" spans="8:8" ht="41.25" customHeight="1">
      <c r="A108" s="24">
        <v>1.0</v>
      </c>
      <c r="B108" s="23" t="s">
        <v>1975</v>
      </c>
      <c r="C108" s="24">
        <v>251918.0</v>
      </c>
      <c r="D108" s="23" t="s">
        <v>104</v>
      </c>
      <c r="E108" s="24" t="s">
        <v>28</v>
      </c>
      <c r="F108" s="61">
        <v>0.4166666666666667</v>
      </c>
      <c r="G108" s="24"/>
    </row>
    <row r="109" spans="8:8" ht="41.25" customHeight="1">
      <c r="A109" s="20">
        <v>2.0</v>
      </c>
      <c r="B109" s="19" t="s">
        <v>1976</v>
      </c>
      <c r="C109" s="20">
        <v>251915.0</v>
      </c>
      <c r="D109" s="19" t="s">
        <v>104</v>
      </c>
      <c r="E109" s="20" t="s">
        <v>28</v>
      </c>
      <c r="F109" s="59">
        <v>0.4166666666666667</v>
      </c>
      <c r="G109" s="13"/>
    </row>
    <row r="110" spans="8:8" ht="41.25" customHeight="1">
      <c r="A110" s="24">
        <v>3.0</v>
      </c>
      <c r="B110" s="19" t="s">
        <v>1977</v>
      </c>
      <c r="C110" s="20">
        <v>253016.0</v>
      </c>
      <c r="D110" s="19" t="s">
        <v>90</v>
      </c>
      <c r="E110" s="20" t="s">
        <v>28</v>
      </c>
      <c r="F110" s="59">
        <v>0.4166666666666667</v>
      </c>
      <c r="G110" s="20"/>
    </row>
    <row r="111" spans="8:8" ht="41.25" customHeight="1">
      <c r="A111" s="20">
        <v>4.0</v>
      </c>
      <c r="B111" s="19" t="s">
        <v>1978</v>
      </c>
      <c r="C111" s="20">
        <v>252278.0</v>
      </c>
      <c r="D111" s="33" t="s">
        <v>104</v>
      </c>
      <c r="E111" s="24" t="s">
        <v>28</v>
      </c>
      <c r="F111" s="59">
        <v>0.4166666666666667</v>
      </c>
      <c r="G111" s="24"/>
    </row>
    <row r="112" spans="8:8" ht="41.25" customHeight="1">
      <c r="A112" s="24">
        <v>5.0</v>
      </c>
      <c r="B112" s="19" t="s">
        <v>1979</v>
      </c>
      <c r="C112" s="20">
        <v>251809.0</v>
      </c>
      <c r="D112" s="19" t="s">
        <v>104</v>
      </c>
      <c r="E112" s="20" t="s">
        <v>28</v>
      </c>
      <c r="F112" s="59">
        <v>0.4166666666666667</v>
      </c>
      <c r="G112" s="20"/>
    </row>
    <row r="113" spans="8:8" ht="41.25" customHeight="1">
      <c r="A113" s="20">
        <v>6.0</v>
      </c>
      <c r="B113" s="19" t="s">
        <v>1980</v>
      </c>
      <c r="C113" s="20">
        <v>251806.0</v>
      </c>
      <c r="D113" s="19" t="s">
        <v>104</v>
      </c>
      <c r="E113" s="20" t="s">
        <v>28</v>
      </c>
      <c r="F113" s="59">
        <v>0.4166666666666667</v>
      </c>
      <c r="G113" s="20"/>
    </row>
    <row r="114" spans="8:8" ht="41.25" customHeight="1">
      <c r="A114" s="24">
        <v>7.0</v>
      </c>
      <c r="B114" s="19" t="s">
        <v>1981</v>
      </c>
      <c r="C114" s="20">
        <v>251916.0</v>
      </c>
      <c r="D114" s="19" t="s">
        <v>104</v>
      </c>
      <c r="E114" s="20" t="s">
        <v>28</v>
      </c>
      <c r="F114" s="59">
        <v>0.4166666666666667</v>
      </c>
      <c r="G114" s="20"/>
    </row>
    <row r="115" spans="8:8" ht="41.25" customHeight="1">
      <c r="A115" s="20">
        <v>8.0</v>
      </c>
      <c r="B115" s="19" t="s">
        <v>1982</v>
      </c>
      <c r="C115" s="20">
        <v>253094.0</v>
      </c>
      <c r="D115" s="19" t="s">
        <v>90</v>
      </c>
      <c r="E115" s="20" t="s">
        <v>28</v>
      </c>
      <c r="F115" s="59">
        <v>0.4166666666666667</v>
      </c>
      <c r="G115" s="20"/>
    </row>
    <row r="116" spans="8:8" ht="41.25" customHeight="1">
      <c r="A116" s="24">
        <v>9.0</v>
      </c>
      <c r="B116" s="19" t="s">
        <v>1983</v>
      </c>
      <c r="C116" s="20">
        <v>252634.0</v>
      </c>
      <c r="D116" s="33" t="s">
        <v>90</v>
      </c>
      <c r="E116" s="20" t="s">
        <v>28</v>
      </c>
      <c r="F116" s="59">
        <v>0.4166666666666667</v>
      </c>
      <c r="G116" s="20"/>
    </row>
    <row r="117" spans="8:8" ht="41.25" customHeight="1">
      <c r="A117" s="20">
        <v>10.0</v>
      </c>
      <c r="B117" s="19" t="s">
        <v>1984</v>
      </c>
      <c r="C117" s="20">
        <v>252659.0</v>
      </c>
      <c r="D117" s="33" t="s">
        <v>90</v>
      </c>
      <c r="E117" s="20" t="s">
        <v>28</v>
      </c>
      <c r="F117" s="59">
        <v>0.4166666666666667</v>
      </c>
      <c r="G117" s="20"/>
    </row>
    <row r="118" spans="8:8" ht="41.25" customHeight="1">
      <c r="A118" s="24">
        <v>11.0</v>
      </c>
      <c r="B118" s="19" t="s">
        <v>1985</v>
      </c>
      <c r="C118" s="20">
        <v>252959.0</v>
      </c>
      <c r="D118" s="33" t="s">
        <v>104</v>
      </c>
      <c r="E118" s="20" t="s">
        <v>28</v>
      </c>
      <c r="F118" s="59">
        <v>0.4166666666666667</v>
      </c>
      <c r="G118" s="20"/>
    </row>
    <row r="119" spans="8:8" ht="41.25" customHeight="1">
      <c r="A119" s="20">
        <v>12.0</v>
      </c>
      <c r="B119" s="23" t="s">
        <v>1986</v>
      </c>
      <c r="C119" s="24">
        <v>252804.0</v>
      </c>
      <c r="D119" s="19" t="s">
        <v>90</v>
      </c>
      <c r="E119" s="20" t="s">
        <v>28</v>
      </c>
      <c r="F119" s="59">
        <v>0.4166666666666667</v>
      </c>
      <c r="G119" s="20"/>
    </row>
    <row r="120" spans="8:8" ht="41.25" customHeight="1">
      <c r="A120" s="24">
        <v>13.0</v>
      </c>
      <c r="B120" s="19" t="s">
        <v>1987</v>
      </c>
      <c r="C120" s="20">
        <v>252342.0</v>
      </c>
      <c r="D120" s="33" t="s">
        <v>104</v>
      </c>
      <c r="E120" s="24" t="s">
        <v>28</v>
      </c>
      <c r="F120" s="59">
        <v>0.4166666666666667</v>
      </c>
      <c r="G120" s="24"/>
    </row>
    <row r="121" spans="8:8" ht="41.25" customHeight="1">
      <c r="A121" s="20">
        <v>14.0</v>
      </c>
      <c r="B121" s="19" t="s">
        <v>1988</v>
      </c>
      <c r="C121" s="20">
        <v>252344.0</v>
      </c>
      <c r="D121" s="19" t="s">
        <v>104</v>
      </c>
      <c r="E121" s="20" t="s">
        <v>28</v>
      </c>
      <c r="F121" s="59">
        <v>0.4166666666666667</v>
      </c>
      <c r="G121" s="20"/>
    </row>
    <row r="122" spans="8:8" ht="41.25" customHeight="1">
      <c r="A122" s="24">
        <v>15.0</v>
      </c>
      <c r="B122" s="19" t="s">
        <v>1989</v>
      </c>
      <c r="C122" s="20">
        <v>252345.0</v>
      </c>
      <c r="D122" s="19" t="s">
        <v>104</v>
      </c>
      <c r="E122" s="20" t="s">
        <v>28</v>
      </c>
      <c r="F122" s="59">
        <v>0.4166666666666667</v>
      </c>
      <c r="G122" s="20"/>
    </row>
    <row r="123" spans="8:8" ht="41.25" customHeight="1">
      <c r="A123" s="20">
        <v>16.0</v>
      </c>
      <c r="B123" s="19" t="s">
        <v>1990</v>
      </c>
      <c r="C123" s="20">
        <v>252346.0</v>
      </c>
      <c r="D123" s="19" t="s">
        <v>104</v>
      </c>
      <c r="E123" s="20" t="s">
        <v>28</v>
      </c>
      <c r="F123" s="59">
        <v>0.4166666666666667</v>
      </c>
      <c r="G123" s="20"/>
    </row>
    <row r="124" spans="8:8" ht="41.25" customHeight="1">
      <c r="A124" s="24">
        <v>17.0</v>
      </c>
      <c r="B124" s="19" t="s">
        <v>1991</v>
      </c>
      <c r="C124" s="20">
        <v>252351.0</v>
      </c>
      <c r="D124" s="19" t="s">
        <v>104</v>
      </c>
      <c r="E124" s="20" t="s">
        <v>28</v>
      </c>
      <c r="F124" s="59">
        <v>0.4166666666666667</v>
      </c>
      <c r="G124" s="20"/>
    </row>
    <row r="125" spans="8:8" ht="41.25" customHeight="1">
      <c r="A125" s="20">
        <v>18.0</v>
      </c>
      <c r="B125" s="19" t="s">
        <v>1992</v>
      </c>
      <c r="C125" s="20">
        <v>252349.0</v>
      </c>
      <c r="D125" s="19" t="s">
        <v>104</v>
      </c>
      <c r="E125" s="20" t="s">
        <v>28</v>
      </c>
      <c r="F125" s="59">
        <v>0.4166666666666667</v>
      </c>
      <c r="G125" s="20"/>
    </row>
    <row r="126" spans="8:8" ht="41.25" customHeight="1">
      <c r="A126" s="24">
        <v>19.0</v>
      </c>
      <c r="B126" s="19" t="s">
        <v>1993</v>
      </c>
      <c r="C126" s="20">
        <v>252352.0</v>
      </c>
      <c r="D126" s="19" t="s">
        <v>104</v>
      </c>
      <c r="E126" s="20" t="s">
        <v>28</v>
      </c>
      <c r="F126" s="59">
        <v>0.4166666666666667</v>
      </c>
      <c r="G126" s="20"/>
    </row>
    <row r="127" spans="8:8" ht="41.25" customHeight="1">
      <c r="A127" s="20">
        <v>20.0</v>
      </c>
      <c r="B127" s="19" t="s">
        <v>1994</v>
      </c>
      <c r="C127" s="20">
        <v>252350.0</v>
      </c>
      <c r="D127" s="19" t="s">
        <v>104</v>
      </c>
      <c r="E127" s="20" t="s">
        <v>28</v>
      </c>
      <c r="F127" s="59">
        <v>0.4166666666666667</v>
      </c>
      <c r="G127" s="20"/>
    </row>
    <row r="128" spans="8:8" ht="41.25" customHeight="1">
      <c r="A128" s="24">
        <v>21.0</v>
      </c>
      <c r="B128" s="19" t="s">
        <v>1995</v>
      </c>
      <c r="C128" s="20">
        <v>252356.0</v>
      </c>
      <c r="D128" s="19" t="s">
        <v>104</v>
      </c>
      <c r="E128" s="20" t="s">
        <v>28</v>
      </c>
      <c r="F128" s="59">
        <v>0.4166666666666667</v>
      </c>
      <c r="G128" s="20"/>
    </row>
    <row r="129" spans="8:8" ht="41.25" customHeight="1">
      <c r="A129" s="20">
        <v>22.0</v>
      </c>
      <c r="B129" s="19" t="s">
        <v>1996</v>
      </c>
      <c r="C129" s="20">
        <v>252354.0</v>
      </c>
      <c r="D129" s="19" t="s">
        <v>104</v>
      </c>
      <c r="E129" s="20" t="s">
        <v>28</v>
      </c>
      <c r="F129" s="59">
        <v>0.4166666666666667</v>
      </c>
      <c r="G129" s="20"/>
    </row>
    <row r="130" spans="8:8" ht="41.25" customHeight="1">
      <c r="A130" s="24">
        <v>23.0</v>
      </c>
      <c r="B130" s="19" t="s">
        <v>1997</v>
      </c>
      <c r="C130" s="20">
        <v>252357.0</v>
      </c>
      <c r="D130" s="19" t="s">
        <v>104</v>
      </c>
      <c r="E130" s="20" t="s">
        <v>28</v>
      </c>
      <c r="F130" s="59">
        <v>0.4166666666666667</v>
      </c>
      <c r="G130" s="20"/>
    </row>
    <row r="131" spans="8:8" ht="41.25" customHeight="1">
      <c r="A131" s="20">
        <v>24.0</v>
      </c>
      <c r="B131" s="19" t="s">
        <v>1998</v>
      </c>
      <c r="C131" s="20">
        <v>252361.0</v>
      </c>
      <c r="D131" s="19" t="s">
        <v>104</v>
      </c>
      <c r="E131" s="20" t="s">
        <v>28</v>
      </c>
      <c r="F131" s="59">
        <v>0.4166666666666667</v>
      </c>
      <c r="G131" s="20"/>
    </row>
    <row r="132" spans="8:8" ht="41.25" customHeight="1">
      <c r="A132" s="24">
        <v>25.0</v>
      </c>
      <c r="B132" s="19" t="s">
        <v>1999</v>
      </c>
      <c r="C132" s="20">
        <v>252365.0</v>
      </c>
      <c r="D132" s="19" t="s">
        <v>104</v>
      </c>
      <c r="E132" s="20" t="s">
        <v>28</v>
      </c>
      <c r="F132" s="59">
        <v>0.4166666666666667</v>
      </c>
      <c r="G132" s="20"/>
    </row>
    <row r="133" spans="8:8" ht="41.25" customHeight="1">
      <c r="A133" s="60" t="s">
        <v>18</v>
      </c>
      <c r="B133" s="60" t="s">
        <v>19</v>
      </c>
      <c r="C133" s="60" t="s">
        <v>1870</v>
      </c>
      <c r="D133" s="60" t="s">
        <v>21</v>
      </c>
      <c r="E133" s="60" t="s">
        <v>22</v>
      </c>
      <c r="F133" s="9" t="s">
        <v>23</v>
      </c>
      <c r="G133" s="60" t="s">
        <v>2000</v>
      </c>
    </row>
    <row r="134" spans="8:8" ht="41.25" customHeight="1">
      <c r="A134" s="24">
        <v>1.0</v>
      </c>
      <c r="B134" s="23" t="s">
        <v>2001</v>
      </c>
      <c r="C134" s="24">
        <v>252367.0</v>
      </c>
      <c r="D134" s="23" t="s">
        <v>104</v>
      </c>
      <c r="E134" s="24" t="s">
        <v>28</v>
      </c>
      <c r="F134" s="61">
        <v>0.4166666666666667</v>
      </c>
      <c r="G134" s="24"/>
    </row>
    <row r="135" spans="8:8" ht="41.25" customHeight="1">
      <c r="A135" s="20">
        <v>2.0</v>
      </c>
      <c r="B135" s="19" t="s">
        <v>2002</v>
      </c>
      <c r="C135" s="20">
        <v>252368.0</v>
      </c>
      <c r="D135" s="19" t="s">
        <v>104</v>
      </c>
      <c r="E135" s="20" t="s">
        <v>28</v>
      </c>
      <c r="F135" s="59">
        <v>0.4166666666666667</v>
      </c>
      <c r="G135" s="13"/>
    </row>
    <row r="136" spans="8:8" ht="41.25" customHeight="1">
      <c r="A136" s="20">
        <v>3.0</v>
      </c>
      <c r="B136" s="19" t="s">
        <v>2003</v>
      </c>
      <c r="C136" s="20">
        <v>252373.0</v>
      </c>
      <c r="D136" s="19" t="s">
        <v>104</v>
      </c>
      <c r="E136" s="20" t="s">
        <v>28</v>
      </c>
      <c r="F136" s="59">
        <v>0.4166666666666667</v>
      </c>
      <c r="G136" s="20"/>
    </row>
    <row r="137" spans="8:8" ht="41.25" customHeight="1">
      <c r="A137" s="20">
        <v>4.0</v>
      </c>
      <c r="B137" s="19" t="s">
        <v>2004</v>
      </c>
      <c r="C137" s="20">
        <v>252064.0</v>
      </c>
      <c r="D137" s="19" t="s">
        <v>104</v>
      </c>
      <c r="E137" s="20" t="s">
        <v>28</v>
      </c>
      <c r="F137" s="59">
        <v>0.4166666666666667</v>
      </c>
      <c r="G137" s="20"/>
    </row>
    <row r="138" spans="8:8" ht="41.25" customHeight="1">
      <c r="A138" s="20">
        <v>5.0</v>
      </c>
      <c r="B138" s="19" t="s">
        <v>2005</v>
      </c>
      <c r="C138" s="20">
        <v>253081.0</v>
      </c>
      <c r="D138" s="19" t="s">
        <v>104</v>
      </c>
      <c r="E138" s="20" t="s">
        <v>28</v>
      </c>
      <c r="F138" s="59">
        <v>0.4166666666666667</v>
      </c>
      <c r="G138" s="20"/>
    </row>
    <row r="139" spans="8:8" ht="41.25" customHeight="1">
      <c r="A139" s="20">
        <v>6.0</v>
      </c>
      <c r="B139" s="19" t="s">
        <v>2006</v>
      </c>
      <c r="C139" s="20">
        <v>252661.0</v>
      </c>
      <c r="D139" s="19" t="s">
        <v>90</v>
      </c>
      <c r="E139" s="20" t="s">
        <v>28</v>
      </c>
      <c r="F139" s="59">
        <v>0.4166666666666667</v>
      </c>
      <c r="G139" s="20"/>
    </row>
    <row r="140" spans="8:8" ht="41.25" customHeight="1">
      <c r="A140" s="20">
        <v>7.0</v>
      </c>
      <c r="B140" s="19" t="s">
        <v>2007</v>
      </c>
      <c r="C140" s="20">
        <v>252996.0</v>
      </c>
      <c r="D140" s="33" t="s">
        <v>90</v>
      </c>
      <c r="E140" s="20" t="s">
        <v>28</v>
      </c>
      <c r="F140" s="59">
        <v>0.4166666666666667</v>
      </c>
      <c r="G140" s="20"/>
    </row>
    <row r="141" spans="8:8" ht="41.25" customHeight="1">
      <c r="A141" s="20">
        <v>8.0</v>
      </c>
      <c r="B141" s="19" t="s">
        <v>2008</v>
      </c>
      <c r="C141" s="20">
        <v>252662.0</v>
      </c>
      <c r="D141" s="33" t="s">
        <v>90</v>
      </c>
      <c r="E141" s="20" t="s">
        <v>28</v>
      </c>
      <c r="F141" s="59">
        <v>0.4166666666666667</v>
      </c>
      <c r="G141" s="20"/>
    </row>
    <row r="142" spans="8:8" ht="41.25" customHeight="1">
      <c r="A142" s="20">
        <v>9.0</v>
      </c>
      <c r="B142" s="19" t="s">
        <v>2009</v>
      </c>
      <c r="C142" s="20">
        <v>252664.0</v>
      </c>
      <c r="D142" s="33" t="s">
        <v>90</v>
      </c>
      <c r="E142" s="20" t="s">
        <v>28</v>
      </c>
      <c r="F142" s="59">
        <v>0.4166666666666667</v>
      </c>
      <c r="G142" s="20"/>
    </row>
    <row r="143" spans="8:8" ht="41.25" customHeight="1">
      <c r="A143" s="20">
        <v>10.0</v>
      </c>
      <c r="B143" s="19" t="s">
        <v>2010</v>
      </c>
      <c r="C143" s="20">
        <v>252802.0</v>
      </c>
      <c r="D143" s="33" t="s">
        <v>90</v>
      </c>
      <c r="E143" s="20" t="s">
        <v>28</v>
      </c>
      <c r="F143" s="59">
        <v>0.4166666666666667</v>
      </c>
      <c r="G143" s="20"/>
    </row>
    <row r="144" spans="8:8" ht="41.25" customHeight="1">
      <c r="A144" s="20">
        <v>11.0</v>
      </c>
      <c r="B144" s="19" t="s">
        <v>2011</v>
      </c>
      <c r="C144" s="20">
        <v>251795.0</v>
      </c>
      <c r="D144" s="33" t="s">
        <v>104</v>
      </c>
      <c r="E144" s="24" t="s">
        <v>28</v>
      </c>
      <c r="F144" s="59">
        <v>0.4166666666666667</v>
      </c>
      <c r="G144" s="24"/>
    </row>
    <row r="145" spans="8:8" ht="41.25" customHeight="1">
      <c r="A145" s="20">
        <v>12.0</v>
      </c>
      <c r="B145" s="19" t="s">
        <v>2012</v>
      </c>
      <c r="C145" s="20">
        <v>251909.0</v>
      </c>
      <c r="D145" s="19" t="s">
        <v>104</v>
      </c>
      <c r="E145" s="20" t="s">
        <v>28</v>
      </c>
      <c r="F145" s="59">
        <v>0.4166666666666667</v>
      </c>
      <c r="G145" s="20"/>
    </row>
    <row r="146" spans="8:8" ht="41.25" customHeight="1">
      <c r="A146" s="20">
        <v>13.0</v>
      </c>
      <c r="B146" s="19" t="s">
        <v>2013</v>
      </c>
      <c r="C146" s="20">
        <v>251923.0</v>
      </c>
      <c r="D146" s="19" t="s">
        <v>104</v>
      </c>
      <c r="E146" s="20" t="s">
        <v>28</v>
      </c>
      <c r="F146" s="59">
        <v>0.4166666666666667</v>
      </c>
      <c r="G146" s="20"/>
    </row>
    <row r="147" spans="8:8" ht="41.25" customHeight="1">
      <c r="A147" s="20">
        <v>14.0</v>
      </c>
      <c r="B147" s="19" t="s">
        <v>2014</v>
      </c>
      <c r="C147" s="20">
        <v>251924.0</v>
      </c>
      <c r="D147" s="19" t="s">
        <v>104</v>
      </c>
      <c r="E147" s="20" t="s">
        <v>28</v>
      </c>
      <c r="F147" s="59">
        <v>0.4166666666666667</v>
      </c>
      <c r="G147" s="20"/>
    </row>
    <row r="148" spans="8:8" ht="41.25" customHeight="1">
      <c r="A148" s="20">
        <v>15.0</v>
      </c>
      <c r="B148" s="19" t="s">
        <v>2015</v>
      </c>
      <c r="C148" s="20">
        <v>252372.0</v>
      </c>
      <c r="D148" s="19" t="s">
        <v>104</v>
      </c>
      <c r="E148" s="20" t="s">
        <v>28</v>
      </c>
      <c r="F148" s="59">
        <v>0.4166666666666667</v>
      </c>
      <c r="G148" s="20"/>
    </row>
    <row r="149" spans="8:8" ht="41.25" customHeight="1">
      <c r="A149" s="20">
        <v>16.0</v>
      </c>
      <c r="B149" s="19" t="s">
        <v>2016</v>
      </c>
      <c r="C149" s="20">
        <v>252375.0</v>
      </c>
      <c r="D149" s="19" t="s">
        <v>104</v>
      </c>
      <c r="E149" s="20" t="s">
        <v>28</v>
      </c>
      <c r="F149" s="59">
        <v>0.4166666666666667</v>
      </c>
      <c r="G149" s="20"/>
    </row>
    <row r="150" spans="8:8" ht="41.25" customHeight="1">
      <c r="A150" s="20">
        <v>17.0</v>
      </c>
      <c r="B150" s="19" t="s">
        <v>2017</v>
      </c>
      <c r="C150" s="20">
        <v>252376.0</v>
      </c>
      <c r="D150" s="19" t="s">
        <v>104</v>
      </c>
      <c r="E150" s="20" t="s">
        <v>28</v>
      </c>
      <c r="F150" s="59">
        <v>0.4166666666666667</v>
      </c>
      <c r="G150" s="20"/>
    </row>
    <row r="151" spans="8:8" ht="41.25" customHeight="1">
      <c r="A151" s="20">
        <v>18.0</v>
      </c>
      <c r="B151" s="19" t="s">
        <v>2018</v>
      </c>
      <c r="C151" s="20">
        <v>252385.0</v>
      </c>
      <c r="D151" s="19" t="s">
        <v>104</v>
      </c>
      <c r="E151" s="20" t="s">
        <v>28</v>
      </c>
      <c r="F151" s="59">
        <v>0.4166666666666667</v>
      </c>
      <c r="G151" s="20"/>
    </row>
    <row r="152" spans="8:8" ht="41.25" customHeight="1">
      <c r="A152" s="20">
        <v>19.0</v>
      </c>
      <c r="B152" s="19" t="s">
        <v>2019</v>
      </c>
      <c r="C152" s="20">
        <v>252384.0</v>
      </c>
      <c r="D152" s="19" t="s">
        <v>104</v>
      </c>
      <c r="E152" s="20" t="s">
        <v>28</v>
      </c>
      <c r="F152" s="59">
        <v>0.4166666666666667</v>
      </c>
      <c r="G152" s="20"/>
    </row>
    <row r="153" spans="8:8" ht="41.25" customHeight="1">
      <c r="A153" s="20">
        <v>20.0</v>
      </c>
      <c r="B153" s="19" t="s">
        <v>2020</v>
      </c>
      <c r="C153" s="20">
        <v>252382.0</v>
      </c>
      <c r="D153" s="19" t="s">
        <v>104</v>
      </c>
      <c r="E153" s="20" t="s">
        <v>28</v>
      </c>
      <c r="F153" s="59">
        <v>0.4166666666666667</v>
      </c>
      <c r="G153" s="20"/>
    </row>
    <row r="154" spans="8:8" ht="41.25" customHeight="1">
      <c r="A154" s="20">
        <v>21.0</v>
      </c>
      <c r="B154" s="19" t="s">
        <v>2021</v>
      </c>
      <c r="C154" s="20">
        <v>252380.0</v>
      </c>
      <c r="D154" s="19" t="s">
        <v>104</v>
      </c>
      <c r="E154" s="20" t="s">
        <v>28</v>
      </c>
      <c r="F154" s="59">
        <v>0.4166666666666667</v>
      </c>
      <c r="G154" s="20"/>
    </row>
    <row r="155" spans="8:8" ht="41.25" customHeight="1">
      <c r="A155" s="20">
        <v>22.0</v>
      </c>
      <c r="B155" s="19" t="s">
        <v>2022</v>
      </c>
      <c r="C155" s="20">
        <v>252383.0</v>
      </c>
      <c r="D155" s="19" t="s">
        <v>104</v>
      </c>
      <c r="E155" s="20" t="s">
        <v>28</v>
      </c>
      <c r="F155" s="59">
        <v>0.4166666666666667</v>
      </c>
      <c r="G155" s="20"/>
    </row>
    <row r="156" spans="8:8" ht="41.25" customHeight="1">
      <c r="A156" s="20">
        <v>23.0</v>
      </c>
      <c r="B156" s="19" t="s">
        <v>2023</v>
      </c>
      <c r="C156" s="20">
        <v>252386.0</v>
      </c>
      <c r="D156" s="19" t="s">
        <v>104</v>
      </c>
      <c r="E156" s="20" t="s">
        <v>28</v>
      </c>
      <c r="F156" s="59">
        <v>0.4166666666666667</v>
      </c>
      <c r="G156" s="20"/>
    </row>
    <row r="157" spans="8:8" ht="41.25" customHeight="1">
      <c r="A157" s="20">
        <v>24.0</v>
      </c>
      <c r="B157" s="19" t="s">
        <v>2024</v>
      </c>
      <c r="C157" s="20">
        <v>252391.0</v>
      </c>
      <c r="D157" s="19" t="s">
        <v>104</v>
      </c>
      <c r="E157" s="20" t="s">
        <v>28</v>
      </c>
      <c r="F157" s="59">
        <v>0.4166666666666667</v>
      </c>
      <c r="G157" s="20"/>
    </row>
    <row r="158" spans="8:8" ht="41.25" customHeight="1">
      <c r="A158" s="20">
        <v>25.0</v>
      </c>
      <c r="B158" s="19" t="s">
        <v>2025</v>
      </c>
      <c r="C158" s="20">
        <v>252392.0</v>
      </c>
      <c r="D158" s="19" t="s">
        <v>104</v>
      </c>
      <c r="E158" s="20" t="s">
        <v>28</v>
      </c>
      <c r="F158" s="59">
        <v>0.4166666666666667</v>
      </c>
      <c r="G158" s="20"/>
    </row>
    <row r="159" spans="8:8" ht="41.25" customHeight="1">
      <c r="A159" s="60" t="s">
        <v>18</v>
      </c>
      <c r="B159" s="60" t="s">
        <v>19</v>
      </c>
      <c r="C159" s="60" t="s">
        <v>1870</v>
      </c>
      <c r="D159" s="60" t="s">
        <v>21</v>
      </c>
      <c r="E159" s="60" t="s">
        <v>22</v>
      </c>
      <c r="F159" s="9" t="s">
        <v>23</v>
      </c>
      <c r="G159" s="60" t="s">
        <v>188</v>
      </c>
    </row>
    <row r="160" spans="8:8" ht="41.25" customHeight="1">
      <c r="A160" s="24">
        <v>1.0</v>
      </c>
      <c r="B160" s="23" t="s">
        <v>2026</v>
      </c>
      <c r="C160" s="24">
        <v>252393.0</v>
      </c>
      <c r="D160" s="23" t="s">
        <v>104</v>
      </c>
      <c r="E160" s="24" t="s">
        <v>28</v>
      </c>
      <c r="F160" s="61">
        <v>0.4166666666666667</v>
      </c>
      <c r="G160" s="24"/>
    </row>
    <row r="161" spans="8:8" ht="41.25" customHeight="1">
      <c r="A161" s="20">
        <v>2.0</v>
      </c>
      <c r="B161" s="19" t="s">
        <v>2027</v>
      </c>
      <c r="C161" s="20">
        <v>252396.0</v>
      </c>
      <c r="D161" s="19" t="s">
        <v>104</v>
      </c>
      <c r="E161" s="20" t="s">
        <v>28</v>
      </c>
      <c r="F161" s="59">
        <v>0.4166666666666667</v>
      </c>
      <c r="G161" s="13"/>
    </row>
    <row r="162" spans="8:8" ht="41.25" customHeight="1">
      <c r="A162" s="24">
        <v>3.0</v>
      </c>
      <c r="B162" s="19" t="s">
        <v>2028</v>
      </c>
      <c r="C162" s="20">
        <v>252398.0</v>
      </c>
      <c r="D162" s="19" t="s">
        <v>104</v>
      </c>
      <c r="E162" s="20" t="s">
        <v>28</v>
      </c>
      <c r="F162" s="59">
        <v>0.4166666666666667</v>
      </c>
      <c r="G162" s="20"/>
    </row>
    <row r="163" spans="8:8" ht="41.25" customHeight="1">
      <c r="A163" s="20">
        <v>4.0</v>
      </c>
      <c r="B163" s="19" t="s">
        <v>2029</v>
      </c>
      <c r="C163" s="20">
        <v>252404.0</v>
      </c>
      <c r="D163" s="19" t="s">
        <v>104</v>
      </c>
      <c r="E163" s="20" t="s">
        <v>28</v>
      </c>
      <c r="F163" s="59">
        <v>0.4166666666666667</v>
      </c>
      <c r="G163" s="20"/>
    </row>
    <row r="164" spans="8:8" ht="41.25" customHeight="1">
      <c r="A164" s="24">
        <v>5.0</v>
      </c>
      <c r="B164" s="19" t="s">
        <v>2030</v>
      </c>
      <c r="C164" s="20">
        <v>252401.0</v>
      </c>
      <c r="D164" s="19" t="s">
        <v>104</v>
      </c>
      <c r="E164" s="20" t="s">
        <v>28</v>
      </c>
      <c r="F164" s="59">
        <v>0.4166666666666667</v>
      </c>
      <c r="G164" s="20"/>
    </row>
    <row r="165" spans="8:8" ht="41.25" customHeight="1">
      <c r="A165" s="20">
        <v>6.0</v>
      </c>
      <c r="B165" s="19" t="s">
        <v>2031</v>
      </c>
      <c r="C165" s="20">
        <v>252892.0</v>
      </c>
      <c r="D165" s="19" t="s">
        <v>104</v>
      </c>
      <c r="E165" s="20" t="s">
        <v>28</v>
      </c>
      <c r="F165" s="59">
        <v>0.4166666666666667</v>
      </c>
      <c r="G165" s="20"/>
    </row>
    <row r="166" spans="8:8" ht="41.25" customHeight="1">
      <c r="A166" s="24">
        <v>7.0</v>
      </c>
      <c r="B166" s="19" t="s">
        <v>2032</v>
      </c>
      <c r="C166" s="20">
        <v>252405.0</v>
      </c>
      <c r="D166" s="19" t="s">
        <v>104</v>
      </c>
      <c r="E166" s="20" t="s">
        <v>28</v>
      </c>
      <c r="F166" s="59">
        <v>0.4166666666666667</v>
      </c>
      <c r="G166" s="20"/>
    </row>
    <row r="167" spans="8:8" ht="41.25" customHeight="1">
      <c r="A167" s="20">
        <v>8.0</v>
      </c>
      <c r="B167" s="19" t="s">
        <v>2033</v>
      </c>
      <c r="C167" s="20">
        <v>252406.0</v>
      </c>
      <c r="D167" s="19" t="s">
        <v>104</v>
      </c>
      <c r="E167" s="20" t="s">
        <v>28</v>
      </c>
      <c r="F167" s="59">
        <v>0.4166666666666667</v>
      </c>
      <c r="G167" s="20"/>
    </row>
    <row r="168" spans="8:8" ht="41.25" customHeight="1">
      <c r="A168" s="24">
        <v>9.0</v>
      </c>
      <c r="B168" s="19" t="s">
        <v>2034</v>
      </c>
      <c r="C168" s="20">
        <v>252408.0</v>
      </c>
      <c r="D168" s="19" t="s">
        <v>104</v>
      </c>
      <c r="E168" s="20" t="s">
        <v>28</v>
      </c>
      <c r="F168" s="59">
        <v>0.4166666666666667</v>
      </c>
      <c r="G168" s="20"/>
    </row>
    <row r="169" spans="8:8" ht="41.25" customHeight="1">
      <c r="A169" s="20">
        <v>10.0</v>
      </c>
      <c r="B169" s="19" t="s">
        <v>2035</v>
      </c>
      <c r="C169" s="20">
        <v>252409.0</v>
      </c>
      <c r="D169" s="19" t="s">
        <v>104</v>
      </c>
      <c r="E169" s="20" t="s">
        <v>28</v>
      </c>
      <c r="F169" s="59">
        <v>0.4166666666666667</v>
      </c>
      <c r="G169" s="20"/>
    </row>
    <row r="170" spans="8:8" ht="41.25" customHeight="1">
      <c r="A170" s="24">
        <v>11.0</v>
      </c>
      <c r="B170" s="19" t="s">
        <v>2036</v>
      </c>
      <c r="C170" s="20">
        <v>252407.0</v>
      </c>
      <c r="D170" s="19" t="s">
        <v>104</v>
      </c>
      <c r="E170" s="20" t="s">
        <v>28</v>
      </c>
      <c r="F170" s="59">
        <v>0.4166666666666667</v>
      </c>
      <c r="G170" s="20"/>
    </row>
    <row r="171" spans="8:8" ht="41.25" customHeight="1">
      <c r="A171" s="20">
        <v>12.0</v>
      </c>
      <c r="B171" s="19" t="s">
        <v>2037</v>
      </c>
      <c r="C171" s="20">
        <v>252411.0</v>
      </c>
      <c r="D171" s="19" t="s">
        <v>104</v>
      </c>
      <c r="E171" s="20" t="s">
        <v>28</v>
      </c>
      <c r="F171" s="59">
        <v>0.4166666666666667</v>
      </c>
      <c r="G171" s="20"/>
    </row>
    <row r="172" spans="8:8" ht="41.25" customHeight="1">
      <c r="A172" s="24">
        <v>13.0</v>
      </c>
      <c r="B172" s="19" t="s">
        <v>2038</v>
      </c>
      <c r="C172" s="20">
        <v>252415.0</v>
      </c>
      <c r="D172" s="19" t="s">
        <v>104</v>
      </c>
      <c r="E172" s="20" t="s">
        <v>28</v>
      </c>
      <c r="F172" s="59">
        <v>0.4166666666666667</v>
      </c>
      <c r="G172" s="20"/>
    </row>
    <row r="173" spans="8:8" ht="41.25" customHeight="1">
      <c r="A173" s="20">
        <v>14.0</v>
      </c>
      <c r="B173" s="19" t="s">
        <v>2039</v>
      </c>
      <c r="C173" s="20">
        <v>252665.0</v>
      </c>
      <c r="D173" s="19" t="s">
        <v>90</v>
      </c>
      <c r="E173" s="20" t="s">
        <v>28</v>
      </c>
      <c r="F173" s="59">
        <v>0.4166666666666667</v>
      </c>
      <c r="G173" s="20"/>
    </row>
    <row r="174" spans="8:8" ht="41.25" customHeight="1">
      <c r="A174" s="24">
        <v>15.0</v>
      </c>
      <c r="B174" s="19" t="s">
        <v>2040</v>
      </c>
      <c r="C174" s="20">
        <v>252667.0</v>
      </c>
      <c r="D174" s="33" t="s">
        <v>90</v>
      </c>
      <c r="E174" s="20" t="s">
        <v>28</v>
      </c>
      <c r="F174" s="59">
        <v>0.4166666666666667</v>
      </c>
      <c r="G174" s="20"/>
    </row>
    <row r="175" spans="8:8" ht="41.25" customHeight="1">
      <c r="A175" s="20">
        <v>16.0</v>
      </c>
      <c r="B175" s="19" t="s">
        <v>2041</v>
      </c>
      <c r="C175" s="20">
        <v>252668.0</v>
      </c>
      <c r="D175" s="33" t="s">
        <v>90</v>
      </c>
      <c r="E175" s="20" t="s">
        <v>28</v>
      </c>
      <c r="F175" s="59">
        <v>0.4166666666666667</v>
      </c>
      <c r="G175" s="20"/>
    </row>
    <row r="176" spans="8:8" ht="41.25" customHeight="1">
      <c r="A176" s="24">
        <v>17.0</v>
      </c>
      <c r="B176" s="19" t="s">
        <v>2042</v>
      </c>
      <c r="C176" s="20">
        <v>252672.0</v>
      </c>
      <c r="D176" s="33" t="s">
        <v>90</v>
      </c>
      <c r="E176" s="20" t="s">
        <v>28</v>
      </c>
      <c r="F176" s="59">
        <v>0.4166666666666667</v>
      </c>
      <c r="G176" s="20"/>
    </row>
    <row r="177" spans="8:8" ht="41.25" customHeight="1">
      <c r="A177" s="20">
        <v>18.0</v>
      </c>
      <c r="B177" s="19" t="s">
        <v>2043</v>
      </c>
      <c r="C177" s="20">
        <v>252800.0</v>
      </c>
      <c r="D177" s="33" t="s">
        <v>90</v>
      </c>
      <c r="E177" s="20" t="s">
        <v>28</v>
      </c>
      <c r="F177" s="59">
        <v>0.4166666666666667</v>
      </c>
      <c r="G177" s="20"/>
    </row>
    <row r="178" spans="8:8" ht="41.25" customHeight="1">
      <c r="A178" s="24">
        <v>19.0</v>
      </c>
      <c r="B178" s="19" t="s">
        <v>2044</v>
      </c>
      <c r="C178" s="20">
        <v>251797.0</v>
      </c>
      <c r="D178" s="33" t="s">
        <v>104</v>
      </c>
      <c r="E178" s="24" t="s">
        <v>28</v>
      </c>
      <c r="F178" s="59">
        <v>0.4166666666666667</v>
      </c>
      <c r="G178" s="24"/>
    </row>
    <row r="179" spans="8:8" ht="41.25" customHeight="1">
      <c r="A179" s="20">
        <v>20.0</v>
      </c>
      <c r="B179" s="19" t="s">
        <v>2045</v>
      </c>
      <c r="C179" s="20">
        <v>251946.0</v>
      </c>
      <c r="D179" s="19" t="s">
        <v>104</v>
      </c>
      <c r="E179" s="20" t="s">
        <v>28</v>
      </c>
      <c r="F179" s="59">
        <v>0.4166666666666667</v>
      </c>
      <c r="G179" s="20"/>
    </row>
    <row r="180" spans="8:8" ht="41.25" customHeight="1">
      <c r="A180" s="24">
        <v>21.0</v>
      </c>
      <c r="B180" s="19" t="s">
        <v>2046</v>
      </c>
      <c r="C180" s="20">
        <v>251945.0</v>
      </c>
      <c r="D180" s="19" t="s">
        <v>104</v>
      </c>
      <c r="E180" s="20" t="s">
        <v>28</v>
      </c>
      <c r="F180" s="59">
        <v>0.4166666666666667</v>
      </c>
      <c r="G180" s="20"/>
    </row>
    <row r="181" spans="8:8" ht="41.25" customHeight="1">
      <c r="A181" s="20">
        <v>22.0</v>
      </c>
      <c r="B181" s="19" t="s">
        <v>2047</v>
      </c>
      <c r="C181" s="20">
        <v>252420.0</v>
      </c>
      <c r="D181" s="19" t="s">
        <v>104</v>
      </c>
      <c r="E181" s="20" t="s">
        <v>28</v>
      </c>
      <c r="F181" s="59">
        <v>0.4166666666666667</v>
      </c>
      <c r="G181" s="20"/>
    </row>
    <row r="182" spans="8:8" ht="41.25" customHeight="1">
      <c r="A182" s="24">
        <v>23.0</v>
      </c>
      <c r="B182" s="19" t="s">
        <v>2048</v>
      </c>
      <c r="C182" s="20">
        <v>252424.0</v>
      </c>
      <c r="D182" s="19" t="s">
        <v>104</v>
      </c>
      <c r="E182" s="20" t="s">
        <v>28</v>
      </c>
      <c r="F182" s="59">
        <v>0.4166666666666667</v>
      </c>
      <c r="G182" s="20"/>
    </row>
    <row r="183" spans="8:8" ht="41.25" customHeight="1">
      <c r="A183" s="20">
        <v>24.0</v>
      </c>
      <c r="B183" s="19" t="s">
        <v>2049</v>
      </c>
      <c r="C183" s="20">
        <v>252422.0</v>
      </c>
      <c r="D183" s="19" t="s">
        <v>104</v>
      </c>
      <c r="E183" s="20" t="s">
        <v>28</v>
      </c>
      <c r="F183" s="59">
        <v>0.4166666666666667</v>
      </c>
      <c r="G183" s="20"/>
    </row>
    <row r="184" spans="8:8" ht="41.25" customHeight="1">
      <c r="A184" s="24">
        <v>25.0</v>
      </c>
      <c r="B184" s="19" t="s">
        <v>2050</v>
      </c>
      <c r="C184" s="20">
        <v>252430.0</v>
      </c>
      <c r="D184" s="19" t="s">
        <v>104</v>
      </c>
      <c r="E184" s="20" t="s">
        <v>28</v>
      </c>
      <c r="F184" s="59">
        <v>0.4166666666666667</v>
      </c>
      <c r="G184" s="20"/>
    </row>
    <row r="185" spans="8:8" ht="41.25" customHeight="1">
      <c r="A185" s="60" t="s">
        <v>18</v>
      </c>
      <c r="B185" s="60" t="s">
        <v>19</v>
      </c>
      <c r="C185" s="60" t="s">
        <v>1870</v>
      </c>
      <c r="D185" s="60" t="s">
        <v>21</v>
      </c>
      <c r="E185" s="60" t="s">
        <v>22</v>
      </c>
      <c r="F185" s="9" t="s">
        <v>23</v>
      </c>
      <c r="G185" s="60" t="s">
        <v>214</v>
      </c>
    </row>
    <row r="186" spans="8:8" ht="41.25" customHeight="1">
      <c r="A186" s="24">
        <v>1.0</v>
      </c>
      <c r="B186" s="23" t="s">
        <v>2051</v>
      </c>
      <c r="C186" s="24">
        <v>252435.0</v>
      </c>
      <c r="D186" s="23" t="s">
        <v>104</v>
      </c>
      <c r="E186" s="24" t="s">
        <v>28</v>
      </c>
      <c r="F186" s="61">
        <v>0.4166666666666667</v>
      </c>
      <c r="G186" s="24"/>
    </row>
    <row r="187" spans="8:8" ht="41.25" customHeight="1">
      <c r="A187" s="20">
        <v>2.0</v>
      </c>
      <c r="B187" s="19" t="s">
        <v>2052</v>
      </c>
      <c r="C187" s="20">
        <v>252434.0</v>
      </c>
      <c r="D187" s="19" t="s">
        <v>104</v>
      </c>
      <c r="E187" s="20" t="s">
        <v>28</v>
      </c>
      <c r="F187" s="59">
        <v>0.4166666666666667</v>
      </c>
      <c r="G187" s="13"/>
    </row>
    <row r="188" spans="8:8" ht="41.25" customHeight="1">
      <c r="A188" s="24">
        <v>3.0</v>
      </c>
      <c r="B188" s="19" t="s">
        <v>2053</v>
      </c>
      <c r="C188" s="20">
        <v>252473.0</v>
      </c>
      <c r="D188" s="19" t="s">
        <v>104</v>
      </c>
      <c r="E188" s="20" t="s">
        <v>28</v>
      </c>
      <c r="F188" s="59">
        <v>0.4166666666666667</v>
      </c>
      <c r="G188" s="20"/>
    </row>
    <row r="189" spans="8:8" ht="41.25" customHeight="1">
      <c r="A189" s="20">
        <v>4.0</v>
      </c>
      <c r="B189" s="19" t="s">
        <v>2054</v>
      </c>
      <c r="C189" s="20">
        <v>252448.0</v>
      </c>
      <c r="D189" s="19" t="s">
        <v>104</v>
      </c>
      <c r="E189" s="20" t="s">
        <v>28</v>
      </c>
      <c r="F189" s="59">
        <v>0.4166666666666667</v>
      </c>
      <c r="G189" s="20"/>
    </row>
    <row r="190" spans="8:8" ht="41.25" customHeight="1">
      <c r="A190" s="24">
        <v>5.0</v>
      </c>
      <c r="B190" s="19" t="s">
        <v>2055</v>
      </c>
      <c r="C190" s="20">
        <v>252453.0</v>
      </c>
      <c r="D190" s="19" t="s">
        <v>104</v>
      </c>
      <c r="E190" s="20" t="s">
        <v>28</v>
      </c>
      <c r="F190" s="59">
        <v>0.4166666666666667</v>
      </c>
      <c r="G190" s="20"/>
    </row>
    <row r="191" spans="8:8" ht="41.25" customHeight="1">
      <c r="A191" s="20">
        <v>6.0</v>
      </c>
      <c r="B191" s="19" t="s">
        <v>2056</v>
      </c>
      <c r="C191" s="20">
        <v>252449.0</v>
      </c>
      <c r="D191" s="19" t="s">
        <v>104</v>
      </c>
      <c r="E191" s="20" t="s">
        <v>28</v>
      </c>
      <c r="F191" s="59">
        <v>0.4166666666666667</v>
      </c>
      <c r="G191" s="20"/>
    </row>
    <row r="192" spans="8:8" ht="41.25" customHeight="1">
      <c r="A192" s="24">
        <v>7.0</v>
      </c>
      <c r="B192" s="19" t="s">
        <v>2057</v>
      </c>
      <c r="C192" s="20">
        <v>252441.0</v>
      </c>
      <c r="D192" s="19" t="s">
        <v>104</v>
      </c>
      <c r="E192" s="20" t="s">
        <v>28</v>
      </c>
      <c r="F192" s="59">
        <v>0.4166666666666667</v>
      </c>
      <c r="G192" s="20"/>
    </row>
    <row r="193" spans="8:8" ht="41.25" customHeight="1">
      <c r="A193" s="20">
        <v>8.0</v>
      </c>
      <c r="B193" s="19" t="s">
        <v>2058</v>
      </c>
      <c r="C193" s="20">
        <v>252468.0</v>
      </c>
      <c r="D193" s="19" t="s">
        <v>104</v>
      </c>
      <c r="E193" s="20" t="s">
        <v>28</v>
      </c>
      <c r="F193" s="59">
        <v>0.4166666666666667</v>
      </c>
      <c r="G193" s="20"/>
    </row>
    <row r="194" spans="8:8" ht="41.25" customHeight="1">
      <c r="A194" s="24">
        <v>9.0</v>
      </c>
      <c r="B194" s="19" t="s">
        <v>2059</v>
      </c>
      <c r="C194" s="20">
        <v>252480.0</v>
      </c>
      <c r="D194" s="19" t="s">
        <v>90</v>
      </c>
      <c r="E194" s="20" t="s">
        <v>28</v>
      </c>
      <c r="F194" s="59">
        <v>0.4166666666666667</v>
      </c>
      <c r="G194" s="20"/>
    </row>
    <row r="195" spans="8:8" ht="41.25" customHeight="1">
      <c r="A195" s="20">
        <v>10.0</v>
      </c>
      <c r="B195" s="19" t="s">
        <v>2060</v>
      </c>
      <c r="C195" s="20">
        <v>252477.0</v>
      </c>
      <c r="D195" s="33" t="s">
        <v>90</v>
      </c>
      <c r="E195" s="20" t="s">
        <v>28</v>
      </c>
      <c r="F195" s="59">
        <v>0.4166666666666667</v>
      </c>
      <c r="G195" s="20"/>
    </row>
    <row r="196" spans="8:8" ht="41.25" customHeight="1">
      <c r="A196" s="24">
        <v>11.0</v>
      </c>
      <c r="B196" s="19" t="s">
        <v>2061</v>
      </c>
      <c r="C196" s="20">
        <v>252487.0</v>
      </c>
      <c r="D196" s="33" t="s">
        <v>90</v>
      </c>
      <c r="E196" s="20" t="s">
        <v>28</v>
      </c>
      <c r="F196" s="59">
        <v>0.4166666666666667</v>
      </c>
      <c r="G196" s="20"/>
    </row>
    <row r="197" spans="8:8" ht="41.25" customHeight="1">
      <c r="A197" s="20">
        <v>12.0</v>
      </c>
      <c r="B197" s="19" t="s">
        <v>2062</v>
      </c>
      <c r="C197" s="20">
        <v>252483.0</v>
      </c>
      <c r="D197" s="33" t="s">
        <v>90</v>
      </c>
      <c r="E197" s="20" t="s">
        <v>28</v>
      </c>
      <c r="F197" s="59">
        <v>0.4166666666666667</v>
      </c>
      <c r="G197" s="20"/>
    </row>
    <row r="198" spans="8:8" ht="41.25" customHeight="1">
      <c r="A198" s="24">
        <v>13.0</v>
      </c>
      <c r="B198" s="19" t="s">
        <v>2063</v>
      </c>
      <c r="C198" s="20">
        <v>252482.0</v>
      </c>
      <c r="D198" s="33" t="s">
        <v>90</v>
      </c>
      <c r="E198" s="20" t="s">
        <v>28</v>
      </c>
      <c r="F198" s="59">
        <v>0.4166666666666667</v>
      </c>
      <c r="G198" s="20"/>
    </row>
    <row r="199" spans="8:8" ht="41.25" customHeight="1">
      <c r="A199" s="20">
        <v>14.0</v>
      </c>
      <c r="B199" s="19" t="s">
        <v>2064</v>
      </c>
      <c r="C199" s="20">
        <v>252489.0</v>
      </c>
      <c r="D199" s="33" t="s">
        <v>90</v>
      </c>
      <c r="E199" s="20" t="s">
        <v>28</v>
      </c>
      <c r="F199" s="59">
        <v>0.4166666666666667</v>
      </c>
      <c r="G199" s="20"/>
    </row>
    <row r="200" spans="8:8" ht="41.25" customHeight="1">
      <c r="A200" s="24">
        <v>15.0</v>
      </c>
      <c r="B200" s="19" t="s">
        <v>2065</v>
      </c>
      <c r="C200" s="20">
        <v>251812.0</v>
      </c>
      <c r="D200" s="33" t="s">
        <v>104</v>
      </c>
      <c r="E200" s="20" t="s">
        <v>28</v>
      </c>
      <c r="F200" s="59">
        <v>0.4166666666666667</v>
      </c>
      <c r="G200" s="20"/>
    </row>
    <row r="201" spans="8:8" ht="41.25" customHeight="1">
      <c r="A201" s="20">
        <v>16.0</v>
      </c>
      <c r="B201" s="19" t="s">
        <v>2066</v>
      </c>
      <c r="C201" s="20">
        <v>252674.0</v>
      </c>
      <c r="D201" s="19" t="s">
        <v>90</v>
      </c>
      <c r="E201" s="20" t="s">
        <v>28</v>
      </c>
      <c r="F201" s="59">
        <v>0.4166666666666667</v>
      </c>
      <c r="G201" s="20"/>
    </row>
    <row r="202" spans="8:8" ht="41.25" customHeight="1">
      <c r="A202" s="24">
        <v>17.0</v>
      </c>
      <c r="B202" s="19" t="s">
        <v>2067</v>
      </c>
      <c r="C202" s="20">
        <v>252946.0</v>
      </c>
      <c r="D202" s="33" t="s">
        <v>90</v>
      </c>
      <c r="E202" s="20" t="s">
        <v>28</v>
      </c>
      <c r="F202" s="59">
        <v>0.4166666666666667</v>
      </c>
      <c r="G202" s="20"/>
    </row>
    <row r="203" spans="8:8" ht="41.25" customHeight="1">
      <c r="A203" s="20">
        <v>18.0</v>
      </c>
      <c r="B203" s="19" t="s">
        <v>2068</v>
      </c>
      <c r="C203" s="20">
        <v>252676.0</v>
      </c>
      <c r="D203" s="33" t="s">
        <v>90</v>
      </c>
      <c r="E203" s="20" t="s">
        <v>28</v>
      </c>
      <c r="F203" s="59">
        <v>0.4166666666666667</v>
      </c>
      <c r="G203" s="20"/>
    </row>
    <row r="204" spans="8:8" ht="41.25" customHeight="1">
      <c r="A204" s="24">
        <v>19.0</v>
      </c>
      <c r="B204" s="19" t="s">
        <v>2069</v>
      </c>
      <c r="C204" s="20">
        <v>252677.0</v>
      </c>
      <c r="D204" s="33" t="s">
        <v>90</v>
      </c>
      <c r="E204" s="20" t="s">
        <v>28</v>
      </c>
      <c r="F204" s="59">
        <v>0.4166666666666667</v>
      </c>
      <c r="G204" s="20"/>
    </row>
    <row r="205" spans="8:8" ht="41.25" customHeight="1">
      <c r="A205" s="20">
        <v>20.0</v>
      </c>
      <c r="B205" s="19" t="s">
        <v>2070</v>
      </c>
      <c r="C205" s="20">
        <v>252856.0</v>
      </c>
      <c r="D205" s="33" t="s">
        <v>90</v>
      </c>
      <c r="E205" s="20" t="s">
        <v>28</v>
      </c>
      <c r="F205" s="59">
        <v>0.4166666666666667</v>
      </c>
      <c r="G205" s="20"/>
    </row>
    <row r="206" spans="8:8" ht="41.25" customHeight="1">
      <c r="A206" s="24">
        <v>21.0</v>
      </c>
      <c r="B206" s="19" t="s">
        <v>2071</v>
      </c>
      <c r="C206" s="20">
        <v>251969.0</v>
      </c>
      <c r="D206" s="33" t="s">
        <v>104</v>
      </c>
      <c r="E206" s="24" t="s">
        <v>28</v>
      </c>
      <c r="F206" s="59">
        <v>0.4166666666666667</v>
      </c>
      <c r="G206" s="24"/>
    </row>
    <row r="207" spans="8:8" ht="41.25" customHeight="1">
      <c r="A207" s="20">
        <v>22.0</v>
      </c>
      <c r="B207" s="19" t="s">
        <v>2072</v>
      </c>
      <c r="C207" s="20">
        <v>252203.0</v>
      </c>
      <c r="D207" s="19" t="s">
        <v>104</v>
      </c>
      <c r="E207" s="20" t="s">
        <v>28</v>
      </c>
      <c r="F207" s="59">
        <v>0.4166666666666667</v>
      </c>
      <c r="G207" s="20"/>
    </row>
    <row r="208" spans="8:8" ht="41.25" customHeight="1">
      <c r="A208" s="24">
        <v>23.0</v>
      </c>
      <c r="B208" s="19" t="s">
        <v>2073</v>
      </c>
      <c r="C208" s="20">
        <v>251973.0</v>
      </c>
      <c r="D208" s="19" t="s">
        <v>104</v>
      </c>
      <c r="E208" s="20" t="s">
        <v>28</v>
      </c>
      <c r="F208" s="59">
        <v>0.4166666666666667</v>
      </c>
      <c r="G208" s="20"/>
    </row>
    <row r="209" spans="8:8" ht="41.25" customHeight="1">
      <c r="A209" s="20">
        <v>24.0</v>
      </c>
      <c r="B209" s="19" t="s">
        <v>2074</v>
      </c>
      <c r="C209" s="20">
        <v>251974.0</v>
      </c>
      <c r="D209" s="19" t="s">
        <v>104</v>
      </c>
      <c r="E209" s="20" t="s">
        <v>28</v>
      </c>
      <c r="F209" s="59">
        <v>0.4166666666666667</v>
      </c>
      <c r="G209" s="20"/>
    </row>
    <row r="210" spans="8:8" ht="41.25" customHeight="1">
      <c r="A210" s="24">
        <v>25.0</v>
      </c>
      <c r="B210" s="19" t="s">
        <v>2075</v>
      </c>
      <c r="C210" s="20">
        <v>252491.0</v>
      </c>
      <c r="D210" s="19" t="s">
        <v>90</v>
      </c>
      <c r="E210" s="20" t="s">
        <v>28</v>
      </c>
      <c r="F210" s="59">
        <v>0.4166666666666667</v>
      </c>
      <c r="G210" s="20"/>
    </row>
    <row r="211" spans="8:8" ht="41.25" customHeight="1">
      <c r="A211" s="60" t="s">
        <v>18</v>
      </c>
      <c r="B211" s="60" t="s">
        <v>19</v>
      </c>
      <c r="C211" s="60" t="s">
        <v>1870</v>
      </c>
      <c r="D211" s="60" t="s">
        <v>21</v>
      </c>
      <c r="E211" s="60" t="s">
        <v>22</v>
      </c>
      <c r="F211" s="9" t="s">
        <v>23</v>
      </c>
      <c r="G211" s="60" t="s">
        <v>239</v>
      </c>
    </row>
    <row r="212" spans="8:8" ht="41.25" customHeight="1">
      <c r="A212" s="24">
        <v>1.0</v>
      </c>
      <c r="B212" s="23" t="s">
        <v>2076</v>
      </c>
      <c r="C212" s="24">
        <v>252475.0</v>
      </c>
      <c r="D212" s="33" t="s">
        <v>90</v>
      </c>
      <c r="E212" s="24" t="s">
        <v>28</v>
      </c>
      <c r="F212" s="61">
        <v>0.4166666666666667</v>
      </c>
      <c r="G212" s="24"/>
    </row>
    <row r="213" spans="8:8" ht="41.25" customHeight="1">
      <c r="A213" s="20">
        <v>2.0</v>
      </c>
      <c r="B213" s="19" t="s">
        <v>2077</v>
      </c>
      <c r="C213" s="20">
        <v>252493.0</v>
      </c>
      <c r="D213" s="33" t="s">
        <v>90</v>
      </c>
      <c r="E213" s="20" t="s">
        <v>28</v>
      </c>
      <c r="F213" s="59">
        <v>0.4166666666666667</v>
      </c>
      <c r="G213" s="13"/>
    </row>
    <row r="214" spans="8:8" ht="41.25" customHeight="1">
      <c r="A214" s="24">
        <v>3.0</v>
      </c>
      <c r="B214" s="19" t="s">
        <v>2078</v>
      </c>
      <c r="C214" s="20">
        <v>252494.0</v>
      </c>
      <c r="D214" s="33" t="s">
        <v>90</v>
      </c>
      <c r="E214" s="20" t="s">
        <v>28</v>
      </c>
      <c r="F214" s="59">
        <v>0.4166666666666667</v>
      </c>
      <c r="G214" s="20"/>
    </row>
    <row r="215" spans="8:8" ht="41.25" customHeight="1">
      <c r="A215" s="20">
        <v>4.0</v>
      </c>
      <c r="B215" s="19" t="s">
        <v>2079</v>
      </c>
      <c r="C215" s="20">
        <v>252496.0</v>
      </c>
      <c r="D215" s="33" t="s">
        <v>90</v>
      </c>
      <c r="E215" s="20" t="s">
        <v>28</v>
      </c>
      <c r="F215" s="59">
        <v>0.4166666666666667</v>
      </c>
      <c r="G215" s="20"/>
    </row>
    <row r="216" spans="8:8" ht="41.25" customHeight="1">
      <c r="A216" s="24">
        <v>5.0</v>
      </c>
      <c r="B216" s="19" t="s">
        <v>2080</v>
      </c>
      <c r="C216" s="20">
        <v>252495.0</v>
      </c>
      <c r="D216" s="33" t="s">
        <v>90</v>
      </c>
      <c r="E216" s="20" t="s">
        <v>28</v>
      </c>
      <c r="F216" s="59">
        <v>0.4166666666666667</v>
      </c>
      <c r="G216" s="20"/>
    </row>
    <row r="217" spans="8:8" ht="41.25" customHeight="1">
      <c r="A217" s="20">
        <v>6.0</v>
      </c>
      <c r="B217" s="19" t="s">
        <v>2081</v>
      </c>
      <c r="C217" s="20">
        <v>252497.0</v>
      </c>
      <c r="D217" s="33" t="s">
        <v>90</v>
      </c>
      <c r="E217" s="20" t="s">
        <v>28</v>
      </c>
      <c r="F217" s="59">
        <v>0.4166666666666667</v>
      </c>
      <c r="G217" s="20"/>
    </row>
    <row r="218" spans="8:8" ht="41.25" customHeight="1">
      <c r="A218" s="24">
        <v>7.0</v>
      </c>
      <c r="B218" s="19" t="s">
        <v>2082</v>
      </c>
      <c r="C218" s="20">
        <v>252499.0</v>
      </c>
      <c r="D218" s="33" t="s">
        <v>90</v>
      </c>
      <c r="E218" s="20" t="s">
        <v>28</v>
      </c>
      <c r="F218" s="59">
        <v>0.4166666666666667</v>
      </c>
      <c r="G218" s="20"/>
    </row>
    <row r="219" spans="8:8" ht="41.25" customHeight="1">
      <c r="A219" s="20">
        <v>8.0</v>
      </c>
      <c r="B219" s="19" t="s">
        <v>2083</v>
      </c>
      <c r="C219" s="20">
        <v>252474.0</v>
      </c>
      <c r="D219" s="33" t="s">
        <v>90</v>
      </c>
      <c r="E219" s="20" t="s">
        <v>28</v>
      </c>
      <c r="F219" s="59">
        <v>0.4166666666666667</v>
      </c>
      <c r="G219" s="20"/>
    </row>
    <row r="220" spans="8:8" ht="41.25" customHeight="1">
      <c r="A220" s="24">
        <v>9.0</v>
      </c>
      <c r="B220" s="19" t="s">
        <v>2084</v>
      </c>
      <c r="C220" s="20">
        <v>252500.0</v>
      </c>
      <c r="D220" s="33" t="s">
        <v>90</v>
      </c>
      <c r="E220" s="20" t="s">
        <v>28</v>
      </c>
      <c r="F220" s="59">
        <v>0.4166666666666667</v>
      </c>
      <c r="G220" s="20"/>
    </row>
    <row r="221" spans="8:8" ht="41.25" customHeight="1">
      <c r="A221" s="20">
        <v>10.0</v>
      </c>
      <c r="B221" s="19" t="s">
        <v>2085</v>
      </c>
      <c r="C221" s="20">
        <v>252498.0</v>
      </c>
      <c r="D221" s="33" t="s">
        <v>90</v>
      </c>
      <c r="E221" s="20" t="s">
        <v>28</v>
      </c>
      <c r="F221" s="59">
        <v>0.4166666666666667</v>
      </c>
      <c r="G221" s="20"/>
    </row>
    <row r="222" spans="8:8" ht="41.25" customHeight="1">
      <c r="A222" s="24">
        <v>11.0</v>
      </c>
      <c r="B222" s="19" t="s">
        <v>2086</v>
      </c>
      <c r="C222" s="20">
        <v>252504.0</v>
      </c>
      <c r="D222" s="33" t="s">
        <v>90</v>
      </c>
      <c r="E222" s="20" t="s">
        <v>28</v>
      </c>
      <c r="F222" s="59">
        <v>0.4166666666666667</v>
      </c>
      <c r="G222" s="20"/>
    </row>
    <row r="223" spans="8:8" ht="41.25" customHeight="1">
      <c r="A223" s="20">
        <v>12.0</v>
      </c>
      <c r="B223" s="19" t="s">
        <v>2087</v>
      </c>
      <c r="C223" s="20">
        <v>252505.0</v>
      </c>
      <c r="D223" s="33" t="s">
        <v>90</v>
      </c>
      <c r="E223" s="20" t="s">
        <v>28</v>
      </c>
      <c r="F223" s="59">
        <v>0.4166666666666667</v>
      </c>
      <c r="G223" s="20"/>
    </row>
    <row r="224" spans="8:8" ht="41.25" customHeight="1">
      <c r="A224" s="24">
        <v>13.0</v>
      </c>
      <c r="B224" s="19" t="s">
        <v>2088</v>
      </c>
      <c r="C224" s="20">
        <v>252509.0</v>
      </c>
      <c r="D224" s="33" t="s">
        <v>90</v>
      </c>
      <c r="E224" s="20" t="s">
        <v>28</v>
      </c>
      <c r="F224" s="59">
        <v>0.4166666666666667</v>
      </c>
      <c r="G224" s="20"/>
    </row>
    <row r="225" spans="8:8" ht="41.25" customHeight="1">
      <c r="A225" s="20">
        <v>14.0</v>
      </c>
      <c r="B225" s="19" t="s">
        <v>2089</v>
      </c>
      <c r="C225" s="20">
        <v>252510.0</v>
      </c>
      <c r="D225" s="33" t="s">
        <v>90</v>
      </c>
      <c r="E225" s="20" t="s">
        <v>28</v>
      </c>
      <c r="F225" s="59">
        <v>0.4166666666666667</v>
      </c>
      <c r="G225" s="20"/>
    </row>
    <row r="226" spans="8:8" ht="41.25" customHeight="1">
      <c r="A226" s="24">
        <v>15.0</v>
      </c>
      <c r="B226" s="19" t="s">
        <v>2090</v>
      </c>
      <c r="C226" s="20">
        <v>252669.0</v>
      </c>
      <c r="D226" s="33" t="s">
        <v>90</v>
      </c>
      <c r="E226" s="20" t="s">
        <v>28</v>
      </c>
      <c r="F226" s="59">
        <v>0.4166666666666667</v>
      </c>
      <c r="G226" s="20"/>
    </row>
    <row r="227" spans="8:8" ht="41.25" customHeight="1">
      <c r="A227" s="20">
        <v>16.0</v>
      </c>
      <c r="B227" s="19" t="s">
        <v>2091</v>
      </c>
      <c r="C227" s="20">
        <v>252518.0</v>
      </c>
      <c r="D227" s="33" t="s">
        <v>90</v>
      </c>
      <c r="E227" s="20" t="s">
        <v>28</v>
      </c>
      <c r="F227" s="59">
        <v>0.4166666666666667</v>
      </c>
      <c r="G227" s="20"/>
    </row>
    <row r="228" spans="8:8" ht="41.25" customHeight="1">
      <c r="A228" s="24">
        <v>17.0</v>
      </c>
      <c r="B228" s="19" t="s">
        <v>2092</v>
      </c>
      <c r="C228" s="20">
        <v>252837.0</v>
      </c>
      <c r="D228" s="33" t="s">
        <v>90</v>
      </c>
      <c r="E228" s="20" t="s">
        <v>28</v>
      </c>
      <c r="F228" s="59">
        <v>0.4166666666666667</v>
      </c>
      <c r="G228" s="20"/>
    </row>
    <row r="229" spans="8:8" ht="41.25" customHeight="1">
      <c r="A229" s="20">
        <v>18.0</v>
      </c>
      <c r="B229" s="19" t="s">
        <v>2093</v>
      </c>
      <c r="C229" s="20">
        <v>252827.0</v>
      </c>
      <c r="D229" s="33" t="s">
        <v>90</v>
      </c>
      <c r="E229" s="20" t="s">
        <v>28</v>
      </c>
      <c r="F229" s="59">
        <v>0.4166666666666667</v>
      </c>
      <c r="G229" s="20"/>
    </row>
    <row r="230" spans="8:8" ht="41.25" customHeight="1">
      <c r="A230" s="24">
        <v>19.0</v>
      </c>
      <c r="B230" s="19" t="s">
        <v>2094</v>
      </c>
      <c r="C230" s="20">
        <v>252988.0</v>
      </c>
      <c r="D230" s="33" t="s">
        <v>90</v>
      </c>
      <c r="E230" s="20" t="s">
        <v>28</v>
      </c>
      <c r="F230" s="59">
        <v>0.4166666666666667</v>
      </c>
      <c r="G230" s="20"/>
    </row>
    <row r="231" spans="8:8" ht="41.25" customHeight="1">
      <c r="A231" s="20">
        <v>20.0</v>
      </c>
      <c r="B231" s="19" t="s">
        <v>2095</v>
      </c>
      <c r="C231" s="20">
        <v>252829.0</v>
      </c>
      <c r="D231" s="33" t="s">
        <v>90</v>
      </c>
      <c r="E231" s="20" t="s">
        <v>28</v>
      </c>
      <c r="F231" s="59">
        <v>0.4166666666666667</v>
      </c>
      <c r="G231" s="20"/>
    </row>
    <row r="232" spans="8:8" ht="41.25" customHeight="1">
      <c r="A232" s="24">
        <v>21.0</v>
      </c>
      <c r="B232" s="19" t="s">
        <v>2096</v>
      </c>
      <c r="C232" s="20">
        <v>252785.0</v>
      </c>
      <c r="D232" s="33" t="s">
        <v>90</v>
      </c>
      <c r="E232" s="20" t="s">
        <v>28</v>
      </c>
      <c r="F232" s="59">
        <v>0.4166666666666667</v>
      </c>
      <c r="G232" s="20"/>
    </row>
    <row r="233" spans="8:8" ht="41.25" customHeight="1">
      <c r="A233" s="20">
        <v>22.0</v>
      </c>
      <c r="B233" s="19" t="s">
        <v>2097</v>
      </c>
      <c r="C233" s="20">
        <v>252978.0</v>
      </c>
      <c r="D233" s="33" t="s">
        <v>90</v>
      </c>
      <c r="E233" s="20" t="s">
        <v>28</v>
      </c>
      <c r="F233" s="59">
        <v>0.4166666666666667</v>
      </c>
      <c r="G233" s="20"/>
    </row>
    <row r="234" spans="8:8" ht="41.25" customHeight="1">
      <c r="A234" s="24">
        <v>23.0</v>
      </c>
      <c r="B234" s="23" t="s">
        <v>2098</v>
      </c>
      <c r="C234" s="24">
        <v>252993.0</v>
      </c>
      <c r="D234" s="33" t="s">
        <v>90</v>
      </c>
      <c r="E234" s="20" t="s">
        <v>28</v>
      </c>
      <c r="F234" s="59">
        <v>0.4166666666666667</v>
      </c>
      <c r="G234" s="20"/>
    </row>
    <row r="235" spans="8:8" ht="41.25" customHeight="1">
      <c r="A235" s="20">
        <v>24.0</v>
      </c>
      <c r="B235" s="23" t="s">
        <v>2099</v>
      </c>
      <c r="C235" s="24">
        <v>252534.0</v>
      </c>
      <c r="D235" s="33" t="s">
        <v>90</v>
      </c>
      <c r="E235" s="20" t="s">
        <v>28</v>
      </c>
      <c r="F235" s="59">
        <v>0.4166666666666667</v>
      </c>
      <c r="G235" s="20"/>
    </row>
    <row r="236" spans="8:8" ht="41.25" customHeight="1">
      <c r="A236" s="24">
        <v>25.0</v>
      </c>
      <c r="B236" s="19" t="s">
        <v>2100</v>
      </c>
      <c r="C236" s="20">
        <v>252852.0</v>
      </c>
      <c r="D236" s="33" t="s">
        <v>90</v>
      </c>
      <c r="E236" s="20" t="s">
        <v>28</v>
      </c>
      <c r="F236" s="59">
        <v>0.4166666666666667</v>
      </c>
      <c r="G236" s="20"/>
    </row>
    <row r="237" spans="8:8" ht="41.25" customHeight="1">
      <c r="A237" s="60" t="s">
        <v>18</v>
      </c>
      <c r="B237" s="60" t="s">
        <v>19</v>
      </c>
      <c r="C237" s="60" t="s">
        <v>1870</v>
      </c>
      <c r="D237" s="60" t="s">
        <v>21</v>
      </c>
      <c r="E237" s="60" t="s">
        <v>22</v>
      </c>
      <c r="F237" s="9" t="s">
        <v>23</v>
      </c>
      <c r="G237" s="60" t="s">
        <v>2101</v>
      </c>
    </row>
    <row r="238" spans="8:8" ht="41.25" customHeight="1">
      <c r="A238" s="24">
        <v>1.0</v>
      </c>
      <c r="B238" s="23" t="s">
        <v>2102</v>
      </c>
      <c r="C238" s="24">
        <v>253005.0</v>
      </c>
      <c r="D238" s="33" t="s">
        <v>90</v>
      </c>
      <c r="E238" s="24" t="s">
        <v>28</v>
      </c>
      <c r="F238" s="61">
        <v>0.4166666666666667</v>
      </c>
      <c r="G238" s="24"/>
    </row>
    <row r="239" spans="8:8" ht="41.25" customHeight="1">
      <c r="A239" s="20">
        <v>2.0</v>
      </c>
      <c r="B239" s="19" t="s">
        <v>2103</v>
      </c>
      <c r="C239" s="20">
        <v>252541.0</v>
      </c>
      <c r="D239" s="33" t="s">
        <v>90</v>
      </c>
      <c r="E239" s="20" t="s">
        <v>28</v>
      </c>
      <c r="F239" s="59">
        <v>0.4166666666666667</v>
      </c>
      <c r="G239" s="13"/>
    </row>
    <row r="240" spans="8:8" ht="41.25" customHeight="1">
      <c r="A240" s="24">
        <v>3.0</v>
      </c>
      <c r="B240" s="19" t="s">
        <v>2104</v>
      </c>
      <c r="C240" s="20">
        <v>252798.0</v>
      </c>
      <c r="D240" s="33" t="s">
        <v>90</v>
      </c>
      <c r="E240" s="20" t="s">
        <v>28</v>
      </c>
      <c r="F240" s="59">
        <v>0.4166666666666667</v>
      </c>
      <c r="G240" s="20"/>
    </row>
    <row r="241" spans="8:8" ht="41.25" customHeight="1">
      <c r="A241" s="20">
        <v>4.0</v>
      </c>
      <c r="B241" s="19" t="s">
        <v>2105</v>
      </c>
      <c r="C241" s="20">
        <v>251894.0</v>
      </c>
      <c r="D241" s="33" t="s">
        <v>104</v>
      </c>
      <c r="E241" s="24" t="s">
        <v>28</v>
      </c>
      <c r="F241" s="59">
        <v>0.4166666666666667</v>
      </c>
      <c r="G241" s="24"/>
    </row>
    <row r="242" spans="8:8" ht="41.25" customHeight="1">
      <c r="A242" s="24">
        <v>5.0</v>
      </c>
      <c r="B242" s="19" t="s">
        <v>2106</v>
      </c>
      <c r="C242" s="20">
        <v>251883.0</v>
      </c>
      <c r="D242" s="19" t="s">
        <v>104</v>
      </c>
      <c r="E242" s="20" t="s">
        <v>28</v>
      </c>
      <c r="F242" s="59">
        <v>0.4166666666666667</v>
      </c>
      <c r="G242" s="20"/>
    </row>
    <row r="243" spans="8:8" ht="41.25" customHeight="1">
      <c r="A243" s="20">
        <v>6.0</v>
      </c>
      <c r="B243" s="19" t="s">
        <v>2107</v>
      </c>
      <c r="C243" s="20">
        <v>252573.0</v>
      </c>
      <c r="D243" s="19" t="s">
        <v>90</v>
      </c>
      <c r="E243" s="20" t="s">
        <v>28</v>
      </c>
      <c r="F243" s="59">
        <v>0.4166666666666667</v>
      </c>
      <c r="G243" s="20"/>
    </row>
    <row r="244" spans="8:8" ht="41.25" customHeight="1">
      <c r="A244" s="24">
        <v>7.0</v>
      </c>
      <c r="B244" s="19" t="s">
        <v>2108</v>
      </c>
      <c r="C244" s="20">
        <v>252584.0</v>
      </c>
      <c r="D244" s="33" t="s">
        <v>90</v>
      </c>
      <c r="E244" s="20" t="s">
        <v>28</v>
      </c>
      <c r="F244" s="59">
        <v>0.4166666666666667</v>
      </c>
      <c r="G244" s="20"/>
    </row>
    <row r="245" spans="8:8" ht="41.25" customHeight="1">
      <c r="A245" s="20">
        <v>8.0</v>
      </c>
      <c r="B245" s="19" t="s">
        <v>2109</v>
      </c>
      <c r="C245" s="20">
        <v>252594.0</v>
      </c>
      <c r="D245" s="33" t="s">
        <v>90</v>
      </c>
      <c r="E245" s="20" t="s">
        <v>28</v>
      </c>
      <c r="F245" s="59">
        <v>0.4166666666666667</v>
      </c>
      <c r="G245" s="20"/>
    </row>
    <row r="246" spans="8:8" ht="41.25" customHeight="1">
      <c r="A246" s="24">
        <v>9.0</v>
      </c>
      <c r="B246" s="19" t="s">
        <v>2110</v>
      </c>
      <c r="C246" s="20">
        <v>252590.0</v>
      </c>
      <c r="D246" s="33" t="s">
        <v>90</v>
      </c>
      <c r="E246" s="20" t="s">
        <v>28</v>
      </c>
      <c r="F246" s="59">
        <v>0.4166666666666667</v>
      </c>
      <c r="G246" s="20"/>
    </row>
    <row r="247" spans="8:8" ht="41.25" customHeight="1">
      <c r="A247" s="20">
        <v>10.0</v>
      </c>
      <c r="B247" s="19" t="s">
        <v>2111</v>
      </c>
      <c r="C247" s="20">
        <v>252592.0</v>
      </c>
      <c r="D247" s="33" t="s">
        <v>90</v>
      </c>
      <c r="E247" s="20" t="s">
        <v>28</v>
      </c>
      <c r="F247" s="59">
        <v>0.4166666666666667</v>
      </c>
      <c r="G247" s="20"/>
    </row>
    <row r="248" spans="8:8" ht="41.25" customHeight="1">
      <c r="A248" s="24">
        <v>11.0</v>
      </c>
      <c r="B248" s="19" t="s">
        <v>2112</v>
      </c>
      <c r="C248" s="20">
        <v>252598.0</v>
      </c>
      <c r="D248" s="33" t="s">
        <v>90</v>
      </c>
      <c r="E248" s="20" t="s">
        <v>28</v>
      </c>
      <c r="F248" s="59">
        <v>0.4166666666666667</v>
      </c>
      <c r="G248" s="20"/>
    </row>
    <row r="249" spans="8:8" ht="41.25" customHeight="1">
      <c r="A249" s="20">
        <v>12.0</v>
      </c>
      <c r="B249" s="19" t="s">
        <v>2113</v>
      </c>
      <c r="C249" s="20">
        <v>252600.0</v>
      </c>
      <c r="D249" s="33" t="s">
        <v>90</v>
      </c>
      <c r="E249" s="20" t="s">
        <v>28</v>
      </c>
      <c r="F249" s="59">
        <v>0.4166666666666667</v>
      </c>
      <c r="G249" s="20"/>
    </row>
    <row r="250" spans="8:8" ht="41.25" customHeight="1">
      <c r="A250" s="24">
        <v>13.0</v>
      </c>
      <c r="B250" s="19" t="s">
        <v>2114</v>
      </c>
      <c r="C250" s="20">
        <v>252602.0</v>
      </c>
      <c r="D250" s="33" t="s">
        <v>90</v>
      </c>
      <c r="E250" s="20" t="s">
        <v>28</v>
      </c>
      <c r="F250" s="59">
        <v>0.4166666666666667</v>
      </c>
      <c r="G250" s="20"/>
    </row>
    <row r="251" spans="8:8" ht="41.25" customHeight="1">
      <c r="A251" s="20">
        <v>14.0</v>
      </c>
      <c r="B251" s="19" t="s">
        <v>2115</v>
      </c>
      <c r="C251" s="20">
        <v>252601.0</v>
      </c>
      <c r="D251" s="33" t="s">
        <v>90</v>
      </c>
      <c r="E251" s="20" t="s">
        <v>28</v>
      </c>
      <c r="F251" s="59">
        <v>0.4166666666666667</v>
      </c>
      <c r="G251" s="20"/>
    </row>
    <row r="252" spans="8:8" ht="41.25" customHeight="1">
      <c r="A252" s="24">
        <v>15.0</v>
      </c>
      <c r="B252" s="19" t="s">
        <v>2116</v>
      </c>
      <c r="C252" s="20">
        <v>252603.0</v>
      </c>
      <c r="D252" s="33" t="s">
        <v>90</v>
      </c>
      <c r="E252" s="20" t="s">
        <v>28</v>
      </c>
      <c r="F252" s="59">
        <v>0.4166666666666667</v>
      </c>
      <c r="G252" s="20"/>
    </row>
    <row r="253" spans="8:8" ht="41.25" customHeight="1">
      <c r="A253" s="20">
        <v>16.0</v>
      </c>
      <c r="B253" s="19" t="s">
        <v>2117</v>
      </c>
      <c r="C253" s="20">
        <v>252609.0</v>
      </c>
      <c r="D253" s="33" t="s">
        <v>90</v>
      </c>
      <c r="E253" s="20" t="s">
        <v>28</v>
      </c>
      <c r="F253" s="59">
        <v>0.4166666666666667</v>
      </c>
      <c r="G253" s="20"/>
    </row>
    <row r="254" spans="8:8" ht="41.25" customHeight="1">
      <c r="A254" s="24">
        <v>17.0</v>
      </c>
      <c r="B254" s="19" t="s">
        <v>2118</v>
      </c>
      <c r="C254" s="20">
        <v>252611.0</v>
      </c>
      <c r="D254" s="33" t="s">
        <v>90</v>
      </c>
      <c r="E254" s="20" t="s">
        <v>28</v>
      </c>
      <c r="F254" s="59">
        <v>0.4166666666666667</v>
      </c>
      <c r="G254" s="20"/>
    </row>
    <row r="255" spans="8:8" ht="41.25" customHeight="1">
      <c r="A255" s="20">
        <v>18.0</v>
      </c>
      <c r="B255" s="19" t="s">
        <v>2119</v>
      </c>
      <c r="C255" s="20">
        <v>252613.0</v>
      </c>
      <c r="D255" s="33" t="s">
        <v>90</v>
      </c>
      <c r="E255" s="20" t="s">
        <v>28</v>
      </c>
      <c r="F255" s="59">
        <v>0.4166666666666667</v>
      </c>
      <c r="G255" s="20"/>
    </row>
    <row r="256" spans="8:8" ht="41.25" customHeight="1">
      <c r="A256" s="24">
        <v>19.0</v>
      </c>
      <c r="B256" s="19" t="s">
        <v>2120</v>
      </c>
      <c r="C256" s="20">
        <v>252823.0</v>
      </c>
      <c r="D256" s="33" t="s">
        <v>90</v>
      </c>
      <c r="E256" s="20" t="s">
        <v>28</v>
      </c>
      <c r="F256" s="59">
        <v>0.4166666666666667</v>
      </c>
      <c r="G256" s="20"/>
    </row>
    <row r="257" spans="8:8" ht="41.25" customHeight="1">
      <c r="A257" s="20">
        <v>20.0</v>
      </c>
      <c r="B257" s="19" t="s">
        <v>2121</v>
      </c>
      <c r="C257" s="20">
        <v>252620.0</v>
      </c>
      <c r="D257" s="33" t="s">
        <v>90</v>
      </c>
      <c r="E257" s="20" t="s">
        <v>28</v>
      </c>
      <c r="F257" s="59">
        <v>0.4166666666666667</v>
      </c>
      <c r="G257" s="20"/>
    </row>
    <row r="258" spans="8:8" ht="41.25" customHeight="1">
      <c r="A258" s="24">
        <v>21.0</v>
      </c>
      <c r="B258" s="19" t="s">
        <v>2122</v>
      </c>
      <c r="C258" s="20">
        <v>252621.0</v>
      </c>
      <c r="D258" s="33" t="s">
        <v>90</v>
      </c>
      <c r="E258" s="20" t="s">
        <v>28</v>
      </c>
      <c r="F258" s="59">
        <v>0.4166666666666667</v>
      </c>
      <c r="G258" s="20"/>
    </row>
    <row r="259" spans="8:8" ht="41.25" customHeight="1">
      <c r="A259" s="20">
        <v>22.0</v>
      </c>
      <c r="B259" s="19" t="s">
        <v>2123</v>
      </c>
      <c r="C259" s="20">
        <v>252623.0</v>
      </c>
      <c r="D259" s="33" t="s">
        <v>90</v>
      </c>
      <c r="E259" s="20" t="s">
        <v>28</v>
      </c>
      <c r="F259" s="59">
        <v>0.4166666666666667</v>
      </c>
      <c r="G259" s="20"/>
    </row>
    <row r="260" spans="8:8" ht="41.25" customHeight="1">
      <c r="A260" s="24">
        <v>23.0</v>
      </c>
      <c r="B260" s="19" t="s">
        <v>2124</v>
      </c>
      <c r="C260" s="20">
        <v>252627.0</v>
      </c>
      <c r="D260" s="33" t="s">
        <v>90</v>
      </c>
      <c r="E260" s="20" t="s">
        <v>28</v>
      </c>
      <c r="F260" s="59">
        <v>0.4166666666666667</v>
      </c>
      <c r="G260" s="20"/>
    </row>
    <row r="261" spans="8:8" ht="41.25" customHeight="1">
      <c r="A261" s="20">
        <v>24.0</v>
      </c>
      <c r="B261" s="19" t="s">
        <v>2125</v>
      </c>
      <c r="C261" s="20">
        <v>252478.0</v>
      </c>
      <c r="D261" s="33" t="s">
        <v>90</v>
      </c>
      <c r="E261" s="20" t="s">
        <v>28</v>
      </c>
      <c r="F261" s="59">
        <v>0.4166666666666667</v>
      </c>
      <c r="G261" s="20"/>
    </row>
    <row r="262" spans="8:8" ht="41.25" customHeight="1">
      <c r="A262" s="24">
        <v>25.0</v>
      </c>
      <c r="B262" s="19" t="s">
        <v>2126</v>
      </c>
      <c r="C262" s="20">
        <v>253180.0</v>
      </c>
      <c r="D262" s="33" t="s">
        <v>90</v>
      </c>
      <c r="E262" s="20" t="s">
        <v>28</v>
      </c>
      <c r="F262" s="59">
        <v>0.4166666666666667</v>
      </c>
      <c r="G262" s="20"/>
    </row>
    <row r="263" spans="8:8" ht="41.25" customHeight="1">
      <c r="A263" s="60" t="s">
        <v>18</v>
      </c>
      <c r="B263" s="60" t="s">
        <v>19</v>
      </c>
      <c r="C263" s="60" t="s">
        <v>1870</v>
      </c>
      <c r="D263" s="60" t="s">
        <v>21</v>
      </c>
      <c r="E263" s="60" t="s">
        <v>22</v>
      </c>
      <c r="F263" s="9" t="s">
        <v>23</v>
      </c>
      <c r="G263" s="60" t="s">
        <v>2127</v>
      </c>
    </row>
    <row r="264" spans="8:8" ht="41.25" customHeight="1">
      <c r="A264" s="24">
        <v>1.0</v>
      </c>
      <c r="B264" s="23" t="s">
        <v>2128</v>
      </c>
      <c r="C264" s="24">
        <v>252944.0</v>
      </c>
      <c r="D264" s="33" t="s">
        <v>90</v>
      </c>
      <c r="E264" s="24" t="s">
        <v>28</v>
      </c>
      <c r="F264" s="61">
        <v>0.4166666666666667</v>
      </c>
      <c r="G264" s="24"/>
    </row>
    <row r="265" spans="8:8" ht="41.25" customHeight="1">
      <c r="A265" s="20">
        <v>2.0</v>
      </c>
      <c r="B265" s="19" t="s">
        <v>2129</v>
      </c>
      <c r="C265" s="20">
        <v>252938.0</v>
      </c>
      <c r="D265" s="33" t="s">
        <v>90</v>
      </c>
      <c r="E265" s="20" t="s">
        <v>28</v>
      </c>
      <c r="F265" s="59">
        <v>0.4166666666666667</v>
      </c>
      <c r="G265" s="13"/>
    </row>
    <row r="266" spans="8:8" ht="41.25" customHeight="1">
      <c r="A266" s="24">
        <v>3.0</v>
      </c>
      <c r="B266" s="23" t="s">
        <v>2130</v>
      </c>
      <c r="C266" s="24">
        <v>252825.0</v>
      </c>
      <c r="D266" s="33" t="s">
        <v>90</v>
      </c>
      <c r="E266" s="20" t="s">
        <v>28</v>
      </c>
      <c r="F266" s="59">
        <v>0.4166666666666667</v>
      </c>
      <c r="G266" s="20"/>
    </row>
    <row r="267" spans="8:8" ht="41.25" customHeight="1">
      <c r="A267" s="20">
        <v>4.0</v>
      </c>
      <c r="B267" s="19" t="s">
        <v>2131</v>
      </c>
      <c r="C267" s="20">
        <v>252546.0</v>
      </c>
      <c r="D267" s="33" t="s">
        <v>90</v>
      </c>
      <c r="E267" s="20" t="s">
        <v>28</v>
      </c>
      <c r="F267" s="59">
        <v>0.4166666666666667</v>
      </c>
      <c r="G267" s="20"/>
    </row>
    <row r="268" spans="8:8" ht="41.25" customHeight="1">
      <c r="A268" s="24">
        <v>5.0</v>
      </c>
      <c r="B268" s="19" t="s">
        <v>2132</v>
      </c>
      <c r="C268" s="20">
        <v>252547.0</v>
      </c>
      <c r="D268" s="33" t="s">
        <v>90</v>
      </c>
      <c r="E268" s="20" t="s">
        <v>28</v>
      </c>
      <c r="F268" s="59">
        <v>0.4166666666666667</v>
      </c>
      <c r="G268" s="20"/>
    </row>
    <row r="269" spans="8:8" ht="41.25" customHeight="1">
      <c r="A269" s="20">
        <v>6.0</v>
      </c>
      <c r="B269" s="19" t="s">
        <v>2133</v>
      </c>
      <c r="C269" s="20">
        <v>252548.0</v>
      </c>
      <c r="D269" s="33" t="s">
        <v>90</v>
      </c>
      <c r="E269" s="20" t="s">
        <v>28</v>
      </c>
      <c r="F269" s="59">
        <v>0.4166666666666667</v>
      </c>
      <c r="G269" s="20"/>
    </row>
    <row r="270" spans="8:8" ht="41.25" customHeight="1">
      <c r="A270" s="24">
        <v>7.0</v>
      </c>
      <c r="B270" s="19" t="s">
        <v>2134</v>
      </c>
      <c r="C270" s="20">
        <v>252549.0</v>
      </c>
      <c r="D270" s="33" t="s">
        <v>90</v>
      </c>
      <c r="E270" s="20" t="s">
        <v>28</v>
      </c>
      <c r="F270" s="59">
        <v>0.4166666666666667</v>
      </c>
      <c r="G270" s="20"/>
    </row>
    <row r="271" spans="8:8" ht="41.25" customHeight="1">
      <c r="A271" s="20">
        <v>8.0</v>
      </c>
      <c r="B271" s="19" t="s">
        <v>2135</v>
      </c>
      <c r="C271" s="20">
        <v>252553.0</v>
      </c>
      <c r="D271" s="33" t="s">
        <v>90</v>
      </c>
      <c r="E271" s="20" t="s">
        <v>28</v>
      </c>
      <c r="F271" s="59">
        <v>0.4166666666666667</v>
      </c>
      <c r="G271" s="20"/>
    </row>
    <row r="272" spans="8:8" ht="41.25" customHeight="1">
      <c r="A272" s="24">
        <v>9.0</v>
      </c>
      <c r="B272" s="19" t="s">
        <v>2136</v>
      </c>
      <c r="C272" s="20">
        <v>252578.0</v>
      </c>
      <c r="D272" s="33" t="s">
        <v>90</v>
      </c>
      <c r="E272" s="20" t="s">
        <v>28</v>
      </c>
      <c r="F272" s="59">
        <v>0.4166666666666667</v>
      </c>
      <c r="G272" s="20"/>
    </row>
    <row r="273" spans="8:8" ht="41.25" customHeight="1">
      <c r="A273" s="20">
        <v>10.0</v>
      </c>
      <c r="B273" s="19" t="s">
        <v>2137</v>
      </c>
      <c r="C273" s="20">
        <v>252794.0</v>
      </c>
      <c r="D273" s="33" t="s">
        <v>90</v>
      </c>
      <c r="E273" s="20" t="s">
        <v>28</v>
      </c>
      <c r="F273" s="59">
        <v>0.4166666666666667</v>
      </c>
      <c r="G273" s="20"/>
    </row>
    <row r="274" spans="8:8" ht="41.25" customHeight="1">
      <c r="A274" s="24">
        <v>11.0</v>
      </c>
      <c r="B274" s="19" t="s">
        <v>2138</v>
      </c>
      <c r="C274" s="20">
        <v>251891.0</v>
      </c>
      <c r="D274" s="33" t="s">
        <v>104</v>
      </c>
      <c r="E274" s="24" t="s">
        <v>28</v>
      </c>
      <c r="F274" s="59">
        <v>0.4166666666666667</v>
      </c>
      <c r="G274" s="24"/>
    </row>
    <row r="275" spans="8:8" ht="41.25" customHeight="1">
      <c r="A275" s="20">
        <v>12.0</v>
      </c>
      <c r="B275" s="19" t="s">
        <v>2139</v>
      </c>
      <c r="C275" s="20">
        <v>251956.0</v>
      </c>
      <c r="D275" s="19" t="s">
        <v>104</v>
      </c>
      <c r="E275" s="20" t="s">
        <v>28</v>
      </c>
      <c r="F275" s="59">
        <v>0.4166666666666667</v>
      </c>
      <c r="G275" s="20"/>
    </row>
    <row r="276" spans="8:8" ht="41.25" customHeight="1">
      <c r="A276" s="24">
        <v>13.0</v>
      </c>
      <c r="B276" s="19" t="s">
        <v>2140</v>
      </c>
      <c r="C276" s="20">
        <v>251941.0</v>
      </c>
      <c r="D276" s="19" t="s">
        <v>104</v>
      </c>
      <c r="E276" s="20" t="s">
        <v>28</v>
      </c>
      <c r="F276" s="59">
        <v>0.4166666666666667</v>
      </c>
      <c r="G276" s="20"/>
    </row>
    <row r="277" spans="8:8" ht="41.25" customHeight="1">
      <c r="A277" s="20">
        <v>14.0</v>
      </c>
      <c r="B277" s="19" t="s">
        <v>2141</v>
      </c>
      <c r="C277" s="20">
        <v>252628.0</v>
      </c>
      <c r="D277" s="19" t="s">
        <v>90</v>
      </c>
      <c r="E277" s="20" t="s">
        <v>28</v>
      </c>
      <c r="F277" s="59">
        <v>0.4166666666666667</v>
      </c>
      <c r="G277" s="20"/>
    </row>
    <row r="278" spans="8:8" ht="41.25" customHeight="1">
      <c r="A278" s="24">
        <v>15.0</v>
      </c>
      <c r="B278" s="19" t="s">
        <v>2142</v>
      </c>
      <c r="C278" s="20">
        <v>252631.0</v>
      </c>
      <c r="D278" s="33" t="s">
        <v>90</v>
      </c>
      <c r="E278" s="20" t="s">
        <v>28</v>
      </c>
      <c r="F278" s="59">
        <v>0.4166666666666667</v>
      </c>
      <c r="G278" s="20"/>
    </row>
    <row r="279" spans="8:8" ht="41.25" customHeight="1">
      <c r="A279" s="20">
        <v>16.0</v>
      </c>
      <c r="B279" s="19" t="s">
        <v>2143</v>
      </c>
      <c r="C279" s="20">
        <v>252638.0</v>
      </c>
      <c r="D279" s="33" t="s">
        <v>90</v>
      </c>
      <c r="E279" s="20" t="s">
        <v>28</v>
      </c>
      <c r="F279" s="59">
        <v>0.4166666666666667</v>
      </c>
      <c r="G279" s="20"/>
    </row>
    <row r="280" spans="8:8" ht="41.25" customHeight="1">
      <c r="A280" s="24">
        <v>17.0</v>
      </c>
      <c r="B280" s="19" t="s">
        <v>2144</v>
      </c>
      <c r="C280" s="20">
        <v>252641.0</v>
      </c>
      <c r="D280" s="33" t="s">
        <v>90</v>
      </c>
      <c r="E280" s="20" t="s">
        <v>28</v>
      </c>
      <c r="F280" s="59">
        <v>0.4166666666666667</v>
      </c>
      <c r="G280" s="20"/>
    </row>
    <row r="281" spans="8:8" ht="41.25" customHeight="1">
      <c r="A281" s="20">
        <v>18.0</v>
      </c>
      <c r="B281" s="19" t="s">
        <v>2145</v>
      </c>
      <c r="C281" s="20">
        <v>252645.0</v>
      </c>
      <c r="D281" s="33" t="s">
        <v>90</v>
      </c>
      <c r="E281" s="20" t="s">
        <v>28</v>
      </c>
      <c r="F281" s="59">
        <v>0.4166666666666667</v>
      </c>
      <c r="G281" s="20"/>
    </row>
    <row r="282" spans="8:8" ht="41.25" customHeight="1">
      <c r="A282" s="24">
        <v>19.0</v>
      </c>
      <c r="B282" s="19" t="s">
        <v>2146</v>
      </c>
      <c r="C282" s="20">
        <v>252857.0</v>
      </c>
      <c r="D282" s="33" t="s">
        <v>90</v>
      </c>
      <c r="E282" s="20" t="s">
        <v>28</v>
      </c>
      <c r="F282" s="59">
        <v>0.4166666666666667</v>
      </c>
      <c r="G282" s="20"/>
    </row>
    <row r="283" spans="8:8" ht="41.25" customHeight="1">
      <c r="A283" s="20">
        <v>20.0</v>
      </c>
      <c r="B283" s="19" t="s">
        <v>2147</v>
      </c>
      <c r="C283" s="20">
        <v>252840.0</v>
      </c>
      <c r="D283" s="33" t="s">
        <v>90</v>
      </c>
      <c r="E283" s="20" t="s">
        <v>28</v>
      </c>
      <c r="F283" s="59">
        <v>0.4166666666666667</v>
      </c>
      <c r="G283" s="20"/>
    </row>
    <row r="284" spans="8:8" ht="41.25" customHeight="1">
      <c r="A284" s="24">
        <v>21.0</v>
      </c>
      <c r="B284" s="19" t="s">
        <v>2148</v>
      </c>
      <c r="C284" s="20">
        <v>252644.0</v>
      </c>
      <c r="D284" s="33" t="s">
        <v>90</v>
      </c>
      <c r="E284" s="20" t="s">
        <v>28</v>
      </c>
      <c r="F284" s="59">
        <v>0.4166666666666667</v>
      </c>
      <c r="G284" s="20"/>
    </row>
    <row r="285" spans="8:8" ht="41.25" customHeight="1">
      <c r="A285" s="20">
        <v>22.0</v>
      </c>
      <c r="B285" s="19" t="s">
        <v>2149</v>
      </c>
      <c r="C285" s="20">
        <v>253002.0</v>
      </c>
      <c r="D285" s="33" t="s">
        <v>90</v>
      </c>
      <c r="E285" s="20" t="s">
        <v>28</v>
      </c>
      <c r="F285" s="59">
        <v>0.4166666666666667</v>
      </c>
      <c r="G285" s="20"/>
    </row>
    <row r="286" spans="8:8" ht="41.25" customHeight="1">
      <c r="A286" s="24">
        <v>23.0</v>
      </c>
      <c r="B286" s="19" t="s">
        <v>2150</v>
      </c>
      <c r="C286" s="20">
        <v>252846.0</v>
      </c>
      <c r="D286" s="33" t="s">
        <v>90</v>
      </c>
      <c r="E286" s="20" t="s">
        <v>28</v>
      </c>
      <c r="F286" s="59">
        <v>0.4166666666666667</v>
      </c>
      <c r="G286" s="20"/>
    </row>
    <row r="287" spans="8:8" ht="41.25" customHeight="1">
      <c r="A287" s="20">
        <v>24.0</v>
      </c>
      <c r="B287" s="19" t="s">
        <v>2151</v>
      </c>
      <c r="C287" s="20">
        <v>252648.0</v>
      </c>
      <c r="D287" s="33" t="s">
        <v>90</v>
      </c>
      <c r="E287" s="20" t="s">
        <v>28</v>
      </c>
      <c r="F287" s="59">
        <v>0.4166666666666667</v>
      </c>
      <c r="G287" s="20"/>
    </row>
    <row r="288" spans="8:8" ht="41.25" customHeight="1">
      <c r="A288" s="24">
        <v>25.0</v>
      </c>
      <c r="B288" s="19" t="s">
        <v>2152</v>
      </c>
      <c r="C288" s="20">
        <v>252651.0</v>
      </c>
      <c r="D288" s="33" t="s">
        <v>90</v>
      </c>
      <c r="E288" s="20" t="s">
        <v>28</v>
      </c>
      <c r="F288" s="59">
        <v>0.4166666666666667</v>
      </c>
      <c r="G288" s="20"/>
    </row>
    <row r="289" spans="8:8" ht="41.25" customHeight="1">
      <c r="A289" s="60" t="s">
        <v>18</v>
      </c>
      <c r="B289" s="60" t="s">
        <v>19</v>
      </c>
      <c r="C289" s="60" t="s">
        <v>1870</v>
      </c>
      <c r="D289" s="60" t="s">
        <v>21</v>
      </c>
      <c r="E289" s="60" t="s">
        <v>22</v>
      </c>
      <c r="F289" s="9" t="s">
        <v>23</v>
      </c>
      <c r="G289" s="60" t="s">
        <v>2153</v>
      </c>
    </row>
    <row r="290" spans="8:8" ht="41.25" customHeight="1">
      <c r="A290" s="24">
        <v>1.0</v>
      </c>
      <c r="B290" s="23" t="s">
        <v>2154</v>
      </c>
      <c r="C290" s="24">
        <v>252930.0</v>
      </c>
      <c r="D290" s="33" t="s">
        <v>90</v>
      </c>
      <c r="E290" s="24" t="s">
        <v>28</v>
      </c>
      <c r="F290" s="61">
        <v>0.4166666666666667</v>
      </c>
      <c r="G290" s="24"/>
    </row>
    <row r="291" spans="8:8" ht="41.25" customHeight="1">
      <c r="A291" s="20">
        <v>2.0</v>
      </c>
      <c r="B291" s="19" t="s">
        <v>2155</v>
      </c>
      <c r="C291" s="20">
        <v>252649.0</v>
      </c>
      <c r="D291" s="33" t="s">
        <v>90</v>
      </c>
      <c r="E291" s="20" t="s">
        <v>28</v>
      </c>
      <c r="F291" s="59">
        <v>0.4166666666666667</v>
      </c>
      <c r="G291" s="13"/>
    </row>
    <row r="292" spans="8:8" ht="41.25" customHeight="1">
      <c r="A292" s="24">
        <v>3.0</v>
      </c>
      <c r="B292" s="19" t="s">
        <v>2156</v>
      </c>
      <c r="C292" s="20">
        <v>252635.0</v>
      </c>
      <c r="D292" s="33" t="s">
        <v>90</v>
      </c>
      <c r="E292" s="20" t="s">
        <v>28</v>
      </c>
      <c r="F292" s="59">
        <v>0.4166666666666667</v>
      </c>
      <c r="G292" s="20"/>
    </row>
    <row r="293" spans="8:8" ht="41.25" customHeight="1">
      <c r="A293" s="20">
        <v>4.0</v>
      </c>
      <c r="B293" s="19" t="s">
        <v>2157</v>
      </c>
      <c r="C293" s="20">
        <v>252657.0</v>
      </c>
      <c r="D293" s="33" t="s">
        <v>90</v>
      </c>
      <c r="E293" s="20" t="s">
        <v>28</v>
      </c>
      <c r="F293" s="59">
        <v>0.4166666666666667</v>
      </c>
      <c r="G293" s="20"/>
    </row>
    <row r="294" spans="8:8" ht="41.25" customHeight="1">
      <c r="A294" s="24">
        <v>5.0</v>
      </c>
      <c r="B294" s="19" t="s">
        <v>2158</v>
      </c>
      <c r="C294" s="20">
        <v>252656.0</v>
      </c>
      <c r="D294" s="33" t="s">
        <v>90</v>
      </c>
      <c r="E294" s="20" t="s">
        <v>28</v>
      </c>
      <c r="F294" s="59">
        <v>0.4166666666666667</v>
      </c>
      <c r="G294" s="20"/>
    </row>
    <row r="295" spans="8:8" ht="41.25" customHeight="1">
      <c r="A295" s="20">
        <v>6.0</v>
      </c>
      <c r="B295" s="19" t="s">
        <v>2159</v>
      </c>
      <c r="C295" s="20">
        <v>252654.0</v>
      </c>
      <c r="D295" s="33" t="s">
        <v>90</v>
      </c>
      <c r="E295" s="20" t="s">
        <v>28</v>
      </c>
      <c r="F295" s="59">
        <v>0.4166666666666667</v>
      </c>
      <c r="G295" s="20"/>
    </row>
    <row r="296" spans="8:8" ht="41.25" customHeight="1">
      <c r="A296" s="24">
        <v>7.0</v>
      </c>
      <c r="B296" s="19" t="s">
        <v>2160</v>
      </c>
      <c r="C296" s="20">
        <v>252636.0</v>
      </c>
      <c r="D296" s="33" t="s">
        <v>90</v>
      </c>
      <c r="E296" s="20" t="s">
        <v>28</v>
      </c>
      <c r="F296" s="59">
        <v>0.4166666666666667</v>
      </c>
      <c r="G296" s="20"/>
    </row>
    <row r="297" spans="8:8" ht="41.25" customHeight="1">
      <c r="A297" s="20">
        <v>8.0</v>
      </c>
      <c r="B297" s="19" t="s">
        <v>2161</v>
      </c>
      <c r="C297" s="20">
        <v>252821.0</v>
      </c>
      <c r="D297" s="33" t="s">
        <v>90</v>
      </c>
      <c r="E297" s="20" t="s">
        <v>28</v>
      </c>
      <c r="F297" s="59">
        <v>0.4166666666666667</v>
      </c>
      <c r="G297" s="20"/>
    </row>
    <row r="298" spans="8:8" ht="41.25" customHeight="1">
      <c r="A298" s="24">
        <v>9.0</v>
      </c>
      <c r="B298" s="19" t="s">
        <v>2162</v>
      </c>
      <c r="C298" s="20">
        <v>252855.0</v>
      </c>
      <c r="D298" s="33" t="s">
        <v>90</v>
      </c>
      <c r="E298" s="20" t="s">
        <v>28</v>
      </c>
      <c r="F298" s="59">
        <v>0.4166666666666667</v>
      </c>
      <c r="G298" s="20"/>
    </row>
    <row r="299" spans="8:8" ht="41.25" customHeight="1">
      <c r="A299" s="20">
        <v>10.0</v>
      </c>
      <c r="B299" s="19" t="s">
        <v>2163</v>
      </c>
      <c r="C299" s="20">
        <v>252862.0</v>
      </c>
      <c r="D299" s="33" t="s">
        <v>90</v>
      </c>
      <c r="E299" s="20" t="s">
        <v>28</v>
      </c>
      <c r="F299" s="59">
        <v>0.4166666666666667</v>
      </c>
      <c r="G299" s="20"/>
    </row>
    <row r="300" spans="8:8" ht="41.25" customHeight="1">
      <c r="A300" s="24">
        <v>11.0</v>
      </c>
      <c r="B300" s="19" t="s">
        <v>2164</v>
      </c>
      <c r="C300" s="20">
        <v>252632.0</v>
      </c>
      <c r="D300" s="33" t="s">
        <v>90</v>
      </c>
      <c r="E300" s="20" t="s">
        <v>28</v>
      </c>
      <c r="F300" s="59">
        <v>0.4166666666666667</v>
      </c>
      <c r="G300" s="20"/>
    </row>
    <row r="301" spans="8:8" ht="41.25" customHeight="1">
      <c r="A301" s="20">
        <v>12.0</v>
      </c>
      <c r="B301" s="19" t="s">
        <v>2165</v>
      </c>
      <c r="C301" s="20">
        <v>252763.0</v>
      </c>
      <c r="D301" s="33" t="s">
        <v>90</v>
      </c>
      <c r="E301" s="20" t="s">
        <v>28</v>
      </c>
      <c r="F301" s="59">
        <v>0.4166666666666667</v>
      </c>
      <c r="G301" s="20"/>
    </row>
    <row r="302" spans="8:8" ht="41.25" customHeight="1">
      <c r="A302" s="24">
        <v>13.0</v>
      </c>
      <c r="B302" s="19" t="s">
        <v>2166</v>
      </c>
      <c r="C302" s="20">
        <v>252733.0</v>
      </c>
      <c r="D302" s="33" t="s">
        <v>90</v>
      </c>
      <c r="E302" s="20" t="s">
        <v>28</v>
      </c>
      <c r="F302" s="59">
        <v>0.4166666666666667</v>
      </c>
      <c r="G302" s="20"/>
    </row>
    <row r="303" spans="8:8" ht="41.25" customHeight="1">
      <c r="A303" s="20">
        <v>14.0</v>
      </c>
      <c r="B303" s="19" t="s">
        <v>2167</v>
      </c>
      <c r="C303" s="20">
        <v>252492.0</v>
      </c>
      <c r="D303" s="33" t="s">
        <v>90</v>
      </c>
      <c r="E303" s="20" t="s">
        <v>28</v>
      </c>
      <c r="F303" s="59">
        <v>0.4166666666666667</v>
      </c>
      <c r="G303" s="20"/>
    </row>
    <row r="304" spans="8:8" ht="41.25" customHeight="1">
      <c r="A304" s="24">
        <v>15.0</v>
      </c>
      <c r="B304" s="19" t="s">
        <v>2168</v>
      </c>
      <c r="C304" s="20">
        <v>253085.0</v>
      </c>
      <c r="D304" s="33" t="s">
        <v>90</v>
      </c>
      <c r="E304" s="20" t="s">
        <v>28</v>
      </c>
      <c r="F304" s="59">
        <v>0.4166666666666667</v>
      </c>
      <c r="G304" s="20"/>
    </row>
    <row r="305" spans="8:8" ht="41.25" customHeight="1">
      <c r="A305" s="20">
        <v>16.0</v>
      </c>
      <c r="B305" s="19" t="s">
        <v>2169</v>
      </c>
      <c r="C305" s="20">
        <v>253106.0</v>
      </c>
      <c r="D305" s="33" t="s">
        <v>90</v>
      </c>
      <c r="E305" s="20" t="s">
        <v>28</v>
      </c>
      <c r="F305" s="59">
        <v>0.4166666666666667</v>
      </c>
      <c r="G305" s="20"/>
    </row>
    <row r="306" spans="8:8" ht="41.25" customHeight="1">
      <c r="A306" s="24">
        <v>17.0</v>
      </c>
      <c r="B306" s="19" t="s">
        <v>2170</v>
      </c>
      <c r="C306" s="20">
        <v>252844.0</v>
      </c>
      <c r="D306" s="33" t="s">
        <v>90</v>
      </c>
      <c r="E306" s="20" t="s">
        <v>28</v>
      </c>
      <c r="F306" s="59">
        <v>0.4166666666666667</v>
      </c>
      <c r="G306" s="20"/>
    </row>
    <row r="307" spans="8:8" ht="41.25" customHeight="1">
      <c r="A307" s="20">
        <v>18.0</v>
      </c>
      <c r="B307" s="19" t="s">
        <v>2171</v>
      </c>
      <c r="C307" s="20">
        <v>253021.0</v>
      </c>
      <c r="D307" s="33" t="s">
        <v>90</v>
      </c>
      <c r="E307" s="20" t="s">
        <v>28</v>
      </c>
      <c r="F307" s="59">
        <v>0.4166666666666667</v>
      </c>
      <c r="G307" s="20"/>
    </row>
    <row r="308" spans="8:8" ht="41.25" customHeight="1">
      <c r="A308" s="24">
        <v>19.0</v>
      </c>
      <c r="B308" s="19" t="s">
        <v>2172</v>
      </c>
      <c r="C308" s="24">
        <v>251820.0</v>
      </c>
      <c r="D308" s="33" t="s">
        <v>104</v>
      </c>
      <c r="E308" s="24" t="s">
        <v>28</v>
      </c>
      <c r="F308" s="59">
        <v>0.4166666666666667</v>
      </c>
      <c r="G308" s="24"/>
    </row>
    <row r="309" spans="8:8" ht="41.25" customHeight="1">
      <c r="A309" s="20">
        <v>20.0</v>
      </c>
      <c r="B309" s="19" t="s">
        <v>2173</v>
      </c>
      <c r="C309" s="20">
        <v>251811.0</v>
      </c>
      <c r="D309" s="19" t="s">
        <v>104</v>
      </c>
      <c r="E309" s="20" t="s">
        <v>28</v>
      </c>
      <c r="F309" s="59">
        <v>0.4166666666666667</v>
      </c>
      <c r="G309" s="20"/>
    </row>
    <row r="310" spans="8:8" ht="41.25" customHeight="1">
      <c r="A310" s="24">
        <v>21.0</v>
      </c>
      <c r="B310" s="19" t="s">
        <v>2174</v>
      </c>
      <c r="C310" s="20">
        <v>252316.0</v>
      </c>
      <c r="D310" s="19" t="s">
        <v>104</v>
      </c>
      <c r="E310" s="20" t="s">
        <v>28</v>
      </c>
      <c r="F310" s="59">
        <v>0.4166666666666667</v>
      </c>
      <c r="G310" s="20"/>
    </row>
    <row r="311" spans="8:8" ht="41.25" customHeight="1">
      <c r="A311" s="20">
        <v>22.0</v>
      </c>
      <c r="B311" s="19" t="s">
        <v>2175</v>
      </c>
      <c r="C311" s="20">
        <v>252714.0</v>
      </c>
      <c r="D311" s="19" t="s">
        <v>90</v>
      </c>
      <c r="E311" s="20" t="s">
        <v>28</v>
      </c>
      <c r="F311" s="59">
        <v>0.4166666666666667</v>
      </c>
      <c r="G311" s="20"/>
    </row>
    <row r="312" spans="8:8" ht="41.25" customHeight="1">
      <c r="A312" s="24">
        <v>23.0</v>
      </c>
      <c r="B312" s="19" t="s">
        <v>2176</v>
      </c>
      <c r="C312" s="20">
        <v>252721.0</v>
      </c>
      <c r="D312" s="33" t="s">
        <v>90</v>
      </c>
      <c r="E312" s="20" t="s">
        <v>28</v>
      </c>
      <c r="F312" s="59">
        <v>0.4166666666666667</v>
      </c>
      <c r="G312" s="20"/>
    </row>
    <row r="313" spans="8:8" ht="41.25" customHeight="1">
      <c r="A313" s="20">
        <v>24.0</v>
      </c>
      <c r="B313" s="19" t="s">
        <v>2177</v>
      </c>
      <c r="C313" s="20">
        <v>252717.0</v>
      </c>
      <c r="D313" s="33" t="s">
        <v>90</v>
      </c>
      <c r="E313" s="20" t="s">
        <v>28</v>
      </c>
      <c r="F313" s="59">
        <v>0.4166666666666667</v>
      </c>
      <c r="G313" s="20"/>
    </row>
    <row r="314" spans="8:8" ht="41.25" customHeight="1">
      <c r="A314" s="24">
        <v>25.0</v>
      </c>
      <c r="B314" s="19" t="s">
        <v>2178</v>
      </c>
      <c r="C314" s="20">
        <v>252719.0</v>
      </c>
      <c r="D314" s="33" t="s">
        <v>90</v>
      </c>
      <c r="E314" s="20" t="s">
        <v>28</v>
      </c>
      <c r="F314" s="59">
        <v>0.4166666666666667</v>
      </c>
      <c r="G314" s="20"/>
    </row>
    <row r="315" spans="8:8" ht="41.25" customHeight="1">
      <c r="A315" s="60" t="s">
        <v>18</v>
      </c>
      <c r="B315" s="60" t="s">
        <v>19</v>
      </c>
      <c r="C315" s="60" t="s">
        <v>1870</v>
      </c>
      <c r="D315" s="60" t="s">
        <v>21</v>
      </c>
      <c r="E315" s="60" t="s">
        <v>22</v>
      </c>
      <c r="F315" s="9" t="s">
        <v>23</v>
      </c>
      <c r="G315" s="60" t="s">
        <v>2179</v>
      </c>
    </row>
    <row r="316" spans="8:8" ht="41.25" customHeight="1">
      <c r="A316" s="24">
        <v>1.0</v>
      </c>
      <c r="B316" s="23" t="s">
        <v>2180</v>
      </c>
      <c r="C316" s="24">
        <v>252724.0</v>
      </c>
      <c r="D316" s="33" t="s">
        <v>90</v>
      </c>
      <c r="E316" s="24" t="s">
        <v>28</v>
      </c>
      <c r="F316" s="61">
        <v>0.4166666666666667</v>
      </c>
      <c r="G316" s="24"/>
    </row>
    <row r="317" spans="8:8" ht="41.25" customHeight="1">
      <c r="A317" s="20">
        <v>2.0</v>
      </c>
      <c r="B317" s="19" t="s">
        <v>2181</v>
      </c>
      <c r="C317" s="20">
        <v>252848.0</v>
      </c>
      <c r="D317" s="33" t="s">
        <v>90</v>
      </c>
      <c r="E317" s="20" t="s">
        <v>28</v>
      </c>
      <c r="F317" s="59">
        <v>0.4166666666666667</v>
      </c>
      <c r="G317" s="13"/>
    </row>
    <row r="318" spans="8:8" ht="41.25" customHeight="1">
      <c r="A318" s="24">
        <v>3.0</v>
      </c>
      <c r="B318" s="19" t="s">
        <v>2182</v>
      </c>
      <c r="C318" s="20">
        <v>252727.0</v>
      </c>
      <c r="D318" s="33" t="s">
        <v>90</v>
      </c>
      <c r="E318" s="20" t="s">
        <v>28</v>
      </c>
      <c r="F318" s="59">
        <v>0.4166666666666667</v>
      </c>
      <c r="G318" s="20"/>
    </row>
    <row r="319" spans="8:8" ht="41.25" customHeight="1">
      <c r="A319" s="20">
        <v>4.0</v>
      </c>
      <c r="B319" s="19" t="s">
        <v>2183</v>
      </c>
      <c r="C319" s="20">
        <v>252949.0</v>
      </c>
      <c r="D319" s="33" t="s">
        <v>90</v>
      </c>
      <c r="E319" s="20" t="s">
        <v>28</v>
      </c>
      <c r="F319" s="59">
        <v>0.4166666666666667</v>
      </c>
      <c r="G319" s="20"/>
    </row>
    <row r="320" spans="8:8" ht="41.25" customHeight="1">
      <c r="A320" s="24">
        <v>5.0</v>
      </c>
      <c r="B320" s="19" t="s">
        <v>2184</v>
      </c>
      <c r="C320" s="20">
        <v>252732.0</v>
      </c>
      <c r="D320" s="33" t="s">
        <v>90</v>
      </c>
      <c r="E320" s="20" t="s">
        <v>28</v>
      </c>
      <c r="F320" s="59">
        <v>0.4166666666666667</v>
      </c>
      <c r="G320" s="20"/>
    </row>
    <row r="321" spans="8:8" ht="41.25" customHeight="1">
      <c r="A321" s="20">
        <v>6.0</v>
      </c>
      <c r="B321" s="19" t="s">
        <v>2185</v>
      </c>
      <c r="C321" s="20">
        <v>252734.0</v>
      </c>
      <c r="D321" s="33" t="s">
        <v>90</v>
      </c>
      <c r="E321" s="20" t="s">
        <v>28</v>
      </c>
      <c r="F321" s="59">
        <v>0.4166666666666667</v>
      </c>
      <c r="G321" s="20"/>
    </row>
    <row r="322" spans="8:8" ht="41.25" customHeight="1">
      <c r="A322" s="24">
        <v>7.0</v>
      </c>
      <c r="B322" s="19" t="s">
        <v>2186</v>
      </c>
      <c r="C322" s="20">
        <v>252752.0</v>
      </c>
      <c r="D322" s="33" t="s">
        <v>90</v>
      </c>
      <c r="E322" s="20" t="s">
        <v>28</v>
      </c>
      <c r="F322" s="59">
        <v>0.4166666666666667</v>
      </c>
      <c r="G322" s="20"/>
    </row>
    <row r="323" spans="8:8" ht="41.25" customHeight="1">
      <c r="A323" s="20">
        <v>8.0</v>
      </c>
      <c r="B323" s="19" t="s">
        <v>2187</v>
      </c>
      <c r="C323" s="20">
        <v>252838.0</v>
      </c>
      <c r="D323" s="33" t="s">
        <v>90</v>
      </c>
      <c r="E323" s="20" t="s">
        <v>28</v>
      </c>
      <c r="F323" s="59">
        <v>0.4166666666666667</v>
      </c>
      <c r="G323" s="20"/>
    </row>
    <row r="324" spans="8:8" ht="41.25" customHeight="1">
      <c r="A324" s="24">
        <v>9.0</v>
      </c>
      <c r="B324" s="19" t="s">
        <v>2188</v>
      </c>
      <c r="C324" s="20">
        <v>252939.0</v>
      </c>
      <c r="D324" s="33" t="s">
        <v>90</v>
      </c>
      <c r="E324" s="20" t="s">
        <v>28</v>
      </c>
      <c r="F324" s="59">
        <v>0.4166666666666667</v>
      </c>
      <c r="G324" s="20"/>
    </row>
    <row r="325" spans="8:8" ht="41.25" customHeight="1">
      <c r="A325" s="20">
        <v>10.0</v>
      </c>
      <c r="B325" s="19" t="s">
        <v>2189</v>
      </c>
      <c r="C325" s="20">
        <v>252745.0</v>
      </c>
      <c r="D325" s="33" t="s">
        <v>90</v>
      </c>
      <c r="E325" s="20" t="s">
        <v>28</v>
      </c>
      <c r="F325" s="59">
        <v>0.4166666666666667</v>
      </c>
      <c r="G325" s="20"/>
    </row>
    <row r="326" spans="8:8" ht="41.25" customHeight="1">
      <c r="A326" s="24">
        <v>11.0</v>
      </c>
      <c r="B326" s="19" t="s">
        <v>2190</v>
      </c>
      <c r="C326" s="20">
        <v>252859.0</v>
      </c>
      <c r="D326" s="33" t="s">
        <v>90</v>
      </c>
      <c r="E326" s="20" t="s">
        <v>28</v>
      </c>
      <c r="F326" s="59">
        <v>0.4166666666666667</v>
      </c>
      <c r="G326" s="20"/>
    </row>
    <row r="327" spans="8:8" ht="41.25" customHeight="1">
      <c r="A327" s="20">
        <v>12.0</v>
      </c>
      <c r="B327" s="19" t="s">
        <v>2191</v>
      </c>
      <c r="C327" s="20">
        <v>252858.0</v>
      </c>
      <c r="D327" s="33" t="s">
        <v>90</v>
      </c>
      <c r="E327" s="20" t="s">
        <v>28</v>
      </c>
      <c r="F327" s="59">
        <v>0.4166666666666667</v>
      </c>
      <c r="G327" s="20"/>
    </row>
    <row r="328" spans="8:8" ht="41.25" customHeight="1">
      <c r="A328" s="24">
        <v>13.0</v>
      </c>
      <c r="B328" s="19" t="s">
        <v>2192</v>
      </c>
      <c r="C328" s="20">
        <v>252740.0</v>
      </c>
      <c r="D328" s="33" t="s">
        <v>90</v>
      </c>
      <c r="E328" s="20" t="s">
        <v>28</v>
      </c>
      <c r="F328" s="59">
        <v>0.4166666666666667</v>
      </c>
      <c r="G328" s="20"/>
    </row>
    <row r="329" spans="8:8" ht="41.25" customHeight="1">
      <c r="A329" s="20">
        <v>14.0</v>
      </c>
      <c r="B329" s="19" t="s">
        <v>2193</v>
      </c>
      <c r="C329" s="20">
        <v>253060.0</v>
      </c>
      <c r="D329" s="33" t="s">
        <v>90</v>
      </c>
      <c r="E329" s="20" t="s">
        <v>28</v>
      </c>
      <c r="F329" s="59">
        <v>0.4166666666666667</v>
      </c>
      <c r="G329" s="20"/>
    </row>
    <row r="330" spans="8:8" ht="41.25" customHeight="1">
      <c r="A330" s="24">
        <v>15.0</v>
      </c>
      <c r="B330" s="19" t="s">
        <v>2194</v>
      </c>
      <c r="C330" s="20">
        <v>253000.0</v>
      </c>
      <c r="D330" s="33" t="s">
        <v>90</v>
      </c>
      <c r="E330" s="20" t="s">
        <v>28</v>
      </c>
      <c r="F330" s="59">
        <v>0.4166666666666667</v>
      </c>
      <c r="G330" s="20"/>
    </row>
    <row r="331" spans="8:8" ht="41.25" customHeight="1">
      <c r="A331" s="20">
        <v>16.0</v>
      </c>
      <c r="B331" s="19" t="s">
        <v>2195</v>
      </c>
      <c r="C331" s="20">
        <v>253034.0</v>
      </c>
      <c r="D331" s="33" t="s">
        <v>104</v>
      </c>
      <c r="E331" s="20" t="s">
        <v>28</v>
      </c>
      <c r="F331" s="59">
        <v>0.4166666666666667</v>
      </c>
      <c r="G331" s="20"/>
    </row>
    <row r="332" spans="8:8" ht="41.25" customHeight="1">
      <c r="A332" s="24">
        <v>17.0</v>
      </c>
      <c r="B332" s="19" t="s">
        <v>2196</v>
      </c>
      <c r="C332" s="20">
        <v>252557.0</v>
      </c>
      <c r="D332" s="19" t="s">
        <v>90</v>
      </c>
      <c r="E332" s="20" t="s">
        <v>28</v>
      </c>
      <c r="F332" s="59">
        <v>0.4166666666666667</v>
      </c>
      <c r="G332" s="20"/>
    </row>
    <row r="333" spans="8:8" ht="41.25" customHeight="1">
      <c r="A333" s="20">
        <v>18.0</v>
      </c>
      <c r="B333" s="19" t="s">
        <v>2197</v>
      </c>
      <c r="C333" s="20">
        <v>252885.0</v>
      </c>
      <c r="D333" s="33" t="s">
        <v>104</v>
      </c>
      <c r="E333" s="20" t="s">
        <v>28</v>
      </c>
      <c r="F333" s="59">
        <v>0.4166666666666667</v>
      </c>
      <c r="G333" s="20"/>
    </row>
    <row r="334" spans="8:8" ht="41.25" customHeight="1">
      <c r="A334" s="24">
        <v>19.0</v>
      </c>
      <c r="B334" s="19" t="s">
        <v>2198</v>
      </c>
      <c r="C334" s="20">
        <v>252832.0</v>
      </c>
      <c r="D334" s="19" t="s">
        <v>90</v>
      </c>
      <c r="E334" s="20" t="s">
        <v>28</v>
      </c>
      <c r="F334" s="59">
        <v>0.4166666666666667</v>
      </c>
      <c r="G334" s="20"/>
    </row>
    <row r="335" spans="8:8" ht="41.25" customHeight="1">
      <c r="A335" s="20">
        <v>20.0</v>
      </c>
      <c r="B335" s="62" t="s">
        <v>2199</v>
      </c>
      <c r="C335" s="63">
        <v>252834.0</v>
      </c>
      <c r="D335" s="33" t="s">
        <v>90</v>
      </c>
      <c r="E335" s="20" t="s">
        <v>28</v>
      </c>
      <c r="F335" s="59">
        <v>0.4166666666666667</v>
      </c>
      <c r="G335" s="20"/>
    </row>
    <row r="336" spans="8:8" ht="41.25" customHeight="1">
      <c r="A336" s="24">
        <v>21.0</v>
      </c>
      <c r="B336" s="62" t="s">
        <v>2200</v>
      </c>
      <c r="C336" s="63">
        <v>252564.0</v>
      </c>
      <c r="D336" s="33" t="s">
        <v>90</v>
      </c>
      <c r="E336" s="20" t="s">
        <v>28</v>
      </c>
      <c r="F336" s="59">
        <v>0.4166666666666667</v>
      </c>
      <c r="G336" s="20"/>
    </row>
    <row r="337" spans="8:8" ht="41.25" customHeight="1">
      <c r="A337" s="20">
        <v>22.0</v>
      </c>
      <c r="B337" s="62" t="s">
        <v>2201</v>
      </c>
      <c r="C337" s="63">
        <v>252567.0</v>
      </c>
      <c r="D337" s="33" t="s">
        <v>90</v>
      </c>
      <c r="E337" s="20" t="s">
        <v>28</v>
      </c>
      <c r="F337" s="59">
        <v>0.4166666666666667</v>
      </c>
      <c r="G337" s="20"/>
    </row>
    <row r="338" spans="8:8" ht="41.25" customHeight="1">
      <c r="A338" s="24">
        <v>23.0</v>
      </c>
      <c r="B338" s="62" t="s">
        <v>2202</v>
      </c>
      <c r="C338" s="63">
        <v>252565.0</v>
      </c>
      <c r="D338" s="33" t="s">
        <v>90</v>
      </c>
      <c r="E338" s="20" t="s">
        <v>28</v>
      </c>
      <c r="F338" s="59">
        <v>0.4166666666666667</v>
      </c>
      <c r="G338" s="20"/>
    </row>
    <row r="339" spans="8:8" ht="41.25" customHeight="1">
      <c r="A339" s="20">
        <v>24.0</v>
      </c>
      <c r="B339" s="62" t="s">
        <v>2203</v>
      </c>
      <c r="C339" s="63">
        <v>252792.0</v>
      </c>
      <c r="D339" s="33" t="s">
        <v>90</v>
      </c>
      <c r="E339" s="20" t="s">
        <v>28</v>
      </c>
      <c r="F339" s="59">
        <v>0.4166666666666667</v>
      </c>
      <c r="G339" s="20"/>
    </row>
    <row r="340" spans="8:8" ht="41.25" customHeight="1">
      <c r="A340" s="24">
        <v>25.0</v>
      </c>
      <c r="B340" s="19" t="s">
        <v>2204</v>
      </c>
      <c r="C340" s="20">
        <v>252942.0</v>
      </c>
      <c r="D340" s="33" t="s">
        <v>90</v>
      </c>
      <c r="E340" s="20" t="s">
        <v>28</v>
      </c>
      <c r="F340" s="59">
        <v>0.4166666666666667</v>
      </c>
      <c r="G340" s="20"/>
    </row>
    <row r="341" spans="8:8" ht="41.25" customHeight="1">
      <c r="A341" s="60" t="s">
        <v>18</v>
      </c>
      <c r="B341" s="60" t="s">
        <v>19</v>
      </c>
      <c r="C341" s="60" t="s">
        <v>1870</v>
      </c>
      <c r="D341" s="60" t="s">
        <v>21</v>
      </c>
      <c r="E341" s="60" t="s">
        <v>22</v>
      </c>
      <c r="F341" s="9" t="s">
        <v>23</v>
      </c>
      <c r="G341" s="60" t="s">
        <v>2205</v>
      </c>
    </row>
    <row r="342" spans="8:8" ht="41.25" customHeight="1">
      <c r="A342" s="24">
        <v>1.0</v>
      </c>
      <c r="B342" s="23" t="s">
        <v>2206</v>
      </c>
      <c r="C342" s="24">
        <v>251903.0</v>
      </c>
      <c r="D342" s="33" t="s">
        <v>104</v>
      </c>
      <c r="E342" s="24" t="s">
        <v>28</v>
      </c>
      <c r="F342" s="61">
        <v>0.4166666666666667</v>
      </c>
      <c r="G342" s="24"/>
    </row>
    <row r="343" spans="8:8" ht="41.25" customHeight="1">
      <c r="A343" s="20">
        <v>2.0</v>
      </c>
      <c r="B343" s="19" t="s">
        <v>2207</v>
      </c>
      <c r="C343" s="20">
        <v>252751.0</v>
      </c>
      <c r="D343" s="19" t="s">
        <v>90</v>
      </c>
      <c r="E343" s="20" t="s">
        <v>28</v>
      </c>
      <c r="F343" s="59">
        <v>0.4166666666666667</v>
      </c>
      <c r="G343" s="13"/>
    </row>
    <row r="344" spans="8:8" ht="41.25" customHeight="1">
      <c r="A344" s="24">
        <v>3.0</v>
      </c>
      <c r="B344" s="19" t="s">
        <v>2208</v>
      </c>
      <c r="C344" s="20">
        <v>252739.0</v>
      </c>
      <c r="D344" s="33" t="s">
        <v>90</v>
      </c>
      <c r="E344" s="20" t="s">
        <v>28</v>
      </c>
      <c r="F344" s="59">
        <v>0.4166666666666667</v>
      </c>
      <c r="G344" s="20"/>
    </row>
    <row r="345" spans="8:8" ht="41.25" customHeight="1">
      <c r="A345" s="20">
        <v>4.0</v>
      </c>
      <c r="B345" s="19" t="s">
        <v>2209</v>
      </c>
      <c r="C345" s="20">
        <v>252841.0</v>
      </c>
      <c r="D345" s="33" t="s">
        <v>90</v>
      </c>
      <c r="E345" s="20" t="s">
        <v>28</v>
      </c>
      <c r="F345" s="59">
        <v>0.4166666666666667</v>
      </c>
      <c r="G345" s="20"/>
    </row>
    <row r="346" spans="8:8" ht="41.25" customHeight="1">
      <c r="A346" s="24">
        <v>5.0</v>
      </c>
      <c r="B346" s="19" t="s">
        <v>2210</v>
      </c>
      <c r="C346" s="20">
        <v>252842.0</v>
      </c>
      <c r="D346" s="33" t="s">
        <v>90</v>
      </c>
      <c r="E346" s="20" t="s">
        <v>28</v>
      </c>
      <c r="F346" s="59">
        <v>0.4166666666666667</v>
      </c>
      <c r="G346" s="20"/>
    </row>
    <row r="347" spans="8:8" ht="41.25" customHeight="1">
      <c r="A347" s="20">
        <v>6.0</v>
      </c>
      <c r="B347" s="19" t="s">
        <v>2211</v>
      </c>
      <c r="C347" s="20">
        <v>252743.0</v>
      </c>
      <c r="D347" s="33" t="s">
        <v>90</v>
      </c>
      <c r="E347" s="20" t="s">
        <v>28</v>
      </c>
      <c r="F347" s="59">
        <v>0.4166666666666667</v>
      </c>
      <c r="G347" s="20"/>
    </row>
    <row r="348" spans="8:8" ht="41.25" customHeight="1">
      <c r="A348" s="24">
        <v>7.0</v>
      </c>
      <c r="B348" s="19" t="s">
        <v>2212</v>
      </c>
      <c r="C348" s="20">
        <v>252839.0</v>
      </c>
      <c r="D348" s="33" t="s">
        <v>90</v>
      </c>
      <c r="E348" s="20" t="s">
        <v>28</v>
      </c>
      <c r="F348" s="59">
        <v>0.4166666666666667</v>
      </c>
      <c r="G348" s="20"/>
    </row>
    <row r="349" spans="8:8" ht="41.25" customHeight="1">
      <c r="A349" s="20">
        <v>8.0</v>
      </c>
      <c r="B349" s="19" t="s">
        <v>2213</v>
      </c>
      <c r="C349" s="20">
        <v>252755.0</v>
      </c>
      <c r="D349" s="33" t="s">
        <v>90</v>
      </c>
      <c r="E349" s="20" t="s">
        <v>28</v>
      </c>
      <c r="F349" s="59">
        <v>0.4166666666666667</v>
      </c>
      <c r="G349" s="20"/>
    </row>
    <row r="350" spans="8:8" ht="41.25" customHeight="1">
      <c r="A350" s="24">
        <v>9.0</v>
      </c>
      <c r="B350" s="19" t="s">
        <v>2214</v>
      </c>
      <c r="C350" s="20">
        <v>252847.0</v>
      </c>
      <c r="D350" s="33" t="s">
        <v>90</v>
      </c>
      <c r="E350" s="20" t="s">
        <v>28</v>
      </c>
      <c r="F350" s="59">
        <v>0.4166666666666667</v>
      </c>
      <c r="G350" s="20"/>
    </row>
    <row r="351" spans="8:8" ht="41.25" customHeight="1">
      <c r="A351" s="20">
        <v>10.0</v>
      </c>
      <c r="B351" s="19" t="s">
        <v>2215</v>
      </c>
      <c r="C351" s="20">
        <v>252765.0</v>
      </c>
      <c r="D351" s="33" t="s">
        <v>90</v>
      </c>
      <c r="E351" s="20" t="s">
        <v>28</v>
      </c>
      <c r="F351" s="59">
        <v>0.4166666666666667</v>
      </c>
      <c r="G351" s="20"/>
    </row>
    <row r="352" spans="8:8" ht="41.25" customHeight="1">
      <c r="A352" s="24">
        <v>11.0</v>
      </c>
      <c r="B352" s="19" t="s">
        <v>2216</v>
      </c>
      <c r="C352" s="20">
        <v>252766.0</v>
      </c>
      <c r="D352" s="33" t="s">
        <v>90</v>
      </c>
      <c r="E352" s="20" t="s">
        <v>28</v>
      </c>
      <c r="F352" s="59">
        <v>0.4166666666666667</v>
      </c>
      <c r="G352" s="20"/>
    </row>
    <row r="353" spans="8:8" ht="41.25" customHeight="1">
      <c r="A353" s="20">
        <v>12.0</v>
      </c>
      <c r="B353" s="19" t="s">
        <v>2217</v>
      </c>
      <c r="C353" s="20">
        <v>252764.0</v>
      </c>
      <c r="D353" s="33" t="s">
        <v>90</v>
      </c>
      <c r="E353" s="20" t="s">
        <v>28</v>
      </c>
      <c r="F353" s="59">
        <v>0.4166666666666667</v>
      </c>
      <c r="G353" s="20"/>
    </row>
    <row r="354" spans="8:8" ht="41.25" customHeight="1">
      <c r="A354" s="24">
        <v>13.0</v>
      </c>
      <c r="B354" s="19" t="s">
        <v>2218</v>
      </c>
      <c r="C354" s="20">
        <v>252767.0</v>
      </c>
      <c r="D354" s="33" t="s">
        <v>90</v>
      </c>
      <c r="E354" s="20" t="s">
        <v>28</v>
      </c>
      <c r="F354" s="59">
        <v>0.4166666666666667</v>
      </c>
      <c r="G354" s="20"/>
    </row>
    <row r="355" spans="8:8" ht="41.25" customHeight="1">
      <c r="A355" s="20">
        <v>14.0</v>
      </c>
      <c r="B355" s="19" t="s">
        <v>2219</v>
      </c>
      <c r="C355" s="20">
        <v>252771.0</v>
      </c>
      <c r="D355" s="33" t="s">
        <v>90</v>
      </c>
      <c r="E355" s="20" t="s">
        <v>28</v>
      </c>
      <c r="F355" s="59">
        <v>0.4166666666666667</v>
      </c>
      <c r="G355" s="20"/>
    </row>
    <row r="356" spans="8:8" ht="41.25" customHeight="1">
      <c r="A356" s="24">
        <v>15.0</v>
      </c>
      <c r="B356" s="19" t="s">
        <v>2220</v>
      </c>
      <c r="C356" s="20">
        <v>252769.0</v>
      </c>
      <c r="D356" s="33" t="s">
        <v>90</v>
      </c>
      <c r="E356" s="20" t="s">
        <v>28</v>
      </c>
      <c r="F356" s="59">
        <v>0.4166666666666667</v>
      </c>
      <c r="G356" s="20"/>
    </row>
    <row r="357" spans="8:8" ht="41.25" customHeight="1">
      <c r="A357" s="20">
        <v>16.0</v>
      </c>
      <c r="B357" s="19" t="s">
        <v>2221</v>
      </c>
      <c r="C357" s="20">
        <v>252773.0</v>
      </c>
      <c r="D357" s="33" t="s">
        <v>90</v>
      </c>
      <c r="E357" s="20" t="s">
        <v>28</v>
      </c>
      <c r="F357" s="59">
        <v>0.4166666666666667</v>
      </c>
      <c r="G357" s="20"/>
    </row>
    <row r="358" spans="8:8" ht="41.25" customHeight="1">
      <c r="A358" s="24">
        <v>17.0</v>
      </c>
      <c r="B358" s="19" t="s">
        <v>2222</v>
      </c>
      <c r="C358" s="20">
        <v>252774.0</v>
      </c>
      <c r="D358" s="33" t="s">
        <v>90</v>
      </c>
      <c r="E358" s="20" t="s">
        <v>28</v>
      </c>
      <c r="F358" s="59">
        <v>0.4166666666666667</v>
      </c>
      <c r="G358" s="20"/>
    </row>
    <row r="359" spans="8:8" ht="41.25" customHeight="1">
      <c r="A359" s="20">
        <v>18.0</v>
      </c>
      <c r="B359" s="19" t="s">
        <v>2223</v>
      </c>
      <c r="C359" s="20">
        <v>252779.0</v>
      </c>
      <c r="D359" s="33" t="s">
        <v>90</v>
      </c>
      <c r="E359" s="20" t="s">
        <v>28</v>
      </c>
      <c r="F359" s="59">
        <v>0.4166666666666667</v>
      </c>
      <c r="G359" s="20"/>
    </row>
    <row r="360" spans="8:8" ht="41.25" customHeight="1">
      <c r="A360" s="24">
        <v>19.0</v>
      </c>
      <c r="B360" s="19" t="s">
        <v>2224</v>
      </c>
      <c r="C360" s="20">
        <v>252777.0</v>
      </c>
      <c r="D360" s="33" t="s">
        <v>90</v>
      </c>
      <c r="E360" s="20" t="s">
        <v>28</v>
      </c>
      <c r="F360" s="59">
        <v>0.4166666666666667</v>
      </c>
      <c r="G360" s="20"/>
    </row>
    <row r="361" spans="8:8" ht="41.25" customHeight="1">
      <c r="A361" s="20">
        <v>20.0</v>
      </c>
      <c r="B361" s="19" t="s">
        <v>2225</v>
      </c>
      <c r="C361" s="20">
        <v>252778.0</v>
      </c>
      <c r="D361" s="33" t="s">
        <v>90</v>
      </c>
      <c r="E361" s="20" t="s">
        <v>28</v>
      </c>
      <c r="F361" s="59">
        <v>0.4166666666666667</v>
      </c>
      <c r="G361" s="20"/>
    </row>
    <row r="362" spans="8:8" ht="41.25" customHeight="1">
      <c r="A362" s="24">
        <v>21.0</v>
      </c>
      <c r="B362" s="19" t="s">
        <v>2226</v>
      </c>
      <c r="C362" s="20">
        <v>252776.0</v>
      </c>
      <c r="D362" s="33" t="s">
        <v>90</v>
      </c>
      <c r="E362" s="20" t="s">
        <v>28</v>
      </c>
      <c r="F362" s="59">
        <v>0.4166666666666667</v>
      </c>
      <c r="G362" s="20"/>
    </row>
    <row r="363" spans="8:8" ht="41.25" customHeight="1">
      <c r="A363" s="20">
        <v>22.0</v>
      </c>
      <c r="B363" s="19" t="s">
        <v>2227</v>
      </c>
      <c r="C363" s="20">
        <v>252781.0</v>
      </c>
      <c r="D363" s="33" t="s">
        <v>90</v>
      </c>
      <c r="E363" s="20" t="s">
        <v>28</v>
      </c>
      <c r="F363" s="59">
        <v>0.4166666666666667</v>
      </c>
      <c r="G363" s="20"/>
    </row>
    <row r="364" spans="8:8" ht="41.25" customHeight="1">
      <c r="A364" s="24">
        <v>23.0</v>
      </c>
      <c r="B364" s="19" t="s">
        <v>2228</v>
      </c>
      <c r="C364" s="20">
        <v>253061.0</v>
      </c>
      <c r="D364" s="33" t="s">
        <v>90</v>
      </c>
      <c r="E364" s="20" t="s">
        <v>28</v>
      </c>
      <c r="F364" s="59">
        <v>0.4166666666666667</v>
      </c>
      <c r="G364" s="20"/>
    </row>
    <row r="365" spans="8:8" ht="41.25" customHeight="1">
      <c r="A365" s="20">
        <v>24.0</v>
      </c>
      <c r="B365" s="19" t="s">
        <v>2229</v>
      </c>
      <c r="C365" s="20">
        <v>252849.0</v>
      </c>
      <c r="D365" s="33" t="s">
        <v>90</v>
      </c>
      <c r="E365" s="20" t="s">
        <v>28</v>
      </c>
      <c r="F365" s="59">
        <v>0.4166666666666667</v>
      </c>
      <c r="G365" s="20"/>
    </row>
    <row r="366" spans="8:8" ht="41.25" customHeight="1">
      <c r="A366" s="24">
        <v>25.0</v>
      </c>
      <c r="B366" s="19" t="s">
        <v>2230</v>
      </c>
      <c r="C366" s="20">
        <v>252928.0</v>
      </c>
      <c r="D366" s="33" t="s">
        <v>90</v>
      </c>
      <c r="E366" s="20" t="s">
        <v>28</v>
      </c>
      <c r="F366" s="59">
        <v>0.4166666666666667</v>
      </c>
      <c r="G366" s="20"/>
    </row>
    <row r="367" spans="8:8" ht="41.25" customHeight="1">
      <c r="A367" s="60" t="s">
        <v>18</v>
      </c>
      <c r="B367" s="60" t="s">
        <v>19</v>
      </c>
      <c r="C367" s="60" t="s">
        <v>1870</v>
      </c>
      <c r="D367" s="60" t="s">
        <v>21</v>
      </c>
      <c r="E367" s="60" t="s">
        <v>22</v>
      </c>
      <c r="F367" s="9" t="s">
        <v>23</v>
      </c>
      <c r="G367" s="60" t="s">
        <v>2231</v>
      </c>
    </row>
    <row r="368" spans="8:8" ht="41.25" customHeight="1">
      <c r="A368" s="24">
        <v>1.0</v>
      </c>
      <c r="B368" s="23" t="s">
        <v>2232</v>
      </c>
      <c r="C368" s="24">
        <v>253001.0</v>
      </c>
      <c r="D368" s="33" t="s">
        <v>90</v>
      </c>
      <c r="E368" s="24" t="s">
        <v>28</v>
      </c>
      <c r="F368" s="61">
        <v>0.4166666666666667</v>
      </c>
      <c r="G368" s="24"/>
    </row>
    <row r="369" spans="8:8" ht="41.25" customHeight="1">
      <c r="A369" s="27">
        <v>2.0</v>
      </c>
      <c r="B369" s="26" t="s">
        <v>2233</v>
      </c>
      <c r="C369" s="27">
        <v>252556.0</v>
      </c>
      <c r="D369" s="18" t="s">
        <v>90</v>
      </c>
      <c r="E369" s="27" t="s">
        <v>28</v>
      </c>
      <c r="F369" s="59">
        <v>0.4166666666666667</v>
      </c>
      <c r="G369" s="13"/>
    </row>
    <row r="370" spans="8:8" ht="41.25" customHeight="1">
      <c r="A370" s="24">
        <v>3.0</v>
      </c>
      <c r="B370" s="26" t="s">
        <v>2234</v>
      </c>
      <c r="C370" s="27">
        <v>252824.0</v>
      </c>
      <c r="D370" s="18" t="s">
        <v>90</v>
      </c>
      <c r="E370" s="27" t="s">
        <v>28</v>
      </c>
      <c r="F370" s="59">
        <v>0.4166666666666667</v>
      </c>
      <c r="G370" s="27"/>
    </row>
    <row r="371" spans="8:8" ht="41.25" customHeight="1">
      <c r="A371" s="27">
        <v>4.0</v>
      </c>
      <c r="B371" s="26" t="s">
        <v>2235</v>
      </c>
      <c r="C371" s="27">
        <v>252555.0</v>
      </c>
      <c r="D371" s="18" t="s">
        <v>90</v>
      </c>
      <c r="E371" s="27" t="s">
        <v>28</v>
      </c>
      <c r="F371" s="59">
        <v>0.4166666666666667</v>
      </c>
      <c r="G371" s="27"/>
    </row>
    <row r="372" spans="8:8" ht="41.25" customHeight="1">
      <c r="A372" s="24">
        <v>5.0</v>
      </c>
      <c r="B372" s="26" t="s">
        <v>2236</v>
      </c>
      <c r="C372" s="27">
        <v>252782.0</v>
      </c>
      <c r="D372" s="18" t="s">
        <v>90</v>
      </c>
      <c r="E372" s="27" t="s">
        <v>28</v>
      </c>
      <c r="F372" s="59">
        <v>0.4166666666666667</v>
      </c>
      <c r="G372" s="27"/>
    </row>
    <row r="373" spans="8:8" ht="41.25" customHeight="1">
      <c r="A373" s="27">
        <v>6.0</v>
      </c>
      <c r="B373" s="26" t="s">
        <v>2237</v>
      </c>
      <c r="C373" s="27">
        <v>252807.0</v>
      </c>
      <c r="D373" s="18" t="s">
        <v>90</v>
      </c>
      <c r="E373" s="27" t="s">
        <v>28</v>
      </c>
      <c r="F373" s="59">
        <v>0.4166666666666667</v>
      </c>
      <c r="G373" s="27"/>
    </row>
    <row r="374" spans="8:8" ht="41.25" customHeight="1">
      <c r="A374" s="24">
        <v>7.0</v>
      </c>
      <c r="B374" s="26" t="s">
        <v>2238</v>
      </c>
      <c r="C374" s="27">
        <v>252799.0</v>
      </c>
      <c r="D374" s="18" t="s">
        <v>90</v>
      </c>
      <c r="E374" s="27" t="s">
        <v>28</v>
      </c>
      <c r="F374" s="59">
        <v>0.4166666666666667</v>
      </c>
      <c r="G374" s="27"/>
    </row>
    <row r="375" spans="8:8" ht="41.25" customHeight="1">
      <c r="A375" s="27">
        <v>8.0</v>
      </c>
      <c r="B375" s="16" t="s">
        <v>2239</v>
      </c>
      <c r="C375" s="17">
        <v>252795.0</v>
      </c>
      <c r="D375" s="18" t="s">
        <v>90</v>
      </c>
      <c r="E375" s="17" t="s">
        <v>28</v>
      </c>
      <c r="F375" s="59">
        <v>0.4166666666666667</v>
      </c>
      <c r="G375" s="17"/>
    </row>
    <row r="376" spans="8:8" ht="41.25" customHeight="1">
      <c r="A376" s="24">
        <v>9.0</v>
      </c>
      <c r="B376" s="64" t="s">
        <v>2240</v>
      </c>
      <c r="C376" s="65">
        <v>252652.0</v>
      </c>
      <c r="D376" s="18" t="s">
        <v>90</v>
      </c>
      <c r="E376" s="27" t="s">
        <v>28</v>
      </c>
      <c r="F376" s="59">
        <v>0.4166666666666667</v>
      </c>
      <c r="G376" s="27"/>
    </row>
    <row r="377" spans="8:8" ht="41.25" customHeight="1">
      <c r="A377" s="27">
        <v>10.0</v>
      </c>
      <c r="B377" s="23" t="s">
        <v>2241</v>
      </c>
      <c r="C377" s="24">
        <v>253082.0</v>
      </c>
      <c r="D377" s="33" t="s">
        <v>104</v>
      </c>
      <c r="E377" s="20" t="s">
        <v>28</v>
      </c>
      <c r="F377" s="59">
        <v>0.4166666666666667</v>
      </c>
      <c r="G377" s="20"/>
    </row>
    <row r="378" spans="8:8" ht="41.25" customHeight="1">
      <c r="A378" s="24">
        <v>11.0</v>
      </c>
      <c r="B378" s="23" t="s">
        <v>2242</v>
      </c>
      <c r="C378" s="24">
        <v>253107.0</v>
      </c>
      <c r="D378" s="19" t="s">
        <v>90</v>
      </c>
      <c r="E378" s="20" t="s">
        <v>28</v>
      </c>
      <c r="F378" s="59">
        <v>0.4166666666666667</v>
      </c>
      <c r="G378" s="20"/>
    </row>
    <row r="379" spans="8:8" ht="41.25" customHeight="1">
      <c r="A379" s="27">
        <v>12.0</v>
      </c>
      <c r="B379" s="23" t="s">
        <v>2243</v>
      </c>
      <c r="C379" s="24">
        <v>252976.0</v>
      </c>
      <c r="D379" s="33" t="s">
        <v>90</v>
      </c>
      <c r="E379" s="20" t="s">
        <v>28</v>
      </c>
      <c r="F379" s="59">
        <v>0.4166666666666667</v>
      </c>
      <c r="G379" s="20"/>
    </row>
    <row r="380" spans="8:8" ht="41.25" customHeight="1">
      <c r="A380" s="24">
        <v>13.0</v>
      </c>
      <c r="B380" s="23" t="s">
        <v>2244</v>
      </c>
      <c r="C380" s="24">
        <v>253101.0</v>
      </c>
      <c r="D380" s="33" t="s">
        <v>90</v>
      </c>
      <c r="E380" s="20" t="s">
        <v>28</v>
      </c>
      <c r="F380" s="59">
        <v>0.4166666666666667</v>
      </c>
      <c r="G380" s="20"/>
    </row>
    <row r="381" spans="8:8" ht="41.25" customHeight="1">
      <c r="A381" s="27">
        <v>14.0</v>
      </c>
      <c r="B381" s="23" t="s">
        <v>2245</v>
      </c>
      <c r="C381" s="24">
        <v>253086.0</v>
      </c>
      <c r="D381" s="33" t="s">
        <v>90</v>
      </c>
      <c r="E381" s="20" t="s">
        <v>28</v>
      </c>
      <c r="F381" s="59">
        <v>0.4166666666666667</v>
      </c>
      <c r="G381" s="20"/>
    </row>
    <row r="382" spans="8:8" ht="41.25" customHeight="1">
      <c r="A382" s="24">
        <v>15.0</v>
      </c>
      <c r="B382" s="19" t="s">
        <v>2246</v>
      </c>
      <c r="C382" s="20">
        <v>253117.0</v>
      </c>
      <c r="D382" s="33" t="s">
        <v>90</v>
      </c>
      <c r="E382" s="20" t="s">
        <v>28</v>
      </c>
      <c r="F382" s="59">
        <v>0.4166666666666667</v>
      </c>
      <c r="G382" s="20"/>
    </row>
    <row r="383" spans="8:8" ht="41.25" customHeight="1">
      <c r="A383" s="27">
        <v>16.0</v>
      </c>
      <c r="B383" s="19" t="s">
        <v>2247</v>
      </c>
      <c r="C383" s="20">
        <v>253018.0</v>
      </c>
      <c r="D383" s="33" t="s">
        <v>90</v>
      </c>
      <c r="E383" s="20" t="s">
        <v>28</v>
      </c>
      <c r="F383" s="59">
        <v>0.4166666666666667</v>
      </c>
      <c r="G383" s="20"/>
    </row>
    <row r="384" spans="8:8" ht="41.25" customHeight="1">
      <c r="A384" s="24">
        <v>17.0</v>
      </c>
      <c r="B384" s="19" t="s">
        <v>2248</v>
      </c>
      <c r="C384" s="20">
        <v>253029.0</v>
      </c>
      <c r="D384" s="33" t="s">
        <v>90</v>
      </c>
      <c r="E384" s="20" t="s">
        <v>28</v>
      </c>
      <c r="F384" s="59">
        <v>0.4166666666666667</v>
      </c>
      <c r="G384" s="20"/>
    </row>
    <row r="385" spans="8:8" ht="41.25" customHeight="1">
      <c r="A385" s="27">
        <v>18.0</v>
      </c>
      <c r="B385" s="19" t="s">
        <v>2249</v>
      </c>
      <c r="C385" s="20">
        <v>253166.0</v>
      </c>
      <c r="D385" s="33" t="s">
        <v>90</v>
      </c>
      <c r="E385" s="20" t="s">
        <v>28</v>
      </c>
      <c r="F385" s="59">
        <v>0.4166666666666667</v>
      </c>
      <c r="G385" s="20"/>
    </row>
    <row r="386" spans="8:8" ht="41.25" customHeight="1">
      <c r="A386" s="24">
        <v>19.0</v>
      </c>
      <c r="B386" s="23" t="s">
        <v>2250</v>
      </c>
      <c r="C386" s="24">
        <v>253110.0</v>
      </c>
      <c r="D386" s="33" t="s">
        <v>104</v>
      </c>
      <c r="E386" s="20" t="s">
        <v>28</v>
      </c>
      <c r="F386" s="59">
        <v>0.4166666666666667</v>
      </c>
      <c r="G386" s="20"/>
    </row>
    <row r="387" spans="8:8" ht="41.25" customHeight="1">
      <c r="A387" s="27">
        <v>20.0</v>
      </c>
      <c r="B387" s="23" t="s">
        <v>2251</v>
      </c>
      <c r="C387" s="24">
        <v>252738.0</v>
      </c>
      <c r="D387" s="19" t="s">
        <v>90</v>
      </c>
      <c r="E387" s="20" t="s">
        <v>28</v>
      </c>
      <c r="F387" s="59">
        <v>0.4166666666666667</v>
      </c>
      <c r="G387" s="20"/>
    </row>
    <row r="388" spans="8:8" ht="41.25" customHeight="1">
      <c r="A388" s="24">
        <v>21.0</v>
      </c>
      <c r="B388" s="23" t="s">
        <v>2252</v>
      </c>
      <c r="C388" s="24">
        <v>252801.0</v>
      </c>
      <c r="D388" s="33" t="s">
        <v>90</v>
      </c>
      <c r="E388" s="20" t="s">
        <v>28</v>
      </c>
      <c r="F388" s="59">
        <v>0.4166666666666667</v>
      </c>
      <c r="G388" s="20"/>
    </row>
    <row r="389" spans="8:8" ht="41.25" customHeight="1">
      <c r="A389" s="27">
        <v>22.0</v>
      </c>
      <c r="B389" s="23" t="s">
        <v>2253</v>
      </c>
      <c r="C389" s="24">
        <v>252479.0</v>
      </c>
      <c r="D389" s="33" t="s">
        <v>90</v>
      </c>
      <c r="E389" s="20" t="s">
        <v>28</v>
      </c>
      <c r="F389" s="59">
        <v>0.4166666666666667</v>
      </c>
      <c r="G389" s="20"/>
    </row>
    <row r="390" spans="8:8" ht="41.25" customHeight="1">
      <c r="A390" s="24">
        <v>23.0</v>
      </c>
      <c r="B390" s="23" t="s">
        <v>2254</v>
      </c>
      <c r="C390" s="24">
        <v>253104.0</v>
      </c>
      <c r="D390" s="33" t="s">
        <v>90</v>
      </c>
      <c r="E390" s="20" t="s">
        <v>28</v>
      </c>
      <c r="F390" s="59">
        <v>0.4166666666666667</v>
      </c>
      <c r="G390" s="20"/>
    </row>
    <row r="391" spans="8:8" ht="41.25" customHeight="1">
      <c r="A391" s="27">
        <v>24.0</v>
      </c>
      <c r="B391" s="23" t="s">
        <v>2255</v>
      </c>
      <c r="C391" s="24">
        <v>253102.0</v>
      </c>
      <c r="D391" s="33" t="s">
        <v>90</v>
      </c>
      <c r="E391" s="20" t="s">
        <v>28</v>
      </c>
      <c r="F391" s="59">
        <v>0.4166666666666667</v>
      </c>
      <c r="G391" s="20"/>
    </row>
    <row r="392" spans="8:8" ht="41.25" customHeight="1">
      <c r="A392" s="24">
        <v>25.0</v>
      </c>
      <c r="B392" s="23" t="s">
        <v>2256</v>
      </c>
      <c r="C392" s="24">
        <v>252045.0</v>
      </c>
      <c r="D392" s="33" t="s">
        <v>104</v>
      </c>
      <c r="E392" s="20" t="s">
        <v>28</v>
      </c>
      <c r="F392" s="59">
        <v>0.4166666666666667</v>
      </c>
      <c r="G392" s="20"/>
    </row>
    <row r="393" spans="8:8" ht="41.25" customHeight="1">
      <c r="A393" s="60" t="s">
        <v>18</v>
      </c>
      <c r="B393" s="60" t="s">
        <v>19</v>
      </c>
      <c r="C393" s="60" t="s">
        <v>1870</v>
      </c>
      <c r="D393" s="60" t="s">
        <v>21</v>
      </c>
      <c r="E393" s="60" t="s">
        <v>22</v>
      </c>
      <c r="F393" s="9" t="s">
        <v>23</v>
      </c>
      <c r="G393" s="60" t="s">
        <v>2257</v>
      </c>
    </row>
    <row r="394" spans="8:8" ht="41.25" customHeight="1">
      <c r="A394" s="24">
        <v>1.0</v>
      </c>
      <c r="B394" s="23" t="s">
        <v>2258</v>
      </c>
      <c r="C394" s="24">
        <v>252809.0</v>
      </c>
      <c r="D394" s="23" t="s">
        <v>90</v>
      </c>
      <c r="E394" s="24" t="s">
        <v>111</v>
      </c>
      <c r="F394" s="61">
        <v>0.4166666666666667</v>
      </c>
      <c r="G394" s="24"/>
    </row>
    <row r="395" spans="8:8" ht="41.25" customHeight="1">
      <c r="A395" s="20">
        <v>2.0</v>
      </c>
      <c r="B395" s="19" t="s">
        <v>2259</v>
      </c>
      <c r="C395" s="20">
        <v>252467.0</v>
      </c>
      <c r="D395" s="33" t="s">
        <v>104</v>
      </c>
      <c r="E395" s="20" t="s">
        <v>111</v>
      </c>
      <c r="F395" s="59">
        <v>0.4166666666666667</v>
      </c>
      <c r="G395" s="13"/>
    </row>
    <row r="396" spans="8:8" ht="41.25" customHeight="1">
      <c r="A396" s="24">
        <v>3.0</v>
      </c>
      <c r="B396" s="19" t="s">
        <v>2260</v>
      </c>
      <c r="C396" s="20">
        <v>252446.0</v>
      </c>
      <c r="D396" s="19" t="s">
        <v>104</v>
      </c>
      <c r="E396" s="20" t="s">
        <v>111</v>
      </c>
      <c r="F396" s="59">
        <v>0.4166666666666667</v>
      </c>
      <c r="G396" s="20"/>
    </row>
    <row r="397" spans="8:8" ht="41.25" customHeight="1">
      <c r="A397" s="20">
        <v>4.0</v>
      </c>
      <c r="B397" s="19" t="s">
        <v>2261</v>
      </c>
      <c r="C397" s="20">
        <v>252469.0</v>
      </c>
      <c r="D397" s="19" t="s">
        <v>104</v>
      </c>
      <c r="E397" s="20" t="s">
        <v>111</v>
      </c>
      <c r="F397" s="59">
        <v>0.4166666666666667</v>
      </c>
      <c r="G397" s="20"/>
    </row>
    <row r="398" spans="8:8" ht="41.25" customHeight="1">
      <c r="A398" s="24">
        <v>5.0</v>
      </c>
      <c r="B398" s="19" t="s">
        <v>2262</v>
      </c>
      <c r="C398" s="20">
        <v>252459.0</v>
      </c>
      <c r="D398" s="19" t="s">
        <v>104</v>
      </c>
      <c r="E398" s="20" t="s">
        <v>111</v>
      </c>
      <c r="F398" s="59">
        <v>0.4166666666666667</v>
      </c>
      <c r="G398" s="20"/>
    </row>
    <row r="399" spans="8:8" ht="41.25" customHeight="1">
      <c r="A399" s="20">
        <v>6.0</v>
      </c>
      <c r="B399" s="19" t="s">
        <v>2263</v>
      </c>
      <c r="C399" s="20">
        <v>252457.0</v>
      </c>
      <c r="D399" s="19" t="s">
        <v>104</v>
      </c>
      <c r="E399" s="20" t="s">
        <v>111</v>
      </c>
      <c r="F399" s="59">
        <v>0.4166666666666667</v>
      </c>
      <c r="G399" s="20"/>
    </row>
    <row r="400" spans="8:8" ht="41.25" customHeight="1">
      <c r="A400" s="24">
        <v>7.0</v>
      </c>
      <c r="B400" s="19" t="s">
        <v>2264</v>
      </c>
      <c r="C400" s="20">
        <v>252455.0</v>
      </c>
      <c r="D400" s="19" t="s">
        <v>104</v>
      </c>
      <c r="E400" s="20" t="s">
        <v>111</v>
      </c>
      <c r="F400" s="59">
        <v>0.4166666666666667</v>
      </c>
      <c r="G400" s="20"/>
    </row>
    <row r="401" spans="8:8" ht="41.25" customHeight="1">
      <c r="A401" s="20">
        <v>8.0</v>
      </c>
      <c r="B401" s="19" t="s">
        <v>2265</v>
      </c>
      <c r="C401" s="20">
        <v>252466.0</v>
      </c>
      <c r="D401" s="19" t="s">
        <v>104</v>
      </c>
      <c r="E401" s="20" t="s">
        <v>111</v>
      </c>
      <c r="F401" s="59">
        <v>0.4166666666666667</v>
      </c>
      <c r="G401" s="20"/>
    </row>
    <row r="402" spans="8:8" ht="41.25" customHeight="1">
      <c r="A402" s="24">
        <v>9.0</v>
      </c>
      <c r="B402" s="19" t="s">
        <v>2266</v>
      </c>
      <c r="C402" s="20">
        <v>252445.0</v>
      </c>
      <c r="D402" s="19" t="s">
        <v>104</v>
      </c>
      <c r="E402" s="20" t="s">
        <v>111</v>
      </c>
      <c r="F402" s="59">
        <v>0.4166666666666667</v>
      </c>
      <c r="G402" s="20"/>
    </row>
    <row r="403" spans="8:8" ht="41.25" customHeight="1">
      <c r="A403" s="20">
        <v>10.0</v>
      </c>
      <c r="B403" s="19" t="s">
        <v>2267</v>
      </c>
      <c r="C403" s="20">
        <v>252450.0</v>
      </c>
      <c r="D403" s="19" t="s">
        <v>104</v>
      </c>
      <c r="E403" s="20" t="s">
        <v>111</v>
      </c>
      <c r="F403" s="59">
        <v>0.4166666666666667</v>
      </c>
      <c r="G403" s="20"/>
    </row>
    <row r="404" spans="8:8" ht="41.25" customHeight="1">
      <c r="A404" s="24">
        <v>11.0</v>
      </c>
      <c r="B404" s="19" t="s">
        <v>2268</v>
      </c>
      <c r="C404" s="20">
        <v>252470.0</v>
      </c>
      <c r="D404" s="19" t="s">
        <v>104</v>
      </c>
      <c r="E404" s="20" t="s">
        <v>111</v>
      </c>
      <c r="F404" s="59">
        <v>0.4166666666666667</v>
      </c>
      <c r="G404" s="20"/>
    </row>
    <row r="405" spans="8:8" ht="41.25" customHeight="1">
      <c r="A405" s="20">
        <v>12.0</v>
      </c>
      <c r="B405" s="19" t="s">
        <v>2269</v>
      </c>
      <c r="C405" s="20">
        <v>252443.0</v>
      </c>
      <c r="D405" s="19" t="s">
        <v>104</v>
      </c>
      <c r="E405" s="20" t="s">
        <v>111</v>
      </c>
      <c r="F405" s="59">
        <v>0.4166666666666667</v>
      </c>
      <c r="G405" s="20"/>
    </row>
    <row r="406" spans="8:8" ht="41.25" customHeight="1">
      <c r="A406" s="24">
        <v>13.0</v>
      </c>
      <c r="B406" s="19" t="s">
        <v>2270</v>
      </c>
      <c r="C406" s="20">
        <v>251978.0</v>
      </c>
      <c r="D406" s="19" t="s">
        <v>104</v>
      </c>
      <c r="E406" s="20" t="s">
        <v>111</v>
      </c>
      <c r="F406" s="59">
        <v>0.4166666666666667</v>
      </c>
      <c r="G406" s="20"/>
    </row>
    <row r="407" spans="8:8" ht="41.25" customHeight="1">
      <c r="A407" s="20">
        <v>14.0</v>
      </c>
      <c r="B407" s="19" t="s">
        <v>2271</v>
      </c>
      <c r="C407" s="20">
        <v>251979.0</v>
      </c>
      <c r="D407" s="19" t="s">
        <v>104</v>
      </c>
      <c r="E407" s="20" t="s">
        <v>111</v>
      </c>
      <c r="F407" s="59">
        <v>0.4166666666666667</v>
      </c>
      <c r="G407" s="20"/>
    </row>
    <row r="408" spans="8:8" ht="41.25" customHeight="1">
      <c r="A408" s="24">
        <v>15.0</v>
      </c>
      <c r="B408" s="19" t="s">
        <v>2272</v>
      </c>
      <c r="C408" s="20">
        <v>251999.0</v>
      </c>
      <c r="D408" s="19" t="s">
        <v>104</v>
      </c>
      <c r="E408" s="20" t="s">
        <v>111</v>
      </c>
      <c r="F408" s="59">
        <v>0.4166666666666667</v>
      </c>
      <c r="G408" s="20"/>
    </row>
    <row r="409" spans="8:8" ht="41.25" customHeight="1">
      <c r="A409" s="20">
        <v>16.0</v>
      </c>
      <c r="B409" s="19" t="s">
        <v>2273</v>
      </c>
      <c r="C409" s="20">
        <v>252003.0</v>
      </c>
      <c r="D409" s="19" t="s">
        <v>104</v>
      </c>
      <c r="E409" s="20" t="s">
        <v>111</v>
      </c>
      <c r="F409" s="59">
        <v>0.4166666666666667</v>
      </c>
      <c r="G409" s="20"/>
    </row>
    <row r="410" spans="8:8" ht="41.25" customHeight="1">
      <c r="A410" s="24">
        <v>17.0</v>
      </c>
      <c r="B410" s="19" t="s">
        <v>2274</v>
      </c>
      <c r="C410" s="20">
        <v>252004.0</v>
      </c>
      <c r="D410" s="19" t="s">
        <v>104</v>
      </c>
      <c r="E410" s="20" t="s">
        <v>111</v>
      </c>
      <c r="F410" s="59">
        <v>0.4166666666666667</v>
      </c>
      <c r="G410" s="20"/>
    </row>
    <row r="411" spans="8:8" ht="41.25" customHeight="1">
      <c r="A411" s="20">
        <v>18.0</v>
      </c>
      <c r="B411" s="19" t="s">
        <v>2275</v>
      </c>
      <c r="C411" s="20">
        <v>252005.0</v>
      </c>
      <c r="D411" s="19" t="s">
        <v>104</v>
      </c>
      <c r="E411" s="20" t="s">
        <v>111</v>
      </c>
      <c r="F411" s="59">
        <v>0.4166666666666667</v>
      </c>
      <c r="G411" s="20"/>
    </row>
    <row r="412" spans="8:8" ht="41.25" customHeight="1">
      <c r="A412" s="24">
        <v>19.0</v>
      </c>
      <c r="B412" s="19" t="s">
        <v>2276</v>
      </c>
      <c r="C412" s="20">
        <v>252013.0</v>
      </c>
      <c r="D412" s="19" t="s">
        <v>104</v>
      </c>
      <c r="E412" s="20" t="s">
        <v>111</v>
      </c>
      <c r="F412" s="59">
        <v>0.4166666666666667</v>
      </c>
      <c r="G412" s="20"/>
    </row>
    <row r="413" spans="8:8" ht="41.25" customHeight="1">
      <c r="A413" s="20">
        <v>20.0</v>
      </c>
      <c r="B413" s="19" t="s">
        <v>2277</v>
      </c>
      <c r="C413" s="20">
        <v>252537.0</v>
      </c>
      <c r="D413" s="19" t="s">
        <v>90</v>
      </c>
      <c r="E413" s="20" t="s">
        <v>111</v>
      </c>
      <c r="F413" s="59">
        <v>0.4166666666666667</v>
      </c>
      <c r="G413" s="20"/>
    </row>
    <row r="414" spans="8:8" ht="41.25" customHeight="1">
      <c r="A414" s="24">
        <v>21.0</v>
      </c>
      <c r="B414" s="19" t="s">
        <v>2278</v>
      </c>
      <c r="C414" s="20">
        <v>252513.0</v>
      </c>
      <c r="D414" s="33" t="s">
        <v>90</v>
      </c>
      <c r="E414" s="20" t="s">
        <v>111</v>
      </c>
      <c r="F414" s="59">
        <v>0.4166666666666667</v>
      </c>
      <c r="G414" s="20"/>
    </row>
    <row r="415" spans="8:8" ht="41.25" customHeight="1">
      <c r="A415" s="20">
        <v>22.0</v>
      </c>
      <c r="B415" s="19" t="s">
        <v>2279</v>
      </c>
      <c r="C415" s="20">
        <v>251960.0</v>
      </c>
      <c r="D415" s="33" t="s">
        <v>104</v>
      </c>
      <c r="E415" s="24" t="s">
        <v>111</v>
      </c>
      <c r="F415" s="59">
        <v>0.4166666666666667</v>
      </c>
      <c r="G415" s="24"/>
    </row>
    <row r="416" spans="8:8" ht="41.25" customHeight="1">
      <c r="A416" s="24">
        <v>23.0</v>
      </c>
      <c r="B416" s="19" t="s">
        <v>2280</v>
      </c>
      <c r="C416" s="20">
        <v>251976.0</v>
      </c>
      <c r="D416" s="19" t="s">
        <v>104</v>
      </c>
      <c r="E416" s="20" t="s">
        <v>111</v>
      </c>
      <c r="F416" s="59">
        <v>0.4166666666666667</v>
      </c>
      <c r="G416" s="20"/>
    </row>
    <row r="417" spans="8:8" ht="41.25" customHeight="1">
      <c r="A417" s="20">
        <v>24.0</v>
      </c>
      <c r="B417" s="19" t="s">
        <v>2281</v>
      </c>
      <c r="C417" s="20">
        <v>251930.0</v>
      </c>
      <c r="D417" s="19" t="s">
        <v>104</v>
      </c>
      <c r="E417" s="20" t="s">
        <v>111</v>
      </c>
      <c r="F417" s="59">
        <v>0.4166666666666667</v>
      </c>
      <c r="G417" s="20"/>
    </row>
    <row r="418" spans="8:8" ht="41.25" customHeight="1">
      <c r="A418" s="24">
        <v>25.0</v>
      </c>
      <c r="B418" s="19" t="s">
        <v>2282</v>
      </c>
      <c r="C418" s="20">
        <v>251953.0</v>
      </c>
      <c r="D418" s="19" t="s">
        <v>104</v>
      </c>
      <c r="E418" s="20" t="s">
        <v>111</v>
      </c>
      <c r="F418" s="59">
        <v>0.4166666666666667</v>
      </c>
      <c r="G418" s="20"/>
    </row>
    <row r="419" spans="8:8" ht="41.25" customHeight="1">
      <c r="A419" s="60" t="s">
        <v>18</v>
      </c>
      <c r="B419" s="60" t="s">
        <v>19</v>
      </c>
      <c r="C419" s="60" t="s">
        <v>1870</v>
      </c>
      <c r="D419" s="60" t="s">
        <v>21</v>
      </c>
      <c r="E419" s="60" t="s">
        <v>22</v>
      </c>
      <c r="F419" s="9" t="s">
        <v>23</v>
      </c>
      <c r="G419" s="60" t="s">
        <v>447</v>
      </c>
    </row>
    <row r="420" spans="8:8" ht="41.25" customHeight="1">
      <c r="A420" s="24">
        <v>1.0</v>
      </c>
      <c r="B420" s="23" t="s">
        <v>2283</v>
      </c>
      <c r="C420" s="24">
        <v>251975.0</v>
      </c>
      <c r="D420" s="23" t="s">
        <v>104</v>
      </c>
      <c r="E420" s="24" t="s">
        <v>111</v>
      </c>
      <c r="F420" s="61">
        <v>0.4166666666666667</v>
      </c>
      <c r="G420" s="24"/>
    </row>
    <row r="421" spans="8:8" ht="41.25" customHeight="1">
      <c r="A421" s="20">
        <v>2.0</v>
      </c>
      <c r="B421" s="19" t="s">
        <v>2284</v>
      </c>
      <c r="C421" s="20">
        <v>252027.0</v>
      </c>
      <c r="D421" s="19" t="s">
        <v>104</v>
      </c>
      <c r="E421" s="20" t="s">
        <v>111</v>
      </c>
      <c r="F421" s="59">
        <v>0.4166666666666667</v>
      </c>
      <c r="G421" s="13"/>
    </row>
    <row r="422" spans="8:8" ht="41.25" customHeight="1">
      <c r="A422" s="24">
        <v>3.0</v>
      </c>
      <c r="B422" s="19" t="s">
        <v>2285</v>
      </c>
      <c r="C422" s="20">
        <v>252028.0</v>
      </c>
      <c r="D422" s="19" t="s">
        <v>104</v>
      </c>
      <c r="E422" s="20" t="s">
        <v>111</v>
      </c>
      <c r="F422" s="59">
        <v>0.4166666666666667</v>
      </c>
      <c r="G422" s="20"/>
    </row>
    <row r="423" spans="8:8" ht="41.25" customHeight="1">
      <c r="A423" s="20">
        <v>4.0</v>
      </c>
      <c r="B423" s="19" t="s">
        <v>2286</v>
      </c>
      <c r="C423" s="20">
        <v>252031.0</v>
      </c>
      <c r="D423" s="19" t="s">
        <v>104</v>
      </c>
      <c r="E423" s="20" t="s">
        <v>111</v>
      </c>
      <c r="F423" s="59">
        <v>0.4166666666666667</v>
      </c>
      <c r="G423" s="20"/>
    </row>
    <row r="424" spans="8:8" ht="41.25" customHeight="1">
      <c r="A424" s="24">
        <v>5.0</v>
      </c>
      <c r="B424" s="19" t="s">
        <v>2287</v>
      </c>
      <c r="C424" s="20">
        <v>252034.0</v>
      </c>
      <c r="D424" s="19" t="s">
        <v>104</v>
      </c>
      <c r="E424" s="20" t="s">
        <v>111</v>
      </c>
      <c r="F424" s="59">
        <v>0.4166666666666667</v>
      </c>
      <c r="G424" s="20"/>
    </row>
    <row r="425" spans="8:8" ht="41.25" customHeight="1">
      <c r="A425" s="20">
        <v>6.0</v>
      </c>
      <c r="B425" s="19" t="s">
        <v>2288</v>
      </c>
      <c r="C425" s="20">
        <v>252035.0</v>
      </c>
      <c r="D425" s="19" t="s">
        <v>104</v>
      </c>
      <c r="E425" s="20" t="s">
        <v>111</v>
      </c>
      <c r="F425" s="59">
        <v>0.4166666666666667</v>
      </c>
      <c r="G425" s="20"/>
    </row>
    <row r="426" spans="8:8" ht="41.25" customHeight="1">
      <c r="A426" s="24">
        <v>7.0</v>
      </c>
      <c r="B426" s="19" t="s">
        <v>2289</v>
      </c>
      <c r="C426" s="20">
        <v>252036.0</v>
      </c>
      <c r="D426" s="19" t="s">
        <v>104</v>
      </c>
      <c r="E426" s="20" t="s">
        <v>111</v>
      </c>
      <c r="F426" s="59">
        <v>0.4166666666666667</v>
      </c>
      <c r="G426" s="20"/>
    </row>
    <row r="427" spans="8:8" ht="41.25" customHeight="1">
      <c r="A427" s="20">
        <v>8.0</v>
      </c>
      <c r="B427" s="19" t="s">
        <v>2290</v>
      </c>
      <c r="C427" s="20">
        <v>252049.0</v>
      </c>
      <c r="D427" s="19" t="s">
        <v>104</v>
      </c>
      <c r="E427" s="20" t="s">
        <v>111</v>
      </c>
      <c r="F427" s="59">
        <v>0.4166666666666667</v>
      </c>
      <c r="G427" s="20"/>
    </row>
    <row r="428" spans="8:8" ht="41.25" customHeight="1">
      <c r="A428" s="24">
        <v>9.0</v>
      </c>
      <c r="B428" s="19" t="s">
        <v>2291</v>
      </c>
      <c r="C428" s="20">
        <v>252050.0</v>
      </c>
      <c r="D428" s="19" t="s">
        <v>104</v>
      </c>
      <c r="E428" s="20" t="s">
        <v>111</v>
      </c>
      <c r="F428" s="59">
        <v>0.4166666666666667</v>
      </c>
      <c r="G428" s="20"/>
    </row>
    <row r="429" spans="8:8" ht="41.25" customHeight="1">
      <c r="A429" s="20">
        <v>10.0</v>
      </c>
      <c r="B429" s="19" t="s">
        <v>2292</v>
      </c>
      <c r="C429" s="20">
        <v>252058.0</v>
      </c>
      <c r="D429" s="19" t="s">
        <v>104</v>
      </c>
      <c r="E429" s="20" t="s">
        <v>111</v>
      </c>
      <c r="F429" s="59">
        <v>0.4166666666666667</v>
      </c>
      <c r="G429" s="20"/>
    </row>
    <row r="430" spans="8:8" ht="41.25" customHeight="1">
      <c r="A430" s="24">
        <v>11.0</v>
      </c>
      <c r="B430" s="19" t="s">
        <v>2293</v>
      </c>
      <c r="C430" s="20">
        <v>252066.0</v>
      </c>
      <c r="D430" s="19" t="s">
        <v>104</v>
      </c>
      <c r="E430" s="20" t="s">
        <v>111</v>
      </c>
      <c r="F430" s="59">
        <v>0.4166666666666667</v>
      </c>
      <c r="G430" s="20"/>
    </row>
    <row r="431" spans="8:8" ht="41.25" customHeight="1">
      <c r="A431" s="20">
        <v>12.0</v>
      </c>
      <c r="B431" s="19" t="s">
        <v>2294</v>
      </c>
      <c r="C431" s="20">
        <v>252078.0</v>
      </c>
      <c r="D431" s="19" t="s">
        <v>104</v>
      </c>
      <c r="E431" s="20" t="s">
        <v>111</v>
      </c>
      <c r="F431" s="59">
        <v>0.4166666666666667</v>
      </c>
      <c r="G431" s="20"/>
    </row>
    <row r="432" spans="8:8" ht="41.25" customHeight="1">
      <c r="A432" s="24">
        <v>13.0</v>
      </c>
      <c r="B432" s="19" t="s">
        <v>2295</v>
      </c>
      <c r="C432" s="20">
        <v>252718.0</v>
      </c>
      <c r="D432" s="19" t="s">
        <v>90</v>
      </c>
      <c r="E432" s="20" t="s">
        <v>111</v>
      </c>
      <c r="F432" s="59">
        <v>0.4166666666666667</v>
      </c>
      <c r="G432" s="20"/>
    </row>
    <row r="433" spans="8:8" ht="41.25" customHeight="1">
      <c r="A433" s="20">
        <v>14.0</v>
      </c>
      <c r="B433" s="19" t="s">
        <v>2296</v>
      </c>
      <c r="C433" s="20">
        <v>251952.0</v>
      </c>
      <c r="D433" s="33" t="s">
        <v>104</v>
      </c>
      <c r="E433" s="20" t="s">
        <v>111</v>
      </c>
      <c r="F433" s="59">
        <v>0.4166666666666667</v>
      </c>
      <c r="G433" s="20"/>
    </row>
    <row r="434" spans="8:8" ht="41.25" customHeight="1">
      <c r="A434" s="24">
        <v>15.0</v>
      </c>
      <c r="B434" s="19" t="s">
        <v>2297</v>
      </c>
      <c r="C434" s="20">
        <v>251913.0</v>
      </c>
      <c r="D434" s="19" t="s">
        <v>104</v>
      </c>
      <c r="E434" s="20" t="s">
        <v>111</v>
      </c>
      <c r="F434" s="59">
        <v>0.4166666666666667</v>
      </c>
      <c r="G434" s="20"/>
    </row>
    <row r="435" spans="8:8" ht="41.25" customHeight="1">
      <c r="A435" s="20">
        <v>16.0</v>
      </c>
      <c r="B435" s="19" t="s">
        <v>2298</v>
      </c>
      <c r="C435" s="20">
        <v>251861.0</v>
      </c>
      <c r="D435" s="19" t="s">
        <v>104</v>
      </c>
      <c r="E435" s="20" t="s">
        <v>111</v>
      </c>
      <c r="F435" s="59">
        <v>0.4166666666666667</v>
      </c>
      <c r="G435" s="20"/>
    </row>
    <row r="436" spans="8:8" ht="41.25" customHeight="1">
      <c r="A436" s="24">
        <v>17.0</v>
      </c>
      <c r="B436" s="19" t="s">
        <v>2299</v>
      </c>
      <c r="C436" s="20">
        <v>252378.0</v>
      </c>
      <c r="D436" s="19" t="s">
        <v>104</v>
      </c>
      <c r="E436" s="20" t="s">
        <v>111</v>
      </c>
      <c r="F436" s="59">
        <v>0.4166666666666667</v>
      </c>
      <c r="G436" s="20"/>
    </row>
    <row r="437" spans="8:8" ht="41.25" customHeight="1">
      <c r="A437" s="20">
        <v>18.0</v>
      </c>
      <c r="B437" s="19" t="s">
        <v>2300</v>
      </c>
      <c r="C437" s="20">
        <v>252416.0</v>
      </c>
      <c r="D437" s="19" t="s">
        <v>104</v>
      </c>
      <c r="E437" s="20" t="s">
        <v>111</v>
      </c>
      <c r="F437" s="59">
        <v>0.4166666666666667</v>
      </c>
      <c r="G437" s="20"/>
    </row>
    <row r="438" spans="8:8" ht="41.25" customHeight="1">
      <c r="A438" s="24">
        <v>19.0</v>
      </c>
      <c r="B438" s="19" t="s">
        <v>2301</v>
      </c>
      <c r="C438" s="20">
        <v>252423.0</v>
      </c>
      <c r="D438" s="19" t="s">
        <v>104</v>
      </c>
      <c r="E438" s="20" t="s">
        <v>111</v>
      </c>
      <c r="F438" s="59">
        <v>0.4166666666666667</v>
      </c>
      <c r="G438" s="20"/>
    </row>
    <row r="439" spans="8:8" ht="41.25" customHeight="1">
      <c r="A439" s="20">
        <v>20.0</v>
      </c>
      <c r="B439" s="19" t="s">
        <v>2302</v>
      </c>
      <c r="C439" s="20">
        <v>252428.0</v>
      </c>
      <c r="D439" s="19" t="s">
        <v>104</v>
      </c>
      <c r="E439" s="20" t="s">
        <v>111</v>
      </c>
      <c r="F439" s="59">
        <v>0.4166666666666667</v>
      </c>
      <c r="G439" s="20"/>
    </row>
    <row r="440" spans="8:8" ht="41.25" customHeight="1">
      <c r="A440" s="24">
        <v>21.0</v>
      </c>
      <c r="B440" s="19" t="s">
        <v>2303</v>
      </c>
      <c r="C440" s="20">
        <v>252431.0</v>
      </c>
      <c r="D440" s="19" t="s">
        <v>104</v>
      </c>
      <c r="E440" s="20" t="s">
        <v>111</v>
      </c>
      <c r="F440" s="59">
        <v>0.4166666666666667</v>
      </c>
      <c r="G440" s="20"/>
    </row>
    <row r="441" spans="8:8" ht="41.25" customHeight="1">
      <c r="A441" s="20">
        <v>22.0</v>
      </c>
      <c r="B441" s="19" t="s">
        <v>2304</v>
      </c>
      <c r="C441" s="20">
        <v>252439.0</v>
      </c>
      <c r="D441" s="19" t="s">
        <v>104</v>
      </c>
      <c r="E441" s="20" t="s">
        <v>111</v>
      </c>
      <c r="F441" s="59">
        <v>0.4166666666666667</v>
      </c>
      <c r="G441" s="20"/>
    </row>
    <row r="442" spans="8:8" ht="41.25" customHeight="1">
      <c r="A442" s="24">
        <v>23.0</v>
      </c>
      <c r="B442" s="19" t="s">
        <v>2305</v>
      </c>
      <c r="C442" s="20">
        <v>252454.0</v>
      </c>
      <c r="D442" s="19" t="s">
        <v>104</v>
      </c>
      <c r="E442" s="20" t="s">
        <v>111</v>
      </c>
      <c r="F442" s="59">
        <v>0.4166666666666667</v>
      </c>
      <c r="G442" s="20"/>
    </row>
    <row r="443" spans="8:8" ht="41.25" customHeight="1">
      <c r="A443" s="20">
        <v>24.0</v>
      </c>
      <c r="B443" s="19" t="s">
        <v>2306</v>
      </c>
      <c r="C443" s="20">
        <v>252462.0</v>
      </c>
      <c r="D443" s="19" t="s">
        <v>104</v>
      </c>
      <c r="E443" s="20" t="s">
        <v>111</v>
      </c>
      <c r="F443" s="59">
        <v>0.4166666666666667</v>
      </c>
      <c r="G443" s="20"/>
    </row>
    <row r="444" spans="8:8" ht="41.25" customHeight="1">
      <c r="A444" s="24">
        <v>25.0</v>
      </c>
      <c r="B444" s="19" t="s">
        <v>2307</v>
      </c>
      <c r="C444" s="20">
        <v>252894.0</v>
      </c>
      <c r="D444" s="19" t="s">
        <v>104</v>
      </c>
      <c r="E444" s="20" t="s">
        <v>111</v>
      </c>
      <c r="F444" s="59">
        <v>0.4166666666666667</v>
      </c>
      <c r="G444" s="20"/>
    </row>
    <row r="445" spans="8:8" ht="41.25" customHeight="1">
      <c r="A445" s="60" t="s">
        <v>18</v>
      </c>
      <c r="B445" s="60" t="s">
        <v>19</v>
      </c>
      <c r="C445" s="60" t="s">
        <v>1870</v>
      </c>
      <c r="D445" s="60" t="s">
        <v>21</v>
      </c>
      <c r="E445" s="60" t="s">
        <v>22</v>
      </c>
      <c r="F445" s="9" t="s">
        <v>23</v>
      </c>
      <c r="G445" s="60" t="s">
        <v>2308</v>
      </c>
    </row>
    <row r="446" spans="8:8" ht="41.25" customHeight="1">
      <c r="A446" s="24">
        <v>1.0</v>
      </c>
      <c r="B446" s="23" t="s">
        <v>2309</v>
      </c>
      <c r="C446" s="24">
        <v>252490.0</v>
      </c>
      <c r="D446" s="23" t="s">
        <v>90</v>
      </c>
      <c r="E446" s="24" t="s">
        <v>111</v>
      </c>
      <c r="F446" s="61">
        <v>0.4166666666666667</v>
      </c>
      <c r="G446" s="24"/>
    </row>
    <row r="447" spans="8:8" ht="41.25" customHeight="1">
      <c r="A447" s="20">
        <v>2.0</v>
      </c>
      <c r="B447" s="19" t="s">
        <v>2310</v>
      </c>
      <c r="C447" s="20">
        <v>252503.0</v>
      </c>
      <c r="D447" s="33" t="s">
        <v>90</v>
      </c>
      <c r="E447" s="20" t="s">
        <v>111</v>
      </c>
      <c r="F447" s="59">
        <v>0.4166666666666667</v>
      </c>
      <c r="G447" s="13"/>
    </row>
    <row r="448" spans="8:8" ht="41.25" customHeight="1">
      <c r="A448" s="20">
        <v>3.0</v>
      </c>
      <c r="B448" s="19" t="s">
        <v>2311</v>
      </c>
      <c r="C448" s="20">
        <v>252502.0</v>
      </c>
      <c r="D448" s="33" t="s">
        <v>90</v>
      </c>
      <c r="E448" s="20" t="s">
        <v>111</v>
      </c>
      <c r="F448" s="59">
        <v>0.4166666666666667</v>
      </c>
      <c r="G448" s="20"/>
    </row>
    <row r="449" spans="8:8" ht="41.25" customHeight="1">
      <c r="A449" s="20">
        <v>4.0</v>
      </c>
      <c r="B449" s="19" t="s">
        <v>2312</v>
      </c>
      <c r="C449" s="20">
        <v>252519.0</v>
      </c>
      <c r="D449" s="33" t="s">
        <v>90</v>
      </c>
      <c r="E449" s="20" t="s">
        <v>111</v>
      </c>
      <c r="F449" s="59">
        <v>0.4166666666666667</v>
      </c>
      <c r="G449" s="20"/>
    </row>
    <row r="450" spans="8:8" ht="41.25" customHeight="1">
      <c r="A450" s="20">
        <v>5.0</v>
      </c>
      <c r="B450" s="19" t="s">
        <v>2313</v>
      </c>
      <c r="C450" s="20">
        <v>252521.0</v>
      </c>
      <c r="D450" s="33" t="s">
        <v>90</v>
      </c>
      <c r="E450" s="20" t="s">
        <v>111</v>
      </c>
      <c r="F450" s="59">
        <v>0.4166666666666667</v>
      </c>
      <c r="G450" s="20"/>
    </row>
    <row r="451" spans="8:8" ht="41.25" customHeight="1">
      <c r="A451" s="20">
        <v>6.0</v>
      </c>
      <c r="B451" s="19" t="s">
        <v>2314</v>
      </c>
      <c r="C451" s="20">
        <v>252525.0</v>
      </c>
      <c r="D451" s="33" t="s">
        <v>90</v>
      </c>
      <c r="E451" s="20" t="s">
        <v>111</v>
      </c>
      <c r="F451" s="59">
        <v>0.4166666666666667</v>
      </c>
      <c r="G451" s="20"/>
    </row>
    <row r="452" spans="8:8" ht="41.25" customHeight="1">
      <c r="A452" s="20">
        <v>7.0</v>
      </c>
      <c r="B452" s="19" t="s">
        <v>2315</v>
      </c>
      <c r="C452" s="20">
        <v>251872.0</v>
      </c>
      <c r="D452" s="33" t="s">
        <v>104</v>
      </c>
      <c r="E452" s="20" t="s">
        <v>111</v>
      </c>
      <c r="F452" s="59">
        <v>0.4166666666666667</v>
      </c>
      <c r="G452" s="20"/>
    </row>
    <row r="453" spans="8:8" ht="41.25" customHeight="1">
      <c r="A453" s="20">
        <v>8.0</v>
      </c>
      <c r="B453" s="19" t="s">
        <v>2316</v>
      </c>
      <c r="C453" s="20">
        <v>251870.0</v>
      </c>
      <c r="D453" s="19" t="s">
        <v>104</v>
      </c>
      <c r="E453" s="20" t="s">
        <v>111</v>
      </c>
      <c r="F453" s="59">
        <v>0.4166666666666667</v>
      </c>
      <c r="G453" s="20"/>
    </row>
    <row r="454" spans="8:8" ht="41.25" customHeight="1">
      <c r="A454" s="20">
        <v>9.0</v>
      </c>
      <c r="B454" s="19" t="s">
        <v>2317</v>
      </c>
      <c r="C454" s="20">
        <v>251824.0</v>
      </c>
      <c r="D454" s="19" t="s">
        <v>104</v>
      </c>
      <c r="E454" s="20" t="s">
        <v>111</v>
      </c>
      <c r="F454" s="59">
        <v>0.4166666666666667</v>
      </c>
      <c r="G454" s="20"/>
    </row>
    <row r="455" spans="8:8" ht="41.25" customHeight="1">
      <c r="A455" s="20">
        <v>10.0</v>
      </c>
      <c r="B455" s="19" t="s">
        <v>2318</v>
      </c>
      <c r="C455" s="20">
        <v>252528.0</v>
      </c>
      <c r="D455" s="19" t="s">
        <v>90</v>
      </c>
      <c r="E455" s="20" t="s">
        <v>111</v>
      </c>
      <c r="F455" s="59">
        <v>0.4166666666666667</v>
      </c>
      <c r="G455" s="20"/>
    </row>
    <row r="456" spans="8:8" ht="41.25" customHeight="1">
      <c r="A456" s="20">
        <v>11.0</v>
      </c>
      <c r="B456" s="19" t="s">
        <v>2319</v>
      </c>
      <c r="C456" s="20">
        <v>252533.0</v>
      </c>
      <c r="D456" s="33" t="s">
        <v>90</v>
      </c>
      <c r="E456" s="20" t="s">
        <v>111</v>
      </c>
      <c r="F456" s="59">
        <v>0.4166666666666667</v>
      </c>
      <c r="G456" s="20"/>
    </row>
    <row r="457" spans="8:8" ht="41.25" customHeight="1">
      <c r="A457" s="20">
        <v>12.0</v>
      </c>
      <c r="B457" s="19" t="s">
        <v>2320</v>
      </c>
      <c r="C457" s="20">
        <v>252542.0</v>
      </c>
      <c r="D457" s="33" t="s">
        <v>90</v>
      </c>
      <c r="E457" s="20" t="s">
        <v>111</v>
      </c>
      <c r="F457" s="59">
        <v>0.4166666666666667</v>
      </c>
      <c r="G457" s="20"/>
    </row>
    <row r="458" spans="8:8" ht="41.25" customHeight="1">
      <c r="A458" s="20">
        <v>13.0</v>
      </c>
      <c r="B458" s="19" t="s">
        <v>2321</v>
      </c>
      <c r="C458" s="20">
        <v>252835.0</v>
      </c>
      <c r="D458" s="33" t="s">
        <v>90</v>
      </c>
      <c r="E458" s="20" t="s">
        <v>111</v>
      </c>
      <c r="F458" s="59">
        <v>0.4166666666666667</v>
      </c>
      <c r="G458" s="20"/>
    </row>
    <row r="459" spans="8:8" ht="41.25" customHeight="1">
      <c r="A459" s="20">
        <v>14.0</v>
      </c>
      <c r="B459" s="19" t="s">
        <v>2322</v>
      </c>
      <c r="C459" s="20">
        <v>252551.0</v>
      </c>
      <c r="D459" s="33" t="s">
        <v>90</v>
      </c>
      <c r="E459" s="20" t="s">
        <v>111</v>
      </c>
      <c r="F459" s="59">
        <v>0.4166666666666667</v>
      </c>
      <c r="G459" s="20"/>
    </row>
    <row r="460" spans="8:8" ht="41.25" customHeight="1">
      <c r="A460" s="20">
        <v>15.0</v>
      </c>
      <c r="B460" s="19" t="s">
        <v>2323</v>
      </c>
      <c r="C460" s="20">
        <v>252828.0</v>
      </c>
      <c r="D460" s="33" t="s">
        <v>90</v>
      </c>
      <c r="E460" s="20" t="s">
        <v>111</v>
      </c>
      <c r="F460" s="59">
        <v>0.4166666666666667</v>
      </c>
      <c r="G460" s="20"/>
    </row>
    <row r="461" spans="8:8" ht="41.25" customHeight="1">
      <c r="A461" s="20">
        <v>16.0</v>
      </c>
      <c r="B461" s="19" t="s">
        <v>2324</v>
      </c>
      <c r="C461" s="20">
        <v>252562.0</v>
      </c>
      <c r="D461" s="33" t="s">
        <v>90</v>
      </c>
      <c r="E461" s="20" t="s">
        <v>111</v>
      </c>
      <c r="F461" s="59">
        <v>0.4166666666666667</v>
      </c>
      <c r="G461" s="20"/>
    </row>
    <row r="462" spans="8:8" ht="41.25" customHeight="1">
      <c r="A462" s="20">
        <v>17.0</v>
      </c>
      <c r="B462" s="19" t="s">
        <v>2325</v>
      </c>
      <c r="C462" s="20">
        <v>252566.0</v>
      </c>
      <c r="D462" s="33" t="s">
        <v>90</v>
      </c>
      <c r="E462" s="20" t="s">
        <v>111</v>
      </c>
      <c r="F462" s="59">
        <v>0.4166666666666667</v>
      </c>
      <c r="G462" s="20"/>
    </row>
    <row r="463" spans="8:8" ht="41.25" customHeight="1">
      <c r="A463" s="20">
        <v>18.0</v>
      </c>
      <c r="B463" s="19" t="s">
        <v>2326</v>
      </c>
      <c r="C463" s="20">
        <v>252588.0</v>
      </c>
      <c r="D463" s="33" t="s">
        <v>90</v>
      </c>
      <c r="E463" s="20" t="s">
        <v>111</v>
      </c>
      <c r="F463" s="59">
        <v>0.4166666666666667</v>
      </c>
      <c r="G463" s="20"/>
    </row>
    <row r="464" spans="8:8" ht="41.25" customHeight="1">
      <c r="A464" s="20">
        <v>19.0</v>
      </c>
      <c r="B464" s="19" t="s">
        <v>2327</v>
      </c>
      <c r="C464" s="20">
        <v>252595.0</v>
      </c>
      <c r="D464" s="33" t="s">
        <v>90</v>
      </c>
      <c r="E464" s="20" t="s">
        <v>111</v>
      </c>
      <c r="F464" s="59">
        <v>0.4166666666666667</v>
      </c>
      <c r="G464" s="20"/>
    </row>
    <row r="465" spans="8:8" ht="41.25" customHeight="1">
      <c r="A465" s="20">
        <v>20.0</v>
      </c>
      <c r="B465" s="19" t="s">
        <v>2328</v>
      </c>
      <c r="C465" s="20">
        <v>252599.0</v>
      </c>
      <c r="D465" s="33" t="s">
        <v>90</v>
      </c>
      <c r="E465" s="20" t="s">
        <v>111</v>
      </c>
      <c r="F465" s="59">
        <v>0.4166666666666667</v>
      </c>
      <c r="G465" s="20"/>
    </row>
    <row r="466" spans="8:8" ht="41.25" customHeight="1">
      <c r="A466" s="20">
        <v>21.0</v>
      </c>
      <c r="B466" s="19" t="s">
        <v>2329</v>
      </c>
      <c r="C466" s="20">
        <v>252606.0</v>
      </c>
      <c r="D466" s="33" t="s">
        <v>90</v>
      </c>
      <c r="E466" s="20" t="s">
        <v>111</v>
      </c>
      <c r="F466" s="59">
        <v>0.4166666666666667</v>
      </c>
      <c r="G466" s="20"/>
    </row>
    <row r="467" spans="8:8" ht="41.25" customHeight="1">
      <c r="A467" s="20">
        <v>22.0</v>
      </c>
      <c r="B467" s="19" t="s">
        <v>2330</v>
      </c>
      <c r="C467" s="20">
        <v>252604.0</v>
      </c>
      <c r="D467" s="33" t="s">
        <v>90</v>
      </c>
      <c r="E467" s="20" t="s">
        <v>111</v>
      </c>
      <c r="F467" s="59">
        <v>0.4166666666666667</v>
      </c>
      <c r="G467" s="20"/>
    </row>
    <row r="468" spans="8:8" ht="41.25" customHeight="1">
      <c r="A468" s="20">
        <v>23.0</v>
      </c>
      <c r="B468" s="19" t="s">
        <v>2331</v>
      </c>
      <c r="C468" s="20">
        <v>252614.0</v>
      </c>
      <c r="D468" s="33" t="s">
        <v>90</v>
      </c>
      <c r="E468" s="20" t="s">
        <v>111</v>
      </c>
      <c r="F468" s="59">
        <v>0.4166666666666667</v>
      </c>
      <c r="G468" s="20"/>
    </row>
    <row r="469" spans="8:8" ht="41.25" customHeight="1">
      <c r="A469" s="20">
        <v>24.0</v>
      </c>
      <c r="B469" s="19" t="s">
        <v>2332</v>
      </c>
      <c r="C469" s="20">
        <v>252615.0</v>
      </c>
      <c r="D469" s="33" t="s">
        <v>90</v>
      </c>
      <c r="E469" s="20" t="s">
        <v>111</v>
      </c>
      <c r="F469" s="59">
        <v>0.4166666666666667</v>
      </c>
      <c r="G469" s="20"/>
    </row>
    <row r="470" spans="8:8" ht="41.25" customHeight="1">
      <c r="A470" s="20">
        <v>25.0</v>
      </c>
      <c r="B470" s="19" t="s">
        <v>2333</v>
      </c>
      <c r="C470" s="20">
        <v>252616.0</v>
      </c>
      <c r="D470" s="33" t="s">
        <v>90</v>
      </c>
      <c r="E470" s="20" t="s">
        <v>111</v>
      </c>
      <c r="F470" s="59">
        <v>0.4166666666666667</v>
      </c>
      <c r="G470" s="20"/>
    </row>
    <row r="471" spans="8:8" ht="41.25" customHeight="1">
      <c r="A471" s="60" t="s">
        <v>18</v>
      </c>
      <c r="B471" s="60" t="s">
        <v>19</v>
      </c>
      <c r="C471" s="60" t="s">
        <v>1870</v>
      </c>
      <c r="D471" s="60" t="s">
        <v>21</v>
      </c>
      <c r="E471" s="60" t="s">
        <v>22</v>
      </c>
      <c r="F471" s="9" t="s">
        <v>23</v>
      </c>
      <c r="G471" s="60" t="s">
        <v>2334</v>
      </c>
    </row>
    <row r="472" spans="8:8" ht="41.25" customHeight="1">
      <c r="A472" s="24">
        <v>1.0</v>
      </c>
      <c r="B472" s="23" t="s">
        <v>2335</v>
      </c>
      <c r="C472" s="24">
        <v>252618.0</v>
      </c>
      <c r="D472" s="33" t="s">
        <v>90</v>
      </c>
      <c r="E472" s="24" t="s">
        <v>111</v>
      </c>
      <c r="F472" s="61">
        <v>0.4166666666666667</v>
      </c>
      <c r="G472" s="24"/>
    </row>
    <row r="473" spans="8:8" ht="41.25" customHeight="1">
      <c r="A473" s="20">
        <v>2.0</v>
      </c>
      <c r="B473" s="19" t="s">
        <v>2336</v>
      </c>
      <c r="C473" s="20">
        <v>252626.0</v>
      </c>
      <c r="D473" s="33" t="s">
        <v>90</v>
      </c>
      <c r="E473" s="20" t="s">
        <v>111</v>
      </c>
      <c r="F473" s="59">
        <v>0.4166666666666667</v>
      </c>
      <c r="G473" s="13"/>
    </row>
    <row r="474" spans="8:8" ht="41.25" customHeight="1">
      <c r="A474" s="24">
        <v>3.0</v>
      </c>
      <c r="B474" s="19" t="s">
        <v>2337</v>
      </c>
      <c r="C474" s="20">
        <v>252681.0</v>
      </c>
      <c r="D474" s="33" t="s">
        <v>90</v>
      </c>
      <c r="E474" s="20" t="s">
        <v>111</v>
      </c>
      <c r="F474" s="59">
        <v>0.4166666666666667</v>
      </c>
      <c r="G474" s="20"/>
    </row>
    <row r="475" spans="8:8" ht="41.25" customHeight="1">
      <c r="A475" s="20">
        <v>4.0</v>
      </c>
      <c r="B475" s="19" t="s">
        <v>2338</v>
      </c>
      <c r="C475" s="20">
        <v>252698.0</v>
      </c>
      <c r="D475" s="33" t="s">
        <v>90</v>
      </c>
      <c r="E475" s="20" t="s">
        <v>111</v>
      </c>
      <c r="F475" s="59">
        <v>0.4166666666666667</v>
      </c>
      <c r="G475" s="20"/>
    </row>
    <row r="476" spans="8:8" ht="41.25" customHeight="1">
      <c r="A476" s="24">
        <v>5.0</v>
      </c>
      <c r="B476" s="19" t="s">
        <v>2339</v>
      </c>
      <c r="C476" s="20">
        <v>252705.0</v>
      </c>
      <c r="D476" s="33" t="s">
        <v>90</v>
      </c>
      <c r="E476" s="20" t="s">
        <v>111</v>
      </c>
      <c r="F476" s="59">
        <v>0.4166666666666667</v>
      </c>
      <c r="G476" s="20"/>
    </row>
    <row r="477" spans="8:8" ht="41.25" customHeight="1">
      <c r="A477" s="20">
        <v>6.0</v>
      </c>
      <c r="B477" s="19" t="s">
        <v>2340</v>
      </c>
      <c r="C477" s="20">
        <v>252707.0</v>
      </c>
      <c r="D477" s="33" t="s">
        <v>90</v>
      </c>
      <c r="E477" s="20" t="s">
        <v>111</v>
      </c>
      <c r="F477" s="59">
        <v>0.4166666666666667</v>
      </c>
      <c r="G477" s="20"/>
    </row>
    <row r="478" spans="8:8" ht="41.25" customHeight="1">
      <c r="A478" s="24">
        <v>7.0</v>
      </c>
      <c r="B478" s="19" t="s">
        <v>2341</v>
      </c>
      <c r="C478" s="20">
        <v>252768.0</v>
      </c>
      <c r="D478" s="33" t="s">
        <v>90</v>
      </c>
      <c r="E478" s="20" t="s">
        <v>111</v>
      </c>
      <c r="F478" s="59">
        <v>0.4166666666666667</v>
      </c>
      <c r="G478" s="20"/>
    </row>
    <row r="479" spans="8:8" ht="41.25" customHeight="1">
      <c r="A479" s="20">
        <v>8.0</v>
      </c>
      <c r="B479" s="19" t="s">
        <v>2342</v>
      </c>
      <c r="C479" s="20">
        <v>252796.0</v>
      </c>
      <c r="D479" s="33" t="s">
        <v>90</v>
      </c>
      <c r="E479" s="20" t="s">
        <v>111</v>
      </c>
      <c r="F479" s="59">
        <v>0.4166666666666667</v>
      </c>
      <c r="G479" s="20"/>
    </row>
    <row r="480" spans="8:8" ht="41.25" customHeight="1">
      <c r="A480" s="24">
        <v>9.0</v>
      </c>
      <c r="B480" s="19" t="s">
        <v>2343</v>
      </c>
      <c r="C480" s="20">
        <v>252995.0</v>
      </c>
      <c r="D480" s="33" t="s">
        <v>90</v>
      </c>
      <c r="E480" s="20" t="s">
        <v>111</v>
      </c>
      <c r="F480" s="59">
        <v>0.4166666666666667</v>
      </c>
      <c r="G480" s="20"/>
    </row>
    <row r="481" spans="8:8" ht="41.25" customHeight="1">
      <c r="A481" s="20">
        <v>10.0</v>
      </c>
      <c r="B481" s="19" t="s">
        <v>2344</v>
      </c>
      <c r="C481" s="20">
        <v>251951.0</v>
      </c>
      <c r="D481" s="33" t="s">
        <v>104</v>
      </c>
      <c r="E481" s="20" t="s">
        <v>111</v>
      </c>
      <c r="F481" s="59">
        <v>0.4166666666666667</v>
      </c>
      <c r="G481" s="20"/>
    </row>
    <row r="482" spans="8:8" ht="41.25" customHeight="1">
      <c r="A482" s="24">
        <v>11.0</v>
      </c>
      <c r="B482" s="19" t="s">
        <v>2345</v>
      </c>
      <c r="C482" s="20">
        <v>253118.0</v>
      </c>
      <c r="D482" s="19" t="s">
        <v>90</v>
      </c>
      <c r="E482" s="20" t="s">
        <v>111</v>
      </c>
      <c r="F482" s="59">
        <v>0.4166666666666667</v>
      </c>
      <c r="G482" s="20"/>
    </row>
    <row r="483" spans="8:8" ht="41.25" customHeight="1">
      <c r="A483" s="20">
        <v>12.0</v>
      </c>
      <c r="B483" s="19" t="s">
        <v>2346</v>
      </c>
      <c r="C483" s="20">
        <v>253179.0</v>
      </c>
      <c r="D483" s="33" t="s">
        <v>90</v>
      </c>
      <c r="E483" s="20" t="s">
        <v>111</v>
      </c>
      <c r="F483" s="59">
        <v>0.4166666666666667</v>
      </c>
      <c r="G483" s="20"/>
    </row>
    <row r="484" spans="8:8" ht="41.25" customHeight="1">
      <c r="A484" s="24">
        <v>13.0</v>
      </c>
      <c r="B484" s="19" t="s">
        <v>2347</v>
      </c>
      <c r="C484" s="20">
        <v>252643.0</v>
      </c>
      <c r="D484" s="33" t="s">
        <v>90</v>
      </c>
      <c r="E484" s="20" t="s">
        <v>111</v>
      </c>
      <c r="F484" s="59">
        <v>0.4166666666666667</v>
      </c>
      <c r="G484" s="20"/>
    </row>
    <row r="485" spans="8:8" ht="41.25" customHeight="1">
      <c r="A485" s="20">
        <v>14.0</v>
      </c>
      <c r="B485" s="19" t="s">
        <v>2348</v>
      </c>
      <c r="C485" s="20">
        <v>252545.0</v>
      </c>
      <c r="D485" s="33" t="s">
        <v>90</v>
      </c>
      <c r="E485" s="20" t="s">
        <v>111</v>
      </c>
      <c r="F485" s="59">
        <v>0.4166666666666667</v>
      </c>
      <c r="G485" s="20"/>
    </row>
    <row r="486" spans="8:8" ht="41.25" customHeight="1">
      <c r="A486" s="24">
        <v>15.0</v>
      </c>
      <c r="B486" s="19" t="s">
        <v>2349</v>
      </c>
      <c r="C486" s="20">
        <v>253087.0</v>
      </c>
      <c r="D486" s="33" t="s">
        <v>90</v>
      </c>
      <c r="E486" s="20" t="s">
        <v>111</v>
      </c>
      <c r="F486" s="59">
        <v>0.4166666666666667</v>
      </c>
      <c r="G486" s="20"/>
    </row>
    <row r="487" spans="8:8" ht="41.25" customHeight="1">
      <c r="A487" s="20">
        <v>16.0</v>
      </c>
      <c r="B487" s="19" t="s">
        <v>2350</v>
      </c>
      <c r="C487" s="20">
        <v>252952.0</v>
      </c>
      <c r="D487" s="33" t="s">
        <v>90</v>
      </c>
      <c r="E487" s="20" t="s">
        <v>111</v>
      </c>
      <c r="F487" s="59">
        <v>0.4166666666666667</v>
      </c>
      <c r="G487" s="20"/>
    </row>
    <row r="488" spans="8:8" ht="41.25" customHeight="1">
      <c r="A488" s="24">
        <v>17.0</v>
      </c>
      <c r="B488" s="23" t="s">
        <v>2351</v>
      </c>
      <c r="C488" s="24">
        <v>253032.0</v>
      </c>
      <c r="D488" s="33" t="s">
        <v>90</v>
      </c>
      <c r="E488" s="20" t="s">
        <v>111</v>
      </c>
      <c r="F488" s="59">
        <v>0.4166666666666667</v>
      </c>
      <c r="G488" s="20"/>
    </row>
    <row r="489" spans="8:8" ht="41.25" customHeight="1">
      <c r="A489" s="20">
        <v>18.0</v>
      </c>
      <c r="B489" s="19" t="s">
        <v>2352</v>
      </c>
      <c r="C489" s="20">
        <v>252820.0</v>
      </c>
      <c r="D489" s="33" t="s">
        <v>90</v>
      </c>
      <c r="E489" s="20" t="s">
        <v>111</v>
      </c>
      <c r="F489" s="59">
        <v>0.4166666666666667</v>
      </c>
      <c r="G489" s="20"/>
    </row>
    <row r="490" spans="8:8" ht="41.25" customHeight="1">
      <c r="A490" s="24">
        <v>19.0</v>
      </c>
      <c r="B490" s="19" t="s">
        <v>2353</v>
      </c>
      <c r="C490" s="20">
        <v>253043.0</v>
      </c>
      <c r="D490" s="33" t="s">
        <v>104</v>
      </c>
      <c r="E490" s="20" t="s">
        <v>111</v>
      </c>
      <c r="F490" s="59">
        <v>0.4166666666666667</v>
      </c>
      <c r="G490" s="20"/>
    </row>
    <row r="491" spans="8:8" ht="41.25" customHeight="1">
      <c r="A491" s="20">
        <v>20.0</v>
      </c>
      <c r="B491" s="19" t="s">
        <v>2354</v>
      </c>
      <c r="C491" s="20">
        <v>253010.0</v>
      </c>
      <c r="D491" s="19" t="s">
        <v>104</v>
      </c>
      <c r="E491" s="20" t="s">
        <v>111</v>
      </c>
      <c r="F491" s="59">
        <v>0.4166666666666667</v>
      </c>
      <c r="G491" s="20"/>
    </row>
    <row r="492" spans="8:8" ht="41.25" customHeight="1">
      <c r="A492" s="24">
        <v>21.0</v>
      </c>
      <c r="B492" s="19" t="s">
        <v>2355</v>
      </c>
      <c r="C492" s="20">
        <v>252619.0</v>
      </c>
      <c r="D492" s="19" t="s">
        <v>90</v>
      </c>
      <c r="E492" s="20" t="s">
        <v>111</v>
      </c>
      <c r="F492" s="59">
        <v>0.4166666666666667</v>
      </c>
      <c r="G492" s="20"/>
    </row>
    <row r="493" spans="8:8" ht="41.25" customHeight="1">
      <c r="A493" s="20">
        <v>22.0</v>
      </c>
      <c r="B493" s="19" t="s">
        <v>2356</v>
      </c>
      <c r="C493" s="20">
        <v>252589.0</v>
      </c>
      <c r="D493" s="33" t="s">
        <v>90</v>
      </c>
      <c r="E493" s="20" t="s">
        <v>111</v>
      </c>
      <c r="F493" s="59">
        <v>0.4166666666666667</v>
      </c>
      <c r="G493" s="20"/>
    </row>
    <row r="494" spans="8:8" ht="41.25" customHeight="1">
      <c r="A494" s="24">
        <v>23.0</v>
      </c>
      <c r="B494" s="19" t="s">
        <v>2357</v>
      </c>
      <c r="C494" s="20">
        <v>252577.0</v>
      </c>
      <c r="D494" s="33" t="s">
        <v>90</v>
      </c>
      <c r="E494" s="20" t="s">
        <v>111</v>
      </c>
      <c r="F494" s="59">
        <v>0.4166666666666667</v>
      </c>
      <c r="G494" s="20"/>
    </row>
    <row r="495" spans="8:8" ht="41.25" customHeight="1">
      <c r="A495" s="20">
        <v>24.0</v>
      </c>
      <c r="B495" s="19" t="s">
        <v>2358</v>
      </c>
      <c r="C495" s="20">
        <v>251966.0</v>
      </c>
      <c r="D495" s="33" t="s">
        <v>104</v>
      </c>
      <c r="E495" s="20" t="s">
        <v>111</v>
      </c>
      <c r="F495" s="59">
        <v>0.4166666666666667</v>
      </c>
      <c r="G495" s="20"/>
    </row>
    <row r="496" spans="8:8" ht="41.25" customHeight="1">
      <c r="A496" s="60" t="s">
        <v>18</v>
      </c>
      <c r="B496" s="60" t="s">
        <v>19</v>
      </c>
      <c r="C496" s="60" t="s">
        <v>1870</v>
      </c>
      <c r="D496" s="60" t="s">
        <v>21</v>
      </c>
      <c r="E496" s="60" t="s">
        <v>22</v>
      </c>
      <c r="F496" s="9" t="s">
        <v>23</v>
      </c>
      <c r="G496" s="60" t="s">
        <v>2359</v>
      </c>
    </row>
    <row r="497" spans="8:8" ht="41.25" customHeight="1">
      <c r="A497" s="24">
        <v>1.0</v>
      </c>
      <c r="B497" s="23" t="s">
        <v>2360</v>
      </c>
      <c r="C497" s="24">
        <v>252881.0</v>
      </c>
      <c r="D497" s="23" t="s">
        <v>104</v>
      </c>
      <c r="E497" s="24" t="s">
        <v>580</v>
      </c>
      <c r="F497" s="61">
        <v>0.4166666666666667</v>
      </c>
      <c r="G497" s="24"/>
    </row>
    <row r="498" spans="8:8" ht="41.25" customHeight="1">
      <c r="A498" s="20">
        <v>2.0</v>
      </c>
      <c r="B498" s="19" t="s">
        <v>2361</v>
      </c>
      <c r="C498" s="20">
        <v>251993.0</v>
      </c>
      <c r="D498" s="19" t="s">
        <v>104</v>
      </c>
      <c r="E498" s="20" t="s">
        <v>580</v>
      </c>
      <c r="F498" s="59">
        <v>0.4166666666666667</v>
      </c>
      <c r="G498" s="13"/>
    </row>
    <row r="499" spans="8:8" ht="41.25" customHeight="1">
      <c r="A499" s="24">
        <v>3.0</v>
      </c>
      <c r="B499" s="19" t="s">
        <v>2362</v>
      </c>
      <c r="C499" s="20">
        <v>252000.0</v>
      </c>
      <c r="D499" s="19" t="s">
        <v>104</v>
      </c>
      <c r="E499" s="20" t="s">
        <v>580</v>
      </c>
      <c r="F499" s="59">
        <v>0.4166666666666667</v>
      </c>
      <c r="G499" s="20"/>
    </row>
    <row r="500" spans="8:8" ht="41.25" customHeight="1">
      <c r="A500" s="20">
        <v>4.0</v>
      </c>
      <c r="B500" s="19" t="s">
        <v>2363</v>
      </c>
      <c r="C500" s="20">
        <v>252021.0</v>
      </c>
      <c r="D500" s="19" t="s">
        <v>104</v>
      </c>
      <c r="E500" s="20" t="s">
        <v>580</v>
      </c>
      <c r="F500" s="59">
        <v>0.4166666666666667</v>
      </c>
      <c r="G500" s="20"/>
    </row>
    <row r="501" spans="8:8" ht="41.25" customHeight="1">
      <c r="A501" s="24">
        <v>5.0</v>
      </c>
      <c r="B501" s="19" t="s">
        <v>2364</v>
      </c>
      <c r="C501" s="20">
        <v>252029.0</v>
      </c>
      <c r="D501" s="19" t="s">
        <v>104</v>
      </c>
      <c r="E501" s="20" t="s">
        <v>580</v>
      </c>
      <c r="F501" s="59">
        <v>0.4166666666666667</v>
      </c>
      <c r="G501" s="20"/>
    </row>
    <row r="502" spans="8:8" ht="41.25" customHeight="1">
      <c r="A502" s="20">
        <v>6.0</v>
      </c>
      <c r="B502" s="19" t="s">
        <v>2365</v>
      </c>
      <c r="C502" s="20">
        <v>252012.0</v>
      </c>
      <c r="D502" s="19" t="s">
        <v>104</v>
      </c>
      <c r="E502" s="20" t="s">
        <v>580</v>
      </c>
      <c r="F502" s="59">
        <v>0.4166666666666667</v>
      </c>
      <c r="G502" s="20"/>
    </row>
    <row r="503" spans="8:8" ht="41.25" customHeight="1">
      <c r="A503" s="24">
        <v>7.0</v>
      </c>
      <c r="B503" s="19" t="s">
        <v>2366</v>
      </c>
      <c r="C503" s="20">
        <v>252081.0</v>
      </c>
      <c r="D503" s="19" t="s">
        <v>104</v>
      </c>
      <c r="E503" s="20" t="s">
        <v>580</v>
      </c>
      <c r="F503" s="59">
        <v>0.4166666666666667</v>
      </c>
      <c r="G503" s="20"/>
    </row>
    <row r="504" spans="8:8" ht="41.25" customHeight="1">
      <c r="A504" s="20">
        <v>8.0</v>
      </c>
      <c r="B504" s="19" t="s">
        <v>2367</v>
      </c>
      <c r="C504" s="20">
        <v>252150.0</v>
      </c>
      <c r="D504" s="19" t="s">
        <v>104</v>
      </c>
      <c r="E504" s="20" t="s">
        <v>580</v>
      </c>
      <c r="F504" s="59">
        <v>0.4166666666666667</v>
      </c>
      <c r="G504" s="20"/>
    </row>
    <row r="505" spans="8:8" ht="41.25" customHeight="1">
      <c r="A505" s="24">
        <v>9.0</v>
      </c>
      <c r="B505" s="19" t="s">
        <v>2368</v>
      </c>
      <c r="C505" s="20">
        <v>252353.0</v>
      </c>
      <c r="D505" s="19" t="s">
        <v>104</v>
      </c>
      <c r="E505" s="20" t="s">
        <v>580</v>
      </c>
      <c r="F505" s="59">
        <v>0.4166666666666667</v>
      </c>
      <c r="G505" s="20"/>
    </row>
    <row r="506" spans="8:8" ht="41.25" customHeight="1">
      <c r="A506" s="20">
        <v>10.0</v>
      </c>
      <c r="B506" s="19" t="s">
        <v>2369</v>
      </c>
      <c r="C506" s="20">
        <v>252359.0</v>
      </c>
      <c r="D506" s="19" t="s">
        <v>104</v>
      </c>
      <c r="E506" s="20" t="s">
        <v>580</v>
      </c>
      <c r="F506" s="59">
        <v>0.4166666666666667</v>
      </c>
      <c r="G506" s="20"/>
    </row>
    <row r="507" spans="8:8" ht="41.25" customHeight="1">
      <c r="A507" s="24">
        <v>11.0</v>
      </c>
      <c r="B507" s="19" t="s">
        <v>2370</v>
      </c>
      <c r="C507" s="20">
        <v>252360.0</v>
      </c>
      <c r="D507" s="19" t="s">
        <v>104</v>
      </c>
      <c r="E507" s="20" t="s">
        <v>580</v>
      </c>
      <c r="F507" s="59">
        <v>0.4166666666666667</v>
      </c>
      <c r="G507" s="20"/>
    </row>
    <row r="508" spans="8:8" ht="41.25" customHeight="1">
      <c r="A508" s="20">
        <v>12.0</v>
      </c>
      <c r="B508" s="19" t="s">
        <v>2371</v>
      </c>
      <c r="C508" s="20">
        <v>252366.0</v>
      </c>
      <c r="D508" s="19" t="s">
        <v>104</v>
      </c>
      <c r="E508" s="20" t="s">
        <v>580</v>
      </c>
      <c r="F508" s="59">
        <v>0.4166666666666667</v>
      </c>
      <c r="G508" s="20"/>
    </row>
    <row r="509" spans="8:8" ht="41.25" customHeight="1">
      <c r="A509" s="24">
        <v>13.0</v>
      </c>
      <c r="B509" s="19" t="s">
        <v>2372</v>
      </c>
      <c r="C509" s="20">
        <v>252371.0</v>
      </c>
      <c r="D509" s="19" t="s">
        <v>104</v>
      </c>
      <c r="E509" s="20" t="s">
        <v>580</v>
      </c>
      <c r="F509" s="59">
        <v>0.4166666666666667</v>
      </c>
      <c r="G509" s="20"/>
    </row>
    <row r="510" spans="8:8" ht="41.25" customHeight="1">
      <c r="A510" s="20">
        <v>14.0</v>
      </c>
      <c r="B510" s="19" t="s">
        <v>2373</v>
      </c>
      <c r="C510" s="20">
        <v>252379.0</v>
      </c>
      <c r="D510" s="19" t="s">
        <v>104</v>
      </c>
      <c r="E510" s="20" t="s">
        <v>580</v>
      </c>
      <c r="F510" s="59">
        <v>0.4166666666666667</v>
      </c>
      <c r="G510" s="20"/>
    </row>
    <row r="511" spans="8:8" ht="41.25" customHeight="1">
      <c r="A511" s="24">
        <v>15.0</v>
      </c>
      <c r="B511" s="19" t="s">
        <v>2374</v>
      </c>
      <c r="C511" s="20">
        <v>252543.0</v>
      </c>
      <c r="D511" s="19" t="s">
        <v>90</v>
      </c>
      <c r="E511" s="20" t="s">
        <v>580</v>
      </c>
      <c r="F511" s="59">
        <v>0.4166666666666667</v>
      </c>
      <c r="G511" s="20"/>
    </row>
    <row r="512" spans="8:8" ht="41.25" customHeight="1">
      <c r="A512" s="20">
        <v>16.0</v>
      </c>
      <c r="B512" s="23" t="s">
        <v>2375</v>
      </c>
      <c r="C512" s="24">
        <v>251910.0</v>
      </c>
      <c r="D512" s="33" t="s">
        <v>104</v>
      </c>
      <c r="E512" s="24" t="s">
        <v>580</v>
      </c>
      <c r="F512" s="59">
        <v>0.4166666666666667</v>
      </c>
      <c r="G512" s="24"/>
    </row>
    <row r="513" spans="8:8" ht="41.25" customHeight="1">
      <c r="A513" s="24">
        <v>17.0</v>
      </c>
      <c r="B513" s="19" t="s">
        <v>2376</v>
      </c>
      <c r="C513" s="20">
        <v>251819.0</v>
      </c>
      <c r="D513" s="19" t="s">
        <v>104</v>
      </c>
      <c r="E513" s="20" t="s">
        <v>580</v>
      </c>
      <c r="F513" s="59">
        <v>0.4166666666666667</v>
      </c>
      <c r="G513" s="20"/>
    </row>
    <row r="514" spans="8:8" ht="41.25" customHeight="1">
      <c r="A514" s="20">
        <v>18.0</v>
      </c>
      <c r="B514" s="19" t="s">
        <v>2377</v>
      </c>
      <c r="C514" s="20">
        <v>251807.0</v>
      </c>
      <c r="D514" s="19" t="s">
        <v>104</v>
      </c>
      <c r="E514" s="20" t="s">
        <v>580</v>
      </c>
      <c r="F514" s="59">
        <v>0.4166666666666667</v>
      </c>
      <c r="G514" s="20"/>
    </row>
    <row r="515" spans="8:8" ht="41.25" customHeight="1">
      <c r="A515" s="24">
        <v>19.0</v>
      </c>
      <c r="B515" s="19" t="s">
        <v>2378</v>
      </c>
      <c r="C515" s="20">
        <v>252053.0</v>
      </c>
      <c r="D515" s="19" t="s">
        <v>104</v>
      </c>
      <c r="E515" s="20" t="s">
        <v>580</v>
      </c>
      <c r="F515" s="59">
        <v>0.4166666666666667</v>
      </c>
      <c r="G515" s="20"/>
    </row>
    <row r="516" spans="8:8" ht="41.25" customHeight="1">
      <c r="A516" s="20">
        <v>20.0</v>
      </c>
      <c r="B516" s="19" t="s">
        <v>2379</v>
      </c>
      <c r="C516" s="20">
        <v>251880.0</v>
      </c>
      <c r="D516" s="19" t="s">
        <v>104</v>
      </c>
      <c r="E516" s="20" t="s">
        <v>580</v>
      </c>
      <c r="F516" s="59">
        <v>0.4166666666666667</v>
      </c>
      <c r="G516" s="20"/>
    </row>
    <row r="517" spans="8:8" ht="41.25" customHeight="1">
      <c r="A517" s="24">
        <v>21.0</v>
      </c>
      <c r="B517" s="19" t="s">
        <v>2380</v>
      </c>
      <c r="C517" s="20">
        <v>253023.0</v>
      </c>
      <c r="D517" s="19" t="s">
        <v>90</v>
      </c>
      <c r="E517" s="20" t="s">
        <v>580</v>
      </c>
      <c r="F517" s="59">
        <v>0.4166666666666667</v>
      </c>
      <c r="G517" s="20"/>
    </row>
    <row r="518" spans="8:8" ht="41.25" customHeight="1">
      <c r="A518" s="20">
        <v>22.0</v>
      </c>
      <c r="B518" s="19" t="s">
        <v>2381</v>
      </c>
      <c r="C518" s="20">
        <v>252065.0</v>
      </c>
      <c r="D518" s="33" t="s">
        <v>104</v>
      </c>
      <c r="E518" s="24" t="s">
        <v>580</v>
      </c>
      <c r="F518" s="59">
        <v>0.4166666666666667</v>
      </c>
      <c r="G518" s="24"/>
    </row>
    <row r="519" spans="8:8" ht="41.25" customHeight="1">
      <c r="A519" s="24">
        <v>23.0</v>
      </c>
      <c r="B519" s="19" t="s">
        <v>2382</v>
      </c>
      <c r="C519" s="20">
        <v>251826.0</v>
      </c>
      <c r="D519" s="19" t="s">
        <v>104</v>
      </c>
      <c r="E519" s="20" t="s">
        <v>580</v>
      </c>
      <c r="F519" s="59">
        <v>0.4166666666666667</v>
      </c>
      <c r="G519" s="20"/>
    </row>
    <row r="520" spans="8:8" ht="41.25" customHeight="1">
      <c r="A520" s="20">
        <v>24.0</v>
      </c>
      <c r="B520" s="19" t="s">
        <v>2383</v>
      </c>
      <c r="C520" s="20">
        <v>252339.0</v>
      </c>
      <c r="D520" s="19" t="s">
        <v>104</v>
      </c>
      <c r="E520" s="20" t="s">
        <v>580</v>
      </c>
      <c r="F520" s="59">
        <v>0.4166666666666667</v>
      </c>
      <c r="G520" s="20"/>
    </row>
    <row r="521" spans="8:8" ht="41.25" customHeight="1">
      <c r="A521" s="24">
        <v>25.0</v>
      </c>
      <c r="B521" s="19" t="s">
        <v>2384</v>
      </c>
      <c r="C521" s="20">
        <v>252387.0</v>
      </c>
      <c r="D521" s="19" t="s">
        <v>104</v>
      </c>
      <c r="E521" s="20" t="s">
        <v>580</v>
      </c>
      <c r="F521" s="59">
        <v>0.4166666666666667</v>
      </c>
      <c r="G521" s="20"/>
    </row>
    <row r="522" spans="8:8" ht="41.25" customHeight="1">
      <c r="A522" s="60" t="s">
        <v>18</v>
      </c>
      <c r="B522" s="60" t="s">
        <v>19</v>
      </c>
      <c r="C522" s="60" t="s">
        <v>1870</v>
      </c>
      <c r="D522" s="60" t="s">
        <v>21</v>
      </c>
      <c r="E522" s="60" t="s">
        <v>22</v>
      </c>
      <c r="F522" s="9" t="s">
        <v>23</v>
      </c>
      <c r="G522" s="60" t="s">
        <v>2385</v>
      </c>
    </row>
    <row r="523" spans="8:8" ht="41.25" customHeight="1">
      <c r="A523" s="24">
        <v>1.0</v>
      </c>
      <c r="B523" s="23" t="s">
        <v>2386</v>
      </c>
      <c r="C523" s="24">
        <v>252390.0</v>
      </c>
      <c r="D523" s="23" t="s">
        <v>104</v>
      </c>
      <c r="E523" s="24" t="s">
        <v>580</v>
      </c>
      <c r="F523" s="61">
        <v>0.4166666666666667</v>
      </c>
      <c r="G523" s="24"/>
    </row>
    <row r="524" spans="8:8" ht="41.25" customHeight="1">
      <c r="A524" s="20">
        <v>2.0</v>
      </c>
      <c r="B524" s="19" t="s">
        <v>2387</v>
      </c>
      <c r="C524" s="20">
        <v>252399.0</v>
      </c>
      <c r="D524" s="19" t="s">
        <v>104</v>
      </c>
      <c r="E524" s="20" t="s">
        <v>580</v>
      </c>
      <c r="F524" s="59">
        <v>0.4166666666666667</v>
      </c>
      <c r="G524" s="13"/>
    </row>
    <row r="525" spans="8:8" ht="41.25" customHeight="1">
      <c r="A525" s="24">
        <v>3.0</v>
      </c>
      <c r="B525" s="19" t="s">
        <v>2388</v>
      </c>
      <c r="C525" s="20">
        <v>252402.0</v>
      </c>
      <c r="D525" s="19" t="s">
        <v>104</v>
      </c>
      <c r="E525" s="20" t="s">
        <v>580</v>
      </c>
      <c r="F525" s="59">
        <v>0.4166666666666667</v>
      </c>
      <c r="G525" s="20"/>
    </row>
    <row r="526" spans="8:8" ht="41.25" customHeight="1">
      <c r="A526" s="20">
        <v>4.0</v>
      </c>
      <c r="B526" s="19" t="s">
        <v>2389</v>
      </c>
      <c r="C526" s="20">
        <v>252403.0</v>
      </c>
      <c r="D526" s="19" t="s">
        <v>104</v>
      </c>
      <c r="E526" s="20" t="s">
        <v>580</v>
      </c>
      <c r="F526" s="59">
        <v>0.4166666666666667</v>
      </c>
      <c r="G526" s="20"/>
    </row>
    <row r="527" spans="8:8" ht="41.25" customHeight="1">
      <c r="A527" s="24">
        <v>5.0</v>
      </c>
      <c r="B527" s="19" t="s">
        <v>2390</v>
      </c>
      <c r="C527" s="20">
        <v>252413.0</v>
      </c>
      <c r="D527" s="19" t="s">
        <v>104</v>
      </c>
      <c r="E527" s="20" t="s">
        <v>580</v>
      </c>
      <c r="F527" s="59">
        <v>0.4166666666666667</v>
      </c>
      <c r="G527" s="20"/>
    </row>
    <row r="528" spans="8:8" ht="41.25" customHeight="1">
      <c r="A528" s="20">
        <v>6.0</v>
      </c>
      <c r="B528" s="19" t="s">
        <v>2391</v>
      </c>
      <c r="C528" s="20">
        <v>252432.0</v>
      </c>
      <c r="D528" s="19" t="s">
        <v>104</v>
      </c>
      <c r="E528" s="20" t="s">
        <v>580</v>
      </c>
      <c r="F528" s="59">
        <v>0.4166666666666667</v>
      </c>
      <c r="G528" s="20"/>
    </row>
    <row r="529" spans="8:8" ht="41.25" customHeight="1">
      <c r="A529" s="24">
        <v>7.0</v>
      </c>
      <c r="B529" s="19" t="s">
        <v>2392</v>
      </c>
      <c r="C529" s="20">
        <v>252433.0</v>
      </c>
      <c r="D529" s="19" t="s">
        <v>104</v>
      </c>
      <c r="E529" s="20" t="s">
        <v>580</v>
      </c>
      <c r="F529" s="59">
        <v>0.4166666666666667</v>
      </c>
      <c r="G529" s="20"/>
    </row>
    <row r="530" spans="8:8" ht="41.25" customHeight="1">
      <c r="A530" s="20">
        <v>8.0</v>
      </c>
      <c r="B530" s="19" t="s">
        <v>2393</v>
      </c>
      <c r="C530" s="20">
        <v>251977.0</v>
      </c>
      <c r="D530" s="19" t="s">
        <v>104</v>
      </c>
      <c r="E530" s="20" t="s">
        <v>580</v>
      </c>
      <c r="F530" s="59">
        <v>0.4166666666666667</v>
      </c>
      <c r="G530" s="20"/>
    </row>
    <row r="531" spans="8:8" ht="41.25" customHeight="1">
      <c r="A531" s="24">
        <v>9.0</v>
      </c>
      <c r="B531" s="19" t="s">
        <v>2394</v>
      </c>
      <c r="C531" s="20">
        <v>252007.0</v>
      </c>
      <c r="D531" s="19" t="s">
        <v>104</v>
      </c>
      <c r="E531" s="20" t="s">
        <v>580</v>
      </c>
      <c r="F531" s="59">
        <v>0.4166666666666667</v>
      </c>
      <c r="G531" s="20"/>
    </row>
    <row r="532" spans="8:8" ht="41.25" customHeight="1">
      <c r="A532" s="20">
        <v>10.0</v>
      </c>
      <c r="B532" s="19" t="s">
        <v>2395</v>
      </c>
      <c r="C532" s="20">
        <v>252363.0</v>
      </c>
      <c r="D532" s="19" t="s">
        <v>104</v>
      </c>
      <c r="E532" s="20" t="s">
        <v>580</v>
      </c>
      <c r="F532" s="59">
        <v>0.4166666666666667</v>
      </c>
      <c r="G532" s="20"/>
    </row>
    <row r="533" spans="8:8" ht="41.25" customHeight="1">
      <c r="A533" s="24">
        <v>11.0</v>
      </c>
      <c r="B533" s="19" t="s">
        <v>2396</v>
      </c>
      <c r="C533" s="20">
        <v>252374.0</v>
      </c>
      <c r="D533" s="19" t="s">
        <v>104</v>
      </c>
      <c r="E533" s="20" t="s">
        <v>580</v>
      </c>
      <c r="F533" s="59">
        <v>0.4166666666666667</v>
      </c>
      <c r="G533" s="20"/>
    </row>
    <row r="534" spans="8:8" ht="41.25" customHeight="1">
      <c r="A534" s="20">
        <v>12.0</v>
      </c>
      <c r="B534" s="19" t="s">
        <v>2397</v>
      </c>
      <c r="C534" s="20">
        <v>252410.0</v>
      </c>
      <c r="D534" s="19" t="s">
        <v>104</v>
      </c>
      <c r="E534" s="20" t="s">
        <v>580</v>
      </c>
      <c r="F534" s="59">
        <v>0.4166666666666667</v>
      </c>
      <c r="G534" s="20"/>
    </row>
    <row r="535" spans="8:8" ht="41.25" customHeight="1">
      <c r="A535" s="24">
        <v>13.0</v>
      </c>
      <c r="B535" s="19" t="s">
        <v>2398</v>
      </c>
      <c r="C535" s="20">
        <v>252506.0</v>
      </c>
      <c r="D535" s="19" t="s">
        <v>90</v>
      </c>
      <c r="E535" s="20" t="s">
        <v>580</v>
      </c>
      <c r="F535" s="59">
        <v>0.4166666666666667</v>
      </c>
      <c r="G535" s="20"/>
    </row>
    <row r="536" spans="8:8" ht="41.25" customHeight="1">
      <c r="A536" s="20">
        <v>14.0</v>
      </c>
      <c r="B536" s="19" t="s">
        <v>2399</v>
      </c>
      <c r="C536" s="20">
        <v>252508.0</v>
      </c>
      <c r="D536" s="33" t="s">
        <v>90</v>
      </c>
      <c r="E536" s="20" t="s">
        <v>580</v>
      </c>
      <c r="F536" s="59">
        <v>0.4166666666666667</v>
      </c>
      <c r="G536" s="20"/>
    </row>
    <row r="537" spans="8:8" ht="41.25" customHeight="1">
      <c r="A537" s="24">
        <v>15.0</v>
      </c>
      <c r="B537" s="19" t="s">
        <v>2400</v>
      </c>
      <c r="C537" s="20">
        <v>252512.0</v>
      </c>
      <c r="D537" s="33" t="s">
        <v>90</v>
      </c>
      <c r="E537" s="20" t="s">
        <v>580</v>
      </c>
      <c r="F537" s="59">
        <v>0.4166666666666667</v>
      </c>
      <c r="G537" s="20"/>
    </row>
    <row r="538" spans="8:8" ht="41.25" customHeight="1">
      <c r="A538" s="20">
        <v>16.0</v>
      </c>
      <c r="B538" s="19" t="s">
        <v>2401</v>
      </c>
      <c r="C538" s="20">
        <v>252515.0</v>
      </c>
      <c r="D538" s="33" t="s">
        <v>90</v>
      </c>
      <c r="E538" s="20" t="s">
        <v>580</v>
      </c>
      <c r="F538" s="59">
        <v>0.4166666666666667</v>
      </c>
      <c r="G538" s="20"/>
    </row>
    <row r="539" spans="8:8" ht="41.25" customHeight="1">
      <c r="A539" s="24">
        <v>17.0</v>
      </c>
      <c r="B539" s="19" t="s">
        <v>2402</v>
      </c>
      <c r="C539" s="20">
        <v>252517.0</v>
      </c>
      <c r="D539" s="33" t="s">
        <v>90</v>
      </c>
      <c r="E539" s="20" t="s">
        <v>580</v>
      </c>
      <c r="F539" s="59">
        <v>0.4166666666666667</v>
      </c>
      <c r="G539" s="20"/>
    </row>
    <row r="540" spans="8:8" ht="41.25" customHeight="1">
      <c r="A540" s="20">
        <v>18.0</v>
      </c>
      <c r="B540" s="19" t="s">
        <v>2403</v>
      </c>
      <c r="C540" s="20">
        <v>252522.0</v>
      </c>
      <c r="D540" s="33" t="s">
        <v>90</v>
      </c>
      <c r="E540" s="20" t="s">
        <v>580</v>
      </c>
      <c r="F540" s="59">
        <v>0.4166666666666667</v>
      </c>
      <c r="G540" s="20"/>
    </row>
    <row r="541" spans="8:8" ht="41.25" customHeight="1">
      <c r="A541" s="24">
        <v>19.0</v>
      </c>
      <c r="B541" s="19" t="s">
        <v>2404</v>
      </c>
      <c r="C541" s="20">
        <v>252538.0</v>
      </c>
      <c r="D541" s="33" t="s">
        <v>90</v>
      </c>
      <c r="E541" s="20" t="s">
        <v>580</v>
      </c>
      <c r="F541" s="59">
        <v>0.4166666666666667</v>
      </c>
      <c r="G541" s="20"/>
    </row>
    <row r="542" spans="8:8" ht="41.25" customHeight="1">
      <c r="A542" s="20">
        <v>20.0</v>
      </c>
      <c r="B542" s="19" t="s">
        <v>2405</v>
      </c>
      <c r="C542" s="20">
        <v>251813.0</v>
      </c>
      <c r="D542" s="33" t="s">
        <v>104</v>
      </c>
      <c r="E542" s="20" t="s">
        <v>580</v>
      </c>
      <c r="F542" s="59">
        <v>0.4166666666666667</v>
      </c>
      <c r="G542" s="20"/>
    </row>
    <row r="543" spans="8:8" ht="41.25" customHeight="1">
      <c r="A543" s="24">
        <v>21.0</v>
      </c>
      <c r="B543" s="19" t="s">
        <v>2406</v>
      </c>
      <c r="C543" s="20">
        <v>251942.0</v>
      </c>
      <c r="D543" s="19" t="s">
        <v>104</v>
      </c>
      <c r="E543" s="20" t="s">
        <v>580</v>
      </c>
      <c r="F543" s="59">
        <v>0.4166666666666667</v>
      </c>
      <c r="G543" s="20"/>
    </row>
    <row r="544" spans="8:8" ht="41.25" customHeight="1">
      <c r="A544" s="20">
        <v>22.0</v>
      </c>
      <c r="B544" s="19" t="s">
        <v>2407</v>
      </c>
      <c r="C544" s="20">
        <v>241560.0</v>
      </c>
      <c r="D544" s="19" t="s">
        <v>1369</v>
      </c>
      <c r="E544" s="20" t="s">
        <v>580</v>
      </c>
      <c r="F544" s="59">
        <v>0.4166666666666667</v>
      </c>
      <c r="G544" s="20"/>
    </row>
    <row r="545" spans="8:8" ht="41.25" customHeight="1">
      <c r="A545" s="24">
        <v>23.0</v>
      </c>
      <c r="B545" s="19" t="s">
        <v>2408</v>
      </c>
      <c r="C545" s="20">
        <v>252128.0</v>
      </c>
      <c r="D545" s="19" t="s">
        <v>104</v>
      </c>
      <c r="E545" s="20" t="s">
        <v>580</v>
      </c>
      <c r="F545" s="59">
        <v>0.4166666666666667</v>
      </c>
      <c r="G545" s="20"/>
    </row>
    <row r="546" spans="8:8" ht="41.25" customHeight="1">
      <c r="A546" s="20">
        <v>24.0</v>
      </c>
      <c r="B546" s="19" t="s">
        <v>2409</v>
      </c>
      <c r="C546" s="20">
        <v>252527.0</v>
      </c>
      <c r="D546" s="19" t="s">
        <v>90</v>
      </c>
      <c r="E546" s="20" t="s">
        <v>580</v>
      </c>
      <c r="F546" s="59">
        <v>0.4166666666666667</v>
      </c>
      <c r="G546" s="20"/>
    </row>
    <row r="547" spans="8:8" ht="41.25" customHeight="1">
      <c r="A547" s="24">
        <v>25.0</v>
      </c>
      <c r="B547" s="19" t="s">
        <v>2410</v>
      </c>
      <c r="C547" s="20">
        <v>252529.0</v>
      </c>
      <c r="D547" s="33" t="s">
        <v>90</v>
      </c>
      <c r="E547" s="20" t="s">
        <v>580</v>
      </c>
      <c r="F547" s="59">
        <v>0.4166666666666667</v>
      </c>
      <c r="G547" s="20"/>
    </row>
    <row r="548" spans="8:8" ht="41.25" customHeight="1">
      <c r="A548" s="60" t="s">
        <v>18</v>
      </c>
      <c r="B548" s="60" t="s">
        <v>19</v>
      </c>
      <c r="C548" s="60" t="s">
        <v>1870</v>
      </c>
      <c r="D548" s="60" t="s">
        <v>21</v>
      </c>
      <c r="E548" s="60" t="s">
        <v>22</v>
      </c>
      <c r="F548" s="9" t="s">
        <v>23</v>
      </c>
      <c r="G548" s="60" t="s">
        <v>2411</v>
      </c>
    </row>
    <row r="549" spans="8:8" ht="41.25" customHeight="1">
      <c r="A549" s="24">
        <v>1.0</v>
      </c>
      <c r="B549" s="23" t="s">
        <v>2412</v>
      </c>
      <c r="C549" s="24">
        <v>252531.0</v>
      </c>
      <c r="D549" s="33" t="s">
        <v>90</v>
      </c>
      <c r="E549" s="24" t="s">
        <v>580</v>
      </c>
      <c r="F549" s="61">
        <v>0.4166666666666667</v>
      </c>
      <c r="G549" s="24"/>
    </row>
    <row r="550" spans="8:8" ht="41.25" customHeight="1">
      <c r="A550" s="20">
        <v>2.0</v>
      </c>
      <c r="B550" s="19" t="s">
        <v>2413</v>
      </c>
      <c r="C550" s="20">
        <v>252540.0</v>
      </c>
      <c r="D550" s="33" t="s">
        <v>90</v>
      </c>
      <c r="E550" s="20" t="s">
        <v>580</v>
      </c>
      <c r="F550" s="59">
        <v>0.4166666666666667</v>
      </c>
      <c r="G550" s="13"/>
    </row>
    <row r="551" spans="8:8" ht="41.25" customHeight="1">
      <c r="A551" s="24">
        <v>3.0</v>
      </c>
      <c r="B551" s="19" t="s">
        <v>2414</v>
      </c>
      <c r="C551" s="20">
        <v>252544.0</v>
      </c>
      <c r="D551" s="33" t="s">
        <v>90</v>
      </c>
      <c r="E551" s="20" t="s">
        <v>580</v>
      </c>
      <c r="F551" s="59">
        <v>0.4166666666666667</v>
      </c>
      <c r="G551" s="20"/>
    </row>
    <row r="552" spans="8:8" ht="41.25" customHeight="1">
      <c r="A552" s="20">
        <v>4.0</v>
      </c>
      <c r="B552" s="19" t="s">
        <v>2415</v>
      </c>
      <c r="C552" s="20">
        <v>252563.0</v>
      </c>
      <c r="D552" s="33" t="s">
        <v>90</v>
      </c>
      <c r="E552" s="20" t="s">
        <v>580</v>
      </c>
      <c r="F552" s="59">
        <v>0.4166666666666667</v>
      </c>
      <c r="G552" s="20"/>
    </row>
    <row r="553" spans="8:8" ht="41.25" customHeight="1">
      <c r="A553" s="24">
        <v>5.0</v>
      </c>
      <c r="B553" s="19" t="s">
        <v>2416</v>
      </c>
      <c r="C553" s="20">
        <v>252568.0</v>
      </c>
      <c r="D553" s="33" t="s">
        <v>90</v>
      </c>
      <c r="E553" s="20" t="s">
        <v>580</v>
      </c>
      <c r="F553" s="59">
        <v>0.4166666666666667</v>
      </c>
      <c r="G553" s="20"/>
    </row>
    <row r="554" spans="8:8" ht="41.25" customHeight="1">
      <c r="A554" s="20">
        <v>6.0</v>
      </c>
      <c r="B554" s="19" t="s">
        <v>2417</v>
      </c>
      <c r="C554" s="20">
        <v>252582.0</v>
      </c>
      <c r="D554" s="33" t="s">
        <v>90</v>
      </c>
      <c r="E554" s="20" t="s">
        <v>580</v>
      </c>
      <c r="F554" s="59">
        <v>0.4166666666666667</v>
      </c>
      <c r="G554" s="20"/>
    </row>
    <row r="555" spans="8:8" ht="41.25" customHeight="1">
      <c r="A555" s="24">
        <v>7.0</v>
      </c>
      <c r="B555" s="19" t="s">
        <v>2418</v>
      </c>
      <c r="C555" s="20">
        <v>252571.0</v>
      </c>
      <c r="D555" s="33" t="s">
        <v>90</v>
      </c>
      <c r="E555" s="20" t="s">
        <v>580</v>
      </c>
      <c r="F555" s="59">
        <v>0.4166666666666667</v>
      </c>
      <c r="G555" s="20"/>
    </row>
    <row r="556" spans="8:8" ht="41.25" customHeight="1">
      <c r="A556" s="20">
        <v>8.0</v>
      </c>
      <c r="B556" s="19" t="s">
        <v>2419</v>
      </c>
      <c r="C556" s="20">
        <v>252585.0</v>
      </c>
      <c r="D556" s="33" t="s">
        <v>90</v>
      </c>
      <c r="E556" s="20" t="s">
        <v>580</v>
      </c>
      <c r="F556" s="59">
        <v>0.4166666666666667</v>
      </c>
      <c r="G556" s="20"/>
    </row>
    <row r="557" spans="8:8" ht="41.25" customHeight="1">
      <c r="A557" s="24">
        <v>9.0</v>
      </c>
      <c r="B557" s="19" t="s">
        <v>2420</v>
      </c>
      <c r="C557" s="20">
        <v>252586.0</v>
      </c>
      <c r="D557" s="33" t="s">
        <v>90</v>
      </c>
      <c r="E557" s="20" t="s">
        <v>580</v>
      </c>
      <c r="F557" s="59">
        <v>0.4166666666666667</v>
      </c>
      <c r="G557" s="20"/>
    </row>
    <row r="558" spans="8:8" ht="41.25" customHeight="1">
      <c r="A558" s="20">
        <v>10.0</v>
      </c>
      <c r="B558" s="19" t="s">
        <v>2421</v>
      </c>
      <c r="C558" s="20">
        <v>252591.0</v>
      </c>
      <c r="D558" s="33" t="s">
        <v>90</v>
      </c>
      <c r="E558" s="20" t="s">
        <v>580</v>
      </c>
      <c r="F558" s="59">
        <v>0.4166666666666667</v>
      </c>
      <c r="G558" s="20"/>
    </row>
    <row r="559" spans="8:8" ht="41.25" customHeight="1">
      <c r="A559" s="24">
        <v>11.0</v>
      </c>
      <c r="B559" s="19" t="s">
        <v>2422</v>
      </c>
      <c r="C559" s="20">
        <v>252605.0</v>
      </c>
      <c r="D559" s="33" t="s">
        <v>90</v>
      </c>
      <c r="E559" s="20" t="s">
        <v>580</v>
      </c>
      <c r="F559" s="59">
        <v>0.4166666666666667</v>
      </c>
      <c r="G559" s="20"/>
    </row>
    <row r="560" spans="8:8" ht="41.25" customHeight="1">
      <c r="A560" s="20">
        <v>12.0</v>
      </c>
      <c r="B560" s="19" t="s">
        <v>2423</v>
      </c>
      <c r="C560" s="20">
        <v>252612.0</v>
      </c>
      <c r="D560" s="33" t="s">
        <v>90</v>
      </c>
      <c r="E560" s="20" t="s">
        <v>580</v>
      </c>
      <c r="F560" s="59">
        <v>0.4166666666666667</v>
      </c>
      <c r="G560" s="20"/>
    </row>
    <row r="561" spans="8:8" ht="41.25" customHeight="1">
      <c r="A561" s="24">
        <v>13.0</v>
      </c>
      <c r="B561" s="19" t="s">
        <v>2424</v>
      </c>
      <c r="C561" s="20">
        <v>252622.0</v>
      </c>
      <c r="D561" s="33" t="s">
        <v>90</v>
      </c>
      <c r="E561" s="20" t="s">
        <v>580</v>
      </c>
      <c r="F561" s="59">
        <v>0.4166666666666667</v>
      </c>
      <c r="G561" s="20"/>
    </row>
    <row r="562" spans="8:8" ht="41.25" customHeight="1">
      <c r="A562" s="20">
        <v>14.0</v>
      </c>
      <c r="B562" s="19" t="s">
        <v>2425</v>
      </c>
      <c r="C562" s="20">
        <v>252624.0</v>
      </c>
      <c r="D562" s="33" t="s">
        <v>90</v>
      </c>
      <c r="E562" s="20" t="s">
        <v>580</v>
      </c>
      <c r="F562" s="59">
        <v>0.4166666666666667</v>
      </c>
      <c r="G562" s="20"/>
    </row>
    <row r="563" spans="8:8" ht="41.25" customHeight="1">
      <c r="A563" s="24">
        <v>15.0</v>
      </c>
      <c r="B563" s="19" t="s">
        <v>2426</v>
      </c>
      <c r="C563" s="20">
        <v>252625.0</v>
      </c>
      <c r="D563" s="33" t="s">
        <v>90</v>
      </c>
      <c r="E563" s="20" t="s">
        <v>580</v>
      </c>
      <c r="F563" s="59">
        <v>0.4166666666666667</v>
      </c>
      <c r="G563" s="20"/>
    </row>
    <row r="564" spans="8:8" ht="41.25" customHeight="1">
      <c r="A564" s="20">
        <v>16.0</v>
      </c>
      <c r="B564" s="19" t="s">
        <v>2427</v>
      </c>
      <c r="C564" s="20">
        <v>252516.0</v>
      </c>
      <c r="D564" s="33" t="s">
        <v>90</v>
      </c>
      <c r="E564" s="20" t="s">
        <v>580</v>
      </c>
      <c r="F564" s="59">
        <v>0.4166666666666667</v>
      </c>
      <c r="G564" s="20"/>
    </row>
    <row r="565" spans="8:8" ht="41.25" customHeight="1">
      <c r="A565" s="24">
        <v>17.0</v>
      </c>
      <c r="B565" s="19" t="s">
        <v>2428</v>
      </c>
      <c r="C565" s="20">
        <v>252629.0</v>
      </c>
      <c r="D565" s="33" t="s">
        <v>90</v>
      </c>
      <c r="E565" s="20" t="s">
        <v>580</v>
      </c>
      <c r="F565" s="59">
        <v>0.4166666666666667</v>
      </c>
      <c r="G565" s="20"/>
    </row>
    <row r="566" spans="8:8" ht="41.25" customHeight="1">
      <c r="A566" s="20">
        <v>18.0</v>
      </c>
      <c r="B566" s="19" t="s">
        <v>2429</v>
      </c>
      <c r="C566" s="20">
        <v>252692.0</v>
      </c>
      <c r="D566" s="33" t="s">
        <v>90</v>
      </c>
      <c r="E566" s="20" t="s">
        <v>580</v>
      </c>
      <c r="F566" s="59">
        <v>0.4166666666666667</v>
      </c>
      <c r="G566" s="20"/>
    </row>
    <row r="567" spans="8:8" ht="41.25" customHeight="1">
      <c r="A567" s="24">
        <v>19.0</v>
      </c>
      <c r="B567" s="19" t="s">
        <v>2430</v>
      </c>
      <c r="C567" s="20">
        <v>252699.0</v>
      </c>
      <c r="D567" s="33" t="s">
        <v>90</v>
      </c>
      <c r="E567" s="20" t="s">
        <v>580</v>
      </c>
      <c r="F567" s="59">
        <v>0.4166666666666667</v>
      </c>
      <c r="G567" s="20"/>
    </row>
    <row r="568" spans="8:8" ht="41.25" customHeight="1">
      <c r="A568" s="20">
        <v>20.0</v>
      </c>
      <c r="B568" s="19" t="s">
        <v>2431</v>
      </c>
      <c r="C568" s="20">
        <v>252701.0</v>
      </c>
      <c r="D568" s="33" t="s">
        <v>90</v>
      </c>
      <c r="E568" s="20" t="s">
        <v>580</v>
      </c>
      <c r="F568" s="59">
        <v>0.4166666666666667</v>
      </c>
      <c r="G568" s="20"/>
    </row>
    <row r="569" spans="8:8" ht="41.25" customHeight="1">
      <c r="A569" s="24">
        <v>21.0</v>
      </c>
      <c r="B569" s="19" t="s">
        <v>2432</v>
      </c>
      <c r="C569" s="20">
        <v>252702.0</v>
      </c>
      <c r="D569" s="33" t="s">
        <v>90</v>
      </c>
      <c r="E569" s="20" t="s">
        <v>580</v>
      </c>
      <c r="F569" s="59">
        <v>0.4166666666666667</v>
      </c>
      <c r="G569" s="20"/>
    </row>
    <row r="570" spans="8:8" ht="41.25" customHeight="1">
      <c r="A570" s="20">
        <v>22.0</v>
      </c>
      <c r="B570" s="19" t="s">
        <v>2433</v>
      </c>
      <c r="C570" s="20">
        <v>252851.0</v>
      </c>
      <c r="D570" s="33" t="s">
        <v>90</v>
      </c>
      <c r="E570" s="20" t="s">
        <v>580</v>
      </c>
      <c r="F570" s="59">
        <v>0.4166666666666667</v>
      </c>
      <c r="G570" s="20"/>
    </row>
    <row r="571" spans="8:8" ht="41.25" customHeight="1">
      <c r="A571" s="24">
        <v>23.0</v>
      </c>
      <c r="B571" s="19" t="s">
        <v>2434</v>
      </c>
      <c r="C571" s="20">
        <v>252617.0</v>
      </c>
      <c r="D571" s="33" t="s">
        <v>90</v>
      </c>
      <c r="E571" s="20" t="s">
        <v>580</v>
      </c>
      <c r="F571" s="59">
        <v>0.4166666666666667</v>
      </c>
      <c r="G571" s="20"/>
    </row>
    <row r="572" spans="8:8" ht="41.25" customHeight="1">
      <c r="A572" s="20">
        <v>24.0</v>
      </c>
      <c r="B572" s="19" t="s">
        <v>2435</v>
      </c>
      <c r="C572" s="20">
        <v>252826.0</v>
      </c>
      <c r="D572" s="33" t="s">
        <v>90</v>
      </c>
      <c r="E572" s="20" t="s">
        <v>580</v>
      </c>
      <c r="F572" s="59">
        <v>0.4166666666666667</v>
      </c>
      <c r="G572" s="20"/>
    </row>
    <row r="573" spans="8:8" ht="41.25" customHeight="1">
      <c r="A573" s="24">
        <v>25.0</v>
      </c>
      <c r="B573" s="19" t="s">
        <v>2436</v>
      </c>
      <c r="C573" s="20">
        <v>252333.0</v>
      </c>
      <c r="D573" s="33" t="s">
        <v>104</v>
      </c>
      <c r="E573" s="24" t="s">
        <v>580</v>
      </c>
      <c r="F573" s="59">
        <v>0.4166666666666667</v>
      </c>
      <c r="G573" s="24"/>
    </row>
    <row r="574" spans="8:8" ht="41.25" customHeight="1">
      <c r="A574" s="60" t="s">
        <v>18</v>
      </c>
      <c r="B574" s="60" t="s">
        <v>19</v>
      </c>
      <c r="C574" s="60" t="s">
        <v>1870</v>
      </c>
      <c r="D574" s="60" t="s">
        <v>21</v>
      </c>
      <c r="E574" s="60" t="s">
        <v>22</v>
      </c>
      <c r="F574" s="9" t="s">
        <v>23</v>
      </c>
      <c r="G574" s="60" t="s">
        <v>2437</v>
      </c>
    </row>
    <row r="575" spans="8:8" ht="41.25" customHeight="1">
      <c r="A575" s="24">
        <v>1.0</v>
      </c>
      <c r="B575" s="23" t="s">
        <v>2438</v>
      </c>
      <c r="C575" s="24">
        <v>252026.0</v>
      </c>
      <c r="D575" s="23" t="s">
        <v>104</v>
      </c>
      <c r="E575" s="24" t="s">
        <v>781</v>
      </c>
      <c r="F575" s="61">
        <v>0.4166666666666667</v>
      </c>
      <c r="G575" s="24"/>
    </row>
    <row r="576" spans="8:8" ht="41.25" customHeight="1">
      <c r="A576" s="20">
        <v>2.0</v>
      </c>
      <c r="B576" s="19" t="s">
        <v>2439</v>
      </c>
      <c r="C576" s="20">
        <v>252369.0</v>
      </c>
      <c r="D576" s="19" t="s">
        <v>104</v>
      </c>
      <c r="E576" s="20" t="s">
        <v>781</v>
      </c>
      <c r="F576" s="59">
        <v>0.4166666666666667</v>
      </c>
      <c r="G576" s="13"/>
    </row>
    <row r="577" spans="8:8" ht="41.25" customHeight="1">
      <c r="A577" s="24">
        <v>3.0</v>
      </c>
      <c r="B577" s="19" t="s">
        <v>2440</v>
      </c>
      <c r="C577" s="20">
        <v>252377.0</v>
      </c>
      <c r="D577" s="19" t="s">
        <v>104</v>
      </c>
      <c r="E577" s="20" t="s">
        <v>781</v>
      </c>
      <c r="F577" s="59">
        <v>0.4166666666666667</v>
      </c>
      <c r="G577" s="20"/>
    </row>
    <row r="578" spans="8:8" ht="41.25" customHeight="1">
      <c r="A578" s="20">
        <v>4.0</v>
      </c>
      <c r="B578" s="19" t="s">
        <v>2441</v>
      </c>
      <c r="C578" s="20">
        <v>252389.0</v>
      </c>
      <c r="D578" s="19" t="s">
        <v>104</v>
      </c>
      <c r="E578" s="20" t="s">
        <v>781</v>
      </c>
      <c r="F578" s="59">
        <v>0.4166666666666667</v>
      </c>
      <c r="G578" s="20"/>
    </row>
    <row r="579" spans="8:8" ht="41.25" customHeight="1">
      <c r="A579" s="24">
        <v>5.0</v>
      </c>
      <c r="B579" s="19" t="s">
        <v>2442</v>
      </c>
      <c r="C579" s="20">
        <v>252394.0</v>
      </c>
      <c r="D579" s="19" t="s">
        <v>104</v>
      </c>
      <c r="E579" s="20" t="s">
        <v>781</v>
      </c>
      <c r="F579" s="59">
        <v>0.4166666666666667</v>
      </c>
      <c r="G579" s="20"/>
    </row>
    <row r="580" spans="8:8" ht="41.25" customHeight="1">
      <c r="A580" s="20">
        <v>6.0</v>
      </c>
      <c r="B580" s="19" t="s">
        <v>2443</v>
      </c>
      <c r="C580" s="20">
        <v>252397.0</v>
      </c>
      <c r="D580" s="19" t="s">
        <v>104</v>
      </c>
      <c r="E580" s="20" t="s">
        <v>781</v>
      </c>
      <c r="F580" s="59">
        <v>0.4166666666666667</v>
      </c>
      <c r="G580" s="20"/>
    </row>
    <row r="581" spans="8:8" ht="41.25" customHeight="1">
      <c r="A581" s="24">
        <v>7.0</v>
      </c>
      <c r="B581" s="19" t="s">
        <v>2444</v>
      </c>
      <c r="C581" s="20">
        <v>252419.0</v>
      </c>
      <c r="D581" s="19" t="s">
        <v>104</v>
      </c>
      <c r="E581" s="20" t="s">
        <v>781</v>
      </c>
      <c r="F581" s="59">
        <v>0.4166666666666667</v>
      </c>
      <c r="G581" s="20"/>
    </row>
    <row r="582" spans="8:8" ht="41.25" customHeight="1">
      <c r="A582" s="20">
        <v>8.0</v>
      </c>
      <c r="B582" s="19" t="s">
        <v>2445</v>
      </c>
      <c r="C582" s="20">
        <v>252447.0</v>
      </c>
      <c r="D582" s="19" t="s">
        <v>104</v>
      </c>
      <c r="E582" s="20" t="s">
        <v>781</v>
      </c>
      <c r="F582" s="59">
        <v>0.4166666666666667</v>
      </c>
      <c r="G582" s="20"/>
    </row>
    <row r="583" spans="8:8" ht="41.25" customHeight="1">
      <c r="A583" s="24">
        <v>9.0</v>
      </c>
      <c r="B583" s="19" t="s">
        <v>2446</v>
      </c>
      <c r="C583" s="20">
        <v>252452.0</v>
      </c>
      <c r="D583" s="19" t="s">
        <v>104</v>
      </c>
      <c r="E583" s="20" t="s">
        <v>781</v>
      </c>
      <c r="F583" s="59">
        <v>0.4166666666666667</v>
      </c>
      <c r="G583" s="20"/>
    </row>
    <row r="584" spans="8:8" ht="41.25" customHeight="1">
      <c r="A584" s="20">
        <v>10.0</v>
      </c>
      <c r="B584" s="19" t="s">
        <v>2447</v>
      </c>
      <c r="C584" s="20">
        <v>252990.0</v>
      </c>
      <c r="D584" s="19" t="s">
        <v>90</v>
      </c>
      <c r="E584" s="20" t="s">
        <v>781</v>
      </c>
      <c r="F584" s="59">
        <v>0.4166666666666667</v>
      </c>
      <c r="G584" s="20"/>
    </row>
    <row r="585" spans="8:8" ht="41.25" customHeight="1">
      <c r="A585" s="24">
        <v>11.0</v>
      </c>
      <c r="B585" s="19" t="s">
        <v>2448</v>
      </c>
      <c r="C585" s="20">
        <v>252683.0</v>
      </c>
      <c r="D585" s="33" t="s">
        <v>90</v>
      </c>
      <c r="E585" s="20" t="s">
        <v>781</v>
      </c>
      <c r="F585" s="59">
        <v>0.4166666666666667</v>
      </c>
      <c r="G585" s="20"/>
    </row>
    <row r="586" spans="8:8" ht="41.25" customHeight="1">
      <c r="A586" s="20">
        <v>12.0</v>
      </c>
      <c r="B586" s="19" t="s">
        <v>2449</v>
      </c>
      <c r="C586" s="20">
        <v>252780.0</v>
      </c>
      <c r="D586" s="33" t="s">
        <v>90</v>
      </c>
      <c r="E586" s="20" t="s">
        <v>781</v>
      </c>
      <c r="F586" s="59">
        <v>0.4166666666666667</v>
      </c>
      <c r="G586" s="20"/>
    </row>
    <row r="587" spans="8:8" ht="41.25" customHeight="1">
      <c r="A587" s="24">
        <v>13.0</v>
      </c>
      <c r="B587" s="19" t="s">
        <v>2450</v>
      </c>
      <c r="C587" s="20">
        <v>252775.0</v>
      </c>
      <c r="D587" s="33" t="s">
        <v>90</v>
      </c>
      <c r="E587" s="20" t="s">
        <v>781</v>
      </c>
      <c r="F587" s="59">
        <v>0.4166666666666667</v>
      </c>
      <c r="G587" s="20"/>
    </row>
    <row r="588" spans="8:8" ht="41.25" customHeight="1">
      <c r="A588" s="20">
        <v>14.0</v>
      </c>
      <c r="B588" s="19" t="s">
        <v>2451</v>
      </c>
      <c r="C588" s="20">
        <v>252630.0</v>
      </c>
      <c r="D588" s="33" t="s">
        <v>90</v>
      </c>
      <c r="E588" s="20" t="s">
        <v>781</v>
      </c>
      <c r="F588" s="59">
        <v>0.4166666666666667</v>
      </c>
      <c r="G588" s="20"/>
    </row>
    <row r="589" spans="8:8" ht="41.25" customHeight="1">
      <c r="A589" s="24">
        <v>15.0</v>
      </c>
      <c r="B589" s="19" t="s">
        <v>2452</v>
      </c>
      <c r="C589" s="20">
        <v>253168.0</v>
      </c>
      <c r="D589" s="33" t="s">
        <v>104</v>
      </c>
      <c r="E589" s="20" t="s">
        <v>781</v>
      </c>
      <c r="F589" s="59">
        <v>0.4166666666666667</v>
      </c>
      <c r="G589" s="20"/>
    </row>
    <row r="590" spans="8:8" ht="41.25" customHeight="1">
      <c r="A590" s="20">
        <v>16.0</v>
      </c>
      <c r="B590" s="19" t="s">
        <v>2453</v>
      </c>
      <c r="C590" s="20">
        <v>253035.0</v>
      </c>
      <c r="D590" s="19" t="s">
        <v>104</v>
      </c>
      <c r="E590" s="20" t="s">
        <v>781</v>
      </c>
      <c r="F590" s="59">
        <v>0.4166666666666667</v>
      </c>
      <c r="G590" s="20"/>
    </row>
    <row r="591" spans="8:8" ht="41.25" customHeight="1">
      <c r="A591" s="24">
        <v>17.0</v>
      </c>
      <c r="B591" s="19" t="s">
        <v>2454</v>
      </c>
      <c r="C591" s="20">
        <v>251817.0</v>
      </c>
      <c r="D591" s="19" t="s">
        <v>104</v>
      </c>
      <c r="E591" s="20" t="s">
        <v>781</v>
      </c>
      <c r="F591" s="59">
        <v>0.4166666666666667</v>
      </c>
      <c r="G591" s="20"/>
    </row>
    <row r="592" spans="8:8" ht="41.25" customHeight="1">
      <c r="A592" s="20">
        <v>18.0</v>
      </c>
      <c r="B592" s="19" t="s">
        <v>2455</v>
      </c>
      <c r="C592" s="20">
        <v>251922.0</v>
      </c>
      <c r="D592" s="19" t="s">
        <v>104</v>
      </c>
      <c r="E592" s="20" t="s">
        <v>781</v>
      </c>
      <c r="F592" s="59">
        <v>0.4166666666666667</v>
      </c>
      <c r="G592" s="20"/>
    </row>
    <row r="593" spans="8:8" ht="41.25" customHeight="1">
      <c r="A593" s="24">
        <v>19.0</v>
      </c>
      <c r="B593" s="19" t="s">
        <v>2456</v>
      </c>
      <c r="C593" s="20">
        <v>251911.0</v>
      </c>
      <c r="D593" s="19" t="s">
        <v>104</v>
      </c>
      <c r="E593" s="20" t="s">
        <v>781</v>
      </c>
      <c r="F593" s="59">
        <v>0.4166666666666667</v>
      </c>
      <c r="G593" s="20"/>
    </row>
    <row r="594" spans="8:8" ht="41.25" customHeight="1">
      <c r="A594" s="20">
        <v>20.0</v>
      </c>
      <c r="B594" s="19" t="s">
        <v>2457</v>
      </c>
      <c r="C594" s="20">
        <v>251919.0</v>
      </c>
      <c r="D594" s="19" t="s">
        <v>104</v>
      </c>
      <c r="E594" s="20" t="s">
        <v>781</v>
      </c>
      <c r="F594" s="59">
        <v>0.4166666666666667</v>
      </c>
      <c r="G594" s="20"/>
    </row>
    <row r="595" spans="8:8" ht="41.25" customHeight="1">
      <c r="A595" s="24">
        <v>21.0</v>
      </c>
      <c r="B595" s="19" t="s">
        <v>2458</v>
      </c>
      <c r="C595" s="20">
        <v>251948.0</v>
      </c>
      <c r="D595" s="19" t="s">
        <v>104</v>
      </c>
      <c r="E595" s="20" t="s">
        <v>781</v>
      </c>
      <c r="F595" s="59">
        <v>0.4166666666666667</v>
      </c>
      <c r="G595" s="20"/>
    </row>
    <row r="596" spans="8:8" ht="41.25" customHeight="1">
      <c r="A596" s="20">
        <v>22.0</v>
      </c>
      <c r="B596" s="19" t="s">
        <v>2459</v>
      </c>
      <c r="C596" s="20">
        <v>251821.0</v>
      </c>
      <c r="D596" s="19" t="s">
        <v>104</v>
      </c>
      <c r="E596" s="20" t="s">
        <v>781</v>
      </c>
      <c r="F596" s="59">
        <v>0.4166666666666667</v>
      </c>
      <c r="G596" s="20"/>
    </row>
    <row r="597" spans="8:8" ht="41.25" customHeight="1">
      <c r="A597" s="24">
        <v>23.0</v>
      </c>
      <c r="B597" s="19" t="s">
        <v>2460</v>
      </c>
      <c r="C597" s="20">
        <v>251896.0</v>
      </c>
      <c r="D597" s="19" t="s">
        <v>104</v>
      </c>
      <c r="E597" s="20" t="s">
        <v>781</v>
      </c>
      <c r="F597" s="59">
        <v>0.4166666666666667</v>
      </c>
      <c r="G597" s="20"/>
    </row>
    <row r="598" spans="8:8" ht="41.25" customHeight="1">
      <c r="A598" s="20">
        <v>24.0</v>
      </c>
      <c r="B598" s="19" t="s">
        <v>2461</v>
      </c>
      <c r="C598" s="20">
        <v>251954.0</v>
      </c>
      <c r="D598" s="19" t="s">
        <v>104</v>
      </c>
      <c r="E598" s="20" t="s">
        <v>781</v>
      </c>
      <c r="F598" s="59">
        <v>0.4166666666666667</v>
      </c>
      <c r="G598" s="20"/>
    </row>
    <row r="599" spans="8:8" ht="41.25" customHeight="1">
      <c r="A599" s="60" t="s">
        <v>18</v>
      </c>
      <c r="B599" s="60" t="s">
        <v>19</v>
      </c>
      <c r="C599" s="60" t="s">
        <v>1870</v>
      </c>
      <c r="D599" s="60" t="s">
        <v>21</v>
      </c>
      <c r="E599" s="60" t="s">
        <v>22</v>
      </c>
      <c r="F599" s="9" t="s">
        <v>23</v>
      </c>
      <c r="G599" s="60" t="s">
        <v>2462</v>
      </c>
    </row>
    <row r="600" spans="8:8" ht="41.25" customHeight="1">
      <c r="A600" s="24">
        <v>1.0</v>
      </c>
      <c r="B600" s="23" t="s">
        <v>2463</v>
      </c>
      <c r="C600" s="24">
        <v>252979.0</v>
      </c>
      <c r="D600" s="23" t="s">
        <v>90</v>
      </c>
      <c r="E600" s="24" t="s">
        <v>28</v>
      </c>
      <c r="F600" s="61">
        <v>0.4166666666666667</v>
      </c>
      <c r="G600" s="24"/>
    </row>
    <row r="601" spans="8:8" ht="41.25" customHeight="1">
      <c r="A601" s="24">
        <v>2.0</v>
      </c>
      <c r="B601" s="23" t="s">
        <v>2464</v>
      </c>
      <c r="C601" s="24">
        <v>253024.0</v>
      </c>
      <c r="D601" s="33" t="s">
        <v>104</v>
      </c>
      <c r="E601" s="20" t="s">
        <v>28</v>
      </c>
      <c r="F601" s="59">
        <v>0.4166666666666667</v>
      </c>
      <c r="G601" s="13"/>
    </row>
    <row r="602" spans="8:8" ht="41.25" customHeight="1">
      <c r="A602" s="24">
        <v>3.0</v>
      </c>
      <c r="B602" s="23" t="s">
        <v>2465</v>
      </c>
      <c r="C602" s="24">
        <v>253140.0</v>
      </c>
      <c r="D602" s="19" t="s">
        <v>90</v>
      </c>
      <c r="E602" s="20" t="s">
        <v>28</v>
      </c>
      <c r="F602" s="59">
        <v>0.4166666666666667</v>
      </c>
      <c r="G602" s="20"/>
    </row>
    <row r="603" spans="8:8" ht="41.25" customHeight="1">
      <c r="A603" s="24">
        <v>4.0</v>
      </c>
      <c r="B603" s="23" t="s">
        <v>2466</v>
      </c>
      <c r="C603" s="24">
        <v>252783.0</v>
      </c>
      <c r="D603" s="33" t="s">
        <v>90</v>
      </c>
      <c r="E603" s="20" t="s">
        <v>28</v>
      </c>
      <c r="F603" s="59">
        <v>0.4166666666666667</v>
      </c>
      <c r="G603" s="20"/>
    </row>
    <row r="604" spans="8:8" ht="41.25" customHeight="1">
      <c r="A604" s="24">
        <v>5.0</v>
      </c>
      <c r="B604" s="23" t="s">
        <v>2467</v>
      </c>
      <c r="C604" s="24">
        <v>252853.0</v>
      </c>
      <c r="D604" s="33" t="s">
        <v>90</v>
      </c>
      <c r="E604" s="20" t="s">
        <v>28</v>
      </c>
      <c r="F604" s="59">
        <v>0.4166666666666667</v>
      </c>
      <c r="G604" s="20"/>
    </row>
    <row r="605" spans="8:8" ht="41.25" customHeight="1">
      <c r="A605" s="24">
        <v>6.0</v>
      </c>
      <c r="B605" s="23" t="s">
        <v>2468</v>
      </c>
      <c r="C605" s="24">
        <v>252784.0</v>
      </c>
      <c r="D605" s="33" t="s">
        <v>90</v>
      </c>
      <c r="E605" s="20" t="s">
        <v>28</v>
      </c>
      <c r="F605" s="59">
        <v>0.4166666666666667</v>
      </c>
      <c r="G605" s="20"/>
    </row>
    <row r="606" spans="8:8" ht="41.25" customHeight="1">
      <c r="A606" s="24">
        <v>7.0</v>
      </c>
      <c r="B606" s="23" t="s">
        <v>2469</v>
      </c>
      <c r="C606" s="24">
        <v>252786.0</v>
      </c>
      <c r="D606" s="33" t="s">
        <v>90</v>
      </c>
      <c r="E606" s="20" t="s">
        <v>28</v>
      </c>
      <c r="F606" s="59">
        <v>0.4166666666666667</v>
      </c>
      <c r="G606" s="20"/>
    </row>
    <row r="607" spans="8:8" ht="41.25" customHeight="1">
      <c r="A607" s="24">
        <v>8.0</v>
      </c>
      <c r="B607" s="23" t="s">
        <v>2470</v>
      </c>
      <c r="C607" s="24">
        <v>252790.0</v>
      </c>
      <c r="D607" s="33" t="s">
        <v>90</v>
      </c>
      <c r="E607" s="20" t="s">
        <v>28</v>
      </c>
      <c r="F607" s="59">
        <v>0.4166666666666667</v>
      </c>
      <c r="G607" s="20"/>
    </row>
    <row r="608" spans="8:8" ht="41.25" customHeight="1">
      <c r="A608" s="24">
        <v>9.0</v>
      </c>
      <c r="B608" s="23" t="s">
        <v>2471</v>
      </c>
      <c r="C608" s="24">
        <v>252806.0</v>
      </c>
      <c r="D608" s="33" t="s">
        <v>90</v>
      </c>
      <c r="E608" s="20" t="s">
        <v>28</v>
      </c>
      <c r="F608" s="59">
        <v>0.4166666666666667</v>
      </c>
      <c r="G608" s="20"/>
    </row>
    <row r="609" spans="8:8" ht="41.25" customHeight="1">
      <c r="A609" s="24">
        <v>10.0</v>
      </c>
      <c r="B609" s="23" t="s">
        <v>2472</v>
      </c>
      <c r="C609" s="24">
        <v>252337.0</v>
      </c>
      <c r="D609" s="33" t="s">
        <v>104</v>
      </c>
      <c r="E609" s="20" t="s">
        <v>28</v>
      </c>
      <c r="F609" s="59">
        <v>0.4166666666666667</v>
      </c>
      <c r="G609" s="20"/>
    </row>
    <row r="610" spans="8:8" ht="41.25" customHeight="1">
      <c r="A610" s="24">
        <v>11.0</v>
      </c>
      <c r="B610" s="23" t="s">
        <v>2473</v>
      </c>
      <c r="C610" s="24">
        <v>252115.0</v>
      </c>
      <c r="D610" s="19" t="s">
        <v>104</v>
      </c>
      <c r="E610" s="20" t="s">
        <v>28</v>
      </c>
      <c r="F610" s="59">
        <v>0.4166666666666667</v>
      </c>
      <c r="G610" s="20"/>
    </row>
    <row r="611" spans="8:8" ht="41.25" customHeight="1">
      <c r="A611" s="24">
        <v>12.0</v>
      </c>
      <c r="B611" s="23" t="s">
        <v>2474</v>
      </c>
      <c r="C611" s="24">
        <v>252307.0</v>
      </c>
      <c r="D611" s="19" t="s">
        <v>104</v>
      </c>
      <c r="E611" s="20" t="s">
        <v>28</v>
      </c>
      <c r="F611" s="59">
        <v>0.4166666666666667</v>
      </c>
      <c r="G611" s="20"/>
    </row>
    <row r="612" spans="8:8" ht="41.25" customHeight="1">
      <c r="A612" s="24">
        <v>13.0</v>
      </c>
      <c r="B612" s="23" t="s">
        <v>2475</v>
      </c>
      <c r="C612" s="24">
        <v>252678.0</v>
      </c>
      <c r="D612" s="19" t="s">
        <v>90</v>
      </c>
      <c r="E612" s="20" t="s">
        <v>28</v>
      </c>
      <c r="F612" s="59">
        <v>0.4166666666666667</v>
      </c>
      <c r="G612" s="20"/>
    </row>
    <row r="613" spans="8:8" ht="41.25" customHeight="1">
      <c r="A613" s="24">
        <v>14.0</v>
      </c>
      <c r="B613" s="62" t="s">
        <v>2476</v>
      </c>
      <c r="C613" s="66">
        <v>252679.0</v>
      </c>
      <c r="D613" s="33" t="s">
        <v>90</v>
      </c>
      <c r="E613" s="63" t="s">
        <v>28</v>
      </c>
      <c r="F613" s="59">
        <v>0.4166666666666667</v>
      </c>
      <c r="G613" s="63"/>
    </row>
    <row r="614" spans="8:8" ht="41.25" customHeight="1">
      <c r="A614" s="24">
        <v>15.0</v>
      </c>
      <c r="B614" s="62" t="s">
        <v>2477</v>
      </c>
      <c r="C614" s="66">
        <v>252680.0</v>
      </c>
      <c r="D614" s="33" t="s">
        <v>90</v>
      </c>
      <c r="E614" s="63" t="s">
        <v>28</v>
      </c>
      <c r="F614" s="59">
        <v>0.4166666666666667</v>
      </c>
      <c r="G614" s="63"/>
    </row>
    <row r="615" spans="8:8" ht="41.25" customHeight="1">
      <c r="A615" s="24">
        <v>16.0</v>
      </c>
      <c r="B615" s="62" t="s">
        <v>2478</v>
      </c>
      <c r="C615" s="66">
        <v>252682.0</v>
      </c>
      <c r="D615" s="33" t="s">
        <v>90</v>
      </c>
      <c r="E615" s="63" t="s">
        <v>28</v>
      </c>
      <c r="F615" s="59">
        <v>0.4166666666666667</v>
      </c>
      <c r="G615" s="63"/>
    </row>
    <row r="616" spans="8:8" ht="41.25" customHeight="1">
      <c r="A616" s="24">
        <v>17.0</v>
      </c>
      <c r="B616" s="62" t="s">
        <v>2479</v>
      </c>
      <c r="C616" s="66">
        <v>252932.0</v>
      </c>
      <c r="D616" s="33" t="s">
        <v>90</v>
      </c>
      <c r="E616" s="63" t="s">
        <v>28</v>
      </c>
      <c r="F616" s="59">
        <v>0.4166666666666667</v>
      </c>
      <c r="G616" s="63"/>
    </row>
    <row r="617" spans="8:8" ht="41.25" customHeight="1">
      <c r="A617" s="24">
        <v>18.0</v>
      </c>
      <c r="B617" s="62" t="s">
        <v>2480</v>
      </c>
      <c r="C617" s="66">
        <v>252684.0</v>
      </c>
      <c r="D617" s="33" t="s">
        <v>90</v>
      </c>
      <c r="E617" s="63" t="s">
        <v>28</v>
      </c>
      <c r="F617" s="59">
        <v>0.4166666666666667</v>
      </c>
      <c r="G617" s="63"/>
    </row>
    <row r="618" spans="8:8" ht="41.25" customHeight="1">
      <c r="A618" s="24">
        <v>19.0</v>
      </c>
      <c r="B618" s="62" t="s">
        <v>2481</v>
      </c>
      <c r="C618" s="66">
        <v>252688.0</v>
      </c>
      <c r="D618" s="33" t="s">
        <v>90</v>
      </c>
      <c r="E618" s="63" t="s">
        <v>28</v>
      </c>
      <c r="F618" s="59">
        <v>0.4166666666666667</v>
      </c>
      <c r="G618" s="63"/>
    </row>
    <row r="619" spans="8:8" ht="41.25" customHeight="1">
      <c r="A619" s="24">
        <v>20.0</v>
      </c>
      <c r="B619" s="62" t="s">
        <v>2482</v>
      </c>
      <c r="C619" s="66">
        <v>252686.0</v>
      </c>
      <c r="D619" s="33" t="s">
        <v>90</v>
      </c>
      <c r="E619" s="63" t="s">
        <v>28</v>
      </c>
      <c r="F619" s="59">
        <v>0.4166666666666667</v>
      </c>
      <c r="G619" s="63"/>
    </row>
    <row r="620" spans="8:8" ht="41.25" customHeight="1">
      <c r="A620" s="24">
        <v>21.0</v>
      </c>
      <c r="B620" s="62" t="s">
        <v>2483</v>
      </c>
      <c r="C620" s="66">
        <v>252687.0</v>
      </c>
      <c r="D620" s="33" t="s">
        <v>90</v>
      </c>
      <c r="E620" s="63" t="s">
        <v>28</v>
      </c>
      <c r="F620" s="59">
        <v>0.4166666666666667</v>
      </c>
      <c r="G620" s="63"/>
    </row>
    <row r="621" spans="8:8" ht="41.25" customHeight="1">
      <c r="A621" s="24">
        <v>22.0</v>
      </c>
      <c r="B621" s="62" t="s">
        <v>2484</v>
      </c>
      <c r="C621" s="66">
        <v>252696.0</v>
      </c>
      <c r="D621" s="33" t="s">
        <v>90</v>
      </c>
      <c r="E621" s="63" t="s">
        <v>28</v>
      </c>
      <c r="F621" s="59">
        <v>0.4166666666666667</v>
      </c>
      <c r="G621" s="63"/>
    </row>
    <row r="622" spans="8:8" ht="41.25" customHeight="1">
      <c r="A622" s="24">
        <v>23.0</v>
      </c>
      <c r="B622" s="62" t="s">
        <v>2485</v>
      </c>
      <c r="C622" s="66">
        <v>252694.0</v>
      </c>
      <c r="D622" s="33" t="s">
        <v>90</v>
      </c>
      <c r="E622" s="63" t="s">
        <v>28</v>
      </c>
      <c r="F622" s="59">
        <v>0.4166666666666667</v>
      </c>
      <c r="G622" s="63"/>
    </row>
    <row r="623" spans="8:8" ht="41.25" customHeight="1">
      <c r="A623" s="24">
        <v>24.0</v>
      </c>
      <c r="B623" s="62" t="s">
        <v>2486</v>
      </c>
      <c r="C623" s="66">
        <v>252700.0</v>
      </c>
      <c r="D623" s="33" t="s">
        <v>90</v>
      </c>
      <c r="E623" s="63" t="s">
        <v>28</v>
      </c>
      <c r="F623" s="59">
        <v>0.4166666666666667</v>
      </c>
      <c r="G623" s="63"/>
    </row>
    <row r="624" spans="8:8" ht="41.25" customHeight="1">
      <c r="A624" s="24">
        <v>25.0</v>
      </c>
      <c r="B624" s="62" t="s">
        <v>2487</v>
      </c>
      <c r="C624" s="66">
        <v>252704.0</v>
      </c>
      <c r="D624" s="33" t="s">
        <v>90</v>
      </c>
      <c r="E624" s="63" t="s">
        <v>28</v>
      </c>
      <c r="F624" s="59">
        <v>0.4166666666666667</v>
      </c>
      <c r="G624" s="63"/>
    </row>
    <row r="625" spans="8:8" ht="41.25" customHeight="1">
      <c r="A625" s="60" t="s">
        <v>18</v>
      </c>
      <c r="B625" s="60" t="s">
        <v>19</v>
      </c>
      <c r="C625" s="60" t="s">
        <v>1870</v>
      </c>
      <c r="D625" s="60" t="s">
        <v>21</v>
      </c>
      <c r="E625" s="60" t="s">
        <v>22</v>
      </c>
      <c r="F625" s="9" t="s">
        <v>23</v>
      </c>
      <c r="G625" s="60" t="s">
        <v>2488</v>
      </c>
    </row>
    <row r="626" spans="8:8" ht="41.25" customHeight="1">
      <c r="A626" s="66">
        <v>1.0</v>
      </c>
      <c r="B626" s="67" t="s">
        <v>2489</v>
      </c>
      <c r="C626" s="66">
        <v>252089.0</v>
      </c>
      <c r="D626" s="33" t="s">
        <v>104</v>
      </c>
      <c r="E626" s="66" t="s">
        <v>1512</v>
      </c>
      <c r="F626" s="68">
        <v>0.4166666666666667</v>
      </c>
      <c r="G626" s="66"/>
    </row>
    <row r="627" spans="8:8" ht="41.25" customHeight="1">
      <c r="A627" s="20">
        <v>2.0</v>
      </c>
      <c r="B627" s="19" t="s">
        <v>2490</v>
      </c>
      <c r="C627" s="24">
        <v>252593.0</v>
      </c>
      <c r="D627" s="19" t="s">
        <v>90</v>
      </c>
      <c r="E627" s="20" t="s">
        <v>1512</v>
      </c>
      <c r="F627" s="59">
        <v>0.4166666666666667</v>
      </c>
      <c r="G627" s="13"/>
    </row>
    <row r="628" spans="8:8" ht="41.25" customHeight="1">
      <c r="A628" s="66">
        <v>3.0</v>
      </c>
      <c r="B628" s="19" t="s">
        <v>2491</v>
      </c>
      <c r="C628" s="20">
        <v>252608.0</v>
      </c>
      <c r="D628" s="33" t="s">
        <v>90</v>
      </c>
      <c r="E628" s="20" t="s">
        <v>1512</v>
      </c>
      <c r="F628" s="59">
        <v>0.4166666666666667</v>
      </c>
      <c r="G628" s="20"/>
    </row>
    <row r="629" spans="8:8" ht="41.25" customHeight="1">
      <c r="A629" s="20">
        <v>4.0</v>
      </c>
      <c r="B629" s="19" t="s">
        <v>2492</v>
      </c>
      <c r="C629" s="20">
        <v>252793.0</v>
      </c>
      <c r="D629" s="33" t="s">
        <v>90</v>
      </c>
      <c r="E629" s="20" t="s">
        <v>1512</v>
      </c>
      <c r="F629" s="59">
        <v>0.4166666666666667</v>
      </c>
      <c r="G629" s="20"/>
    </row>
    <row r="630" spans="8:8" ht="41.25" customHeight="1">
      <c r="A630" s="66">
        <v>5.0</v>
      </c>
      <c r="B630" s="23" t="s">
        <v>2493</v>
      </c>
      <c r="C630" s="24">
        <v>252647.0</v>
      </c>
      <c r="D630" s="33" t="s">
        <v>90</v>
      </c>
      <c r="E630" s="20" t="s">
        <v>1512</v>
      </c>
      <c r="F630" s="59">
        <v>0.4166666666666667</v>
      </c>
      <c r="G630" s="20"/>
    </row>
    <row r="631" spans="8:8" ht="41.25" customHeight="1">
      <c r="A631" s="20">
        <v>6.0</v>
      </c>
      <c r="B631" s="19" t="s">
        <v>2494</v>
      </c>
      <c r="C631" s="20">
        <v>252642.0</v>
      </c>
      <c r="D631" s="33" t="s">
        <v>90</v>
      </c>
      <c r="E631" s="20" t="s">
        <v>1512</v>
      </c>
      <c r="F631" s="59">
        <v>0.4166666666666667</v>
      </c>
      <c r="G631" s="20"/>
    </row>
    <row r="632" spans="8:8" ht="41.25" customHeight="1">
      <c r="A632" s="66">
        <v>7.0</v>
      </c>
      <c r="B632" s="19" t="s">
        <v>2495</v>
      </c>
      <c r="C632" s="20">
        <v>252660.0</v>
      </c>
      <c r="D632" s="33" t="s">
        <v>90</v>
      </c>
      <c r="E632" s="20" t="s">
        <v>1512</v>
      </c>
      <c r="F632" s="59">
        <v>0.4166666666666667</v>
      </c>
      <c r="G632" s="20"/>
    </row>
    <row r="633" spans="8:8" ht="41.25" customHeight="1">
      <c r="A633" s="20">
        <v>8.0</v>
      </c>
      <c r="B633" s="19" t="s">
        <v>2496</v>
      </c>
      <c r="C633" s="20">
        <v>252637.0</v>
      </c>
      <c r="D633" s="33" t="s">
        <v>90</v>
      </c>
      <c r="E633" s="20" t="s">
        <v>1512</v>
      </c>
      <c r="F633" s="59">
        <v>0.4166666666666667</v>
      </c>
      <c r="G633" s="20"/>
    </row>
    <row r="634" spans="8:8" ht="41.25" customHeight="1">
      <c r="A634" s="66">
        <v>9.0</v>
      </c>
      <c r="B634" s="19" t="s">
        <v>2497</v>
      </c>
      <c r="C634" s="20">
        <v>252484.0</v>
      </c>
      <c r="D634" s="33" t="s">
        <v>90</v>
      </c>
      <c r="E634" s="20" t="s">
        <v>1512</v>
      </c>
      <c r="F634" s="59">
        <v>0.4166666666666667</v>
      </c>
      <c r="G634" s="20"/>
    </row>
    <row r="635" spans="8:8" ht="41.25" customHeight="1">
      <c r="A635" s="20">
        <v>10.0</v>
      </c>
      <c r="B635" s="19" t="s">
        <v>2498</v>
      </c>
      <c r="C635" s="20">
        <v>252481.0</v>
      </c>
      <c r="D635" s="33" t="s">
        <v>90</v>
      </c>
      <c r="E635" s="20" t="s">
        <v>1512</v>
      </c>
      <c r="F635" s="59">
        <v>0.4166666666666667</v>
      </c>
      <c r="G635" s="20"/>
    </row>
    <row r="636" spans="8:8" ht="41.25" customHeight="1">
      <c r="A636" s="66">
        <v>11.0</v>
      </c>
      <c r="B636" s="19" t="s">
        <v>2499</v>
      </c>
      <c r="C636" s="20">
        <v>253247.0</v>
      </c>
      <c r="D636" s="33" t="s">
        <v>104</v>
      </c>
      <c r="E636" s="24" t="s">
        <v>1641</v>
      </c>
      <c r="F636" s="59">
        <v>0.4166666666666667</v>
      </c>
      <c r="G636" s="24"/>
    </row>
    <row r="637" spans="8:8" ht="41.25" customHeight="1">
      <c r="A637" s="20">
        <v>12.0</v>
      </c>
      <c r="B637" s="69" t="s">
        <v>2500</v>
      </c>
      <c r="C637" s="70">
        <v>253175.0</v>
      </c>
      <c r="D637" s="19" t="s">
        <v>90</v>
      </c>
      <c r="E637" s="70" t="s">
        <v>1512</v>
      </c>
      <c r="F637" s="59">
        <v>0.4166666666666667</v>
      </c>
      <c r="G637" s="70"/>
    </row>
    <row r="638" spans="8:8" ht="41.25" customHeight="1">
      <c r="A638" s="66">
        <v>13.0</v>
      </c>
      <c r="B638" s="69" t="s">
        <v>2501</v>
      </c>
      <c r="C638" s="70">
        <v>251888.0</v>
      </c>
      <c r="D638" s="33" t="s">
        <v>104</v>
      </c>
      <c r="E638" s="70" t="s">
        <v>1512</v>
      </c>
      <c r="F638" s="59">
        <v>0.4166666666666667</v>
      </c>
      <c r="G638" s="70"/>
    </row>
    <row r="639" spans="8:8" ht="41.25" customHeight="1">
      <c r="A639" s="20">
        <v>14.0</v>
      </c>
      <c r="B639" s="19" t="s">
        <v>2502</v>
      </c>
      <c r="C639" s="20">
        <v>252761.0</v>
      </c>
      <c r="D639" s="19" t="s">
        <v>90</v>
      </c>
      <c r="E639" s="20" t="s">
        <v>1512</v>
      </c>
      <c r="F639" s="59">
        <v>0.4166666666666667</v>
      </c>
      <c r="G639" s="20"/>
    </row>
    <row r="640" spans="8:8" ht="41.25" customHeight="1">
      <c r="A640" s="66">
        <v>15.0</v>
      </c>
      <c r="B640" s="19" t="s">
        <v>2503</v>
      </c>
      <c r="C640" s="20">
        <v>252187.0</v>
      </c>
      <c r="D640" s="33" t="s">
        <v>104</v>
      </c>
      <c r="E640" s="20" t="s">
        <v>1512</v>
      </c>
      <c r="F640" s="59">
        <v>0.4166666666666667</v>
      </c>
      <c r="G640" s="20"/>
    </row>
    <row r="641" spans="8:8" ht="41.25" customHeight="1">
      <c r="A641" s="20">
        <v>16.0</v>
      </c>
      <c r="B641" s="19" t="s">
        <v>2504</v>
      </c>
      <c r="C641" s="20">
        <v>241236.0</v>
      </c>
      <c r="D641" s="19" t="s">
        <v>1369</v>
      </c>
      <c r="E641" s="20" t="s">
        <v>1512</v>
      </c>
      <c r="F641" s="59">
        <v>0.4166666666666667</v>
      </c>
      <c r="G641" s="20"/>
    </row>
    <row r="642" spans="8:8" ht="41.25" customHeight="1">
      <c r="A642" s="66">
        <v>17.0</v>
      </c>
      <c r="B642" s="19" t="s">
        <v>2505</v>
      </c>
      <c r="C642" s="20">
        <v>252666.0</v>
      </c>
      <c r="D642" s="19" t="s">
        <v>90</v>
      </c>
      <c r="E642" s="20" t="s">
        <v>1512</v>
      </c>
      <c r="F642" s="59">
        <v>0.4166666666666667</v>
      </c>
      <c r="G642" s="20"/>
    </row>
    <row r="643" spans="8:8" ht="41.25" customHeight="1">
      <c r="A643" s="20">
        <v>18.0</v>
      </c>
      <c r="B643" s="19" t="s">
        <v>2506</v>
      </c>
      <c r="C643" s="20">
        <v>252670.0</v>
      </c>
      <c r="D643" s="33" t="s">
        <v>90</v>
      </c>
      <c r="E643" s="20" t="s">
        <v>1512</v>
      </c>
      <c r="F643" s="59">
        <v>0.4166666666666667</v>
      </c>
      <c r="G643" s="20"/>
    </row>
    <row r="644" spans="8:8" ht="41.25" customHeight="1">
      <c r="A644" s="66">
        <v>19.0</v>
      </c>
      <c r="B644" s="19" t="s">
        <v>2507</v>
      </c>
      <c r="C644" s="20">
        <v>252854.0</v>
      </c>
      <c r="D644" s="33" t="s">
        <v>90</v>
      </c>
      <c r="E644" s="20" t="s">
        <v>1512</v>
      </c>
      <c r="F644" s="59">
        <v>0.4166666666666667</v>
      </c>
      <c r="G644" s="20"/>
    </row>
    <row r="645" spans="8:8" ht="41.25" customHeight="1">
      <c r="A645" s="20">
        <v>20.0</v>
      </c>
      <c r="B645" s="19" t="s">
        <v>2508</v>
      </c>
      <c r="C645" s="20">
        <v>252685.0</v>
      </c>
      <c r="D645" s="33" t="s">
        <v>90</v>
      </c>
      <c r="E645" s="20" t="s">
        <v>1512</v>
      </c>
      <c r="F645" s="59">
        <v>0.4166666666666667</v>
      </c>
      <c r="G645" s="20"/>
    </row>
    <row r="646" spans="8:8" ht="41.25" customHeight="1">
      <c r="A646" s="66">
        <v>21.0</v>
      </c>
      <c r="B646" s="19" t="s">
        <v>2509</v>
      </c>
      <c r="C646" s="20">
        <v>252712.0</v>
      </c>
      <c r="D646" s="33" t="s">
        <v>90</v>
      </c>
      <c r="E646" s="20" t="s">
        <v>1512</v>
      </c>
      <c r="F646" s="59">
        <v>0.4166666666666667</v>
      </c>
      <c r="G646" s="20"/>
    </row>
    <row r="647" spans="8:8" ht="41.25" customHeight="1">
      <c r="A647" s="20">
        <v>22.0</v>
      </c>
      <c r="B647" s="19" t="s">
        <v>2510</v>
      </c>
      <c r="C647" s="20">
        <v>252715.0</v>
      </c>
      <c r="D647" s="33" t="s">
        <v>90</v>
      </c>
      <c r="E647" s="20" t="s">
        <v>1512</v>
      </c>
      <c r="F647" s="59">
        <v>0.4166666666666667</v>
      </c>
      <c r="G647" s="20"/>
    </row>
    <row r="648" spans="8:8" ht="41.25" customHeight="1">
      <c r="A648" s="66">
        <v>23.0</v>
      </c>
      <c r="B648" s="19" t="s">
        <v>2511</v>
      </c>
      <c r="C648" s="20">
        <v>252716.0</v>
      </c>
      <c r="D648" s="33" t="s">
        <v>90</v>
      </c>
      <c r="E648" s="20" t="s">
        <v>1512</v>
      </c>
      <c r="F648" s="59">
        <v>0.4166666666666667</v>
      </c>
      <c r="G648" s="20"/>
    </row>
    <row r="649" spans="8:8" ht="41.25" customHeight="1">
      <c r="A649" s="60" t="s">
        <v>18</v>
      </c>
      <c r="B649" s="60" t="s">
        <v>19</v>
      </c>
      <c r="C649" s="60" t="s">
        <v>1870</v>
      </c>
      <c r="D649" s="60" t="s">
        <v>21</v>
      </c>
      <c r="E649" s="60" t="s">
        <v>22</v>
      </c>
      <c r="F649" s="9" t="s">
        <v>23</v>
      </c>
      <c r="G649" s="9" t="s">
        <v>982</v>
      </c>
    </row>
    <row r="650" spans="8:8" ht="41.25" customHeight="1">
      <c r="A650" s="24"/>
      <c r="B650" s="46" t="s">
        <v>2512</v>
      </c>
      <c r="C650" s="49">
        <v>252860.0</v>
      </c>
      <c r="D650" s="48" t="s">
        <v>90</v>
      </c>
      <c r="E650" s="49" t="s">
        <v>28</v>
      </c>
      <c r="F650" s="59">
        <v>0.4166666666666667</v>
      </c>
      <c r="G650" s="24"/>
    </row>
    <row r="651" spans="8:8" ht="41.25" customHeight="1">
      <c r="A651" s="20"/>
      <c r="B651" s="46" t="s">
        <v>2513</v>
      </c>
      <c r="C651" s="49">
        <v>253105.0</v>
      </c>
      <c r="D651" s="48" t="s">
        <v>90</v>
      </c>
      <c r="E651" s="49" t="s">
        <v>1512</v>
      </c>
      <c r="F651" s="71">
        <v>0.4166666666666667</v>
      </c>
      <c r="G651" s="13"/>
    </row>
    <row r="652" spans="8:8" ht="41.25" customHeight="1">
      <c r="A652" s="20"/>
      <c r="B652" s="20"/>
      <c r="C652" s="20"/>
      <c r="D652" s="40"/>
      <c r="E652" s="20"/>
      <c r="F652" s="59"/>
      <c r="G652" s="20"/>
    </row>
    <row r="653" spans="8:8" ht="41.25" customHeight="1">
      <c r="A653" s="20"/>
      <c r="B653" s="20"/>
      <c r="C653" s="20"/>
      <c r="D653" s="40"/>
      <c r="E653" s="20"/>
      <c r="F653" s="59"/>
      <c r="G653" s="20"/>
    </row>
    <row r="654" spans="8:8" ht="41.25" customHeight="1">
      <c r="A654" s="20"/>
      <c r="B654" s="20"/>
      <c r="C654" s="20"/>
      <c r="D654" s="40"/>
      <c r="E654" s="20"/>
      <c r="F654" s="59"/>
      <c r="G654" s="20"/>
    </row>
    <row r="655" spans="8:8" ht="41.25" customHeight="1">
      <c r="A655" s="20"/>
      <c r="B655" s="20"/>
      <c r="C655" s="20"/>
      <c r="D655" s="40"/>
      <c r="E655" s="20"/>
      <c r="F655" s="59"/>
      <c r="G655" s="20"/>
    </row>
    <row r="656" spans="8:8" ht="41.25" customHeight="1">
      <c r="A656" s="20"/>
      <c r="B656" s="20"/>
      <c r="C656" s="20"/>
      <c r="D656" s="40"/>
      <c r="E656" s="20"/>
      <c r="F656" s="59"/>
      <c r="G656" s="20"/>
    </row>
    <row r="657" spans="8:8" ht="41.25" customHeight="1">
      <c r="A657" s="20"/>
      <c r="B657" s="20"/>
      <c r="C657" s="20"/>
      <c r="D657" s="40"/>
      <c r="E657" s="20"/>
      <c r="F657" s="59"/>
      <c r="G657" s="20"/>
    </row>
    <row r="658" spans="8:8" ht="41.25" customHeight="1">
      <c r="A658" s="20"/>
      <c r="B658" s="20"/>
      <c r="C658" s="20"/>
      <c r="D658" s="40"/>
      <c r="E658" s="20"/>
      <c r="F658" s="59"/>
      <c r="G658" s="20"/>
    </row>
    <row r="659" spans="8:8" ht="41.25" customHeight="1">
      <c r="A659" s="20"/>
      <c r="B659" s="20"/>
      <c r="C659" s="20"/>
      <c r="D659" s="40"/>
      <c r="E659" s="20"/>
      <c r="F659" s="59"/>
      <c r="G659" s="20"/>
    </row>
    <row r="660" spans="8:8" ht="41.25" customHeight="1">
      <c r="A660" s="20"/>
      <c r="B660" s="20"/>
      <c r="C660" s="20"/>
      <c r="D660" s="40"/>
      <c r="E660" s="20"/>
      <c r="F660" s="59"/>
      <c r="G660" s="20"/>
    </row>
    <row r="661" spans="8:8" ht="41.25" customHeight="1">
      <c r="A661" s="20"/>
      <c r="B661" s="20"/>
      <c r="C661" s="20"/>
      <c r="D661" s="40"/>
      <c r="E661" s="20"/>
      <c r="F661" s="59"/>
      <c r="G661" s="20"/>
    </row>
    <row r="662" spans="8:8" ht="41.25" customHeight="1">
      <c r="A662" s="60" t="s">
        <v>18</v>
      </c>
      <c r="B662" s="60" t="s">
        <v>19</v>
      </c>
      <c r="C662" s="60" t="s">
        <v>1870</v>
      </c>
      <c r="D662" s="60" t="s">
        <v>21</v>
      </c>
      <c r="E662" s="60" t="s">
        <v>22</v>
      </c>
      <c r="F662" s="9" t="s">
        <v>23</v>
      </c>
      <c r="G662" s="60" t="s">
        <v>25</v>
      </c>
    </row>
    <row r="663" spans="8:8" ht="41.25" customHeight="1">
      <c r="A663" s="24">
        <v>1.0</v>
      </c>
      <c r="B663" s="23" t="s">
        <v>2514</v>
      </c>
      <c r="C663" s="24">
        <v>251837.0</v>
      </c>
      <c r="D663" s="33" t="s">
        <v>104</v>
      </c>
      <c r="E663" s="24" t="s">
        <v>28</v>
      </c>
      <c r="F663" s="61">
        <v>0.5208333333333334</v>
      </c>
      <c r="G663" s="24"/>
    </row>
    <row r="664" spans="8:8" ht="41.25" customHeight="1">
      <c r="A664" s="20">
        <v>2.0</v>
      </c>
      <c r="B664" s="19" t="s">
        <v>2515</v>
      </c>
      <c r="C664" s="20">
        <v>251862.0</v>
      </c>
      <c r="D664" s="19" t="s">
        <v>104</v>
      </c>
      <c r="E664" s="20" t="s">
        <v>28</v>
      </c>
      <c r="F664" s="59">
        <v>0.5208333333333334</v>
      </c>
      <c r="G664" s="13"/>
    </row>
    <row r="665" spans="8:8" ht="41.25" customHeight="1">
      <c r="A665" s="24">
        <v>3.0</v>
      </c>
      <c r="B665" s="19" t="s">
        <v>2516</v>
      </c>
      <c r="C665" s="20">
        <v>251852.0</v>
      </c>
      <c r="D665" s="19" t="s">
        <v>104</v>
      </c>
      <c r="E665" s="20" t="s">
        <v>28</v>
      </c>
      <c r="F665" s="59">
        <v>0.5208333333333334</v>
      </c>
      <c r="G665" s="20"/>
    </row>
    <row r="666" spans="8:8" ht="41.25" customHeight="1">
      <c r="A666" s="20">
        <v>4.0</v>
      </c>
      <c r="B666" s="19" t="s">
        <v>2517</v>
      </c>
      <c r="C666" s="20">
        <v>251871.0</v>
      </c>
      <c r="D666" s="19" t="s">
        <v>104</v>
      </c>
      <c r="E666" s="20" t="s">
        <v>28</v>
      </c>
      <c r="F666" s="59">
        <v>0.5208333333333334</v>
      </c>
      <c r="G666" s="20"/>
    </row>
    <row r="667" spans="8:8" ht="41.25" customHeight="1">
      <c r="A667" s="24">
        <v>5.0</v>
      </c>
      <c r="B667" s="19" t="s">
        <v>2518</v>
      </c>
      <c r="C667" s="20">
        <v>251875.0</v>
      </c>
      <c r="D667" s="19" t="s">
        <v>104</v>
      </c>
      <c r="E667" s="20" t="s">
        <v>28</v>
      </c>
      <c r="F667" s="59">
        <v>0.5208333333333334</v>
      </c>
      <c r="G667" s="20"/>
    </row>
    <row r="668" spans="8:8" ht="41.25" customHeight="1">
      <c r="A668" s="20">
        <v>6.0</v>
      </c>
      <c r="B668" s="19" t="s">
        <v>2519</v>
      </c>
      <c r="C668" s="20">
        <v>252325.0</v>
      </c>
      <c r="D668" s="19" t="s">
        <v>104</v>
      </c>
      <c r="E668" s="20" t="s">
        <v>28</v>
      </c>
      <c r="F668" s="59">
        <v>0.5208333333333334</v>
      </c>
      <c r="G668" s="20"/>
    </row>
    <row r="669" spans="8:8" ht="41.25" customHeight="1">
      <c r="A669" s="24">
        <v>7.0</v>
      </c>
      <c r="B669" s="19" t="s">
        <v>2520</v>
      </c>
      <c r="C669" s="20">
        <v>251877.0</v>
      </c>
      <c r="D669" s="19" t="s">
        <v>104</v>
      </c>
      <c r="E669" s="20" t="s">
        <v>28</v>
      </c>
      <c r="F669" s="59">
        <v>0.5208333333333334</v>
      </c>
      <c r="G669" s="20"/>
    </row>
    <row r="670" spans="8:8" ht="41.25" customHeight="1">
      <c r="A670" s="20">
        <v>8.0</v>
      </c>
      <c r="B670" s="19" t="s">
        <v>2521</v>
      </c>
      <c r="C670" s="20">
        <v>251985.0</v>
      </c>
      <c r="D670" s="19" t="s">
        <v>104</v>
      </c>
      <c r="E670" s="20" t="s">
        <v>28</v>
      </c>
      <c r="F670" s="59">
        <v>0.5208333333333334</v>
      </c>
      <c r="G670" s="20"/>
    </row>
    <row r="671" spans="8:8" ht="41.25" customHeight="1">
      <c r="A671" s="24">
        <v>9.0</v>
      </c>
      <c r="B671" s="19" t="s">
        <v>2522</v>
      </c>
      <c r="C671" s="20">
        <v>252138.0</v>
      </c>
      <c r="D671" s="19" t="s">
        <v>104</v>
      </c>
      <c r="E671" s="24" t="s">
        <v>28</v>
      </c>
      <c r="F671" s="59">
        <v>0.5208333333333334</v>
      </c>
      <c r="G671" s="24"/>
    </row>
    <row r="672" spans="8:8" ht="41.25" customHeight="1">
      <c r="A672" s="20">
        <v>10.0</v>
      </c>
      <c r="B672" s="19" t="s">
        <v>2523</v>
      </c>
      <c r="C672" s="20">
        <v>251805.0</v>
      </c>
      <c r="D672" s="19" t="s">
        <v>104</v>
      </c>
      <c r="E672" s="20" t="s">
        <v>28</v>
      </c>
      <c r="F672" s="59">
        <v>0.5208333333333334</v>
      </c>
      <c r="G672" s="20"/>
    </row>
    <row r="673" spans="8:8" ht="41.25" customHeight="1">
      <c r="A673" s="24">
        <v>11.0</v>
      </c>
      <c r="B673" s="19" t="s">
        <v>2524</v>
      </c>
      <c r="C673" s="20">
        <v>251835.0</v>
      </c>
      <c r="D673" s="19" t="s">
        <v>104</v>
      </c>
      <c r="E673" s="20" t="s">
        <v>28</v>
      </c>
      <c r="F673" s="59">
        <v>0.5208333333333334</v>
      </c>
      <c r="G673" s="20"/>
    </row>
    <row r="674" spans="8:8" ht="41.25" customHeight="1">
      <c r="A674" s="20">
        <v>12.0</v>
      </c>
      <c r="B674" s="19" t="s">
        <v>2525</v>
      </c>
      <c r="C674" s="20">
        <v>251890.0</v>
      </c>
      <c r="D674" s="19" t="s">
        <v>104</v>
      </c>
      <c r="E674" s="20" t="s">
        <v>28</v>
      </c>
      <c r="F674" s="59">
        <v>0.5208333333333334</v>
      </c>
      <c r="G674" s="20"/>
    </row>
    <row r="675" spans="8:8" ht="41.25" customHeight="1">
      <c r="A675" s="24">
        <v>13.0</v>
      </c>
      <c r="B675" s="19" t="s">
        <v>2526</v>
      </c>
      <c r="C675" s="20">
        <v>251874.0</v>
      </c>
      <c r="D675" s="19" t="s">
        <v>104</v>
      </c>
      <c r="E675" s="20" t="s">
        <v>28</v>
      </c>
      <c r="F675" s="59">
        <v>0.5208333333333334</v>
      </c>
      <c r="G675" s="20"/>
    </row>
    <row r="676" spans="8:8" ht="41.25" customHeight="1">
      <c r="A676" s="20">
        <v>14.0</v>
      </c>
      <c r="B676" s="19" t="s">
        <v>2527</v>
      </c>
      <c r="C676" s="20">
        <v>251892.0</v>
      </c>
      <c r="D676" s="19" t="s">
        <v>104</v>
      </c>
      <c r="E676" s="20" t="s">
        <v>28</v>
      </c>
      <c r="F676" s="59">
        <v>0.5208333333333334</v>
      </c>
      <c r="G676" s="20"/>
    </row>
    <row r="677" spans="8:8" ht="41.25" customHeight="1">
      <c r="A677" s="24">
        <v>15.0</v>
      </c>
      <c r="B677" s="19" t="s">
        <v>2528</v>
      </c>
      <c r="C677" s="20">
        <v>251865.0</v>
      </c>
      <c r="D677" s="19" t="s">
        <v>104</v>
      </c>
      <c r="E677" s="20" t="s">
        <v>28</v>
      </c>
      <c r="F677" s="59">
        <v>0.5208333333333334</v>
      </c>
      <c r="G677" s="20"/>
    </row>
    <row r="678" spans="8:8" ht="41.25" customHeight="1">
      <c r="A678" s="20">
        <v>16.0</v>
      </c>
      <c r="B678" s="19" t="s">
        <v>2529</v>
      </c>
      <c r="C678" s="20">
        <v>251886.0</v>
      </c>
      <c r="D678" s="19" t="s">
        <v>104</v>
      </c>
      <c r="E678" s="20" t="s">
        <v>28</v>
      </c>
      <c r="F678" s="59">
        <v>0.5208333333333334</v>
      </c>
      <c r="G678" s="20"/>
    </row>
    <row r="679" spans="8:8" ht="41.25" customHeight="1">
      <c r="A679" s="24">
        <v>17.0</v>
      </c>
      <c r="B679" s="19" t="s">
        <v>2530</v>
      </c>
      <c r="C679" s="20">
        <v>251831.0</v>
      </c>
      <c r="D679" s="19" t="s">
        <v>104</v>
      </c>
      <c r="E679" s="20" t="s">
        <v>28</v>
      </c>
      <c r="F679" s="59">
        <v>0.5208333333333334</v>
      </c>
      <c r="G679" s="20"/>
    </row>
    <row r="680" spans="8:8" ht="41.25" customHeight="1">
      <c r="A680" s="20">
        <v>18.0</v>
      </c>
      <c r="B680" s="19" t="s">
        <v>2531</v>
      </c>
      <c r="C680" s="20">
        <v>251869.0</v>
      </c>
      <c r="D680" s="19" t="s">
        <v>104</v>
      </c>
      <c r="E680" s="20" t="s">
        <v>28</v>
      </c>
      <c r="F680" s="59">
        <v>0.5208333333333334</v>
      </c>
      <c r="G680" s="20"/>
    </row>
    <row r="681" spans="8:8" ht="41.25" customHeight="1">
      <c r="A681" s="24">
        <v>19.0</v>
      </c>
      <c r="B681" s="19" t="s">
        <v>2532</v>
      </c>
      <c r="C681" s="20">
        <v>252011.0</v>
      </c>
      <c r="D681" s="19" t="s">
        <v>104</v>
      </c>
      <c r="E681" s="20" t="s">
        <v>28</v>
      </c>
      <c r="F681" s="59">
        <v>0.5208333333333334</v>
      </c>
      <c r="G681" s="20"/>
    </row>
    <row r="682" spans="8:8" ht="41.25" customHeight="1">
      <c r="A682" s="20">
        <v>20.0</v>
      </c>
      <c r="B682" s="19" t="s">
        <v>2533</v>
      </c>
      <c r="C682" s="20">
        <v>252070.0</v>
      </c>
      <c r="D682" s="19" t="s">
        <v>104</v>
      </c>
      <c r="E682" s="20" t="s">
        <v>28</v>
      </c>
      <c r="F682" s="59">
        <v>0.5208333333333334</v>
      </c>
      <c r="G682" s="20"/>
    </row>
    <row r="683" spans="8:8" ht="41.25" customHeight="1">
      <c r="A683" s="24">
        <v>21.0</v>
      </c>
      <c r="B683" s="19" t="s">
        <v>2534</v>
      </c>
      <c r="C683" s="20">
        <v>252061.0</v>
      </c>
      <c r="D683" s="19" t="s">
        <v>104</v>
      </c>
      <c r="E683" s="20" t="s">
        <v>28</v>
      </c>
      <c r="F683" s="59">
        <v>0.5208333333333334</v>
      </c>
      <c r="G683" s="20"/>
    </row>
    <row r="684" spans="8:8" ht="41.25" customHeight="1">
      <c r="A684" s="20">
        <v>22.0</v>
      </c>
      <c r="B684" s="19" t="s">
        <v>2535</v>
      </c>
      <c r="C684" s="20">
        <v>251860.0</v>
      </c>
      <c r="D684" s="19" t="s">
        <v>104</v>
      </c>
      <c r="E684" s="20" t="s">
        <v>28</v>
      </c>
      <c r="F684" s="59">
        <v>0.5208333333333334</v>
      </c>
      <c r="G684" s="20"/>
    </row>
    <row r="685" spans="8:8" ht="41.25" customHeight="1">
      <c r="A685" s="24">
        <v>23.0</v>
      </c>
      <c r="B685" s="19" t="s">
        <v>2536</v>
      </c>
      <c r="C685" s="20">
        <v>251848.0</v>
      </c>
      <c r="D685" s="19" t="s">
        <v>104</v>
      </c>
      <c r="E685" s="20" t="s">
        <v>28</v>
      </c>
      <c r="F685" s="59">
        <v>0.5208333333333334</v>
      </c>
      <c r="G685" s="20"/>
    </row>
    <row r="686" spans="8:8" ht="41.25" customHeight="1">
      <c r="A686" s="20">
        <v>24.0</v>
      </c>
      <c r="B686" s="19" t="s">
        <v>2537</v>
      </c>
      <c r="C686" s="20">
        <v>251873.0</v>
      </c>
      <c r="D686" s="19" t="s">
        <v>104</v>
      </c>
      <c r="E686" s="20" t="s">
        <v>28</v>
      </c>
      <c r="F686" s="59">
        <v>0.5208333333333334</v>
      </c>
      <c r="G686" s="20"/>
    </row>
    <row r="687" spans="8:8" ht="41.25" customHeight="1">
      <c r="A687" s="24">
        <v>25.0</v>
      </c>
      <c r="B687" s="19" t="s">
        <v>2538</v>
      </c>
      <c r="C687" s="20">
        <v>251887.0</v>
      </c>
      <c r="D687" s="19" t="s">
        <v>104</v>
      </c>
      <c r="E687" s="20" t="s">
        <v>28</v>
      </c>
      <c r="F687" s="59">
        <v>0.5208333333333334</v>
      </c>
      <c r="G687" s="20"/>
    </row>
    <row r="688" spans="8:8" ht="41.25" customHeight="1">
      <c r="A688" s="60" t="s">
        <v>18</v>
      </c>
      <c r="B688" s="60" t="s">
        <v>19</v>
      </c>
      <c r="C688" s="60" t="s">
        <v>1870</v>
      </c>
      <c r="D688" s="60" t="s">
        <v>21</v>
      </c>
      <c r="E688" s="60" t="s">
        <v>22</v>
      </c>
      <c r="F688" s="9" t="s">
        <v>23</v>
      </c>
      <c r="G688" s="60" t="s">
        <v>1896</v>
      </c>
    </row>
    <row r="689" spans="8:8" ht="41.25" customHeight="1">
      <c r="A689" s="24">
        <v>1.0</v>
      </c>
      <c r="B689" s="23" t="s">
        <v>2539</v>
      </c>
      <c r="C689" s="24">
        <v>251799.0</v>
      </c>
      <c r="D689" s="23" t="s">
        <v>104</v>
      </c>
      <c r="E689" s="24" t="s">
        <v>28</v>
      </c>
      <c r="F689" s="61">
        <v>0.5208333333333334</v>
      </c>
      <c r="G689" s="24"/>
    </row>
    <row r="690" spans="8:8" ht="41.25" customHeight="1">
      <c r="A690" s="20">
        <v>2.0</v>
      </c>
      <c r="B690" s="19" t="s">
        <v>2540</v>
      </c>
      <c r="C690" s="20">
        <v>251838.0</v>
      </c>
      <c r="D690" s="19" t="s">
        <v>104</v>
      </c>
      <c r="E690" s="20" t="s">
        <v>28</v>
      </c>
      <c r="F690" s="59">
        <v>0.5208333333333334</v>
      </c>
      <c r="G690" s="13"/>
    </row>
    <row r="691" spans="8:8" ht="41.25" customHeight="1">
      <c r="A691" s="24">
        <v>3.0</v>
      </c>
      <c r="B691" s="19" t="s">
        <v>2541</v>
      </c>
      <c r="C691" s="20">
        <v>252281.0</v>
      </c>
      <c r="D691" s="19" t="s">
        <v>104</v>
      </c>
      <c r="E691" s="20" t="s">
        <v>28</v>
      </c>
      <c r="F691" s="59">
        <v>0.5208333333333334</v>
      </c>
      <c r="G691" s="20"/>
    </row>
    <row r="692" spans="8:8" ht="41.25" customHeight="1">
      <c r="A692" s="20">
        <v>4.0</v>
      </c>
      <c r="B692" s="19" t="s">
        <v>2542</v>
      </c>
      <c r="C692" s="20">
        <v>252084.0</v>
      </c>
      <c r="D692" s="19" t="s">
        <v>104</v>
      </c>
      <c r="E692" s="24" t="s">
        <v>28</v>
      </c>
      <c r="F692" s="59">
        <v>0.5208333333333334</v>
      </c>
      <c r="G692" s="24"/>
    </row>
    <row r="693" spans="8:8" ht="41.25" customHeight="1">
      <c r="A693" s="24">
        <v>5.0</v>
      </c>
      <c r="B693" s="19" t="s">
        <v>2543</v>
      </c>
      <c r="C693" s="20">
        <v>252082.0</v>
      </c>
      <c r="D693" s="19" t="s">
        <v>104</v>
      </c>
      <c r="E693" s="20" t="s">
        <v>28</v>
      </c>
      <c r="F693" s="59">
        <v>0.5208333333333334</v>
      </c>
      <c r="G693" s="20"/>
    </row>
    <row r="694" spans="8:8" ht="41.25" customHeight="1">
      <c r="A694" s="20">
        <v>6.0</v>
      </c>
      <c r="B694" s="19" t="s">
        <v>2544</v>
      </c>
      <c r="C694" s="20">
        <v>252080.0</v>
      </c>
      <c r="D694" s="19" t="s">
        <v>104</v>
      </c>
      <c r="E694" s="20" t="s">
        <v>28</v>
      </c>
      <c r="F694" s="59">
        <v>0.5208333333333334</v>
      </c>
      <c r="G694" s="20"/>
    </row>
    <row r="695" spans="8:8" ht="41.25" customHeight="1">
      <c r="A695" s="24">
        <v>7.0</v>
      </c>
      <c r="B695" s="19" t="s">
        <v>2545</v>
      </c>
      <c r="C695" s="20">
        <v>252097.0</v>
      </c>
      <c r="D695" s="19" t="s">
        <v>104</v>
      </c>
      <c r="E695" s="20" t="s">
        <v>28</v>
      </c>
      <c r="F695" s="59">
        <v>0.5208333333333334</v>
      </c>
      <c r="G695" s="20"/>
    </row>
    <row r="696" spans="8:8" ht="41.25" customHeight="1">
      <c r="A696" s="20">
        <v>8.0</v>
      </c>
      <c r="B696" s="19" t="s">
        <v>2546</v>
      </c>
      <c r="C696" s="20">
        <v>252096.0</v>
      </c>
      <c r="D696" s="19" t="s">
        <v>104</v>
      </c>
      <c r="E696" s="20" t="s">
        <v>28</v>
      </c>
      <c r="F696" s="59">
        <v>0.5208333333333334</v>
      </c>
      <c r="G696" s="20"/>
    </row>
    <row r="697" spans="8:8" ht="41.25" customHeight="1">
      <c r="A697" s="24">
        <v>9.0</v>
      </c>
      <c r="B697" s="19" t="s">
        <v>2547</v>
      </c>
      <c r="C697" s="20">
        <v>252108.0</v>
      </c>
      <c r="D697" s="19" t="s">
        <v>104</v>
      </c>
      <c r="E697" s="20" t="s">
        <v>28</v>
      </c>
      <c r="F697" s="59">
        <v>0.5208333333333334</v>
      </c>
      <c r="G697" s="20"/>
    </row>
    <row r="698" spans="8:8" ht="41.25" customHeight="1">
      <c r="A698" s="20">
        <v>10.0</v>
      </c>
      <c r="B698" s="19" t="s">
        <v>2548</v>
      </c>
      <c r="C698" s="20">
        <v>252113.0</v>
      </c>
      <c r="D698" s="19" t="s">
        <v>104</v>
      </c>
      <c r="E698" s="20" t="s">
        <v>28</v>
      </c>
      <c r="F698" s="59">
        <v>0.5208333333333334</v>
      </c>
      <c r="G698" s="20"/>
    </row>
    <row r="699" spans="8:8" ht="41.25" customHeight="1">
      <c r="A699" s="24">
        <v>11.0</v>
      </c>
      <c r="B699" s="19" t="s">
        <v>2549</v>
      </c>
      <c r="C699" s="20">
        <v>252098.0</v>
      </c>
      <c r="D699" s="19" t="s">
        <v>104</v>
      </c>
      <c r="E699" s="20" t="s">
        <v>28</v>
      </c>
      <c r="F699" s="59">
        <v>0.5208333333333334</v>
      </c>
      <c r="G699" s="20"/>
    </row>
    <row r="700" spans="8:8" ht="41.25" customHeight="1">
      <c r="A700" s="20">
        <v>12.0</v>
      </c>
      <c r="B700" s="19" t="s">
        <v>2550</v>
      </c>
      <c r="C700" s="20">
        <v>252100.0</v>
      </c>
      <c r="D700" s="19" t="s">
        <v>104</v>
      </c>
      <c r="E700" s="20" t="s">
        <v>28</v>
      </c>
      <c r="F700" s="59">
        <v>0.5208333333333334</v>
      </c>
      <c r="G700" s="20"/>
    </row>
    <row r="701" spans="8:8" ht="41.25" customHeight="1">
      <c r="A701" s="60" t="s">
        <v>18</v>
      </c>
      <c r="B701" s="60" t="s">
        <v>19</v>
      </c>
      <c r="C701" s="60" t="s">
        <v>1870</v>
      </c>
      <c r="D701" s="60" t="s">
        <v>21</v>
      </c>
      <c r="E701" s="60" t="s">
        <v>22</v>
      </c>
      <c r="F701" s="9" t="s">
        <v>23</v>
      </c>
      <c r="G701" s="60" t="s">
        <v>1922</v>
      </c>
    </row>
    <row r="702" spans="8:8" ht="41.25" customHeight="1">
      <c r="A702" s="24">
        <v>1.0</v>
      </c>
      <c r="B702" s="23" t="s">
        <v>2551</v>
      </c>
      <c r="C702" s="24">
        <v>252106.0</v>
      </c>
      <c r="D702" s="23" t="s">
        <v>104</v>
      </c>
      <c r="E702" s="24" t="s">
        <v>28</v>
      </c>
      <c r="F702" s="61">
        <v>0.5208333333333334</v>
      </c>
      <c r="G702" s="24"/>
    </row>
    <row r="703" spans="8:8" ht="41.25" customHeight="1">
      <c r="A703" s="20">
        <v>2.0</v>
      </c>
      <c r="B703" s="19" t="s">
        <v>2552</v>
      </c>
      <c r="C703" s="20">
        <v>252111.0</v>
      </c>
      <c r="D703" s="19" t="s">
        <v>104</v>
      </c>
      <c r="E703" s="20" t="s">
        <v>28</v>
      </c>
      <c r="F703" s="59">
        <v>0.5208333333333334</v>
      </c>
      <c r="G703" s="13"/>
    </row>
    <row r="704" spans="8:8" ht="41.25" customHeight="1">
      <c r="A704" s="24">
        <v>3.0</v>
      </c>
      <c r="B704" s="19" t="s">
        <v>2553</v>
      </c>
      <c r="C704" s="20">
        <v>252086.0</v>
      </c>
      <c r="D704" s="19" t="s">
        <v>104</v>
      </c>
      <c r="E704" s="20" t="s">
        <v>28</v>
      </c>
      <c r="F704" s="59">
        <v>0.5208333333333334</v>
      </c>
      <c r="G704" s="20"/>
    </row>
    <row r="705" spans="8:8" ht="41.25" customHeight="1">
      <c r="A705" s="20">
        <v>4.0</v>
      </c>
      <c r="B705" s="19" t="s">
        <v>2554</v>
      </c>
      <c r="C705" s="20">
        <v>252083.0</v>
      </c>
      <c r="D705" s="19" t="s">
        <v>104</v>
      </c>
      <c r="E705" s="20" t="s">
        <v>28</v>
      </c>
      <c r="F705" s="59">
        <v>0.5208333333333334</v>
      </c>
      <c r="G705" s="20"/>
    </row>
    <row r="706" spans="8:8" ht="41.25" customHeight="1">
      <c r="A706" s="24">
        <v>5.0</v>
      </c>
      <c r="B706" s="19" t="s">
        <v>2555</v>
      </c>
      <c r="C706" s="20">
        <v>252085.0</v>
      </c>
      <c r="D706" s="19" t="s">
        <v>104</v>
      </c>
      <c r="E706" s="20" t="s">
        <v>28</v>
      </c>
      <c r="F706" s="59">
        <v>0.5208333333333334</v>
      </c>
      <c r="G706" s="20"/>
    </row>
    <row r="707" spans="8:8" ht="41.25" customHeight="1">
      <c r="A707" s="20">
        <v>6.0</v>
      </c>
      <c r="B707" s="19" t="s">
        <v>2556</v>
      </c>
      <c r="C707" s="20">
        <v>252075.0</v>
      </c>
      <c r="D707" s="19" t="s">
        <v>104</v>
      </c>
      <c r="E707" s="20" t="s">
        <v>28</v>
      </c>
      <c r="F707" s="59">
        <v>0.5208333333333334</v>
      </c>
      <c r="G707" s="20"/>
    </row>
    <row r="708" spans="8:8" ht="41.25" customHeight="1">
      <c r="A708" s="24">
        <v>7.0</v>
      </c>
      <c r="B708" s="19" t="s">
        <v>2557</v>
      </c>
      <c r="C708" s="20">
        <v>252105.0</v>
      </c>
      <c r="D708" s="19" t="s">
        <v>104</v>
      </c>
      <c r="E708" s="20" t="s">
        <v>28</v>
      </c>
      <c r="F708" s="59">
        <v>0.5208333333333334</v>
      </c>
      <c r="G708" s="20"/>
    </row>
    <row r="709" spans="8:8" ht="41.25" customHeight="1">
      <c r="A709" s="20">
        <v>8.0</v>
      </c>
      <c r="B709" s="19" t="s">
        <v>2558</v>
      </c>
      <c r="C709" s="20">
        <v>252112.0</v>
      </c>
      <c r="D709" s="19" t="s">
        <v>104</v>
      </c>
      <c r="E709" s="20" t="s">
        <v>28</v>
      </c>
      <c r="F709" s="59">
        <v>0.5208333333333334</v>
      </c>
      <c r="G709" s="20"/>
    </row>
    <row r="710" spans="8:8" ht="41.25" customHeight="1">
      <c r="A710" s="24">
        <v>9.0</v>
      </c>
      <c r="B710" s="19" t="s">
        <v>2559</v>
      </c>
      <c r="C710" s="20">
        <v>252079.0</v>
      </c>
      <c r="D710" s="19" t="s">
        <v>104</v>
      </c>
      <c r="E710" s="20" t="s">
        <v>28</v>
      </c>
      <c r="F710" s="59">
        <v>0.5208333333333334</v>
      </c>
      <c r="G710" s="20"/>
    </row>
    <row r="711" spans="8:8" ht="41.25" customHeight="1">
      <c r="A711" s="20">
        <v>10.0</v>
      </c>
      <c r="B711" s="19" t="s">
        <v>2560</v>
      </c>
      <c r="C711" s="20">
        <v>251898.0</v>
      </c>
      <c r="D711" s="19" t="s">
        <v>104</v>
      </c>
      <c r="E711" s="20" t="s">
        <v>28</v>
      </c>
      <c r="F711" s="59">
        <v>0.5208333333333334</v>
      </c>
      <c r="G711" s="20"/>
    </row>
    <row r="712" spans="8:8" ht="41.25" customHeight="1">
      <c r="A712" s="24">
        <v>11.0</v>
      </c>
      <c r="B712" s="19" t="s">
        <v>2561</v>
      </c>
      <c r="C712" s="20">
        <v>251876.0</v>
      </c>
      <c r="D712" s="19" t="s">
        <v>104</v>
      </c>
      <c r="E712" s="20" t="s">
        <v>28</v>
      </c>
      <c r="F712" s="59">
        <v>0.5208333333333334</v>
      </c>
      <c r="G712" s="20"/>
    </row>
    <row r="713" spans="8:8" ht="41.25" customHeight="1">
      <c r="A713" s="20">
        <v>12.0</v>
      </c>
      <c r="B713" s="19" t="s">
        <v>2562</v>
      </c>
      <c r="C713" s="20">
        <v>251897.0</v>
      </c>
      <c r="D713" s="19" t="s">
        <v>104</v>
      </c>
      <c r="E713" s="20" t="s">
        <v>28</v>
      </c>
      <c r="F713" s="59">
        <v>0.5208333333333334</v>
      </c>
      <c r="G713" s="20"/>
    </row>
    <row r="714" spans="8:8" ht="41.25" customHeight="1">
      <c r="A714" s="24">
        <v>13.0</v>
      </c>
      <c r="B714" s="19" t="s">
        <v>2563</v>
      </c>
      <c r="C714" s="20">
        <v>251849.0</v>
      </c>
      <c r="D714" s="19" t="s">
        <v>104</v>
      </c>
      <c r="E714" s="20" t="s">
        <v>28</v>
      </c>
      <c r="F714" s="59">
        <v>0.5208333333333334</v>
      </c>
      <c r="G714" s="20"/>
    </row>
    <row r="715" spans="8:8" ht="41.25" customHeight="1">
      <c r="A715" s="60" t="s">
        <v>18</v>
      </c>
      <c r="B715" s="60" t="s">
        <v>19</v>
      </c>
      <c r="C715" s="60" t="s">
        <v>1870</v>
      </c>
      <c r="D715" s="60" t="s">
        <v>21</v>
      </c>
      <c r="E715" s="60" t="s">
        <v>22</v>
      </c>
      <c r="F715" s="9" t="s">
        <v>23</v>
      </c>
      <c r="G715" s="60" t="s">
        <v>1948</v>
      </c>
    </row>
    <row r="716" spans="8:8" ht="41.25" customHeight="1">
      <c r="A716" s="24">
        <v>1.0</v>
      </c>
      <c r="B716" s="23" t="s">
        <v>2564</v>
      </c>
      <c r="C716" s="24">
        <v>252465.0</v>
      </c>
      <c r="D716" s="23" t="s">
        <v>104</v>
      </c>
      <c r="E716" s="24" t="s">
        <v>28</v>
      </c>
      <c r="F716" s="61">
        <v>0.5208333333333334</v>
      </c>
      <c r="G716" s="24"/>
    </row>
    <row r="717" spans="8:8" ht="41.25" customHeight="1">
      <c r="A717" s="20">
        <v>2.0</v>
      </c>
      <c r="B717" s="19" t="s">
        <v>2565</v>
      </c>
      <c r="C717" s="20">
        <v>252145.0</v>
      </c>
      <c r="D717" s="19" t="s">
        <v>104</v>
      </c>
      <c r="E717" s="24" t="s">
        <v>28</v>
      </c>
      <c r="F717" s="59">
        <v>0.5208333333333334</v>
      </c>
      <c r="G717" s="13"/>
    </row>
    <row r="718" spans="8:8" ht="41.25" customHeight="1">
      <c r="A718" s="24">
        <v>3.0</v>
      </c>
      <c r="B718" s="19" t="s">
        <v>2566</v>
      </c>
      <c r="C718" s="20">
        <v>252121.0</v>
      </c>
      <c r="D718" s="19" t="s">
        <v>104</v>
      </c>
      <c r="E718" s="20" t="s">
        <v>28</v>
      </c>
      <c r="F718" s="59">
        <v>0.5208333333333334</v>
      </c>
      <c r="G718" s="20"/>
    </row>
    <row r="719" spans="8:8" ht="41.25" customHeight="1">
      <c r="A719" s="20">
        <v>4.0</v>
      </c>
      <c r="B719" s="19" t="s">
        <v>2567</v>
      </c>
      <c r="C719" s="20">
        <v>252114.0</v>
      </c>
      <c r="D719" s="19" t="s">
        <v>104</v>
      </c>
      <c r="E719" s="20" t="s">
        <v>28</v>
      </c>
      <c r="F719" s="59">
        <v>0.5208333333333334</v>
      </c>
      <c r="G719" s="20"/>
    </row>
    <row r="720" spans="8:8" ht="41.25" customHeight="1">
      <c r="A720" s="24">
        <v>5.0</v>
      </c>
      <c r="B720" s="19" t="s">
        <v>2568</v>
      </c>
      <c r="C720" s="20">
        <v>253065.0</v>
      </c>
      <c r="D720" s="19" t="s">
        <v>104</v>
      </c>
      <c r="E720" s="20" t="s">
        <v>28</v>
      </c>
      <c r="F720" s="59">
        <v>0.5208333333333334</v>
      </c>
      <c r="G720" s="20"/>
    </row>
    <row r="721" spans="8:8" ht="41.25" customHeight="1">
      <c r="A721" s="20">
        <v>6.0</v>
      </c>
      <c r="B721" s="19" t="s">
        <v>2569</v>
      </c>
      <c r="C721" s="20">
        <v>252023.0</v>
      </c>
      <c r="D721" s="19" t="s">
        <v>104</v>
      </c>
      <c r="E721" s="20" t="s">
        <v>28</v>
      </c>
      <c r="F721" s="59">
        <v>0.5208333333333334</v>
      </c>
      <c r="G721" s="20"/>
    </row>
    <row r="722" spans="8:8" ht="41.25" customHeight="1">
      <c r="A722" s="24">
        <v>7.0</v>
      </c>
      <c r="B722" s="19" t="s">
        <v>2570</v>
      </c>
      <c r="C722" s="20">
        <v>252132.0</v>
      </c>
      <c r="D722" s="19" t="s">
        <v>104</v>
      </c>
      <c r="E722" s="20" t="s">
        <v>28</v>
      </c>
      <c r="F722" s="59">
        <v>0.5208333333333334</v>
      </c>
      <c r="G722" s="20"/>
    </row>
    <row r="723" spans="8:8" ht="41.25" customHeight="1">
      <c r="A723" s="20">
        <v>8.0</v>
      </c>
      <c r="B723" s="19" t="s">
        <v>2571</v>
      </c>
      <c r="C723" s="20">
        <v>252122.0</v>
      </c>
      <c r="D723" s="19" t="s">
        <v>104</v>
      </c>
      <c r="E723" s="20" t="s">
        <v>28</v>
      </c>
      <c r="F723" s="59">
        <v>0.5208333333333334</v>
      </c>
      <c r="G723" s="20"/>
    </row>
    <row r="724" spans="8:8" ht="41.25" customHeight="1">
      <c r="A724" s="24">
        <v>9.0</v>
      </c>
      <c r="B724" s="19" t="s">
        <v>2572</v>
      </c>
      <c r="C724" s="20">
        <v>252140.0</v>
      </c>
      <c r="D724" s="19" t="s">
        <v>104</v>
      </c>
      <c r="E724" s="20" t="s">
        <v>28</v>
      </c>
      <c r="F724" s="59">
        <v>0.5208333333333334</v>
      </c>
      <c r="G724" s="20"/>
    </row>
    <row r="725" spans="8:8" ht="41.25" customHeight="1">
      <c r="A725" s="20">
        <v>10.0</v>
      </c>
      <c r="B725" s="19" t="s">
        <v>2573</v>
      </c>
      <c r="C725" s="20">
        <v>252133.0</v>
      </c>
      <c r="D725" s="19" t="s">
        <v>104</v>
      </c>
      <c r="E725" s="20" t="s">
        <v>28</v>
      </c>
      <c r="F725" s="59">
        <v>0.5208333333333334</v>
      </c>
      <c r="G725" s="20"/>
    </row>
    <row r="726" spans="8:8" ht="41.25" customHeight="1">
      <c r="A726" s="24">
        <v>11.0</v>
      </c>
      <c r="B726" s="19" t="s">
        <v>2574</v>
      </c>
      <c r="C726" s="20">
        <v>252116.0</v>
      </c>
      <c r="D726" s="19" t="s">
        <v>104</v>
      </c>
      <c r="E726" s="20" t="s">
        <v>28</v>
      </c>
      <c r="F726" s="59">
        <v>0.5208333333333334</v>
      </c>
      <c r="G726" s="20"/>
    </row>
    <row r="727" spans="8:8" ht="41.25" customHeight="1">
      <c r="A727" s="20">
        <v>12.0</v>
      </c>
      <c r="B727" s="19" t="s">
        <v>2575</v>
      </c>
      <c r="C727" s="20">
        <v>252119.0</v>
      </c>
      <c r="D727" s="19" t="s">
        <v>104</v>
      </c>
      <c r="E727" s="20" t="s">
        <v>28</v>
      </c>
      <c r="F727" s="59">
        <v>0.5208333333333334</v>
      </c>
      <c r="G727" s="20"/>
    </row>
    <row r="728" spans="8:8" ht="41.25" customHeight="1">
      <c r="A728" s="24">
        <v>13.0</v>
      </c>
      <c r="B728" s="19" t="s">
        <v>2576</v>
      </c>
      <c r="C728" s="20">
        <v>252118.0</v>
      </c>
      <c r="D728" s="19" t="s">
        <v>104</v>
      </c>
      <c r="E728" s="20" t="s">
        <v>28</v>
      </c>
      <c r="F728" s="59">
        <v>0.5208333333333334</v>
      </c>
      <c r="G728" s="20"/>
    </row>
    <row r="729" spans="8:8" ht="41.25" customHeight="1">
      <c r="A729" s="60" t="s">
        <v>18</v>
      </c>
      <c r="B729" s="60" t="s">
        <v>19</v>
      </c>
      <c r="C729" s="60" t="s">
        <v>1870</v>
      </c>
      <c r="D729" s="60" t="s">
        <v>21</v>
      </c>
      <c r="E729" s="60" t="s">
        <v>22</v>
      </c>
      <c r="F729" s="9" t="s">
        <v>23</v>
      </c>
      <c r="G729" s="60" t="s">
        <v>1974</v>
      </c>
    </row>
    <row r="730" spans="8:8" ht="40.5" customHeight="1">
      <c r="A730" s="24">
        <v>1.0</v>
      </c>
      <c r="B730" s="23" t="s">
        <v>2577</v>
      </c>
      <c r="C730" s="24">
        <v>252139.0</v>
      </c>
      <c r="D730" s="23" t="s">
        <v>104</v>
      </c>
      <c r="E730" s="24" t="s">
        <v>28</v>
      </c>
      <c r="F730" s="61">
        <v>0.5208333333333334</v>
      </c>
      <c r="G730" s="24"/>
    </row>
    <row r="731" spans="8:8" ht="41.25" customHeight="1">
      <c r="A731" s="20">
        <v>2.0</v>
      </c>
      <c r="B731" s="19" t="s">
        <v>2578</v>
      </c>
      <c r="C731" s="20">
        <v>252152.0</v>
      </c>
      <c r="D731" s="19" t="s">
        <v>104</v>
      </c>
      <c r="E731" s="20" t="s">
        <v>28</v>
      </c>
      <c r="F731" s="59">
        <v>0.5208333333333334</v>
      </c>
      <c r="G731" s="13"/>
    </row>
    <row r="732" spans="8:8" ht="41.25" customHeight="1">
      <c r="A732" s="24">
        <v>3.0</v>
      </c>
      <c r="B732" s="19" t="s">
        <v>2579</v>
      </c>
      <c r="C732" s="20">
        <v>251912.0</v>
      </c>
      <c r="D732" s="19" t="s">
        <v>104</v>
      </c>
      <c r="E732" s="20" t="s">
        <v>28</v>
      </c>
      <c r="F732" s="59">
        <v>0.5208333333333334</v>
      </c>
      <c r="G732" s="20"/>
    </row>
    <row r="733" spans="8:8" ht="41.25" customHeight="1">
      <c r="A733" s="20">
        <v>4.0</v>
      </c>
      <c r="B733" s="19" t="s">
        <v>2580</v>
      </c>
      <c r="C733" s="20">
        <v>251929.0</v>
      </c>
      <c r="D733" s="19" t="s">
        <v>104</v>
      </c>
      <c r="E733" s="20" t="s">
        <v>28</v>
      </c>
      <c r="F733" s="59">
        <v>0.5208333333333334</v>
      </c>
      <c r="G733" s="20"/>
    </row>
    <row r="734" spans="8:8" ht="41.25" customHeight="1">
      <c r="A734" s="24">
        <v>5.0</v>
      </c>
      <c r="B734" s="19" t="s">
        <v>2581</v>
      </c>
      <c r="C734" s="20">
        <v>251937.0</v>
      </c>
      <c r="D734" s="19" t="s">
        <v>104</v>
      </c>
      <c r="E734" s="20" t="s">
        <v>28</v>
      </c>
      <c r="F734" s="59">
        <v>0.5208333333333334</v>
      </c>
      <c r="G734" s="20"/>
    </row>
    <row r="735" spans="8:8" ht="41.25" customHeight="1">
      <c r="A735" s="20">
        <v>6.0</v>
      </c>
      <c r="B735" s="19" t="s">
        <v>2582</v>
      </c>
      <c r="C735" s="20">
        <v>251816.0</v>
      </c>
      <c r="D735" s="19" t="s">
        <v>104</v>
      </c>
      <c r="E735" s="20" t="s">
        <v>28</v>
      </c>
      <c r="F735" s="59">
        <v>0.5208333333333334</v>
      </c>
      <c r="G735" s="20"/>
    </row>
    <row r="736" spans="8:8" ht="41.25" customHeight="1">
      <c r="A736" s="24">
        <v>7.0</v>
      </c>
      <c r="B736" s="19" t="s">
        <v>2583</v>
      </c>
      <c r="C736" s="20">
        <v>252146.0</v>
      </c>
      <c r="D736" s="19" t="s">
        <v>104</v>
      </c>
      <c r="E736" s="20" t="s">
        <v>28</v>
      </c>
      <c r="F736" s="59">
        <v>0.5208333333333334</v>
      </c>
      <c r="G736" s="20"/>
    </row>
    <row r="737" spans="8:8" ht="41.25" customHeight="1">
      <c r="A737" s="20">
        <v>8.0</v>
      </c>
      <c r="B737" s="19" t="s">
        <v>2584</v>
      </c>
      <c r="C737" s="20">
        <v>252158.0</v>
      </c>
      <c r="D737" s="19" t="s">
        <v>104</v>
      </c>
      <c r="E737" s="20" t="s">
        <v>28</v>
      </c>
      <c r="F737" s="59">
        <v>0.5208333333333334</v>
      </c>
      <c r="G737" s="20"/>
    </row>
    <row r="738" spans="8:8" ht="41.25" customHeight="1">
      <c r="A738" s="24">
        <v>9.0</v>
      </c>
      <c r="B738" s="19" t="s">
        <v>2585</v>
      </c>
      <c r="C738" s="20">
        <v>252891.0</v>
      </c>
      <c r="D738" s="19" t="s">
        <v>104</v>
      </c>
      <c r="E738" s="20" t="s">
        <v>28</v>
      </c>
      <c r="F738" s="59">
        <v>0.5208333333333334</v>
      </c>
      <c r="G738" s="20"/>
    </row>
    <row r="739" spans="8:8" ht="41.25" customHeight="1">
      <c r="A739" s="20">
        <v>10.0</v>
      </c>
      <c r="B739" s="19" t="s">
        <v>2586</v>
      </c>
      <c r="C739" s="20">
        <v>251944.0</v>
      </c>
      <c r="D739" s="19" t="s">
        <v>104</v>
      </c>
      <c r="E739" s="20" t="s">
        <v>28</v>
      </c>
      <c r="F739" s="59">
        <v>0.5208333333333334</v>
      </c>
      <c r="G739" s="20"/>
    </row>
    <row r="740" spans="8:8" ht="41.25" customHeight="1">
      <c r="A740" s="24">
        <v>11.0</v>
      </c>
      <c r="B740" s="19" t="s">
        <v>2587</v>
      </c>
      <c r="C740" s="20">
        <v>251949.0</v>
      </c>
      <c r="D740" s="19" t="s">
        <v>104</v>
      </c>
      <c r="E740" s="20" t="s">
        <v>28</v>
      </c>
      <c r="F740" s="59">
        <v>0.5208333333333334</v>
      </c>
      <c r="G740" s="20"/>
    </row>
    <row r="741" spans="8:8" ht="41.25" customHeight="1">
      <c r="A741" s="20">
        <v>12.0</v>
      </c>
      <c r="B741" s="19" t="s">
        <v>2588</v>
      </c>
      <c r="C741" s="20">
        <v>251958.0</v>
      </c>
      <c r="D741" s="19" t="s">
        <v>104</v>
      </c>
      <c r="E741" s="20" t="s">
        <v>28</v>
      </c>
      <c r="F741" s="59">
        <v>0.5208333333333334</v>
      </c>
      <c r="G741" s="20"/>
    </row>
    <row r="742" spans="8:8" ht="41.25" customHeight="1">
      <c r="A742" s="60" t="s">
        <v>18</v>
      </c>
      <c r="B742" s="60" t="s">
        <v>19</v>
      </c>
      <c r="C742" s="60" t="s">
        <v>1870</v>
      </c>
      <c r="D742" s="60" t="s">
        <v>21</v>
      </c>
      <c r="E742" s="60" t="s">
        <v>22</v>
      </c>
      <c r="F742" s="9" t="s">
        <v>23</v>
      </c>
      <c r="G742" s="60" t="s">
        <v>2000</v>
      </c>
    </row>
    <row r="743" spans="8:8" ht="41.25" customHeight="1">
      <c r="A743" s="24">
        <v>1.0</v>
      </c>
      <c r="B743" s="23" t="s">
        <v>2589</v>
      </c>
      <c r="C743" s="24">
        <v>251963.0</v>
      </c>
      <c r="D743" s="23" t="s">
        <v>104</v>
      </c>
      <c r="E743" s="24" t="s">
        <v>28</v>
      </c>
      <c r="F743" s="61">
        <v>0.5208333333333334</v>
      </c>
      <c r="G743" s="24"/>
    </row>
    <row r="744" spans="8:8" ht="41.25" customHeight="1">
      <c r="A744" s="20">
        <v>2.0</v>
      </c>
      <c r="B744" s="19" t="s">
        <v>2590</v>
      </c>
      <c r="C744" s="20">
        <v>251964.0</v>
      </c>
      <c r="D744" s="19" t="s">
        <v>104</v>
      </c>
      <c r="E744" s="20" t="s">
        <v>28</v>
      </c>
      <c r="F744" s="59">
        <v>0.5208333333333334</v>
      </c>
      <c r="G744" s="13"/>
    </row>
    <row r="745" spans="8:8" ht="41.25" customHeight="1">
      <c r="A745" s="24">
        <v>3.0</v>
      </c>
      <c r="B745" s="19" t="s">
        <v>2591</v>
      </c>
      <c r="C745" s="20">
        <v>251965.0</v>
      </c>
      <c r="D745" s="19" t="s">
        <v>104</v>
      </c>
      <c r="E745" s="20" t="s">
        <v>28</v>
      </c>
      <c r="F745" s="59">
        <v>0.5208333333333334</v>
      </c>
      <c r="G745" s="20"/>
    </row>
    <row r="746" spans="8:8" ht="41.25" customHeight="1">
      <c r="A746" s="20">
        <v>4.0</v>
      </c>
      <c r="B746" s="19" t="s">
        <v>2592</v>
      </c>
      <c r="C746" s="20">
        <v>252388.0</v>
      </c>
      <c r="D746" s="19" t="s">
        <v>104</v>
      </c>
      <c r="E746" s="20" t="s">
        <v>28</v>
      </c>
      <c r="F746" s="59">
        <v>0.5208333333333334</v>
      </c>
      <c r="G746" s="20"/>
    </row>
    <row r="747" spans="8:8" ht="41.25" customHeight="1">
      <c r="A747" s="24">
        <v>5.0</v>
      </c>
      <c r="B747" s="19" t="s">
        <v>2593</v>
      </c>
      <c r="C747" s="20">
        <v>251970.0</v>
      </c>
      <c r="D747" s="19" t="s">
        <v>104</v>
      </c>
      <c r="E747" s="20" t="s">
        <v>28</v>
      </c>
      <c r="F747" s="59">
        <v>0.5208333333333334</v>
      </c>
      <c r="G747" s="20"/>
    </row>
    <row r="748" spans="8:8" ht="41.25" customHeight="1">
      <c r="A748" s="20">
        <v>6.0</v>
      </c>
      <c r="B748" s="19" t="s">
        <v>2594</v>
      </c>
      <c r="C748" s="20">
        <v>251972.0</v>
      </c>
      <c r="D748" s="19" t="s">
        <v>104</v>
      </c>
      <c r="E748" s="20" t="s">
        <v>28</v>
      </c>
      <c r="F748" s="59">
        <v>0.5208333333333334</v>
      </c>
      <c r="G748" s="20"/>
    </row>
    <row r="749" spans="8:8" ht="41.25" customHeight="1">
      <c r="A749" s="24">
        <v>7.0</v>
      </c>
      <c r="B749" s="19" t="s">
        <v>2595</v>
      </c>
      <c r="C749" s="20">
        <v>252160.0</v>
      </c>
      <c r="D749" s="19" t="s">
        <v>104</v>
      </c>
      <c r="E749" s="20" t="s">
        <v>28</v>
      </c>
      <c r="F749" s="59">
        <v>0.5208333333333334</v>
      </c>
      <c r="G749" s="20"/>
    </row>
    <row r="750" spans="8:8" ht="41.25" customHeight="1">
      <c r="A750" s="20">
        <v>8.0</v>
      </c>
      <c r="B750" s="19" t="s">
        <v>2596</v>
      </c>
      <c r="C750" s="20">
        <v>252161.0</v>
      </c>
      <c r="D750" s="19" t="s">
        <v>104</v>
      </c>
      <c r="E750" s="20" t="s">
        <v>28</v>
      </c>
      <c r="F750" s="59">
        <v>0.5208333333333334</v>
      </c>
      <c r="G750" s="20"/>
    </row>
    <row r="751" spans="8:8" ht="41.25" customHeight="1">
      <c r="A751" s="24">
        <v>9.0</v>
      </c>
      <c r="B751" s="19" t="s">
        <v>2597</v>
      </c>
      <c r="C751" s="20">
        <v>252165.0</v>
      </c>
      <c r="D751" s="19" t="s">
        <v>104</v>
      </c>
      <c r="E751" s="20" t="s">
        <v>28</v>
      </c>
      <c r="F751" s="59">
        <v>0.5208333333333334</v>
      </c>
      <c r="G751" s="20"/>
    </row>
    <row r="752" spans="8:8" ht="41.25" customHeight="1">
      <c r="A752" s="20">
        <v>10.0</v>
      </c>
      <c r="B752" s="19" t="s">
        <v>2598</v>
      </c>
      <c r="C752" s="20">
        <v>252171.0</v>
      </c>
      <c r="D752" s="19" t="s">
        <v>104</v>
      </c>
      <c r="E752" s="20" t="s">
        <v>28</v>
      </c>
      <c r="F752" s="59">
        <v>0.5208333333333334</v>
      </c>
      <c r="G752" s="20"/>
    </row>
    <row r="753" spans="8:8" ht="41.25" customHeight="1">
      <c r="A753" s="24">
        <v>11.0</v>
      </c>
      <c r="B753" s="19" t="s">
        <v>2599</v>
      </c>
      <c r="C753" s="20">
        <v>252170.0</v>
      </c>
      <c r="D753" s="19" t="s">
        <v>104</v>
      </c>
      <c r="E753" s="20" t="s">
        <v>28</v>
      </c>
      <c r="F753" s="59">
        <v>0.5208333333333334</v>
      </c>
      <c r="G753" s="20"/>
    </row>
    <row r="754" spans="8:8" ht="41.25" customHeight="1">
      <c r="A754" s="20">
        <v>12.0</v>
      </c>
      <c r="B754" s="19" t="s">
        <v>2600</v>
      </c>
      <c r="C754" s="20">
        <v>252169.0</v>
      </c>
      <c r="D754" s="19" t="s">
        <v>104</v>
      </c>
      <c r="E754" s="20" t="s">
        <v>28</v>
      </c>
      <c r="F754" s="59">
        <v>0.5208333333333334</v>
      </c>
      <c r="G754" s="20"/>
    </row>
    <row r="755" spans="8:8" ht="41.25" customHeight="1">
      <c r="A755" s="24">
        <v>13.0</v>
      </c>
      <c r="B755" s="19" t="s">
        <v>2601</v>
      </c>
      <c r="C755" s="20">
        <v>252172.0</v>
      </c>
      <c r="D755" s="19" t="s">
        <v>104</v>
      </c>
      <c r="E755" s="20" t="s">
        <v>28</v>
      </c>
      <c r="F755" s="59">
        <v>0.5208333333333334</v>
      </c>
      <c r="G755" s="20"/>
    </row>
    <row r="756" spans="8:8" ht="41.25" customHeight="1">
      <c r="A756" s="60" t="s">
        <v>18</v>
      </c>
      <c r="B756" s="60" t="s">
        <v>19</v>
      </c>
      <c r="C756" s="60" t="s">
        <v>1870</v>
      </c>
      <c r="D756" s="60" t="s">
        <v>21</v>
      </c>
      <c r="E756" s="60" t="s">
        <v>22</v>
      </c>
      <c r="F756" s="9" t="s">
        <v>23</v>
      </c>
      <c r="G756" s="60" t="s">
        <v>188</v>
      </c>
    </row>
    <row r="757" spans="8:8" ht="41.25" customHeight="1">
      <c r="A757" s="24">
        <v>1.0</v>
      </c>
      <c r="B757" s="23" t="s">
        <v>2602</v>
      </c>
      <c r="C757" s="24">
        <v>252173.0</v>
      </c>
      <c r="D757" s="23" t="s">
        <v>104</v>
      </c>
      <c r="E757" s="24" t="s">
        <v>28</v>
      </c>
      <c r="F757" s="61">
        <v>0.5208333333333334</v>
      </c>
      <c r="G757" s="24"/>
    </row>
    <row r="758" spans="8:8" ht="41.25" customHeight="1">
      <c r="A758" s="20">
        <v>2.0</v>
      </c>
      <c r="B758" s="19" t="s">
        <v>2603</v>
      </c>
      <c r="C758" s="20">
        <v>252174.0</v>
      </c>
      <c r="D758" s="19" t="s">
        <v>104</v>
      </c>
      <c r="E758" s="20" t="s">
        <v>28</v>
      </c>
      <c r="F758" s="59">
        <v>0.5208333333333334</v>
      </c>
      <c r="G758" s="13"/>
    </row>
    <row r="759" spans="8:8" ht="41.25" customHeight="1">
      <c r="A759" s="24">
        <v>3.0</v>
      </c>
      <c r="B759" s="19" t="s">
        <v>2604</v>
      </c>
      <c r="C759" s="20">
        <v>252175.0</v>
      </c>
      <c r="D759" s="19" t="s">
        <v>104</v>
      </c>
      <c r="E759" s="20" t="s">
        <v>28</v>
      </c>
      <c r="F759" s="59">
        <v>0.5208333333333334</v>
      </c>
      <c r="G759" s="20"/>
    </row>
    <row r="760" spans="8:8" ht="41.25" customHeight="1">
      <c r="A760" s="20">
        <v>4.0</v>
      </c>
      <c r="B760" s="19" t="s">
        <v>2605</v>
      </c>
      <c r="C760" s="20">
        <v>252421.0</v>
      </c>
      <c r="D760" s="19" t="s">
        <v>104</v>
      </c>
      <c r="E760" s="20" t="s">
        <v>28</v>
      </c>
      <c r="F760" s="59">
        <v>0.5208333333333334</v>
      </c>
      <c r="G760" s="20"/>
    </row>
    <row r="761" spans="8:8" ht="41.25" customHeight="1">
      <c r="A761" s="24">
        <v>5.0</v>
      </c>
      <c r="B761" s="19" t="s">
        <v>2606</v>
      </c>
      <c r="C761" s="20">
        <v>252437.0</v>
      </c>
      <c r="D761" s="19" t="s">
        <v>104</v>
      </c>
      <c r="E761" s="20" t="s">
        <v>28</v>
      </c>
      <c r="F761" s="59">
        <v>0.5208333333333334</v>
      </c>
      <c r="G761" s="20"/>
    </row>
    <row r="762" spans="8:8" ht="41.25" customHeight="1">
      <c r="A762" s="20">
        <v>6.0</v>
      </c>
      <c r="B762" s="19" t="s">
        <v>2607</v>
      </c>
      <c r="C762" s="20">
        <v>252438.0</v>
      </c>
      <c r="D762" s="19" t="s">
        <v>104</v>
      </c>
      <c r="E762" s="20" t="s">
        <v>28</v>
      </c>
      <c r="F762" s="59">
        <v>0.5208333333333334</v>
      </c>
      <c r="G762" s="20"/>
    </row>
    <row r="763" spans="8:8" ht="41.25" customHeight="1">
      <c r="A763" s="24">
        <v>7.0</v>
      </c>
      <c r="B763" s="19" t="s">
        <v>2608</v>
      </c>
      <c r="C763" s="20">
        <v>252429.0</v>
      </c>
      <c r="D763" s="19" t="s">
        <v>104</v>
      </c>
      <c r="E763" s="20" t="s">
        <v>28</v>
      </c>
      <c r="F763" s="59">
        <v>0.5208333333333334</v>
      </c>
      <c r="G763" s="20"/>
    </row>
    <row r="764" spans="8:8" ht="41.25" customHeight="1">
      <c r="A764" s="20">
        <v>8.0</v>
      </c>
      <c r="B764" s="19" t="s">
        <v>2609</v>
      </c>
      <c r="C764" s="20">
        <v>252176.0</v>
      </c>
      <c r="D764" s="19" t="s">
        <v>104</v>
      </c>
      <c r="E764" s="20" t="s">
        <v>28</v>
      </c>
      <c r="F764" s="59">
        <v>0.5208333333333334</v>
      </c>
      <c r="G764" s="20"/>
    </row>
    <row r="765" spans="8:8" ht="41.25" customHeight="1">
      <c r="A765" s="24">
        <v>9.0</v>
      </c>
      <c r="B765" s="19" t="s">
        <v>2610</v>
      </c>
      <c r="C765" s="20">
        <v>252189.0</v>
      </c>
      <c r="D765" s="19" t="s">
        <v>104</v>
      </c>
      <c r="E765" s="20" t="s">
        <v>28</v>
      </c>
      <c r="F765" s="59">
        <v>0.5208333333333334</v>
      </c>
      <c r="G765" s="20"/>
    </row>
    <row r="766" spans="8:8" ht="41.25" customHeight="1">
      <c r="A766" s="20">
        <v>10.0</v>
      </c>
      <c r="B766" s="19" t="s">
        <v>2611</v>
      </c>
      <c r="C766" s="20">
        <v>252195.0</v>
      </c>
      <c r="D766" s="19" t="s">
        <v>104</v>
      </c>
      <c r="E766" s="20" t="s">
        <v>28</v>
      </c>
      <c r="F766" s="59">
        <v>0.5208333333333334</v>
      </c>
      <c r="G766" s="20"/>
    </row>
    <row r="767" spans="8:8" ht="41.25" customHeight="1">
      <c r="A767" s="24">
        <v>11.0</v>
      </c>
      <c r="B767" s="19" t="s">
        <v>2612</v>
      </c>
      <c r="C767" s="20">
        <v>252299.0</v>
      </c>
      <c r="D767" s="19" t="s">
        <v>104</v>
      </c>
      <c r="E767" s="20" t="s">
        <v>28</v>
      </c>
      <c r="F767" s="59">
        <v>0.5208333333333334</v>
      </c>
      <c r="G767" s="20"/>
    </row>
    <row r="768" spans="8:8" ht="41.25" customHeight="1">
      <c r="A768" s="20">
        <v>12.0</v>
      </c>
      <c r="B768" s="19" t="s">
        <v>2613</v>
      </c>
      <c r="C768" s="20">
        <v>252286.0</v>
      </c>
      <c r="D768" s="19" t="s">
        <v>104</v>
      </c>
      <c r="E768" s="20" t="s">
        <v>28</v>
      </c>
      <c r="F768" s="59">
        <v>0.5208333333333334</v>
      </c>
      <c r="G768" s="20"/>
    </row>
    <row r="769" spans="8:8" ht="41.25" customHeight="1">
      <c r="A769" s="60" t="s">
        <v>18</v>
      </c>
      <c r="B769" s="60" t="s">
        <v>19</v>
      </c>
      <c r="C769" s="60" t="s">
        <v>1870</v>
      </c>
      <c r="D769" s="60" t="s">
        <v>21</v>
      </c>
      <c r="E769" s="60" t="s">
        <v>22</v>
      </c>
      <c r="F769" s="9" t="s">
        <v>23</v>
      </c>
      <c r="G769" s="60" t="s">
        <v>214</v>
      </c>
    </row>
    <row r="770" spans="8:8" ht="41.25" customHeight="1">
      <c r="A770" s="24">
        <v>1.0</v>
      </c>
      <c r="B770" s="23" t="s">
        <v>2614</v>
      </c>
      <c r="C770" s="24">
        <v>252271.0</v>
      </c>
      <c r="D770" s="23" t="s">
        <v>104</v>
      </c>
      <c r="E770" s="24" t="s">
        <v>28</v>
      </c>
      <c r="F770" s="61">
        <v>0.5208333333333334</v>
      </c>
      <c r="G770" s="24"/>
    </row>
    <row r="771" spans="8:8" ht="41.25" customHeight="1">
      <c r="A771" s="20">
        <v>2.0</v>
      </c>
      <c r="B771" s="19" t="s">
        <v>2615</v>
      </c>
      <c r="C771" s="20">
        <v>252249.0</v>
      </c>
      <c r="D771" s="19" t="s">
        <v>104</v>
      </c>
      <c r="E771" s="20" t="s">
        <v>28</v>
      </c>
      <c r="F771" s="59">
        <v>0.5208333333333334</v>
      </c>
      <c r="G771" s="13"/>
    </row>
    <row r="772" spans="8:8" ht="41.25" customHeight="1">
      <c r="A772" s="24">
        <v>3.0</v>
      </c>
      <c r="B772" s="19" t="s">
        <v>2616</v>
      </c>
      <c r="C772" s="20">
        <v>252254.0</v>
      </c>
      <c r="D772" s="19" t="s">
        <v>104</v>
      </c>
      <c r="E772" s="20" t="s">
        <v>28</v>
      </c>
      <c r="F772" s="59">
        <v>0.5208333333333334</v>
      </c>
      <c r="G772" s="20"/>
    </row>
    <row r="773" spans="8:8" ht="41.25" customHeight="1">
      <c r="A773" s="20">
        <v>4.0</v>
      </c>
      <c r="B773" s="19" t="s">
        <v>2617</v>
      </c>
      <c r="C773" s="20">
        <v>252285.0</v>
      </c>
      <c r="D773" s="19" t="s">
        <v>104</v>
      </c>
      <c r="E773" s="20" t="s">
        <v>28</v>
      </c>
      <c r="F773" s="59">
        <v>0.5208333333333334</v>
      </c>
      <c r="G773" s="20"/>
    </row>
    <row r="774" spans="8:8" ht="41.25" customHeight="1">
      <c r="A774" s="24">
        <v>5.0</v>
      </c>
      <c r="B774" s="19" t="s">
        <v>2618</v>
      </c>
      <c r="C774" s="20">
        <v>252279.0</v>
      </c>
      <c r="D774" s="19" t="s">
        <v>104</v>
      </c>
      <c r="E774" s="20" t="s">
        <v>28</v>
      </c>
      <c r="F774" s="59">
        <v>0.5208333333333334</v>
      </c>
      <c r="G774" s="20"/>
    </row>
    <row r="775" spans="8:8" ht="41.25" customHeight="1">
      <c r="A775" s="20">
        <v>6.0</v>
      </c>
      <c r="B775" s="19" t="s">
        <v>2619</v>
      </c>
      <c r="C775" s="20">
        <v>252255.0</v>
      </c>
      <c r="D775" s="19" t="s">
        <v>104</v>
      </c>
      <c r="E775" s="20" t="s">
        <v>28</v>
      </c>
      <c r="F775" s="59">
        <v>0.5208333333333334</v>
      </c>
      <c r="G775" s="20"/>
    </row>
    <row r="776" spans="8:8" ht="41.25" customHeight="1">
      <c r="A776" s="24">
        <v>7.0</v>
      </c>
      <c r="B776" s="19" t="s">
        <v>2620</v>
      </c>
      <c r="C776" s="20">
        <v>252243.0</v>
      </c>
      <c r="D776" s="19" t="s">
        <v>104</v>
      </c>
      <c r="E776" s="20" t="s">
        <v>28</v>
      </c>
      <c r="F776" s="59">
        <v>0.5208333333333334</v>
      </c>
      <c r="G776" s="20"/>
    </row>
    <row r="777" spans="8:8" ht="41.25" customHeight="1">
      <c r="A777" s="20">
        <v>8.0</v>
      </c>
      <c r="B777" s="19" t="s">
        <v>2621</v>
      </c>
      <c r="C777" s="20">
        <v>252201.0</v>
      </c>
      <c r="D777" s="19" t="s">
        <v>104</v>
      </c>
      <c r="E777" s="20" t="s">
        <v>28</v>
      </c>
      <c r="F777" s="59">
        <v>0.5208333333333334</v>
      </c>
      <c r="G777" s="20"/>
    </row>
    <row r="778" spans="8:8" ht="41.25" customHeight="1">
      <c r="A778" s="24">
        <v>9.0</v>
      </c>
      <c r="B778" s="19" t="s">
        <v>2622</v>
      </c>
      <c r="C778" s="20">
        <v>252197.0</v>
      </c>
      <c r="D778" s="19" t="s">
        <v>104</v>
      </c>
      <c r="E778" s="20" t="s">
        <v>28</v>
      </c>
      <c r="F778" s="59">
        <v>0.5208333333333334</v>
      </c>
      <c r="G778" s="20"/>
    </row>
    <row r="779" spans="8:8" ht="41.25" customHeight="1">
      <c r="A779" s="20">
        <v>10.0</v>
      </c>
      <c r="B779" s="19" t="s">
        <v>2623</v>
      </c>
      <c r="C779" s="20">
        <v>252288.0</v>
      </c>
      <c r="D779" s="19" t="s">
        <v>104</v>
      </c>
      <c r="E779" s="20" t="s">
        <v>28</v>
      </c>
      <c r="F779" s="59">
        <v>0.5208333333333334</v>
      </c>
      <c r="G779" s="20"/>
    </row>
    <row r="780" spans="8:8" ht="41.25" customHeight="1">
      <c r="A780" s="24">
        <v>11.0</v>
      </c>
      <c r="B780" s="19" t="s">
        <v>2624</v>
      </c>
      <c r="C780" s="20">
        <v>252237.0</v>
      </c>
      <c r="D780" s="19" t="s">
        <v>104</v>
      </c>
      <c r="E780" s="20" t="s">
        <v>28</v>
      </c>
      <c r="F780" s="59">
        <v>0.5208333333333334</v>
      </c>
      <c r="G780" s="20"/>
    </row>
    <row r="781" spans="8:8" ht="41.25" customHeight="1">
      <c r="A781" s="20">
        <v>12.0</v>
      </c>
      <c r="B781" s="19" t="s">
        <v>2625</v>
      </c>
      <c r="C781" s="20">
        <v>252260.0</v>
      </c>
      <c r="D781" s="19" t="s">
        <v>104</v>
      </c>
      <c r="E781" s="20" t="s">
        <v>28</v>
      </c>
      <c r="F781" s="59">
        <v>0.5208333333333334</v>
      </c>
      <c r="G781" s="20"/>
    </row>
    <row r="782" spans="8:8" ht="41.25" customHeight="1">
      <c r="A782" s="24">
        <v>13.0</v>
      </c>
      <c r="B782" s="19" t="s">
        <v>2626</v>
      </c>
      <c r="C782" s="20">
        <v>252264.0</v>
      </c>
      <c r="D782" s="19" t="s">
        <v>104</v>
      </c>
      <c r="E782" s="20" t="s">
        <v>28</v>
      </c>
      <c r="F782" s="59">
        <v>0.5208333333333334</v>
      </c>
      <c r="G782" s="20"/>
    </row>
    <row r="783" spans="8:8" ht="41.25" customHeight="1">
      <c r="A783" s="20">
        <v>14.0</v>
      </c>
      <c r="B783" s="19" t="s">
        <v>2627</v>
      </c>
      <c r="C783" s="20">
        <v>252267.0</v>
      </c>
      <c r="D783" s="19" t="s">
        <v>104</v>
      </c>
      <c r="E783" s="20" t="s">
        <v>28</v>
      </c>
      <c r="F783" s="59">
        <v>0.5208333333333334</v>
      </c>
      <c r="G783" s="20"/>
    </row>
    <row r="784" spans="8:8" ht="41.25" customHeight="1">
      <c r="A784" s="24">
        <v>15.0</v>
      </c>
      <c r="B784" s="19" t="s">
        <v>2628</v>
      </c>
      <c r="C784" s="20">
        <v>252239.0</v>
      </c>
      <c r="D784" s="19" t="s">
        <v>104</v>
      </c>
      <c r="E784" s="20" t="s">
        <v>28</v>
      </c>
      <c r="F784" s="59">
        <v>0.5208333333333334</v>
      </c>
      <c r="G784" s="20"/>
    </row>
    <row r="785" spans="8:8" ht="41.25" customHeight="1">
      <c r="A785" s="20">
        <v>16.0</v>
      </c>
      <c r="B785" s="19" t="s">
        <v>2629</v>
      </c>
      <c r="C785" s="20">
        <v>252253.0</v>
      </c>
      <c r="D785" s="19" t="s">
        <v>104</v>
      </c>
      <c r="E785" s="20" t="s">
        <v>28</v>
      </c>
      <c r="F785" s="59">
        <v>0.5208333333333334</v>
      </c>
      <c r="G785" s="20"/>
    </row>
    <row r="786" spans="8:8" ht="41.25" customHeight="1">
      <c r="A786" s="24">
        <v>17.0</v>
      </c>
      <c r="B786" s="19" t="s">
        <v>2630</v>
      </c>
      <c r="C786" s="20">
        <v>252188.0</v>
      </c>
      <c r="D786" s="19" t="s">
        <v>104</v>
      </c>
      <c r="E786" s="24" t="s">
        <v>28</v>
      </c>
      <c r="F786" s="59">
        <v>0.5208333333333334</v>
      </c>
      <c r="G786" s="24"/>
    </row>
    <row r="787" spans="8:8" ht="41.25" customHeight="1">
      <c r="A787" s="20">
        <v>18.0</v>
      </c>
      <c r="B787" s="72" t="s">
        <v>2631</v>
      </c>
      <c r="C787" s="73">
        <v>252297.0</v>
      </c>
      <c r="D787" s="72" t="s">
        <v>104</v>
      </c>
      <c r="E787" s="73" t="s">
        <v>28</v>
      </c>
      <c r="F787" s="59">
        <v>0.5208333333333334</v>
      </c>
      <c r="G787" s="73"/>
    </row>
    <row r="788" spans="8:8" ht="41.25" customHeight="1">
      <c r="A788" s="24">
        <v>19.0</v>
      </c>
      <c r="B788" s="19" t="s">
        <v>2632</v>
      </c>
      <c r="C788" s="20">
        <v>252215.0</v>
      </c>
      <c r="D788" s="19" t="s">
        <v>104</v>
      </c>
      <c r="E788" s="20" t="s">
        <v>28</v>
      </c>
      <c r="F788" s="59">
        <v>0.5208333333333334</v>
      </c>
      <c r="G788" s="20"/>
    </row>
    <row r="789" spans="8:8" ht="41.25" customHeight="1">
      <c r="A789" s="20">
        <v>20.0</v>
      </c>
      <c r="B789" s="19" t="s">
        <v>2633</v>
      </c>
      <c r="C789" s="20">
        <v>252273.0</v>
      </c>
      <c r="D789" s="19" t="s">
        <v>104</v>
      </c>
      <c r="E789" s="20" t="s">
        <v>28</v>
      </c>
      <c r="F789" s="59">
        <v>0.5208333333333334</v>
      </c>
      <c r="G789" s="20"/>
    </row>
    <row r="790" spans="8:8" ht="41.25" customHeight="1">
      <c r="A790" s="24">
        <v>21.0</v>
      </c>
      <c r="B790" s="19" t="s">
        <v>2634</v>
      </c>
      <c r="C790" s="20">
        <v>252216.0</v>
      </c>
      <c r="D790" s="19" t="s">
        <v>104</v>
      </c>
      <c r="E790" s="20" t="s">
        <v>28</v>
      </c>
      <c r="F790" s="59">
        <v>0.5208333333333334</v>
      </c>
      <c r="G790" s="20"/>
    </row>
    <row r="791" spans="8:8" ht="41.25" customHeight="1">
      <c r="A791" s="20">
        <v>22.0</v>
      </c>
      <c r="B791" s="19" t="s">
        <v>2635</v>
      </c>
      <c r="C791" s="20">
        <v>252258.0</v>
      </c>
      <c r="D791" s="19" t="s">
        <v>104</v>
      </c>
      <c r="E791" s="20" t="s">
        <v>28</v>
      </c>
      <c r="F791" s="59">
        <v>0.5208333333333334</v>
      </c>
      <c r="G791" s="20"/>
    </row>
    <row r="792" spans="8:8" ht="41.25" customHeight="1">
      <c r="A792" s="24">
        <v>23.0</v>
      </c>
      <c r="B792" s="19" t="s">
        <v>2636</v>
      </c>
      <c r="C792" s="20">
        <v>252295.0</v>
      </c>
      <c r="D792" s="19" t="s">
        <v>104</v>
      </c>
      <c r="E792" s="20" t="s">
        <v>28</v>
      </c>
      <c r="F792" s="59">
        <v>0.5208333333333334</v>
      </c>
      <c r="G792" s="20"/>
    </row>
    <row r="793" spans="8:8" ht="41.25" customHeight="1">
      <c r="A793" s="20">
        <v>24.0</v>
      </c>
      <c r="B793" s="19" t="s">
        <v>2637</v>
      </c>
      <c r="C793" s="20">
        <v>252275.0</v>
      </c>
      <c r="D793" s="19" t="s">
        <v>104</v>
      </c>
      <c r="E793" s="20" t="s">
        <v>28</v>
      </c>
      <c r="F793" s="59">
        <v>0.5208333333333334</v>
      </c>
      <c r="G793" s="20"/>
    </row>
    <row r="794" spans="8:8" ht="41.25" customHeight="1">
      <c r="A794" s="24">
        <v>25.0</v>
      </c>
      <c r="B794" s="19" t="s">
        <v>2638</v>
      </c>
      <c r="C794" s="20">
        <v>252252.0</v>
      </c>
      <c r="D794" s="19" t="s">
        <v>104</v>
      </c>
      <c r="E794" s="20" t="s">
        <v>28</v>
      </c>
      <c r="F794" s="59">
        <v>0.5208333333333334</v>
      </c>
      <c r="G794" s="20"/>
    </row>
    <row r="795" spans="8:8" ht="41.25" customHeight="1">
      <c r="A795" s="60" t="s">
        <v>18</v>
      </c>
      <c r="B795" s="60" t="s">
        <v>19</v>
      </c>
      <c r="C795" s="60" t="s">
        <v>1870</v>
      </c>
      <c r="D795" s="60" t="s">
        <v>21</v>
      </c>
      <c r="E795" s="60" t="s">
        <v>22</v>
      </c>
      <c r="F795" s="9" t="s">
        <v>23</v>
      </c>
      <c r="G795" s="60" t="s">
        <v>239</v>
      </c>
    </row>
    <row r="796" spans="8:8" ht="41.25" customHeight="1">
      <c r="A796" s="24">
        <v>1.0</v>
      </c>
      <c r="B796" s="23" t="s">
        <v>2639</v>
      </c>
      <c r="C796" s="24">
        <v>252292.0</v>
      </c>
      <c r="D796" s="23" t="s">
        <v>104</v>
      </c>
      <c r="E796" s="24" t="s">
        <v>28</v>
      </c>
      <c r="F796" s="61">
        <v>0.5208333333333334</v>
      </c>
      <c r="G796" s="24"/>
    </row>
    <row r="797" spans="8:8" ht="41.25" customHeight="1">
      <c r="A797" s="20">
        <v>2.0</v>
      </c>
      <c r="B797" s="19" t="s">
        <v>2640</v>
      </c>
      <c r="C797" s="20">
        <v>252293.0</v>
      </c>
      <c r="D797" s="19" t="s">
        <v>104</v>
      </c>
      <c r="E797" s="20" t="s">
        <v>28</v>
      </c>
      <c r="F797" s="59">
        <v>0.5208333333333334</v>
      </c>
      <c r="G797" s="13"/>
    </row>
    <row r="798" spans="8:8" ht="41.25" customHeight="1">
      <c r="A798" s="24">
        <v>3.0</v>
      </c>
      <c r="B798" s="19" t="s">
        <v>2641</v>
      </c>
      <c r="C798" s="20">
        <v>252298.0</v>
      </c>
      <c r="D798" s="19" t="s">
        <v>104</v>
      </c>
      <c r="E798" s="20" t="s">
        <v>28</v>
      </c>
      <c r="F798" s="59">
        <v>0.5208333333333334</v>
      </c>
      <c r="G798" s="20"/>
    </row>
    <row r="799" spans="8:8" ht="41.25" customHeight="1">
      <c r="A799" s="20">
        <v>4.0</v>
      </c>
      <c r="B799" s="19" t="s">
        <v>2642</v>
      </c>
      <c r="C799" s="20">
        <v>252229.0</v>
      </c>
      <c r="D799" s="19" t="s">
        <v>104</v>
      </c>
      <c r="E799" s="20" t="s">
        <v>28</v>
      </c>
      <c r="F799" s="59">
        <v>0.5208333333333334</v>
      </c>
      <c r="G799" s="20"/>
    </row>
    <row r="800" spans="8:8" ht="41.25" customHeight="1">
      <c r="A800" s="24">
        <v>5.0</v>
      </c>
      <c r="B800" s="19" t="s">
        <v>2643</v>
      </c>
      <c r="C800" s="20">
        <v>252263.0</v>
      </c>
      <c r="D800" s="19" t="s">
        <v>104</v>
      </c>
      <c r="E800" s="24" t="s">
        <v>28</v>
      </c>
      <c r="F800" s="59">
        <v>0.5208333333333334</v>
      </c>
      <c r="G800" s="24"/>
    </row>
    <row r="801" spans="8:8" ht="41.25" customHeight="1">
      <c r="A801" s="20">
        <v>6.0</v>
      </c>
      <c r="B801" s="19" t="s">
        <v>2644</v>
      </c>
      <c r="C801" s="20">
        <v>252296.0</v>
      </c>
      <c r="D801" s="19" t="s">
        <v>104</v>
      </c>
      <c r="E801" s="20" t="s">
        <v>28</v>
      </c>
      <c r="F801" s="59">
        <v>0.5208333333333334</v>
      </c>
      <c r="G801" s="20"/>
    </row>
    <row r="802" spans="8:8" ht="41.25" customHeight="1">
      <c r="A802" s="24">
        <v>7.0</v>
      </c>
      <c r="B802" s="19" t="s">
        <v>2645</v>
      </c>
      <c r="C802" s="20">
        <v>252266.0</v>
      </c>
      <c r="D802" s="19" t="s">
        <v>104</v>
      </c>
      <c r="E802" s="20" t="s">
        <v>28</v>
      </c>
      <c r="F802" s="59">
        <v>0.5208333333333334</v>
      </c>
      <c r="G802" s="20"/>
    </row>
    <row r="803" spans="8:8" ht="41.25" customHeight="1">
      <c r="A803" s="20">
        <v>8.0</v>
      </c>
      <c r="B803" s="19" t="s">
        <v>2646</v>
      </c>
      <c r="C803" s="20">
        <v>252330.0</v>
      </c>
      <c r="D803" s="19" t="s">
        <v>104</v>
      </c>
      <c r="E803" s="20" t="s">
        <v>28</v>
      </c>
      <c r="F803" s="59">
        <v>0.5208333333333334</v>
      </c>
      <c r="G803" s="20"/>
    </row>
    <row r="804" spans="8:8" ht="41.25" customHeight="1">
      <c r="A804" s="24">
        <v>9.0</v>
      </c>
      <c r="B804" s="19" t="s">
        <v>2647</v>
      </c>
      <c r="C804" s="20">
        <v>252315.0</v>
      </c>
      <c r="D804" s="19" t="s">
        <v>104</v>
      </c>
      <c r="E804" s="20" t="s">
        <v>28</v>
      </c>
      <c r="F804" s="59">
        <v>0.5208333333333334</v>
      </c>
      <c r="G804" s="20"/>
    </row>
    <row r="805" spans="8:8" ht="41.25" customHeight="1">
      <c r="A805" s="20">
        <v>10.0</v>
      </c>
      <c r="B805" s="19" t="s">
        <v>2648</v>
      </c>
      <c r="C805" s="20">
        <v>252318.0</v>
      </c>
      <c r="D805" s="19" t="s">
        <v>104</v>
      </c>
      <c r="E805" s="20" t="s">
        <v>28</v>
      </c>
      <c r="F805" s="59">
        <v>0.5208333333333334</v>
      </c>
      <c r="G805" s="20"/>
    </row>
    <row r="806" spans="8:8" ht="41.25" customHeight="1">
      <c r="A806" s="24">
        <v>11.0</v>
      </c>
      <c r="B806" s="19" t="s">
        <v>2649</v>
      </c>
      <c r="C806" s="20">
        <v>252301.0</v>
      </c>
      <c r="D806" s="19" t="s">
        <v>104</v>
      </c>
      <c r="E806" s="20" t="s">
        <v>28</v>
      </c>
      <c r="F806" s="59">
        <v>0.5208333333333334</v>
      </c>
      <c r="G806" s="20"/>
    </row>
    <row r="807" spans="8:8" ht="41.25" customHeight="1">
      <c r="A807" s="20">
        <v>12.0</v>
      </c>
      <c r="B807" s="19" t="s">
        <v>2650</v>
      </c>
      <c r="C807" s="20">
        <v>252328.0</v>
      </c>
      <c r="D807" s="19" t="s">
        <v>104</v>
      </c>
      <c r="E807" s="20" t="s">
        <v>28</v>
      </c>
      <c r="F807" s="59">
        <v>0.5208333333333334</v>
      </c>
      <c r="G807" s="20"/>
    </row>
    <row r="808" spans="8:8" ht="41.25" customHeight="1">
      <c r="A808" s="24">
        <v>13.0</v>
      </c>
      <c r="B808" s="19" t="s">
        <v>2651</v>
      </c>
      <c r="C808" s="20">
        <v>252306.0</v>
      </c>
      <c r="D808" s="19" t="s">
        <v>104</v>
      </c>
      <c r="E808" s="20" t="s">
        <v>28</v>
      </c>
      <c r="F808" s="59">
        <v>0.5208333333333334</v>
      </c>
      <c r="G808" s="20"/>
    </row>
    <row r="809" spans="8:8" ht="41.25" customHeight="1">
      <c r="A809" s="20">
        <v>14.0</v>
      </c>
      <c r="B809" s="19" t="s">
        <v>2652</v>
      </c>
      <c r="C809" s="20">
        <v>252309.0</v>
      </c>
      <c r="D809" s="19" t="s">
        <v>104</v>
      </c>
      <c r="E809" s="20" t="s">
        <v>28</v>
      </c>
      <c r="F809" s="59">
        <v>0.5208333333333334</v>
      </c>
      <c r="G809" s="20"/>
    </row>
    <row r="810" spans="8:8" ht="41.25" customHeight="1">
      <c r="A810" s="24">
        <v>15.0</v>
      </c>
      <c r="B810" s="19" t="s">
        <v>2653</v>
      </c>
      <c r="C810" s="20">
        <v>252324.0</v>
      </c>
      <c r="D810" s="19" t="s">
        <v>104</v>
      </c>
      <c r="E810" s="20" t="s">
        <v>28</v>
      </c>
      <c r="F810" s="59">
        <v>0.5208333333333334</v>
      </c>
      <c r="G810" s="20"/>
    </row>
    <row r="811" spans="8:8" ht="41.25" customHeight="1">
      <c r="A811" s="20">
        <v>16.0</v>
      </c>
      <c r="B811" s="19" t="s">
        <v>2654</v>
      </c>
      <c r="C811" s="20">
        <v>252633.0</v>
      </c>
      <c r="D811" s="19" t="s">
        <v>90</v>
      </c>
      <c r="E811" s="24" t="s">
        <v>28</v>
      </c>
      <c r="F811" s="59">
        <v>0.5208333333333334</v>
      </c>
      <c r="G811" s="24"/>
    </row>
    <row r="812" spans="8:8" ht="41.25" customHeight="1">
      <c r="A812" s="24">
        <v>17.0</v>
      </c>
      <c r="B812" s="19" t="s">
        <v>2655</v>
      </c>
      <c r="C812" s="20">
        <v>251868.0</v>
      </c>
      <c r="D812" s="33" t="s">
        <v>104</v>
      </c>
      <c r="E812" s="20" t="s">
        <v>28</v>
      </c>
      <c r="F812" s="59">
        <v>0.5208333333333334</v>
      </c>
      <c r="G812" s="20"/>
    </row>
    <row r="813" spans="8:8" ht="41.25" customHeight="1">
      <c r="A813" s="20">
        <v>18.0</v>
      </c>
      <c r="B813" s="19" t="s">
        <v>2656</v>
      </c>
      <c r="C813" s="20">
        <v>252312.0</v>
      </c>
      <c r="D813" s="19" t="s">
        <v>104</v>
      </c>
      <c r="E813" s="20" t="s">
        <v>28</v>
      </c>
      <c r="F813" s="59">
        <v>0.5208333333333334</v>
      </c>
      <c r="G813" s="20"/>
    </row>
    <row r="814" spans="8:8" ht="41.25" customHeight="1">
      <c r="A814" s="24">
        <v>19.0</v>
      </c>
      <c r="B814" s="19" t="s">
        <v>2657</v>
      </c>
      <c r="C814" s="20">
        <v>252308.0</v>
      </c>
      <c r="D814" s="19" t="s">
        <v>104</v>
      </c>
      <c r="E814" s="20" t="s">
        <v>28</v>
      </c>
      <c r="F814" s="59">
        <v>0.5208333333333334</v>
      </c>
      <c r="G814" s="20"/>
    </row>
    <row r="815" spans="8:8" ht="41.25" customHeight="1">
      <c r="A815" s="20">
        <v>20.0</v>
      </c>
      <c r="B815" s="19" t="s">
        <v>2658</v>
      </c>
      <c r="C815" s="20">
        <v>252329.0</v>
      </c>
      <c r="D815" s="19" t="s">
        <v>104</v>
      </c>
      <c r="E815" s="20" t="s">
        <v>28</v>
      </c>
      <c r="F815" s="59">
        <v>0.5208333333333334</v>
      </c>
      <c r="G815" s="20"/>
    </row>
    <row r="816" spans="8:8" ht="41.25" customHeight="1">
      <c r="A816" s="24">
        <v>21.0</v>
      </c>
      <c r="B816" s="19" t="s">
        <v>2659</v>
      </c>
      <c r="C816" s="20">
        <v>252321.0</v>
      </c>
      <c r="D816" s="19" t="s">
        <v>104</v>
      </c>
      <c r="E816" s="20" t="s">
        <v>28</v>
      </c>
      <c r="F816" s="59">
        <v>0.5208333333333334</v>
      </c>
      <c r="G816" s="20"/>
    </row>
    <row r="817" spans="8:8" ht="41.25" customHeight="1">
      <c r="A817" s="20">
        <v>22.0</v>
      </c>
      <c r="B817" s="19" t="s">
        <v>2660</v>
      </c>
      <c r="C817" s="20">
        <v>252304.0</v>
      </c>
      <c r="D817" s="19" t="s">
        <v>104</v>
      </c>
      <c r="E817" s="20" t="s">
        <v>28</v>
      </c>
      <c r="F817" s="59">
        <v>0.5208333333333334</v>
      </c>
      <c r="G817" s="20"/>
    </row>
    <row r="818" spans="8:8" ht="41.25" customHeight="1">
      <c r="A818" s="24">
        <v>23.0</v>
      </c>
      <c r="B818" s="19" t="s">
        <v>2661</v>
      </c>
      <c r="C818" s="20">
        <v>252305.0</v>
      </c>
      <c r="D818" s="19" t="s">
        <v>104</v>
      </c>
      <c r="E818" s="20" t="s">
        <v>28</v>
      </c>
      <c r="F818" s="59">
        <v>0.5208333333333334</v>
      </c>
      <c r="G818" s="20"/>
    </row>
    <row r="819" spans="8:8" ht="41.25" customHeight="1">
      <c r="A819" s="20">
        <v>24.0</v>
      </c>
      <c r="B819" s="19" t="s">
        <v>2662</v>
      </c>
      <c r="C819" s="20">
        <v>252332.0</v>
      </c>
      <c r="D819" s="19" t="s">
        <v>104</v>
      </c>
      <c r="E819" s="20" t="s">
        <v>28</v>
      </c>
      <c r="F819" s="59">
        <v>0.5208333333333334</v>
      </c>
      <c r="G819" s="20"/>
    </row>
    <row r="820" spans="8:8" ht="41.25" customHeight="1">
      <c r="A820" s="24">
        <v>25.0</v>
      </c>
      <c r="B820" s="19" t="s">
        <v>2663</v>
      </c>
      <c r="C820" s="20">
        <v>252335.0</v>
      </c>
      <c r="D820" s="19" t="s">
        <v>104</v>
      </c>
      <c r="E820" s="20" t="s">
        <v>28</v>
      </c>
      <c r="F820" s="59">
        <v>0.5208333333333334</v>
      </c>
      <c r="G820" s="20"/>
    </row>
    <row r="821" spans="8:8" ht="41.25" customHeight="1">
      <c r="A821" s="60" t="s">
        <v>18</v>
      </c>
      <c r="B821" s="60" t="s">
        <v>19</v>
      </c>
      <c r="C821" s="60" t="s">
        <v>1870</v>
      </c>
      <c r="D821" s="60" t="s">
        <v>21</v>
      </c>
      <c r="E821" s="60" t="s">
        <v>22</v>
      </c>
      <c r="F821" s="9" t="s">
        <v>23</v>
      </c>
      <c r="G821" s="60" t="s">
        <v>2101</v>
      </c>
    </row>
    <row r="822" spans="8:8" ht="41.25" customHeight="1">
      <c r="A822" s="24">
        <v>1.0</v>
      </c>
      <c r="B822" s="23" t="s">
        <v>2664</v>
      </c>
      <c r="C822" s="24">
        <v>241701.0</v>
      </c>
      <c r="D822" s="23" t="s">
        <v>2665</v>
      </c>
      <c r="E822" s="24" t="s">
        <v>28</v>
      </c>
      <c r="F822" s="61">
        <v>0.5208333333333334</v>
      </c>
      <c r="G822" s="24"/>
    </row>
    <row r="823" spans="8:8" ht="41.25" customHeight="1">
      <c r="A823" s="20">
        <v>2.0</v>
      </c>
      <c r="B823" s="19" t="s">
        <v>2666</v>
      </c>
      <c r="C823" s="20">
        <v>241802.0</v>
      </c>
      <c r="D823" s="19" t="s">
        <v>2665</v>
      </c>
      <c r="E823" s="20" t="s">
        <v>28</v>
      </c>
      <c r="F823" s="59">
        <v>0.5208333333333334</v>
      </c>
      <c r="G823" s="13"/>
    </row>
    <row r="824" spans="8:8" ht="41.25" customHeight="1">
      <c r="A824" s="24">
        <v>3.0</v>
      </c>
      <c r="B824" s="19" t="s">
        <v>2667</v>
      </c>
      <c r="C824" s="20">
        <v>241865.0</v>
      </c>
      <c r="D824" s="19" t="s">
        <v>2665</v>
      </c>
      <c r="E824" s="20" t="s">
        <v>28</v>
      </c>
      <c r="F824" s="59">
        <v>0.5208333333333334</v>
      </c>
      <c r="G824" s="20"/>
    </row>
    <row r="825" spans="8:8" ht="41.25" customHeight="1">
      <c r="A825" s="20">
        <v>4.0</v>
      </c>
      <c r="B825" s="19" t="s">
        <v>2668</v>
      </c>
      <c r="C825" s="20">
        <v>241867.0</v>
      </c>
      <c r="D825" s="19" t="s">
        <v>2665</v>
      </c>
      <c r="E825" s="20" t="s">
        <v>28</v>
      </c>
      <c r="F825" s="59">
        <v>0.5208333333333334</v>
      </c>
      <c r="G825" s="20"/>
    </row>
    <row r="826" spans="8:8" ht="41.25" customHeight="1">
      <c r="A826" s="24">
        <v>5.0</v>
      </c>
      <c r="B826" s="19" t="s">
        <v>2669</v>
      </c>
      <c r="C826" s="20">
        <v>253092.0</v>
      </c>
      <c r="D826" s="19" t="s">
        <v>90</v>
      </c>
      <c r="E826" s="20" t="s">
        <v>28</v>
      </c>
      <c r="F826" s="59">
        <v>0.5208333333333334</v>
      </c>
      <c r="G826" s="20"/>
    </row>
    <row r="827" spans="8:8" ht="41.25" customHeight="1">
      <c r="A827" s="20">
        <v>6.0</v>
      </c>
      <c r="B827" s="19" t="s">
        <v>2670</v>
      </c>
      <c r="C827" s="20">
        <v>252833.0</v>
      </c>
      <c r="D827" s="33" t="s">
        <v>90</v>
      </c>
      <c r="E827" s="20" t="s">
        <v>28</v>
      </c>
      <c r="F827" s="59">
        <v>0.5208333333333334</v>
      </c>
      <c r="G827" s="20"/>
    </row>
    <row r="828" spans="8:8" ht="41.25" customHeight="1">
      <c r="A828" s="24">
        <v>7.0</v>
      </c>
      <c r="B828" s="19" t="s">
        <v>2671</v>
      </c>
      <c r="C828" s="20">
        <v>252142.0</v>
      </c>
      <c r="D828" s="33" t="s">
        <v>104</v>
      </c>
      <c r="E828" s="20" t="s">
        <v>28</v>
      </c>
      <c r="F828" s="59">
        <v>0.5208333333333334</v>
      </c>
      <c r="G828" s="20"/>
    </row>
    <row r="829" spans="8:8" ht="41.25" customHeight="1">
      <c r="A829" s="20">
        <v>8.0</v>
      </c>
      <c r="B829" s="19" t="s">
        <v>2672</v>
      </c>
      <c r="C829" s="20">
        <v>252336.0</v>
      </c>
      <c r="D829" s="19" t="s">
        <v>104</v>
      </c>
      <c r="E829" s="20" t="s">
        <v>28</v>
      </c>
      <c r="F829" s="59">
        <v>0.5208333333333334</v>
      </c>
      <c r="G829" s="20"/>
    </row>
    <row r="830" spans="8:8" ht="41.25" customHeight="1">
      <c r="A830" s="24">
        <v>9.0</v>
      </c>
      <c r="B830" s="23" t="s">
        <v>2673</v>
      </c>
      <c r="C830" s="24">
        <v>252706.0</v>
      </c>
      <c r="D830" s="19" t="s">
        <v>90</v>
      </c>
      <c r="E830" s="20" t="s">
        <v>28</v>
      </c>
      <c r="F830" s="59">
        <v>0.5208333333333334</v>
      </c>
      <c r="G830" s="20"/>
    </row>
    <row r="831" spans="8:8" ht="41.25" customHeight="1">
      <c r="A831" s="20">
        <v>10.0</v>
      </c>
      <c r="B831" s="67" t="s">
        <v>2674</v>
      </c>
      <c r="C831" s="66">
        <v>252980.0</v>
      </c>
      <c r="D831" s="33" t="s">
        <v>90</v>
      </c>
      <c r="E831" s="66" t="s">
        <v>28</v>
      </c>
      <c r="F831" s="61">
        <v>0.5208333333333334</v>
      </c>
      <c r="G831" s="66"/>
    </row>
    <row r="832" spans="8:8" ht="41.25" customHeight="1">
      <c r="A832" s="24">
        <v>11.0</v>
      </c>
      <c r="B832" s="67" t="s">
        <v>2675</v>
      </c>
      <c r="C832" s="66">
        <v>252845.0</v>
      </c>
      <c r="D832" s="33" t="s">
        <v>90</v>
      </c>
      <c r="E832" s="66" t="s">
        <v>28</v>
      </c>
      <c r="F832" s="61">
        <v>0.5208333333333334</v>
      </c>
      <c r="G832" s="66"/>
    </row>
    <row r="833" spans="8:8" ht="41.25" customHeight="1">
      <c r="A833" s="20">
        <v>12.0</v>
      </c>
      <c r="B833" s="67" t="s">
        <v>2676</v>
      </c>
      <c r="C833" s="66">
        <v>252709.0</v>
      </c>
      <c r="D833" s="33" t="s">
        <v>90</v>
      </c>
      <c r="E833" s="66" t="s">
        <v>28</v>
      </c>
      <c r="F833" s="61">
        <v>0.5208333333333334</v>
      </c>
      <c r="G833" s="66"/>
    </row>
    <row r="834" spans="8:8" ht="41.25" customHeight="1">
      <c r="A834" s="24">
        <v>13.0</v>
      </c>
      <c r="B834" s="67" t="s">
        <v>2677</v>
      </c>
      <c r="C834" s="66">
        <v>252713.0</v>
      </c>
      <c r="D834" s="33" t="s">
        <v>90</v>
      </c>
      <c r="E834" s="66" t="s">
        <v>28</v>
      </c>
      <c r="F834" s="61">
        <v>0.5208333333333334</v>
      </c>
      <c r="G834" s="66"/>
    </row>
    <row r="835" spans="8:8" ht="41.25" customHeight="1">
      <c r="A835" s="20">
        <v>14.0</v>
      </c>
      <c r="B835" s="67" t="s">
        <v>2678</v>
      </c>
      <c r="C835" s="66">
        <v>252999.0</v>
      </c>
      <c r="D835" s="33" t="s">
        <v>90</v>
      </c>
      <c r="E835" s="66" t="s">
        <v>28</v>
      </c>
      <c r="F835" s="61">
        <v>0.5208333333333334</v>
      </c>
      <c r="G835" s="66"/>
    </row>
    <row r="836" spans="8:8" ht="41.25" customHeight="1">
      <c r="A836" s="24">
        <v>15.0</v>
      </c>
      <c r="B836" s="67" t="s">
        <v>2679</v>
      </c>
      <c r="C836" s="66">
        <v>253084.0</v>
      </c>
      <c r="D836" s="33" t="s">
        <v>104</v>
      </c>
      <c r="E836" s="66" t="s">
        <v>28</v>
      </c>
      <c r="F836" s="61">
        <v>0.5208333333333334</v>
      </c>
      <c r="G836" s="66"/>
    </row>
    <row r="837" spans="8:8" ht="41.25" customHeight="1">
      <c r="A837" s="20">
        <v>16.0</v>
      </c>
      <c r="B837" s="67" t="s">
        <v>2680</v>
      </c>
      <c r="C837" s="66">
        <v>253174.0</v>
      </c>
      <c r="D837" s="67" t="s">
        <v>90</v>
      </c>
      <c r="E837" s="66" t="s">
        <v>28</v>
      </c>
      <c r="F837" s="61">
        <v>0.5208333333333334</v>
      </c>
      <c r="G837" s="66"/>
    </row>
    <row r="838" spans="8:8" ht="41.25" customHeight="1">
      <c r="A838" s="24">
        <v>17.0</v>
      </c>
      <c r="B838" s="67" t="s">
        <v>2681</v>
      </c>
      <c r="C838" s="66">
        <v>252558.0</v>
      </c>
      <c r="D838" s="33" t="s">
        <v>90</v>
      </c>
      <c r="E838" s="66" t="s">
        <v>28</v>
      </c>
      <c r="F838" s="61">
        <v>0.5208333333333334</v>
      </c>
      <c r="G838" s="66"/>
    </row>
    <row r="839" spans="8:8" ht="41.25" customHeight="1">
      <c r="A839" s="20">
        <v>18.0</v>
      </c>
      <c r="B839" s="23" t="s">
        <v>2682</v>
      </c>
      <c r="C839" s="24">
        <v>252560.0</v>
      </c>
      <c r="D839" s="33" t="s">
        <v>90</v>
      </c>
      <c r="E839" s="24" t="s">
        <v>28</v>
      </c>
      <c r="F839" s="61">
        <v>0.5208333333333334</v>
      </c>
      <c r="G839" s="24"/>
    </row>
    <row r="840" spans="8:8" ht="41.25" customHeight="1">
      <c r="A840" s="24">
        <v>19.0</v>
      </c>
      <c r="B840" s="23" t="s">
        <v>2683</v>
      </c>
      <c r="C840" s="24">
        <v>252561.0</v>
      </c>
      <c r="D840" s="33" t="s">
        <v>90</v>
      </c>
      <c r="E840" s="24" t="s">
        <v>28</v>
      </c>
      <c r="F840" s="61">
        <v>0.5208333333333334</v>
      </c>
      <c r="G840" s="24"/>
    </row>
    <row r="841" spans="8:8" ht="41.25" customHeight="1">
      <c r="A841" s="20">
        <v>20.0</v>
      </c>
      <c r="B841" s="23" t="s">
        <v>2684</v>
      </c>
      <c r="C841" s="24">
        <v>252570.0</v>
      </c>
      <c r="D841" s="33" t="s">
        <v>90</v>
      </c>
      <c r="E841" s="24" t="s">
        <v>28</v>
      </c>
      <c r="F841" s="61">
        <v>0.5208333333333334</v>
      </c>
      <c r="G841" s="24"/>
    </row>
    <row r="842" spans="8:8" ht="41.25" customHeight="1">
      <c r="A842" s="24">
        <v>21.0</v>
      </c>
      <c r="B842" s="23" t="s">
        <v>2685</v>
      </c>
      <c r="C842" s="24">
        <v>252574.0</v>
      </c>
      <c r="D842" s="33" t="s">
        <v>90</v>
      </c>
      <c r="E842" s="24" t="s">
        <v>28</v>
      </c>
      <c r="F842" s="61">
        <v>0.5208333333333334</v>
      </c>
      <c r="G842" s="24"/>
    </row>
    <row r="843" spans="8:8" ht="41.25" customHeight="1">
      <c r="A843" s="20">
        <v>22.0</v>
      </c>
      <c r="B843" s="23" t="s">
        <v>2686</v>
      </c>
      <c r="C843" s="24">
        <v>252580.0</v>
      </c>
      <c r="D843" s="33" t="s">
        <v>90</v>
      </c>
      <c r="E843" s="24" t="s">
        <v>28</v>
      </c>
      <c r="F843" s="61">
        <v>0.5208333333333334</v>
      </c>
      <c r="G843" s="24"/>
    </row>
    <row r="844" spans="8:8" ht="41.25" customHeight="1">
      <c r="A844" s="24">
        <v>23.0</v>
      </c>
      <c r="B844" s="23" t="s">
        <v>2687</v>
      </c>
      <c r="C844" s="24">
        <v>252572.0</v>
      </c>
      <c r="D844" s="33" t="s">
        <v>90</v>
      </c>
      <c r="E844" s="24" t="s">
        <v>28</v>
      </c>
      <c r="F844" s="61">
        <v>0.5208333333333334</v>
      </c>
      <c r="G844" s="24"/>
    </row>
    <row r="845" spans="8:8" ht="41.25" customHeight="1">
      <c r="A845" s="20">
        <v>24.0</v>
      </c>
      <c r="B845" s="23" t="s">
        <v>2688</v>
      </c>
      <c r="C845" s="24">
        <v>252576.0</v>
      </c>
      <c r="D845" s="33" t="s">
        <v>90</v>
      </c>
      <c r="E845" s="24" t="s">
        <v>28</v>
      </c>
      <c r="F845" s="61">
        <v>0.5208333333333334</v>
      </c>
      <c r="G845" s="24"/>
    </row>
    <row r="846" spans="8:8" ht="41.25" customHeight="1">
      <c r="A846" s="24">
        <v>25.0</v>
      </c>
      <c r="B846" s="23" t="s">
        <v>2689</v>
      </c>
      <c r="C846" s="24">
        <v>252199.0</v>
      </c>
      <c r="D846" s="33" t="s">
        <v>104</v>
      </c>
      <c r="E846" s="24" t="s">
        <v>28</v>
      </c>
      <c r="F846" s="61">
        <v>0.5208333333333334</v>
      </c>
      <c r="G846" s="24"/>
    </row>
    <row r="847" spans="8:8" ht="41.25" customHeight="1">
      <c r="A847" s="60" t="s">
        <v>18</v>
      </c>
      <c r="B847" s="60" t="s">
        <v>19</v>
      </c>
      <c r="C847" s="60" t="s">
        <v>1870</v>
      </c>
      <c r="D847" s="60" t="s">
        <v>21</v>
      </c>
      <c r="E847" s="60" t="s">
        <v>22</v>
      </c>
      <c r="F847" s="9" t="s">
        <v>23</v>
      </c>
      <c r="G847" s="60" t="s">
        <v>2127</v>
      </c>
    </row>
    <row r="848" spans="8:8" ht="41.25" customHeight="1">
      <c r="A848" s="24">
        <v>1.0</v>
      </c>
      <c r="B848" s="23" t="s">
        <v>2690</v>
      </c>
      <c r="C848" s="24">
        <v>251925.0</v>
      </c>
      <c r="D848" s="23" t="s">
        <v>104</v>
      </c>
      <c r="E848" s="24" t="s">
        <v>111</v>
      </c>
      <c r="F848" s="61">
        <v>0.5208333333333334</v>
      </c>
      <c r="G848" s="24"/>
    </row>
    <row r="849" spans="8:8" ht="41.25" customHeight="1">
      <c r="A849" s="20">
        <v>2.0</v>
      </c>
      <c r="B849" s="19" t="s">
        <v>2691</v>
      </c>
      <c r="C849" s="20">
        <v>241877.0</v>
      </c>
      <c r="D849" s="19" t="s">
        <v>2692</v>
      </c>
      <c r="E849" s="20" t="s">
        <v>111</v>
      </c>
      <c r="F849" s="59">
        <v>0.5208333333333334</v>
      </c>
      <c r="G849" s="13"/>
    </row>
    <row r="850" spans="8:8" ht="41.25" customHeight="1">
      <c r="A850" s="24">
        <v>3.0</v>
      </c>
      <c r="B850" s="19" t="s">
        <v>2693</v>
      </c>
      <c r="C850" s="20">
        <v>252030.0</v>
      </c>
      <c r="D850" s="23" t="s">
        <v>104</v>
      </c>
      <c r="E850" s="24" t="s">
        <v>111</v>
      </c>
      <c r="F850" s="59">
        <v>0.5208333333333334</v>
      </c>
      <c r="G850" s="24"/>
    </row>
    <row r="851" spans="8:8" ht="41.25" customHeight="1">
      <c r="A851" s="20">
        <v>4.0</v>
      </c>
      <c r="B851" s="19" t="s">
        <v>2694</v>
      </c>
      <c r="C851" s="20">
        <v>252135.0</v>
      </c>
      <c r="D851" s="19" t="s">
        <v>104</v>
      </c>
      <c r="E851" s="20" t="s">
        <v>111</v>
      </c>
      <c r="F851" s="59">
        <v>0.5208333333333334</v>
      </c>
      <c r="G851" s="20"/>
    </row>
    <row r="852" spans="8:8" ht="41.25" customHeight="1">
      <c r="A852" s="24">
        <v>5.0</v>
      </c>
      <c r="B852" s="19" t="s">
        <v>2695</v>
      </c>
      <c r="C852" s="20">
        <v>252893.0</v>
      </c>
      <c r="D852" s="19" t="s">
        <v>104</v>
      </c>
      <c r="E852" s="20" t="s">
        <v>111</v>
      </c>
      <c r="F852" s="59">
        <v>0.5208333333333334</v>
      </c>
      <c r="G852" s="20"/>
    </row>
    <row r="853" spans="8:8" ht="41.25" customHeight="1">
      <c r="A853" s="20">
        <v>6.0</v>
      </c>
      <c r="B853" s="19" t="s">
        <v>2696</v>
      </c>
      <c r="C853" s="20">
        <v>252303.0</v>
      </c>
      <c r="D853" s="19" t="s">
        <v>104</v>
      </c>
      <c r="E853" s="20" t="s">
        <v>111</v>
      </c>
      <c r="F853" s="59">
        <v>0.5208333333333334</v>
      </c>
      <c r="G853" s="20"/>
    </row>
    <row r="854" spans="8:8" ht="41.25" customHeight="1">
      <c r="A854" s="24">
        <v>7.0</v>
      </c>
      <c r="B854" s="19" t="s">
        <v>2697</v>
      </c>
      <c r="C854" s="20">
        <v>241839.0</v>
      </c>
      <c r="D854" s="19" t="s">
        <v>2665</v>
      </c>
      <c r="E854" s="20" t="s">
        <v>111</v>
      </c>
      <c r="F854" s="59">
        <v>0.5208333333333334</v>
      </c>
      <c r="G854" s="20"/>
    </row>
    <row r="855" spans="8:8" ht="41.25" customHeight="1">
      <c r="A855" s="20">
        <v>8.0</v>
      </c>
      <c r="B855" s="19" t="s">
        <v>2698</v>
      </c>
      <c r="C855" s="20">
        <v>252056.0</v>
      </c>
      <c r="D855" s="19" t="s">
        <v>104</v>
      </c>
      <c r="E855" s="24" t="s">
        <v>111</v>
      </c>
      <c r="F855" s="59">
        <v>0.5208333333333334</v>
      </c>
      <c r="G855" s="24"/>
    </row>
    <row r="856" spans="8:8" ht="41.25" customHeight="1">
      <c r="A856" s="24">
        <v>9.0</v>
      </c>
      <c r="B856" s="19" t="s">
        <v>2699</v>
      </c>
      <c r="C856" s="20">
        <v>252241.0</v>
      </c>
      <c r="D856" s="19" t="s">
        <v>104</v>
      </c>
      <c r="E856" s="20" t="s">
        <v>111</v>
      </c>
      <c r="F856" s="59">
        <v>0.5208333333333334</v>
      </c>
      <c r="G856" s="20"/>
    </row>
    <row r="857" spans="8:8" ht="41.25" customHeight="1">
      <c r="A857" s="20">
        <v>10.0</v>
      </c>
      <c r="B857" s="19" t="s">
        <v>2700</v>
      </c>
      <c r="C857" s="20">
        <v>252060.0</v>
      </c>
      <c r="D857" s="19" t="s">
        <v>104</v>
      </c>
      <c r="E857" s="20" t="s">
        <v>111</v>
      </c>
      <c r="F857" s="59">
        <v>0.5208333333333334</v>
      </c>
      <c r="G857" s="20"/>
    </row>
    <row r="858" spans="8:8" ht="41.25" customHeight="1">
      <c r="A858" s="24">
        <v>11.0</v>
      </c>
      <c r="B858" s="19" t="s">
        <v>2701</v>
      </c>
      <c r="C858" s="20">
        <v>252162.0</v>
      </c>
      <c r="D858" s="19" t="s">
        <v>104</v>
      </c>
      <c r="E858" s="20" t="s">
        <v>111</v>
      </c>
      <c r="F858" s="59">
        <v>0.5208333333333334</v>
      </c>
      <c r="G858" s="20"/>
    </row>
    <row r="859" spans="8:8" ht="41.25" customHeight="1">
      <c r="A859" s="20">
        <v>12.0</v>
      </c>
      <c r="B859" s="19" t="s">
        <v>2702</v>
      </c>
      <c r="C859" s="20">
        <v>252163.0</v>
      </c>
      <c r="D859" s="19" t="s">
        <v>104</v>
      </c>
      <c r="E859" s="20" t="s">
        <v>111</v>
      </c>
      <c r="F859" s="59">
        <v>0.5208333333333334</v>
      </c>
      <c r="G859" s="20"/>
    </row>
    <row r="860" spans="8:8" ht="41.25" customHeight="1">
      <c r="A860" s="24">
        <v>13.0</v>
      </c>
      <c r="B860" s="19" t="s">
        <v>2703</v>
      </c>
      <c r="C860" s="20">
        <v>252167.0</v>
      </c>
      <c r="D860" s="19" t="s">
        <v>104</v>
      </c>
      <c r="E860" s="20" t="s">
        <v>111</v>
      </c>
      <c r="F860" s="59">
        <v>0.5208333333333334</v>
      </c>
      <c r="G860" s="20"/>
    </row>
    <row r="861" spans="8:8" ht="41.25" customHeight="1">
      <c r="A861" s="20">
        <v>14.0</v>
      </c>
      <c r="B861" s="19" t="s">
        <v>2704</v>
      </c>
      <c r="C861" s="20">
        <v>252168.0</v>
      </c>
      <c r="D861" s="19" t="s">
        <v>104</v>
      </c>
      <c r="E861" s="20" t="s">
        <v>111</v>
      </c>
      <c r="F861" s="59">
        <v>0.5208333333333334</v>
      </c>
      <c r="G861" s="20"/>
    </row>
    <row r="862" spans="8:8" ht="41.25" customHeight="1">
      <c r="A862" s="24">
        <v>15.0</v>
      </c>
      <c r="B862" s="19" t="s">
        <v>2705</v>
      </c>
      <c r="C862" s="20">
        <v>252177.0</v>
      </c>
      <c r="D862" s="19" t="s">
        <v>104</v>
      </c>
      <c r="E862" s="20" t="s">
        <v>111</v>
      </c>
      <c r="F862" s="59">
        <v>0.5208333333333334</v>
      </c>
      <c r="G862" s="20"/>
    </row>
    <row r="863" spans="8:8" ht="41.25" customHeight="1">
      <c r="A863" s="20">
        <v>16.0</v>
      </c>
      <c r="B863" s="19" t="s">
        <v>2706</v>
      </c>
      <c r="C863" s="20">
        <v>252185.0</v>
      </c>
      <c r="D863" s="19" t="s">
        <v>104</v>
      </c>
      <c r="E863" s="20" t="s">
        <v>111</v>
      </c>
      <c r="F863" s="59">
        <v>0.5208333333333334</v>
      </c>
      <c r="G863" s="20"/>
    </row>
    <row r="864" spans="8:8" ht="41.25" customHeight="1">
      <c r="A864" s="24">
        <v>17.0</v>
      </c>
      <c r="B864" s="19" t="s">
        <v>2707</v>
      </c>
      <c r="C864" s="20">
        <v>252181.0</v>
      </c>
      <c r="D864" s="19" t="s">
        <v>104</v>
      </c>
      <c r="E864" s="20" t="s">
        <v>111</v>
      </c>
      <c r="F864" s="59">
        <v>0.5208333333333334</v>
      </c>
      <c r="G864" s="20"/>
    </row>
    <row r="865" spans="8:8" ht="41.25" customHeight="1">
      <c r="A865" s="20">
        <v>18.0</v>
      </c>
      <c r="B865" s="19" t="s">
        <v>2708</v>
      </c>
      <c r="C865" s="20">
        <v>252186.0</v>
      </c>
      <c r="D865" s="19" t="s">
        <v>104</v>
      </c>
      <c r="E865" s="20" t="s">
        <v>111</v>
      </c>
      <c r="F865" s="59">
        <v>0.5208333333333334</v>
      </c>
      <c r="G865" s="20"/>
    </row>
    <row r="866" spans="8:8" ht="41.25" customHeight="1">
      <c r="A866" s="24">
        <v>19.0</v>
      </c>
      <c r="B866" s="19" t="s">
        <v>2709</v>
      </c>
      <c r="C866" s="20">
        <v>252192.0</v>
      </c>
      <c r="D866" s="19" t="s">
        <v>104</v>
      </c>
      <c r="E866" s="20" t="s">
        <v>111</v>
      </c>
      <c r="F866" s="59">
        <v>0.5208333333333334</v>
      </c>
      <c r="G866" s="20"/>
    </row>
    <row r="867" spans="8:8" ht="41.25" customHeight="1">
      <c r="A867" s="20">
        <v>20.0</v>
      </c>
      <c r="B867" s="19" t="s">
        <v>2710</v>
      </c>
      <c r="C867" s="20">
        <v>252190.0</v>
      </c>
      <c r="D867" s="19" t="s">
        <v>104</v>
      </c>
      <c r="E867" s="20" t="s">
        <v>111</v>
      </c>
      <c r="F867" s="59">
        <v>0.5208333333333334</v>
      </c>
      <c r="G867" s="20"/>
    </row>
    <row r="868" spans="8:8" ht="41.25" customHeight="1">
      <c r="A868" s="24">
        <v>21.0</v>
      </c>
      <c r="B868" s="19" t="s">
        <v>2711</v>
      </c>
      <c r="C868" s="20">
        <v>252194.0</v>
      </c>
      <c r="D868" s="19" t="s">
        <v>104</v>
      </c>
      <c r="E868" s="20" t="s">
        <v>111</v>
      </c>
      <c r="F868" s="59">
        <v>0.5208333333333334</v>
      </c>
      <c r="G868" s="20"/>
    </row>
    <row r="869" spans="8:8" ht="41.25" customHeight="1">
      <c r="A869" s="20">
        <v>22.0</v>
      </c>
      <c r="B869" s="19" t="s">
        <v>2712</v>
      </c>
      <c r="C869" s="20">
        <v>252095.0</v>
      </c>
      <c r="D869" s="19" t="s">
        <v>104</v>
      </c>
      <c r="E869" s="24" t="s">
        <v>111</v>
      </c>
      <c r="F869" s="59">
        <v>0.5208333333333334</v>
      </c>
      <c r="G869" s="24"/>
    </row>
    <row r="870" spans="8:8" ht="41.25" customHeight="1">
      <c r="A870" s="24">
        <v>23.0</v>
      </c>
      <c r="B870" s="19" t="s">
        <v>2713</v>
      </c>
      <c r="C870" s="20">
        <v>252427.0</v>
      </c>
      <c r="D870" s="19" t="s">
        <v>104</v>
      </c>
      <c r="E870" s="20" t="s">
        <v>111</v>
      </c>
      <c r="F870" s="59">
        <v>0.5208333333333334</v>
      </c>
      <c r="G870" s="20"/>
    </row>
    <row r="871" spans="8:8" ht="41.25" customHeight="1">
      <c r="A871" s="20">
        <v>24.0</v>
      </c>
      <c r="B871" s="19" t="s">
        <v>2714</v>
      </c>
      <c r="C871" s="20">
        <v>252124.0</v>
      </c>
      <c r="D871" s="19" t="s">
        <v>104</v>
      </c>
      <c r="E871" s="20" t="s">
        <v>111</v>
      </c>
      <c r="F871" s="59">
        <v>0.5208333333333334</v>
      </c>
      <c r="G871" s="20"/>
    </row>
    <row r="872" spans="8:8" ht="41.25" customHeight="1">
      <c r="A872" s="24">
        <v>25.0</v>
      </c>
      <c r="B872" s="19" t="s">
        <v>2715</v>
      </c>
      <c r="C872" s="20">
        <v>252144.0</v>
      </c>
      <c r="D872" s="19" t="s">
        <v>104</v>
      </c>
      <c r="E872" s="20" t="s">
        <v>111</v>
      </c>
      <c r="F872" s="59">
        <v>0.5208333333333334</v>
      </c>
      <c r="G872" s="20"/>
    </row>
    <row r="873" spans="8:8" ht="41.25" customHeight="1">
      <c r="A873" s="60" t="s">
        <v>18</v>
      </c>
      <c r="B873" s="60" t="s">
        <v>19</v>
      </c>
      <c r="C873" s="60" t="s">
        <v>1870</v>
      </c>
      <c r="D873" s="60" t="s">
        <v>21</v>
      </c>
      <c r="E873" s="60" t="s">
        <v>22</v>
      </c>
      <c r="F873" s="9" t="s">
        <v>23</v>
      </c>
      <c r="G873" s="60" t="s">
        <v>2153</v>
      </c>
    </row>
    <row r="874" spans="8:8" ht="41.25" customHeight="1">
      <c r="A874" s="24">
        <v>1.0</v>
      </c>
      <c r="B874" s="23" t="s">
        <v>2716</v>
      </c>
      <c r="C874" s="24">
        <v>252463.0</v>
      </c>
      <c r="D874" s="23" t="s">
        <v>104</v>
      </c>
      <c r="E874" s="24" t="s">
        <v>111</v>
      </c>
      <c r="F874" s="61">
        <v>0.5208333333333334</v>
      </c>
      <c r="G874" s="24"/>
    </row>
    <row r="875" spans="8:8" ht="41.25" customHeight="1">
      <c r="A875" s="20">
        <v>2.0</v>
      </c>
      <c r="B875" s="19" t="s">
        <v>2717</v>
      </c>
      <c r="C875" s="20">
        <v>252014.0</v>
      </c>
      <c r="D875" s="19" t="s">
        <v>90</v>
      </c>
      <c r="E875" s="20" t="s">
        <v>111</v>
      </c>
      <c r="F875" s="59">
        <v>0.5208333333333334</v>
      </c>
      <c r="G875" s="13"/>
    </row>
    <row r="876" spans="8:8" ht="41.25" customHeight="1">
      <c r="A876" s="20">
        <v>3.0</v>
      </c>
      <c r="B876" s="19" t="s">
        <v>2718</v>
      </c>
      <c r="C876" s="20">
        <v>252077.0</v>
      </c>
      <c r="D876" s="33" t="s">
        <v>104</v>
      </c>
      <c r="E876" s="20" t="s">
        <v>111</v>
      </c>
      <c r="F876" s="59">
        <v>0.5208333333333334</v>
      </c>
      <c r="G876" s="20"/>
    </row>
    <row r="877" spans="8:8" ht="41.25" customHeight="1">
      <c r="A877" s="20">
        <v>4.0</v>
      </c>
      <c r="B877" s="19" t="s">
        <v>2719</v>
      </c>
      <c r="C877" s="20">
        <v>252242.0</v>
      </c>
      <c r="D877" s="19" t="s">
        <v>104</v>
      </c>
      <c r="E877" s="20" t="s">
        <v>111</v>
      </c>
      <c r="F877" s="59">
        <v>0.5208333333333334</v>
      </c>
      <c r="G877" s="20"/>
    </row>
    <row r="878" spans="8:8" ht="41.25" customHeight="1">
      <c r="A878" s="20">
        <v>5.0</v>
      </c>
      <c r="B878" s="19" t="s">
        <v>2720</v>
      </c>
      <c r="C878" s="20">
        <v>252200.0</v>
      </c>
      <c r="D878" s="19" t="s">
        <v>104</v>
      </c>
      <c r="E878" s="20" t="s">
        <v>111</v>
      </c>
      <c r="F878" s="59">
        <v>0.5208333333333334</v>
      </c>
      <c r="G878" s="20"/>
    </row>
    <row r="879" spans="8:8" ht="41.25" customHeight="1">
      <c r="A879" s="20">
        <v>6.0</v>
      </c>
      <c r="B879" s="19" t="s">
        <v>2721</v>
      </c>
      <c r="C879" s="20">
        <v>252232.0</v>
      </c>
      <c r="D879" s="19" t="s">
        <v>104</v>
      </c>
      <c r="E879" s="20" t="s">
        <v>111</v>
      </c>
      <c r="F879" s="59">
        <v>0.5208333333333334</v>
      </c>
      <c r="G879" s="20"/>
    </row>
    <row r="880" spans="8:8" ht="41.25" customHeight="1">
      <c r="A880" s="20">
        <v>7.0</v>
      </c>
      <c r="B880" s="19" t="s">
        <v>2722</v>
      </c>
      <c r="C880" s="20">
        <v>252244.0</v>
      </c>
      <c r="D880" s="19" t="s">
        <v>104</v>
      </c>
      <c r="E880" s="20" t="s">
        <v>111</v>
      </c>
      <c r="F880" s="59">
        <v>0.5208333333333334</v>
      </c>
      <c r="G880" s="20"/>
    </row>
    <row r="881" spans="8:8" ht="41.25" customHeight="1">
      <c r="A881" s="20">
        <v>8.0</v>
      </c>
      <c r="B881" s="19" t="s">
        <v>2723</v>
      </c>
      <c r="C881" s="20">
        <v>252218.0</v>
      </c>
      <c r="D881" s="19" t="s">
        <v>104</v>
      </c>
      <c r="E881" s="20" t="s">
        <v>111</v>
      </c>
      <c r="F881" s="59">
        <v>0.5208333333333334</v>
      </c>
      <c r="G881" s="20"/>
    </row>
    <row r="882" spans="8:8" ht="41.25" customHeight="1">
      <c r="A882" s="20">
        <v>9.0</v>
      </c>
      <c r="B882" s="19" t="s">
        <v>2724</v>
      </c>
      <c r="C882" s="20">
        <v>252250.0</v>
      </c>
      <c r="D882" s="19" t="s">
        <v>104</v>
      </c>
      <c r="E882" s="20" t="s">
        <v>111</v>
      </c>
      <c r="F882" s="59">
        <v>0.5208333333333334</v>
      </c>
      <c r="G882" s="20"/>
    </row>
    <row r="883" spans="8:8" ht="41.25" customHeight="1">
      <c r="A883" s="20">
        <v>10.0</v>
      </c>
      <c r="B883" s="19" t="s">
        <v>2725</v>
      </c>
      <c r="C883" s="20">
        <v>252274.0</v>
      </c>
      <c r="D883" s="19" t="s">
        <v>104</v>
      </c>
      <c r="E883" s="20" t="s">
        <v>111</v>
      </c>
      <c r="F883" s="59">
        <v>0.5208333333333334</v>
      </c>
      <c r="G883" s="20"/>
    </row>
    <row r="884" spans="8:8" ht="41.25" customHeight="1">
      <c r="A884" s="20">
        <v>11.0</v>
      </c>
      <c r="B884" s="19" t="s">
        <v>2726</v>
      </c>
      <c r="C884" s="20">
        <v>252261.0</v>
      </c>
      <c r="D884" s="19" t="s">
        <v>104</v>
      </c>
      <c r="E884" s="20" t="s">
        <v>111</v>
      </c>
      <c r="F884" s="59">
        <v>0.5208333333333334</v>
      </c>
      <c r="G884" s="20"/>
    </row>
    <row r="885" spans="8:8" ht="41.25" customHeight="1">
      <c r="A885" s="20">
        <v>12.0</v>
      </c>
      <c r="B885" s="19" t="s">
        <v>2727</v>
      </c>
      <c r="C885" s="20">
        <v>252259.0</v>
      </c>
      <c r="D885" s="19" t="s">
        <v>104</v>
      </c>
      <c r="E885" s="20" t="s">
        <v>111</v>
      </c>
      <c r="F885" s="59">
        <v>0.5208333333333334</v>
      </c>
      <c r="G885" s="20"/>
    </row>
    <row r="886" spans="8:8" ht="41.25" customHeight="1">
      <c r="A886" s="20">
        <v>13.0</v>
      </c>
      <c r="B886" s="19" t="s">
        <v>2728</v>
      </c>
      <c r="C886" s="20">
        <v>252240.0</v>
      </c>
      <c r="D886" s="19" t="s">
        <v>104</v>
      </c>
      <c r="E886" s="20" t="s">
        <v>111</v>
      </c>
      <c r="F886" s="59">
        <v>0.5208333333333334</v>
      </c>
      <c r="G886" s="20"/>
    </row>
    <row r="887" spans="8:8" ht="41.25" customHeight="1">
      <c r="A887" s="20">
        <v>14.0</v>
      </c>
      <c r="B887" s="19" t="s">
        <v>2729</v>
      </c>
      <c r="C887" s="20">
        <v>252226.0</v>
      </c>
      <c r="D887" s="19" t="s">
        <v>104</v>
      </c>
      <c r="E887" s="20" t="s">
        <v>111</v>
      </c>
      <c r="F887" s="59">
        <v>0.5208333333333334</v>
      </c>
      <c r="G887" s="20"/>
    </row>
    <row r="888" spans="8:8" ht="41.25" customHeight="1">
      <c r="A888" s="20">
        <v>15.0</v>
      </c>
      <c r="B888" s="19" t="s">
        <v>2730</v>
      </c>
      <c r="C888" s="20">
        <v>252245.0</v>
      </c>
      <c r="D888" s="19" t="s">
        <v>104</v>
      </c>
      <c r="E888" s="20" t="s">
        <v>111</v>
      </c>
      <c r="F888" s="59">
        <v>0.5208333333333334</v>
      </c>
      <c r="G888" s="20"/>
    </row>
    <row r="889" spans="8:8" ht="41.25" customHeight="1">
      <c r="A889" s="20">
        <v>16.0</v>
      </c>
      <c r="B889" s="19" t="s">
        <v>2731</v>
      </c>
      <c r="C889" s="20">
        <v>252247.0</v>
      </c>
      <c r="D889" s="19" t="s">
        <v>104</v>
      </c>
      <c r="E889" s="20" t="s">
        <v>111</v>
      </c>
      <c r="F889" s="59">
        <v>0.5208333333333334</v>
      </c>
      <c r="G889" s="20"/>
    </row>
    <row r="890" spans="8:8" ht="41.25" customHeight="1">
      <c r="A890" s="20">
        <v>17.0</v>
      </c>
      <c r="B890" s="19" t="s">
        <v>2732</v>
      </c>
      <c r="C890" s="20">
        <v>252230.0</v>
      </c>
      <c r="D890" s="19" t="s">
        <v>104</v>
      </c>
      <c r="E890" s="20" t="s">
        <v>111</v>
      </c>
      <c r="F890" s="59">
        <v>0.5208333333333334</v>
      </c>
      <c r="G890" s="20"/>
    </row>
    <row r="891" spans="8:8" ht="41.25" customHeight="1">
      <c r="A891" s="20">
        <v>18.0</v>
      </c>
      <c r="B891" s="19" t="s">
        <v>2733</v>
      </c>
      <c r="C891" s="20">
        <v>252227.0</v>
      </c>
      <c r="D891" s="19" t="s">
        <v>104</v>
      </c>
      <c r="E891" s="20" t="s">
        <v>111</v>
      </c>
      <c r="F891" s="59">
        <v>0.5208333333333334</v>
      </c>
      <c r="G891" s="20"/>
    </row>
    <row r="892" spans="8:8" ht="41.25" customHeight="1">
      <c r="A892" s="20">
        <v>19.0</v>
      </c>
      <c r="B892" s="19" t="s">
        <v>2734</v>
      </c>
      <c r="C892" s="20">
        <v>252228.0</v>
      </c>
      <c r="D892" s="19" t="s">
        <v>104</v>
      </c>
      <c r="E892" s="20" t="s">
        <v>111</v>
      </c>
      <c r="F892" s="59">
        <v>0.5208333333333334</v>
      </c>
      <c r="G892" s="20"/>
    </row>
    <row r="893" spans="8:8" ht="41.25" customHeight="1">
      <c r="A893" s="20">
        <v>20.0</v>
      </c>
      <c r="B893" s="19" t="s">
        <v>2735</v>
      </c>
      <c r="C893" s="20">
        <v>252196.0</v>
      </c>
      <c r="D893" s="19" t="s">
        <v>104</v>
      </c>
      <c r="E893" s="20" t="s">
        <v>111</v>
      </c>
      <c r="F893" s="59">
        <v>0.5208333333333334</v>
      </c>
      <c r="G893" s="20"/>
    </row>
    <row r="894" spans="8:8" ht="41.25" customHeight="1">
      <c r="A894" s="20">
        <v>21.0</v>
      </c>
      <c r="B894" s="19" t="s">
        <v>2736</v>
      </c>
      <c r="C894" s="20">
        <v>252248.0</v>
      </c>
      <c r="D894" s="19" t="s">
        <v>104</v>
      </c>
      <c r="E894" s="20" t="s">
        <v>111</v>
      </c>
      <c r="F894" s="59">
        <v>0.5208333333333334</v>
      </c>
      <c r="G894" s="20"/>
    </row>
    <row r="895" spans="8:8" ht="41.25" customHeight="1">
      <c r="A895" s="20">
        <v>22.0</v>
      </c>
      <c r="B895" s="19" t="s">
        <v>2737</v>
      </c>
      <c r="C895" s="20">
        <v>252317.0</v>
      </c>
      <c r="D895" s="19" t="s">
        <v>104</v>
      </c>
      <c r="E895" s="24" t="s">
        <v>111</v>
      </c>
      <c r="F895" s="59">
        <v>0.5208333333333334</v>
      </c>
      <c r="G895" s="24"/>
    </row>
    <row r="896" spans="8:8" ht="41.25" customHeight="1">
      <c r="A896" s="20">
        <v>23.0</v>
      </c>
      <c r="B896" s="19" t="s">
        <v>2738</v>
      </c>
      <c r="C896" s="20">
        <v>252019.0</v>
      </c>
      <c r="D896" s="19" t="s">
        <v>104</v>
      </c>
      <c r="E896" s="20" t="s">
        <v>111</v>
      </c>
      <c r="F896" s="59">
        <v>0.5208333333333334</v>
      </c>
      <c r="G896" s="20"/>
    </row>
    <row r="897" spans="8:8" ht="41.25" customHeight="1">
      <c r="A897" s="20">
        <v>24.0</v>
      </c>
      <c r="B897" s="19" t="s">
        <v>2739</v>
      </c>
      <c r="C897" s="20">
        <v>252068.0</v>
      </c>
      <c r="D897" s="19" t="s">
        <v>104</v>
      </c>
      <c r="E897" s="20" t="s">
        <v>111</v>
      </c>
      <c r="F897" s="59">
        <v>0.5208333333333334</v>
      </c>
      <c r="G897" s="20"/>
    </row>
    <row r="898" spans="8:8" ht="41.25" customHeight="1">
      <c r="A898" s="20">
        <v>25.0</v>
      </c>
      <c r="B898" s="19" t="s">
        <v>2740</v>
      </c>
      <c r="C898" s="20">
        <v>252048.0</v>
      </c>
      <c r="D898" s="19" t="s">
        <v>104</v>
      </c>
      <c r="E898" s="20" t="s">
        <v>111</v>
      </c>
      <c r="F898" s="59">
        <v>0.5208333333333334</v>
      </c>
      <c r="G898" s="20"/>
    </row>
    <row r="899" spans="8:8" ht="41.25" customHeight="1">
      <c r="A899" s="60" t="s">
        <v>18</v>
      </c>
      <c r="B899" s="60" t="s">
        <v>19</v>
      </c>
      <c r="C899" s="60" t="s">
        <v>1870</v>
      </c>
      <c r="D899" s="60" t="s">
        <v>21</v>
      </c>
      <c r="E899" s="60" t="s">
        <v>22</v>
      </c>
      <c r="F899" s="9" t="s">
        <v>23</v>
      </c>
      <c r="G899" s="60" t="s">
        <v>2179</v>
      </c>
    </row>
    <row r="900" spans="8:8" ht="41.25" customHeight="1">
      <c r="A900" s="24">
        <v>1.0</v>
      </c>
      <c r="B900" s="23" t="s">
        <v>2741</v>
      </c>
      <c r="C900" s="24">
        <v>252099.0</v>
      </c>
      <c r="D900" s="23" t="s">
        <v>104</v>
      </c>
      <c r="E900" s="24" t="s">
        <v>111</v>
      </c>
      <c r="F900" s="61">
        <v>0.5208333333333334</v>
      </c>
      <c r="G900" s="24"/>
    </row>
    <row r="901" spans="8:8" ht="41.25" customHeight="1">
      <c r="A901" s="20">
        <v>2.0</v>
      </c>
      <c r="B901" s="19" t="s">
        <v>2742</v>
      </c>
      <c r="C901" s="20">
        <v>252412.0</v>
      </c>
      <c r="D901" s="19" t="s">
        <v>104</v>
      </c>
      <c r="E901" s="20" t="s">
        <v>111</v>
      </c>
      <c r="F901" s="59">
        <v>0.5208333333333334</v>
      </c>
      <c r="G901" s="13"/>
    </row>
    <row r="902" spans="8:8" ht="41.25" customHeight="1">
      <c r="A902" s="20">
        <v>3.0</v>
      </c>
      <c r="B902" s="19" t="s">
        <v>2743</v>
      </c>
      <c r="C902" s="20">
        <v>252094.0</v>
      </c>
      <c r="D902" s="19" t="s">
        <v>104</v>
      </c>
      <c r="E902" s="20" t="s">
        <v>111</v>
      </c>
      <c r="F902" s="59">
        <v>0.5208333333333334</v>
      </c>
      <c r="G902" s="20"/>
    </row>
    <row r="903" spans="8:8" ht="41.25" customHeight="1">
      <c r="A903" s="20">
        <v>4.0</v>
      </c>
      <c r="B903" s="19" t="s">
        <v>2744</v>
      </c>
      <c r="C903" s="20">
        <v>252234.0</v>
      </c>
      <c r="D903" s="19" t="s">
        <v>104</v>
      </c>
      <c r="E903" s="20" t="s">
        <v>111</v>
      </c>
      <c r="F903" s="59">
        <v>0.5208333333333334</v>
      </c>
      <c r="G903" s="20"/>
    </row>
    <row r="904" spans="8:8" ht="41.25" customHeight="1">
      <c r="A904" s="20">
        <v>5.0</v>
      </c>
      <c r="B904" s="19" t="s">
        <v>2745</v>
      </c>
      <c r="C904" s="20">
        <v>252231.0</v>
      </c>
      <c r="D904" s="19" t="s">
        <v>104</v>
      </c>
      <c r="E904" s="20" t="s">
        <v>111</v>
      </c>
      <c r="F904" s="59">
        <v>0.5208333333333334</v>
      </c>
      <c r="G904" s="20"/>
    </row>
    <row r="905" spans="8:8" ht="41.25" customHeight="1">
      <c r="A905" s="20">
        <v>6.0</v>
      </c>
      <c r="B905" s="19" t="s">
        <v>2746</v>
      </c>
      <c r="C905" s="20">
        <v>252206.0</v>
      </c>
      <c r="D905" s="19" t="s">
        <v>104</v>
      </c>
      <c r="E905" s="20" t="s">
        <v>111</v>
      </c>
      <c r="F905" s="59">
        <v>0.5208333333333334</v>
      </c>
      <c r="G905" s="20"/>
    </row>
    <row r="906" spans="8:8" ht="41.25" customHeight="1">
      <c r="A906" s="20">
        <v>7.0</v>
      </c>
      <c r="B906" s="19" t="s">
        <v>2747</v>
      </c>
      <c r="C906" s="20">
        <v>252204.0</v>
      </c>
      <c r="D906" s="19" t="s">
        <v>104</v>
      </c>
      <c r="E906" s="20" t="s">
        <v>111</v>
      </c>
      <c r="F906" s="59">
        <v>0.5208333333333334</v>
      </c>
      <c r="G906" s="20"/>
    </row>
    <row r="907" spans="8:8" ht="41.25" customHeight="1">
      <c r="A907" s="20">
        <v>8.0</v>
      </c>
      <c r="B907" s="19" t="s">
        <v>2748</v>
      </c>
      <c r="C907" s="20">
        <v>252246.0</v>
      </c>
      <c r="D907" s="19" t="s">
        <v>104</v>
      </c>
      <c r="E907" s="20" t="s">
        <v>111</v>
      </c>
      <c r="F907" s="59">
        <v>0.5208333333333334</v>
      </c>
      <c r="G907" s="20"/>
    </row>
    <row r="908" spans="8:8" ht="41.25" customHeight="1">
      <c r="A908" s="20">
        <v>9.0</v>
      </c>
      <c r="B908" s="19" t="s">
        <v>2749</v>
      </c>
      <c r="C908" s="20">
        <v>252209.0</v>
      </c>
      <c r="D908" s="19" t="s">
        <v>104</v>
      </c>
      <c r="E908" s="20" t="s">
        <v>111</v>
      </c>
      <c r="F908" s="59">
        <v>0.5208333333333334</v>
      </c>
      <c r="G908" s="20"/>
    </row>
    <row r="909" spans="8:8" ht="41.25" customHeight="1">
      <c r="A909" s="20">
        <v>10.0</v>
      </c>
      <c r="B909" s="19" t="s">
        <v>2750</v>
      </c>
      <c r="C909" s="20">
        <v>252257.0</v>
      </c>
      <c r="D909" s="19" t="s">
        <v>104</v>
      </c>
      <c r="E909" s="20" t="s">
        <v>111</v>
      </c>
      <c r="F909" s="59">
        <v>0.5208333333333334</v>
      </c>
      <c r="G909" s="20"/>
    </row>
    <row r="910" spans="8:8" ht="41.25" customHeight="1">
      <c r="A910" s="20">
        <v>11.0</v>
      </c>
      <c r="B910" s="19" t="s">
        <v>2751</v>
      </c>
      <c r="C910" s="20">
        <v>252233.0</v>
      </c>
      <c r="D910" s="19" t="s">
        <v>104</v>
      </c>
      <c r="E910" s="20" t="s">
        <v>111</v>
      </c>
      <c r="F910" s="59">
        <v>0.5208333333333334</v>
      </c>
      <c r="G910" s="20"/>
    </row>
    <row r="911" spans="8:8" ht="41.25" customHeight="1">
      <c r="A911" s="20">
        <v>12.0</v>
      </c>
      <c r="B911" s="19" t="s">
        <v>2752</v>
      </c>
      <c r="C911" s="20">
        <v>252223.0</v>
      </c>
      <c r="D911" s="19" t="s">
        <v>104</v>
      </c>
      <c r="E911" s="20" t="s">
        <v>111</v>
      </c>
      <c r="F911" s="59">
        <v>0.5208333333333334</v>
      </c>
      <c r="G911" s="20"/>
    </row>
    <row r="912" spans="8:8" ht="41.25" customHeight="1">
      <c r="A912" s="20">
        <v>13.0</v>
      </c>
      <c r="B912" s="19" t="s">
        <v>2753</v>
      </c>
      <c r="C912" s="20">
        <v>252205.0</v>
      </c>
      <c r="D912" s="19" t="s">
        <v>104</v>
      </c>
      <c r="E912" s="20" t="s">
        <v>111</v>
      </c>
      <c r="F912" s="59">
        <v>0.5208333333333334</v>
      </c>
      <c r="G912" s="20"/>
    </row>
    <row r="913" spans="8:8" ht="41.25" customHeight="1">
      <c r="A913" s="20">
        <v>14.0</v>
      </c>
      <c r="B913" s="19" t="s">
        <v>2754</v>
      </c>
      <c r="C913" s="20">
        <v>252314.0</v>
      </c>
      <c r="D913" s="19" t="s">
        <v>104</v>
      </c>
      <c r="E913" s="20" t="s">
        <v>111</v>
      </c>
      <c r="F913" s="59">
        <v>0.5208333333333334</v>
      </c>
      <c r="G913" s="20"/>
    </row>
    <row r="914" spans="8:8" ht="41.25" customHeight="1">
      <c r="A914" s="20">
        <v>15.0</v>
      </c>
      <c r="B914" s="19" t="s">
        <v>2755</v>
      </c>
      <c r="C914" s="20">
        <v>252300.0</v>
      </c>
      <c r="D914" s="19" t="s">
        <v>104</v>
      </c>
      <c r="E914" s="20" t="s">
        <v>111</v>
      </c>
      <c r="F914" s="59">
        <v>0.5208333333333334</v>
      </c>
      <c r="G914" s="20"/>
    </row>
    <row r="915" spans="8:8" ht="41.25" customHeight="1">
      <c r="A915" s="20">
        <v>16.0</v>
      </c>
      <c r="B915" s="19" t="s">
        <v>2756</v>
      </c>
      <c r="C915" s="20">
        <v>241957.0</v>
      </c>
      <c r="D915" s="19" t="s">
        <v>2665</v>
      </c>
      <c r="E915" s="20" t="s">
        <v>111</v>
      </c>
      <c r="F915" s="59">
        <v>0.5208333333333334</v>
      </c>
      <c r="G915" s="20"/>
    </row>
    <row r="916" spans="8:8" ht="41.25" customHeight="1">
      <c r="A916" s="20">
        <v>17.0</v>
      </c>
      <c r="B916" s="19" t="s">
        <v>2757</v>
      </c>
      <c r="C916" s="20">
        <v>241961.0</v>
      </c>
      <c r="D916" s="19" t="s">
        <v>2665</v>
      </c>
      <c r="E916" s="20" t="s">
        <v>111</v>
      </c>
      <c r="F916" s="59">
        <v>0.5208333333333334</v>
      </c>
      <c r="G916" s="20"/>
    </row>
    <row r="917" spans="8:8" ht="41.25" customHeight="1">
      <c r="A917" s="20">
        <v>18.0</v>
      </c>
      <c r="B917" s="19" t="s">
        <v>2758</v>
      </c>
      <c r="C917" s="20">
        <v>241959.0</v>
      </c>
      <c r="D917" s="19" t="s">
        <v>2665</v>
      </c>
      <c r="E917" s="20" t="s">
        <v>111</v>
      </c>
      <c r="F917" s="59">
        <v>0.5208333333333334</v>
      </c>
      <c r="G917" s="20"/>
    </row>
    <row r="918" spans="8:8" ht="41.25" customHeight="1">
      <c r="A918" s="20">
        <v>19.0</v>
      </c>
      <c r="B918" s="19" t="s">
        <v>2759</v>
      </c>
      <c r="C918" s="20">
        <v>241960.0</v>
      </c>
      <c r="D918" s="19" t="s">
        <v>2665</v>
      </c>
      <c r="E918" s="20" t="s">
        <v>111</v>
      </c>
      <c r="F918" s="59">
        <v>0.5208333333333334</v>
      </c>
      <c r="G918" s="20"/>
    </row>
    <row r="919" spans="8:8" ht="41.25" customHeight="1">
      <c r="A919" s="20">
        <v>20.0</v>
      </c>
      <c r="B919" s="19" t="s">
        <v>2760</v>
      </c>
      <c r="C919" s="20">
        <v>241678.0</v>
      </c>
      <c r="D919" s="19" t="s">
        <v>2665</v>
      </c>
      <c r="E919" s="20" t="s">
        <v>111</v>
      </c>
      <c r="F919" s="59">
        <v>0.5208333333333334</v>
      </c>
      <c r="G919" s="20"/>
    </row>
    <row r="920" spans="8:8" ht="41.25" customHeight="1">
      <c r="A920" s="20">
        <v>21.0</v>
      </c>
      <c r="B920" s="19" t="s">
        <v>2761</v>
      </c>
      <c r="C920" s="20">
        <v>252136.0</v>
      </c>
      <c r="D920" s="19" t="s">
        <v>104</v>
      </c>
      <c r="E920" s="20" t="s">
        <v>111</v>
      </c>
      <c r="F920" s="59">
        <v>0.5208333333333334</v>
      </c>
      <c r="G920" s="20"/>
    </row>
    <row r="921" spans="8:8" ht="41.25" customHeight="1">
      <c r="A921" s="20">
        <v>22.0</v>
      </c>
      <c r="B921" s="19" t="s">
        <v>2762</v>
      </c>
      <c r="C921" s="20">
        <v>252059.0</v>
      </c>
      <c r="D921" s="19" t="s">
        <v>104</v>
      </c>
      <c r="E921" s="20" t="s">
        <v>111</v>
      </c>
      <c r="F921" s="59">
        <v>0.5208333333333334</v>
      </c>
      <c r="G921" s="20"/>
    </row>
    <row r="922" spans="8:8" ht="41.25" customHeight="1">
      <c r="A922" s="20">
        <v>23.0</v>
      </c>
      <c r="B922" s="19" t="s">
        <v>2763</v>
      </c>
      <c r="C922" s="20">
        <v>252051.0</v>
      </c>
      <c r="D922" s="19" t="s">
        <v>104</v>
      </c>
      <c r="E922" s="20" t="s">
        <v>111</v>
      </c>
      <c r="F922" s="59">
        <v>0.5208333333333334</v>
      </c>
      <c r="G922" s="20"/>
    </row>
    <row r="923" spans="8:8" ht="41.25" customHeight="1">
      <c r="A923" s="20">
        <v>24.0</v>
      </c>
      <c r="B923" s="19" t="s">
        <v>2764</v>
      </c>
      <c r="C923" s="20">
        <v>252063.0</v>
      </c>
      <c r="D923" s="19" t="s">
        <v>104</v>
      </c>
      <c r="E923" s="20" t="s">
        <v>111</v>
      </c>
      <c r="F923" s="59">
        <v>0.5208333333333334</v>
      </c>
      <c r="G923" s="20"/>
    </row>
    <row r="924" spans="8:8" ht="41.25" customHeight="1">
      <c r="A924" s="20">
        <v>25.0</v>
      </c>
      <c r="B924" s="19" t="s">
        <v>2765</v>
      </c>
      <c r="C924" s="20">
        <v>252088.0</v>
      </c>
      <c r="D924" s="19" t="s">
        <v>104</v>
      </c>
      <c r="E924" s="20" t="s">
        <v>111</v>
      </c>
      <c r="F924" s="59">
        <v>0.5208333333333334</v>
      </c>
      <c r="G924" s="20"/>
    </row>
    <row r="925" spans="8:8" ht="41.25" customHeight="1">
      <c r="A925" s="60" t="s">
        <v>18</v>
      </c>
      <c r="B925" s="60" t="s">
        <v>19</v>
      </c>
      <c r="C925" s="60" t="s">
        <v>1870</v>
      </c>
      <c r="D925" s="60" t="s">
        <v>21</v>
      </c>
      <c r="E925" s="60" t="s">
        <v>22</v>
      </c>
      <c r="F925" s="9" t="s">
        <v>23</v>
      </c>
      <c r="G925" s="60" t="s">
        <v>2205</v>
      </c>
    </row>
    <row r="926" spans="8:8" ht="41.25" customHeight="1">
      <c r="A926" s="24">
        <v>1.0</v>
      </c>
      <c r="B926" s="23" t="s">
        <v>2766</v>
      </c>
      <c r="C926" s="24">
        <v>251988.0</v>
      </c>
      <c r="D926" s="23" t="s">
        <v>104</v>
      </c>
      <c r="E926" s="24" t="s">
        <v>111</v>
      </c>
      <c r="F926" s="61">
        <v>0.5208333333333334</v>
      </c>
      <c r="G926" s="24"/>
    </row>
    <row r="927" spans="8:8" ht="41.25" customHeight="1">
      <c r="A927" s="20">
        <v>2.0</v>
      </c>
      <c r="B927" s="19" t="s">
        <v>2767</v>
      </c>
      <c r="C927" s="20">
        <v>252456.0</v>
      </c>
      <c r="D927" s="19" t="s">
        <v>104</v>
      </c>
      <c r="E927" s="20" t="s">
        <v>111</v>
      </c>
      <c r="F927" s="59">
        <v>0.5208333333333334</v>
      </c>
      <c r="G927" s="13"/>
    </row>
    <row r="928" spans="8:8" ht="41.25" customHeight="1">
      <c r="A928" s="20">
        <v>3.0</v>
      </c>
      <c r="B928" s="19" t="s">
        <v>2768</v>
      </c>
      <c r="C928" s="20">
        <v>253006.0</v>
      </c>
      <c r="D928" s="19" t="s">
        <v>104</v>
      </c>
      <c r="E928" s="20" t="s">
        <v>111</v>
      </c>
      <c r="F928" s="59">
        <v>0.5208333333333334</v>
      </c>
      <c r="G928" s="20"/>
    </row>
    <row r="929" spans="8:8" ht="41.25" customHeight="1">
      <c r="A929" s="20">
        <v>4.0</v>
      </c>
      <c r="B929" s="19" t="s">
        <v>2769</v>
      </c>
      <c r="C929" s="20">
        <v>250610.0</v>
      </c>
      <c r="D929" s="19" t="s">
        <v>94</v>
      </c>
      <c r="E929" s="20" t="s">
        <v>111</v>
      </c>
      <c r="F929" s="59">
        <v>0.5208333333333334</v>
      </c>
      <c r="G929" s="20"/>
    </row>
    <row r="930" spans="8:8" ht="41.25" customHeight="1">
      <c r="A930" s="20">
        <v>5.0</v>
      </c>
      <c r="B930" s="12" t="s">
        <v>2770</v>
      </c>
      <c r="C930" s="13">
        <v>252895.0</v>
      </c>
      <c r="D930" s="12" t="s">
        <v>104</v>
      </c>
      <c r="E930" s="13" t="s">
        <v>111</v>
      </c>
      <c r="F930" s="59">
        <v>0.5208333333333334</v>
      </c>
      <c r="G930" s="13"/>
    </row>
    <row r="931" spans="8:8" ht="41.25" customHeight="1">
      <c r="A931" s="20">
        <v>6.0</v>
      </c>
      <c r="B931" s="19" t="s">
        <v>2771</v>
      </c>
      <c r="C931" s="20">
        <v>252992.0</v>
      </c>
      <c r="D931" s="19" t="s">
        <v>90</v>
      </c>
      <c r="E931" s="20" t="s">
        <v>111</v>
      </c>
      <c r="F931" s="59">
        <v>0.5208333333333334</v>
      </c>
      <c r="G931" s="20"/>
    </row>
    <row r="932" spans="8:8" ht="41.25" customHeight="1">
      <c r="A932" s="24">
        <v>7.0</v>
      </c>
      <c r="B932" s="23" t="s">
        <v>2772</v>
      </c>
      <c r="C932" s="24">
        <v>252532.0</v>
      </c>
      <c r="D932" s="33" t="s">
        <v>90</v>
      </c>
      <c r="E932" s="24" t="s">
        <v>111</v>
      </c>
      <c r="F932" s="61">
        <v>0.5208333333333334</v>
      </c>
      <c r="G932" s="24"/>
    </row>
    <row r="933" spans="8:8" ht="41.25" customHeight="1">
      <c r="A933" s="24">
        <v>8.0</v>
      </c>
      <c r="B933" s="23" t="s">
        <v>2773</v>
      </c>
      <c r="C933" s="24">
        <v>252501.0</v>
      </c>
      <c r="D933" s="33" t="s">
        <v>90</v>
      </c>
      <c r="E933" s="24" t="s">
        <v>111</v>
      </c>
      <c r="F933" s="61">
        <v>0.5208333333333334</v>
      </c>
      <c r="G933" s="24"/>
    </row>
    <row r="934" spans="8:8" ht="41.25" customHeight="1">
      <c r="A934" s="24">
        <v>9.0</v>
      </c>
      <c r="B934" s="23" t="s">
        <v>2774</v>
      </c>
      <c r="C934" s="24">
        <v>252788.0</v>
      </c>
      <c r="D934" s="33" t="s">
        <v>90</v>
      </c>
      <c r="E934" s="24" t="s">
        <v>111</v>
      </c>
      <c r="F934" s="61">
        <v>0.5208333333333334</v>
      </c>
      <c r="G934" s="24"/>
    </row>
    <row r="935" spans="8:8" ht="41.25" customHeight="1">
      <c r="A935" s="24">
        <v>10.0</v>
      </c>
      <c r="B935" s="23" t="s">
        <v>2775</v>
      </c>
      <c r="C935" s="24">
        <v>252526.0</v>
      </c>
      <c r="D935" s="33" t="s">
        <v>90</v>
      </c>
      <c r="E935" s="24" t="s">
        <v>111</v>
      </c>
      <c r="F935" s="61">
        <v>0.5208333333333334</v>
      </c>
      <c r="G935" s="24"/>
    </row>
    <row r="936" spans="8:8" ht="41.25" customHeight="1">
      <c r="A936" s="24">
        <v>11.0</v>
      </c>
      <c r="B936" s="23" t="s">
        <v>2776</v>
      </c>
      <c r="C936" s="24">
        <v>252530.0</v>
      </c>
      <c r="D936" s="33" t="s">
        <v>90</v>
      </c>
      <c r="E936" s="24" t="s">
        <v>111</v>
      </c>
      <c r="F936" s="61">
        <v>0.5208333333333334</v>
      </c>
      <c r="G936" s="24"/>
    </row>
    <row r="937" spans="8:8" ht="41.25" customHeight="1">
      <c r="A937" s="24">
        <v>12.0</v>
      </c>
      <c r="B937" s="23" t="s">
        <v>2777</v>
      </c>
      <c r="C937" s="24">
        <v>252941.0</v>
      </c>
      <c r="D937" s="33" t="s">
        <v>90</v>
      </c>
      <c r="E937" s="24" t="s">
        <v>111</v>
      </c>
      <c r="F937" s="61">
        <v>0.5208333333333334</v>
      </c>
      <c r="G937" s="24"/>
    </row>
    <row r="938" spans="8:8" ht="41.25" customHeight="1">
      <c r="A938" s="24">
        <v>13.0</v>
      </c>
      <c r="B938" s="23" t="s">
        <v>2778</v>
      </c>
      <c r="C938" s="24">
        <v>252947.0</v>
      </c>
      <c r="D938" s="33" t="s">
        <v>90</v>
      </c>
      <c r="E938" s="24" t="s">
        <v>111</v>
      </c>
      <c r="F938" s="61">
        <v>0.5208333333333334</v>
      </c>
      <c r="G938" s="24"/>
    </row>
    <row r="939" spans="8:8" ht="41.25" customHeight="1">
      <c r="A939" s="24">
        <v>14.0</v>
      </c>
      <c r="B939" s="23" t="s">
        <v>2779</v>
      </c>
      <c r="C939" s="24">
        <v>252523.0</v>
      </c>
      <c r="D939" s="33" t="s">
        <v>90</v>
      </c>
      <c r="E939" s="24" t="s">
        <v>111</v>
      </c>
      <c r="F939" s="61">
        <v>0.5208333333333334</v>
      </c>
      <c r="G939" s="24"/>
    </row>
    <row r="940" spans="8:8" ht="41.25" customHeight="1">
      <c r="A940" s="24">
        <v>15.0</v>
      </c>
      <c r="B940" s="23" t="s">
        <v>2780</v>
      </c>
      <c r="C940" s="24">
        <v>251895.0</v>
      </c>
      <c r="D940" s="33" t="s">
        <v>104</v>
      </c>
      <c r="E940" s="24" t="s">
        <v>111</v>
      </c>
      <c r="F940" s="61">
        <v>0.5208333333333334</v>
      </c>
      <c r="G940" s="24"/>
    </row>
    <row r="941" spans="8:8" ht="41.25" customHeight="1">
      <c r="A941" s="24">
        <v>16.0</v>
      </c>
      <c r="B941" s="23" t="s">
        <v>2781</v>
      </c>
      <c r="C941" s="24">
        <v>251867.0</v>
      </c>
      <c r="D941" s="23" t="s">
        <v>104</v>
      </c>
      <c r="E941" s="24" t="s">
        <v>111</v>
      </c>
      <c r="F941" s="61">
        <v>0.5208333333333334</v>
      </c>
      <c r="G941" s="24"/>
    </row>
    <row r="942" spans="8:8" ht="41.25" customHeight="1">
      <c r="A942" s="24">
        <v>17.0</v>
      </c>
      <c r="B942" s="23" t="s">
        <v>2782</v>
      </c>
      <c r="C942" s="24">
        <v>251808.0</v>
      </c>
      <c r="D942" s="23" t="s">
        <v>104</v>
      </c>
      <c r="E942" s="24" t="s">
        <v>111</v>
      </c>
      <c r="F942" s="61">
        <v>0.5208333333333334</v>
      </c>
      <c r="G942" s="24"/>
    </row>
    <row r="943" spans="8:8" ht="41.25" customHeight="1">
      <c r="A943" s="24">
        <v>18.0</v>
      </c>
      <c r="B943" s="23" t="s">
        <v>2783</v>
      </c>
      <c r="C943" s="24">
        <v>251818.0</v>
      </c>
      <c r="D943" s="23" t="s">
        <v>104</v>
      </c>
      <c r="E943" s="24" t="s">
        <v>111</v>
      </c>
      <c r="F943" s="61">
        <v>0.5208333333333334</v>
      </c>
      <c r="G943" s="24"/>
    </row>
    <row r="944" spans="8:8" ht="41.25" customHeight="1">
      <c r="A944" s="24">
        <v>19.0</v>
      </c>
      <c r="B944" s="23" t="s">
        <v>2784</v>
      </c>
      <c r="C944" s="24">
        <v>251800.0</v>
      </c>
      <c r="D944" s="23" t="s">
        <v>104</v>
      </c>
      <c r="E944" s="24" t="s">
        <v>111</v>
      </c>
      <c r="F944" s="61">
        <v>0.5208333333333334</v>
      </c>
      <c r="G944" s="24"/>
    </row>
    <row r="945" spans="8:8" ht="41.25" customHeight="1">
      <c r="A945" s="60" t="s">
        <v>18</v>
      </c>
      <c r="B945" s="60" t="s">
        <v>19</v>
      </c>
      <c r="C945" s="60" t="s">
        <v>1870</v>
      </c>
      <c r="D945" s="60" t="s">
        <v>21</v>
      </c>
      <c r="E945" s="60" t="s">
        <v>22</v>
      </c>
      <c r="F945" s="9" t="s">
        <v>23</v>
      </c>
      <c r="G945" s="60" t="s">
        <v>2231</v>
      </c>
    </row>
    <row r="946" spans="8:8" ht="41.25" customHeight="1">
      <c r="A946" s="24">
        <v>1.0</v>
      </c>
      <c r="B946" s="23" t="s">
        <v>2785</v>
      </c>
      <c r="C946" s="24">
        <v>252180.0</v>
      </c>
      <c r="D946" s="23" t="s">
        <v>104</v>
      </c>
      <c r="E946" s="24" t="s">
        <v>580</v>
      </c>
      <c r="F946" s="61">
        <v>0.5208333333333334</v>
      </c>
      <c r="G946" s="24"/>
    </row>
    <row r="947" spans="8:8" ht="41.25" customHeight="1">
      <c r="A947" s="20">
        <v>2.0</v>
      </c>
      <c r="B947" s="19" t="s">
        <v>2786</v>
      </c>
      <c r="C947" s="20">
        <v>252191.0</v>
      </c>
      <c r="D947" s="19" t="s">
        <v>104</v>
      </c>
      <c r="E947" s="20" t="s">
        <v>580</v>
      </c>
      <c r="F947" s="59">
        <v>0.5208333333333334</v>
      </c>
      <c r="G947" s="13"/>
    </row>
    <row r="948" spans="8:8" ht="41.25" customHeight="1">
      <c r="A948" s="20">
        <v>3.0</v>
      </c>
      <c r="B948" s="19" t="s">
        <v>2787</v>
      </c>
      <c r="C948" s="20">
        <v>252212.0</v>
      </c>
      <c r="D948" s="19" t="s">
        <v>104</v>
      </c>
      <c r="E948" s="20" t="s">
        <v>580</v>
      </c>
      <c r="F948" s="59">
        <v>0.5208333333333334</v>
      </c>
      <c r="G948" s="20"/>
    </row>
    <row r="949" spans="8:8" ht="41.25" customHeight="1">
      <c r="A949" s="20">
        <v>4.0</v>
      </c>
      <c r="B949" s="19" t="s">
        <v>2788</v>
      </c>
      <c r="C949" s="20">
        <v>252208.0</v>
      </c>
      <c r="D949" s="19" t="s">
        <v>104</v>
      </c>
      <c r="E949" s="20" t="s">
        <v>580</v>
      </c>
      <c r="F949" s="59">
        <v>0.5208333333333334</v>
      </c>
      <c r="G949" s="20"/>
    </row>
    <row r="950" spans="8:8" ht="41.25" customHeight="1">
      <c r="A950" s="20">
        <v>5.0</v>
      </c>
      <c r="B950" s="19" t="s">
        <v>2789</v>
      </c>
      <c r="C950" s="20">
        <v>252225.0</v>
      </c>
      <c r="D950" s="19" t="s">
        <v>104</v>
      </c>
      <c r="E950" s="20" t="s">
        <v>580</v>
      </c>
      <c r="F950" s="59">
        <v>0.5208333333333334</v>
      </c>
      <c r="G950" s="20"/>
    </row>
    <row r="951" spans="8:8" ht="41.25" customHeight="1">
      <c r="A951" s="20">
        <v>6.0</v>
      </c>
      <c r="B951" s="19" t="s">
        <v>2790</v>
      </c>
      <c r="C951" s="20">
        <v>252313.0</v>
      </c>
      <c r="D951" s="19" t="s">
        <v>104</v>
      </c>
      <c r="E951" s="20" t="s">
        <v>580</v>
      </c>
      <c r="F951" s="59">
        <v>0.5208333333333334</v>
      </c>
      <c r="G951" s="20"/>
    </row>
    <row r="952" spans="8:8" ht="41.25" customHeight="1">
      <c r="A952" s="20">
        <v>7.0</v>
      </c>
      <c r="B952" s="19" t="s">
        <v>2791</v>
      </c>
      <c r="C952" s="20">
        <v>252310.0</v>
      </c>
      <c r="D952" s="19" t="s">
        <v>104</v>
      </c>
      <c r="E952" s="20" t="s">
        <v>580</v>
      </c>
      <c r="F952" s="59">
        <v>0.5208333333333334</v>
      </c>
      <c r="G952" s="20"/>
    </row>
    <row r="953" spans="8:8" ht="41.25" customHeight="1">
      <c r="A953" s="20">
        <v>8.0</v>
      </c>
      <c r="B953" s="19" t="s">
        <v>2792</v>
      </c>
      <c r="C953" s="20">
        <v>252268.0</v>
      </c>
      <c r="D953" s="19" t="s">
        <v>104</v>
      </c>
      <c r="E953" s="20" t="s">
        <v>580</v>
      </c>
      <c r="F953" s="59">
        <v>0.5208333333333334</v>
      </c>
      <c r="G953" s="20"/>
    </row>
    <row r="954" spans="8:8" ht="41.25" customHeight="1">
      <c r="A954" s="20">
        <v>9.0</v>
      </c>
      <c r="B954" s="19" t="s">
        <v>2793</v>
      </c>
      <c r="C954" s="20">
        <v>252033.0</v>
      </c>
      <c r="D954" s="19" t="s">
        <v>104</v>
      </c>
      <c r="E954" s="20" t="s">
        <v>580</v>
      </c>
      <c r="F954" s="59">
        <v>0.5208333333333334</v>
      </c>
      <c r="G954" s="20"/>
    </row>
    <row r="955" spans="8:8" ht="41.25" customHeight="1">
      <c r="A955" s="20">
        <v>10.0</v>
      </c>
      <c r="B955" s="23" t="s">
        <v>2794</v>
      </c>
      <c r="C955" s="24">
        <v>252123.0</v>
      </c>
      <c r="D955" s="19" t="s">
        <v>104</v>
      </c>
      <c r="E955" s="20" t="s">
        <v>580</v>
      </c>
      <c r="F955" s="59">
        <v>0.5208333333333334</v>
      </c>
      <c r="G955" s="20"/>
    </row>
    <row r="956" spans="8:8" ht="41.25" customHeight="1">
      <c r="A956" s="20">
        <v>11.0</v>
      </c>
      <c r="B956" s="19" t="s">
        <v>2795</v>
      </c>
      <c r="C956" s="20">
        <v>252117.0</v>
      </c>
      <c r="D956" s="19" t="s">
        <v>104</v>
      </c>
      <c r="E956" s="20" t="s">
        <v>580</v>
      </c>
      <c r="F956" s="59">
        <v>0.5208333333333334</v>
      </c>
      <c r="G956" s="20"/>
    </row>
    <row r="957" spans="8:8" ht="41.25" customHeight="1">
      <c r="A957" s="20">
        <v>12.0</v>
      </c>
      <c r="B957" s="19" t="s">
        <v>2796</v>
      </c>
      <c r="C957" s="20">
        <v>252151.0</v>
      </c>
      <c r="D957" s="19" t="s">
        <v>104</v>
      </c>
      <c r="E957" s="20" t="s">
        <v>580</v>
      </c>
      <c r="F957" s="59">
        <v>0.5208333333333334</v>
      </c>
      <c r="G957" s="20"/>
    </row>
    <row r="958" spans="8:8" ht="41.25" customHeight="1">
      <c r="A958" s="20">
        <v>13.0</v>
      </c>
      <c r="B958" s="23" t="s">
        <v>2797</v>
      </c>
      <c r="C958" s="24">
        <v>252092.0</v>
      </c>
      <c r="D958" s="19" t="s">
        <v>104</v>
      </c>
      <c r="E958" s="24" t="s">
        <v>580</v>
      </c>
      <c r="F958" s="59">
        <v>0.5208333333333334</v>
      </c>
      <c r="G958" s="24"/>
    </row>
    <row r="959" spans="8:8" ht="41.25" customHeight="1">
      <c r="A959" s="20">
        <v>14.0</v>
      </c>
      <c r="B959" s="19" t="s">
        <v>2798</v>
      </c>
      <c r="C959" s="20">
        <v>251935.0</v>
      </c>
      <c r="D959" s="19" t="s">
        <v>104</v>
      </c>
      <c r="E959" s="20" t="s">
        <v>580</v>
      </c>
      <c r="F959" s="59">
        <v>0.5208333333333334</v>
      </c>
      <c r="G959" s="20"/>
    </row>
    <row r="960" spans="8:8" ht="41.25" customHeight="1">
      <c r="A960" s="20">
        <v>15.0</v>
      </c>
      <c r="B960" s="19" t="s">
        <v>2799</v>
      </c>
      <c r="C960" s="20">
        <v>241694.0</v>
      </c>
      <c r="D960" s="19" t="s">
        <v>2665</v>
      </c>
      <c r="E960" s="20" t="s">
        <v>580</v>
      </c>
      <c r="F960" s="59">
        <v>0.5208333333333334</v>
      </c>
      <c r="G960" s="20"/>
    </row>
    <row r="961" spans="8:8" ht="41.25" customHeight="1">
      <c r="A961" s="20">
        <v>16.0</v>
      </c>
      <c r="B961" s="19" t="s">
        <v>2800</v>
      </c>
      <c r="C961" s="20">
        <v>241718.0</v>
      </c>
      <c r="D961" s="19" t="s">
        <v>2665</v>
      </c>
      <c r="E961" s="20" t="s">
        <v>580</v>
      </c>
      <c r="F961" s="59">
        <v>0.5208333333333334</v>
      </c>
      <c r="G961" s="20"/>
    </row>
    <row r="962" spans="8:8" ht="41.25" customHeight="1">
      <c r="A962" s="20">
        <v>17.0</v>
      </c>
      <c r="B962" s="19" t="s">
        <v>2801</v>
      </c>
      <c r="C962" s="20">
        <v>241675.0</v>
      </c>
      <c r="D962" s="19" t="s">
        <v>2665</v>
      </c>
      <c r="E962" s="20" t="s">
        <v>580</v>
      </c>
      <c r="F962" s="59">
        <v>0.5208333333333334</v>
      </c>
      <c r="G962" s="20"/>
    </row>
    <row r="963" spans="8:8" ht="41.25" customHeight="1">
      <c r="A963" s="20">
        <v>18.0</v>
      </c>
      <c r="B963" s="19" t="s">
        <v>2802</v>
      </c>
      <c r="C963" s="20">
        <v>241667.0</v>
      </c>
      <c r="D963" s="19" t="s">
        <v>2665</v>
      </c>
      <c r="E963" s="20" t="s">
        <v>580</v>
      </c>
      <c r="F963" s="59">
        <v>0.5208333333333334</v>
      </c>
      <c r="G963" s="20"/>
    </row>
    <row r="964" spans="8:8" ht="41.25" customHeight="1">
      <c r="A964" s="20">
        <v>19.0</v>
      </c>
      <c r="B964" s="19" t="s">
        <v>2803</v>
      </c>
      <c r="C964" s="20">
        <v>241814.0</v>
      </c>
      <c r="D964" s="19" t="s">
        <v>2665</v>
      </c>
      <c r="E964" s="20" t="s">
        <v>580</v>
      </c>
      <c r="F964" s="59">
        <v>0.5208333333333334</v>
      </c>
      <c r="G964" s="20"/>
    </row>
    <row r="965" spans="8:8" ht="41.25" customHeight="1">
      <c r="A965" s="20">
        <v>20.0</v>
      </c>
      <c r="B965" s="19" t="s">
        <v>2804</v>
      </c>
      <c r="C965" s="20">
        <v>241676.0</v>
      </c>
      <c r="D965" s="19" t="s">
        <v>2665</v>
      </c>
      <c r="E965" s="20" t="s">
        <v>580</v>
      </c>
      <c r="F965" s="59">
        <v>0.5208333333333334</v>
      </c>
      <c r="G965" s="20"/>
    </row>
    <row r="966" spans="8:8" ht="41.25" customHeight="1">
      <c r="A966" s="20">
        <v>21.0</v>
      </c>
      <c r="B966" s="19" t="s">
        <v>2805</v>
      </c>
      <c r="C966" s="20">
        <v>241912.0</v>
      </c>
      <c r="D966" s="19" t="s">
        <v>2665</v>
      </c>
      <c r="E966" s="20" t="s">
        <v>580</v>
      </c>
      <c r="F966" s="59">
        <v>0.5208333333333334</v>
      </c>
      <c r="G966" s="20"/>
    </row>
    <row r="967" spans="8:8" ht="41.25" customHeight="1">
      <c r="A967" s="20">
        <v>22.0</v>
      </c>
      <c r="B967" s="19" t="s">
        <v>2806</v>
      </c>
      <c r="C967" s="20">
        <v>241838.0</v>
      </c>
      <c r="D967" s="19" t="s">
        <v>2665</v>
      </c>
      <c r="E967" s="20" t="s">
        <v>580</v>
      </c>
      <c r="F967" s="59">
        <v>0.5208333333333334</v>
      </c>
      <c r="G967" s="20"/>
    </row>
    <row r="968" spans="8:8" ht="41.25" customHeight="1">
      <c r="A968" s="20">
        <v>23.0</v>
      </c>
      <c r="B968" s="19" t="s">
        <v>2807</v>
      </c>
      <c r="C968" s="20">
        <v>241869.0</v>
      </c>
      <c r="D968" s="19" t="s">
        <v>2665</v>
      </c>
      <c r="E968" s="20" t="s">
        <v>580</v>
      </c>
      <c r="F968" s="59">
        <v>0.5208333333333334</v>
      </c>
      <c r="G968" s="20"/>
    </row>
    <row r="969" spans="8:8" ht="41.25" customHeight="1">
      <c r="A969" s="20">
        <v>24.0</v>
      </c>
      <c r="B969" s="19" t="s">
        <v>2808</v>
      </c>
      <c r="C969" s="20">
        <v>241909.0</v>
      </c>
      <c r="D969" s="19" t="s">
        <v>2665</v>
      </c>
      <c r="E969" s="20" t="s">
        <v>580</v>
      </c>
      <c r="F969" s="59">
        <v>0.5208333333333334</v>
      </c>
      <c r="G969" s="20"/>
    </row>
    <row r="970" spans="8:8" ht="41.25" customHeight="1">
      <c r="A970" s="20">
        <v>25.0</v>
      </c>
      <c r="B970" s="19" t="s">
        <v>2809</v>
      </c>
      <c r="C970" s="20">
        <v>252164.0</v>
      </c>
      <c r="D970" s="19" t="s">
        <v>104</v>
      </c>
      <c r="E970" s="20" t="s">
        <v>580</v>
      </c>
      <c r="F970" s="59">
        <v>0.5208333333333334</v>
      </c>
      <c r="G970" s="20"/>
    </row>
    <row r="971" spans="8:8" ht="41.25" customHeight="1">
      <c r="A971" s="60" t="s">
        <v>18</v>
      </c>
      <c r="B971" s="60" t="s">
        <v>19</v>
      </c>
      <c r="C971" s="60" t="s">
        <v>1870</v>
      </c>
      <c r="D971" s="60" t="s">
        <v>21</v>
      </c>
      <c r="E971" s="60" t="s">
        <v>22</v>
      </c>
      <c r="F971" s="9" t="s">
        <v>23</v>
      </c>
      <c r="G971" s="60" t="s">
        <v>2257</v>
      </c>
    </row>
    <row r="972" spans="8:8" ht="41.25" customHeight="1">
      <c r="A972" s="24">
        <v>1.0</v>
      </c>
      <c r="B972" s="23" t="s">
        <v>2810</v>
      </c>
      <c r="C972" s="24">
        <v>241674.0</v>
      </c>
      <c r="D972" s="23" t="s">
        <v>2665</v>
      </c>
      <c r="E972" s="24" t="s">
        <v>580</v>
      </c>
      <c r="F972" s="61">
        <v>0.5208333333333334</v>
      </c>
      <c r="G972" s="24"/>
    </row>
    <row r="973" spans="8:8" ht="41.25" customHeight="1">
      <c r="A973" s="20">
        <v>2.0</v>
      </c>
      <c r="B973" s="19" t="s">
        <v>2811</v>
      </c>
      <c r="C973" s="20">
        <v>241881.0</v>
      </c>
      <c r="D973" s="19" t="s">
        <v>2692</v>
      </c>
      <c r="E973" s="20" t="s">
        <v>580</v>
      </c>
      <c r="F973" s="59">
        <v>0.5208333333333334</v>
      </c>
      <c r="G973" s="13"/>
    </row>
    <row r="974" spans="8:8" ht="41.25" customHeight="1">
      <c r="A974" s="20">
        <v>3.0</v>
      </c>
      <c r="B974" s="19" t="s">
        <v>2812</v>
      </c>
      <c r="C974" s="20">
        <v>241721.0</v>
      </c>
      <c r="D974" s="23" t="s">
        <v>2665</v>
      </c>
      <c r="E974" s="20" t="s">
        <v>580</v>
      </c>
      <c r="F974" s="59">
        <v>0.5208333333333334</v>
      </c>
      <c r="G974" s="20"/>
    </row>
    <row r="975" spans="8:8" ht="41.25" customHeight="1">
      <c r="A975" s="20">
        <v>4.0</v>
      </c>
      <c r="B975" s="19" t="s">
        <v>2813</v>
      </c>
      <c r="C975" s="20">
        <v>241683.0</v>
      </c>
      <c r="D975" s="19" t="s">
        <v>2665</v>
      </c>
      <c r="E975" s="20" t="s">
        <v>580</v>
      </c>
      <c r="F975" s="59">
        <v>0.5208333333333334</v>
      </c>
      <c r="G975" s="20"/>
    </row>
    <row r="976" spans="8:8" ht="41.25" customHeight="1">
      <c r="A976" s="20">
        <v>5.0</v>
      </c>
      <c r="B976" s="19" t="s">
        <v>2814</v>
      </c>
      <c r="C976" s="20">
        <v>241672.0</v>
      </c>
      <c r="D976" s="19" t="s">
        <v>2665</v>
      </c>
      <c r="E976" s="20" t="s">
        <v>580</v>
      </c>
      <c r="F976" s="59">
        <v>0.5208333333333334</v>
      </c>
      <c r="G976" s="20"/>
    </row>
    <row r="977" spans="8:8" ht="41.25" customHeight="1">
      <c r="A977" s="20">
        <v>6.0</v>
      </c>
      <c r="B977" s="19" t="s">
        <v>2815</v>
      </c>
      <c r="C977" s="20">
        <v>241829.0</v>
      </c>
      <c r="D977" s="19" t="s">
        <v>2665</v>
      </c>
      <c r="E977" s="20" t="s">
        <v>580</v>
      </c>
      <c r="F977" s="59">
        <v>0.5208333333333334</v>
      </c>
      <c r="G977" s="20"/>
    </row>
    <row r="978" spans="8:8" ht="41.25" customHeight="1">
      <c r="A978" s="20">
        <v>8.0</v>
      </c>
      <c r="B978" s="21" t="s">
        <v>2816</v>
      </c>
      <c r="C978" s="22">
        <v>252269.0</v>
      </c>
      <c r="D978" s="21" t="s">
        <v>104</v>
      </c>
      <c r="E978" s="22" t="s">
        <v>580</v>
      </c>
      <c r="F978" s="59">
        <v>0.5208333333333334</v>
      </c>
      <c r="G978" s="22"/>
    </row>
    <row r="979" spans="8:8" ht="41.25" customHeight="1">
      <c r="A979" s="20">
        <v>9.0</v>
      </c>
      <c r="B979" s="19" t="s">
        <v>2817</v>
      </c>
      <c r="C979" s="20">
        <v>241720.0</v>
      </c>
      <c r="D979" s="19" t="s">
        <v>2665</v>
      </c>
      <c r="E979" s="20" t="s">
        <v>580</v>
      </c>
      <c r="F979" s="59">
        <v>0.5208333333333334</v>
      </c>
      <c r="G979" s="20"/>
    </row>
    <row r="980" spans="8:8" ht="41.25" customHeight="1">
      <c r="A980" s="20">
        <v>10.0</v>
      </c>
      <c r="B980" s="19" t="s">
        <v>2818</v>
      </c>
      <c r="C980" s="20">
        <v>241724.0</v>
      </c>
      <c r="D980" s="19" t="s">
        <v>2665</v>
      </c>
      <c r="E980" s="20" t="s">
        <v>580</v>
      </c>
      <c r="F980" s="59">
        <v>0.5208333333333334</v>
      </c>
      <c r="G980" s="20"/>
    </row>
    <row r="981" spans="8:8" ht="41.25" customHeight="1">
      <c r="A981" s="20">
        <v>11.0</v>
      </c>
      <c r="B981" s="19" t="s">
        <v>2819</v>
      </c>
      <c r="C981" s="20">
        <v>241685.0</v>
      </c>
      <c r="D981" s="19" t="s">
        <v>2665</v>
      </c>
      <c r="E981" s="20" t="s">
        <v>580</v>
      </c>
      <c r="F981" s="59">
        <v>0.5208333333333334</v>
      </c>
      <c r="G981" s="20"/>
    </row>
    <row r="982" spans="8:8" ht="41.25" customHeight="1">
      <c r="A982" s="20">
        <v>12.0</v>
      </c>
      <c r="B982" s="19" t="s">
        <v>2820</v>
      </c>
      <c r="C982" s="20">
        <v>241714.0</v>
      </c>
      <c r="D982" s="19" t="s">
        <v>2665</v>
      </c>
      <c r="E982" s="20" t="s">
        <v>580</v>
      </c>
      <c r="F982" s="59">
        <v>0.5208333333333334</v>
      </c>
      <c r="G982" s="20"/>
    </row>
    <row r="983" spans="8:8" ht="41.25" customHeight="1">
      <c r="A983" s="20">
        <v>13.0</v>
      </c>
      <c r="B983" s="19" t="s">
        <v>2821</v>
      </c>
      <c r="C983" s="20">
        <v>241824.0</v>
      </c>
      <c r="D983" s="19" t="s">
        <v>2665</v>
      </c>
      <c r="E983" s="20" t="s">
        <v>580</v>
      </c>
      <c r="F983" s="59">
        <v>0.5208333333333334</v>
      </c>
      <c r="G983" s="20"/>
    </row>
    <row r="984" spans="8:8" ht="41.25" customHeight="1">
      <c r="A984" s="60" t="s">
        <v>18</v>
      </c>
      <c r="B984" s="60" t="s">
        <v>19</v>
      </c>
      <c r="C984" s="60" t="s">
        <v>1870</v>
      </c>
      <c r="D984" s="60" t="s">
        <v>21</v>
      </c>
      <c r="E984" s="60" t="s">
        <v>22</v>
      </c>
      <c r="F984" s="9" t="s">
        <v>23</v>
      </c>
      <c r="G984" s="60" t="s">
        <v>447</v>
      </c>
    </row>
    <row r="985" spans="8:8" ht="41.25" customHeight="1">
      <c r="A985" s="24">
        <v>1.0</v>
      </c>
      <c r="B985" s="23" t="s">
        <v>2822</v>
      </c>
      <c r="C985" s="24">
        <v>241713.0</v>
      </c>
      <c r="D985" s="23" t="s">
        <v>2665</v>
      </c>
      <c r="E985" s="24" t="s">
        <v>580</v>
      </c>
      <c r="F985" s="61">
        <v>0.5208333333333334</v>
      </c>
      <c r="G985" s="24"/>
    </row>
    <row r="986" spans="8:8" ht="41.25" customHeight="1">
      <c r="A986" s="20">
        <v>2.0</v>
      </c>
      <c r="B986" s="19" t="s">
        <v>2823</v>
      </c>
      <c r="C986" s="20">
        <v>241668.0</v>
      </c>
      <c r="D986" s="19" t="s">
        <v>2665</v>
      </c>
      <c r="E986" s="20" t="s">
        <v>580</v>
      </c>
      <c r="F986" s="59">
        <v>0.5208333333333334</v>
      </c>
      <c r="G986" s="13"/>
    </row>
    <row r="987" spans="8:8" ht="41.25" customHeight="1">
      <c r="A987" s="20">
        <v>3.0</v>
      </c>
      <c r="B987" s="19" t="s">
        <v>2824</v>
      </c>
      <c r="C987" s="20">
        <v>241911.0</v>
      </c>
      <c r="D987" s="19" t="s">
        <v>2665</v>
      </c>
      <c r="E987" s="20" t="s">
        <v>580</v>
      </c>
      <c r="F987" s="59">
        <v>0.5208333333333334</v>
      </c>
      <c r="G987" s="20"/>
    </row>
    <row r="988" spans="8:8" ht="41.25" customHeight="1">
      <c r="A988" s="20">
        <v>4.0</v>
      </c>
      <c r="B988" s="19" t="s">
        <v>2825</v>
      </c>
      <c r="C988" s="20">
        <v>241914.0</v>
      </c>
      <c r="D988" s="19" t="s">
        <v>2665</v>
      </c>
      <c r="E988" s="20" t="s">
        <v>580</v>
      </c>
      <c r="F988" s="59">
        <v>0.5208333333333334</v>
      </c>
      <c r="G988" s="20"/>
    </row>
    <row r="989" spans="8:8" ht="41.25" customHeight="1">
      <c r="A989" s="20">
        <v>5.0</v>
      </c>
      <c r="B989" s="19" t="s">
        <v>2826</v>
      </c>
      <c r="C989" s="20">
        <v>241691.0</v>
      </c>
      <c r="D989" s="19" t="s">
        <v>2665</v>
      </c>
      <c r="E989" s="20" t="s">
        <v>580</v>
      </c>
      <c r="F989" s="59">
        <v>0.5208333333333334</v>
      </c>
      <c r="G989" s="20"/>
    </row>
    <row r="990" spans="8:8" ht="41.25" customHeight="1">
      <c r="A990" s="20">
        <v>6.0</v>
      </c>
      <c r="B990" s="19" t="s">
        <v>2827</v>
      </c>
      <c r="C990" s="20">
        <v>241693.0</v>
      </c>
      <c r="D990" s="19" t="s">
        <v>2665</v>
      </c>
      <c r="E990" s="20" t="s">
        <v>580</v>
      </c>
      <c r="F990" s="59">
        <v>0.5208333333333334</v>
      </c>
      <c r="G990" s="20"/>
    </row>
    <row r="991" spans="8:8" ht="41.25" customHeight="1">
      <c r="A991" s="20">
        <v>7.0</v>
      </c>
      <c r="B991" s="19" t="s">
        <v>2828</v>
      </c>
      <c r="C991" s="20">
        <v>241915.0</v>
      </c>
      <c r="D991" s="19" t="s">
        <v>2665</v>
      </c>
      <c r="E991" s="20" t="s">
        <v>580</v>
      </c>
      <c r="F991" s="59">
        <v>0.5208333333333334</v>
      </c>
      <c r="G991" s="20"/>
    </row>
    <row r="992" spans="8:8" ht="41.25" customHeight="1">
      <c r="A992" s="20">
        <v>8.0</v>
      </c>
      <c r="B992" s="19" t="s">
        <v>2829</v>
      </c>
      <c r="C992" s="20">
        <v>241857.0</v>
      </c>
      <c r="D992" s="19" t="s">
        <v>2665</v>
      </c>
      <c r="E992" s="20" t="s">
        <v>580</v>
      </c>
      <c r="F992" s="59">
        <v>0.5208333333333334</v>
      </c>
      <c r="G992" s="20"/>
    </row>
    <row r="993" spans="8:8" ht="41.25" customHeight="1">
      <c r="A993" s="20">
        <v>9.0</v>
      </c>
      <c r="B993" s="19" t="s">
        <v>2830</v>
      </c>
      <c r="C993" s="20">
        <v>241727.0</v>
      </c>
      <c r="D993" s="19" t="s">
        <v>2665</v>
      </c>
      <c r="E993" s="20" t="s">
        <v>580</v>
      </c>
      <c r="F993" s="59">
        <v>0.5208333333333334</v>
      </c>
      <c r="G993" s="20"/>
    </row>
    <row r="994" spans="8:8" ht="41.25" customHeight="1">
      <c r="A994" s="20">
        <v>10.0</v>
      </c>
      <c r="B994" s="19" t="s">
        <v>2831</v>
      </c>
      <c r="C994" s="20">
        <v>241726.0</v>
      </c>
      <c r="D994" s="19" t="s">
        <v>2665</v>
      </c>
      <c r="E994" s="20" t="s">
        <v>580</v>
      </c>
      <c r="F994" s="59">
        <v>0.5208333333333334</v>
      </c>
      <c r="G994" s="20"/>
    </row>
    <row r="995" spans="8:8" ht="41.25" customHeight="1">
      <c r="A995" s="20">
        <v>11.0</v>
      </c>
      <c r="B995" s="19" t="s">
        <v>2832</v>
      </c>
      <c r="C995" s="20">
        <v>252153.0</v>
      </c>
      <c r="D995" s="19" t="s">
        <v>104</v>
      </c>
      <c r="E995" s="24" t="s">
        <v>580</v>
      </c>
      <c r="F995" s="59">
        <v>0.5208333333333334</v>
      </c>
      <c r="G995" s="24"/>
    </row>
    <row r="996" spans="8:8" ht="41.25" customHeight="1">
      <c r="A996" s="20">
        <v>12.0</v>
      </c>
      <c r="B996" s="19" t="s">
        <v>2833</v>
      </c>
      <c r="C996" s="20">
        <v>252343.0</v>
      </c>
      <c r="D996" s="19" t="s">
        <v>104</v>
      </c>
      <c r="E996" s="20" t="s">
        <v>580</v>
      </c>
      <c r="F996" s="59">
        <v>0.5208333333333334</v>
      </c>
      <c r="G996" s="20"/>
    </row>
    <row r="997" spans="8:8" ht="41.25" customHeight="1">
      <c r="A997" s="60" t="s">
        <v>18</v>
      </c>
      <c r="B997" s="60" t="s">
        <v>19</v>
      </c>
      <c r="C997" s="60" t="s">
        <v>1870</v>
      </c>
      <c r="D997" s="60" t="s">
        <v>21</v>
      </c>
      <c r="E997" s="60" t="s">
        <v>22</v>
      </c>
      <c r="F997" s="9" t="s">
        <v>23</v>
      </c>
      <c r="G997" s="60" t="s">
        <v>2308</v>
      </c>
    </row>
    <row r="998" spans="8:8" ht="41.25" customHeight="1">
      <c r="A998" s="24">
        <v>1.0</v>
      </c>
      <c r="B998" s="23" t="s">
        <v>2834</v>
      </c>
      <c r="C998" s="24">
        <v>252400.0</v>
      </c>
      <c r="D998" s="23" t="s">
        <v>104</v>
      </c>
      <c r="E998" s="24" t="s">
        <v>580</v>
      </c>
      <c r="F998" s="61">
        <v>0.5208333333333334</v>
      </c>
      <c r="G998" s="24"/>
    </row>
    <row r="999" spans="8:8" ht="41.25" customHeight="1">
      <c r="A999" s="20">
        <v>2.0</v>
      </c>
      <c r="B999" s="19" t="s">
        <v>2835</v>
      </c>
      <c r="C999" s="20">
        <v>252395.0</v>
      </c>
      <c r="D999" s="19" t="s">
        <v>104</v>
      </c>
      <c r="E999" s="20" t="s">
        <v>580</v>
      </c>
      <c r="F999" s="59">
        <v>0.5208333333333334</v>
      </c>
      <c r="G999" s="13"/>
    </row>
    <row r="1000" spans="8:8" ht="41.25" customHeight="1">
      <c r="A1000" s="20">
        <v>3.0</v>
      </c>
      <c r="B1000" s="19" t="s">
        <v>2836</v>
      </c>
      <c r="C1000" s="20">
        <v>252418.0</v>
      </c>
      <c r="D1000" s="19" t="s">
        <v>104</v>
      </c>
      <c r="E1000" s="20" t="s">
        <v>580</v>
      </c>
      <c r="F1000" s="59">
        <v>0.5208333333333334</v>
      </c>
      <c r="G1000" s="20"/>
    </row>
    <row r="1001" spans="8:8" ht="41.25" customHeight="1">
      <c r="A1001" s="20">
        <v>4.0</v>
      </c>
      <c r="B1001" s="19" t="s">
        <v>2837</v>
      </c>
      <c r="C1001" s="20">
        <v>252436.0</v>
      </c>
      <c r="D1001" s="19" t="s">
        <v>104</v>
      </c>
      <c r="E1001" s="20" t="s">
        <v>580</v>
      </c>
      <c r="F1001" s="59">
        <v>0.5208333333333334</v>
      </c>
      <c r="G1001" s="20"/>
    </row>
    <row r="1002" spans="8:8" ht="41.25" customHeight="1">
      <c r="A1002" s="24">
        <v>6.0</v>
      </c>
      <c r="B1002" s="23" t="s">
        <v>2838</v>
      </c>
      <c r="C1002" s="24">
        <v>253176.0</v>
      </c>
      <c r="D1002" s="23" t="s">
        <v>90</v>
      </c>
      <c r="E1002" s="24" t="s">
        <v>580</v>
      </c>
      <c r="F1002" s="61">
        <v>0.5208333333333334</v>
      </c>
      <c r="G1002" s="24"/>
    </row>
    <row r="1003" spans="8:8" ht="41.25" customHeight="1">
      <c r="A1003" s="24">
        <v>7.0</v>
      </c>
      <c r="B1003" s="23" t="s">
        <v>2839</v>
      </c>
      <c r="C1003" s="24">
        <v>252524.0</v>
      </c>
      <c r="D1003" s="33" t="s">
        <v>90</v>
      </c>
      <c r="E1003" s="24" t="s">
        <v>580</v>
      </c>
      <c r="F1003" s="61">
        <v>0.5208333333333334</v>
      </c>
      <c r="G1003" s="24"/>
    </row>
    <row r="1004" spans="8:8" ht="41.25" customHeight="1">
      <c r="A1004" s="24">
        <v>8.0</v>
      </c>
      <c r="B1004" s="23" t="s">
        <v>2840</v>
      </c>
      <c r="C1004" s="24">
        <v>253007.0</v>
      </c>
      <c r="D1004" s="33" t="s">
        <v>104</v>
      </c>
      <c r="E1004" s="24" t="s">
        <v>580</v>
      </c>
      <c r="F1004" s="61">
        <v>0.5208333333333334</v>
      </c>
      <c r="G1004" s="24"/>
    </row>
    <row r="1005" spans="8:8" ht="41.25" customHeight="1">
      <c r="A1005" s="24">
        <v>9.0</v>
      </c>
      <c r="B1005" s="23" t="s">
        <v>2841</v>
      </c>
      <c r="C1005" s="24">
        <v>253012.0</v>
      </c>
      <c r="D1005" s="23" t="s">
        <v>104</v>
      </c>
      <c r="E1005" s="24" t="s">
        <v>580</v>
      </c>
      <c r="F1005" s="61">
        <v>0.5208333333333334</v>
      </c>
      <c r="G1005" s="24"/>
    </row>
    <row r="1006" spans="8:8" ht="41.25" customHeight="1">
      <c r="A1006" s="24">
        <v>11.0</v>
      </c>
      <c r="B1006" s="23" t="s">
        <v>2842</v>
      </c>
      <c r="C1006" s="24">
        <v>253109.0</v>
      </c>
      <c r="D1006" s="23" t="s">
        <v>104</v>
      </c>
      <c r="E1006" s="24" t="s">
        <v>580</v>
      </c>
      <c r="F1006" s="61">
        <v>0.5208333333333334</v>
      </c>
      <c r="G1006" s="24"/>
    </row>
    <row r="1007" spans="8:8" ht="41.25" customHeight="1">
      <c r="A1007" s="24">
        <v>12.0</v>
      </c>
      <c r="B1007" s="23" t="s">
        <v>2843</v>
      </c>
      <c r="C1007" s="24">
        <v>253030.0</v>
      </c>
      <c r="D1007" s="23" t="s">
        <v>90</v>
      </c>
      <c r="E1007" s="24" t="s">
        <v>580</v>
      </c>
      <c r="F1007" s="61">
        <v>0.5208333333333334</v>
      </c>
      <c r="G1007" s="24"/>
    </row>
    <row r="1008" spans="8:8" ht="41.25" customHeight="1">
      <c r="A1008" s="24">
        <v>13.0</v>
      </c>
      <c r="B1008" s="23" t="s">
        <v>2844</v>
      </c>
      <c r="C1008" s="24">
        <v>253120.0</v>
      </c>
      <c r="D1008" s="33" t="s">
        <v>104</v>
      </c>
      <c r="E1008" s="24" t="s">
        <v>580</v>
      </c>
      <c r="F1008" s="61">
        <v>0.5208333333333334</v>
      </c>
      <c r="G1008" s="24"/>
    </row>
    <row r="1009" spans="8:8" ht="41.25" customHeight="1">
      <c r="A1009" s="24">
        <v>15.0</v>
      </c>
      <c r="B1009" s="23" t="s">
        <v>2845</v>
      </c>
      <c r="C1009" s="24">
        <v>252888.0</v>
      </c>
      <c r="D1009" s="23" t="s">
        <v>104</v>
      </c>
      <c r="E1009" s="24" t="s">
        <v>580</v>
      </c>
      <c r="F1009" s="61">
        <v>0.5208333333333334</v>
      </c>
      <c r="G1009" s="24"/>
    </row>
    <row r="1010" spans="8:8" ht="41.25" customHeight="1">
      <c r="A1010" s="24">
        <v>17.0</v>
      </c>
      <c r="B1010" s="23" t="s">
        <v>2846</v>
      </c>
      <c r="C1010" s="24">
        <v>241452.0</v>
      </c>
      <c r="D1010" s="23" t="s">
        <v>1369</v>
      </c>
      <c r="E1010" s="24" t="s">
        <v>580</v>
      </c>
      <c r="F1010" s="61">
        <v>0.5208333333333334</v>
      </c>
      <c r="G1010" s="24"/>
    </row>
    <row r="1011" spans="8:8" ht="41.25" customHeight="1">
      <c r="A1011" s="24">
        <v>18.0</v>
      </c>
      <c r="B1011" s="23" t="s">
        <v>2847</v>
      </c>
      <c r="C1011" s="24">
        <v>251828.0</v>
      </c>
      <c r="D1011" s="23" t="s">
        <v>104</v>
      </c>
      <c r="E1011" s="24" t="s">
        <v>580</v>
      </c>
      <c r="F1011" s="61">
        <v>0.5208333333333334</v>
      </c>
      <c r="G1011" s="24"/>
    </row>
    <row r="1012" spans="8:8" ht="41.25" customHeight="1">
      <c r="A1012" s="24">
        <v>19.0</v>
      </c>
      <c r="B1012" s="23" t="s">
        <v>2848</v>
      </c>
      <c r="C1012" s="24">
        <v>251881.0</v>
      </c>
      <c r="D1012" s="23" t="s">
        <v>104</v>
      </c>
      <c r="E1012" s="24" t="s">
        <v>580</v>
      </c>
      <c r="F1012" s="61">
        <v>0.5208333333333334</v>
      </c>
      <c r="G1012" s="24"/>
    </row>
    <row r="1013" spans="8:8" ht="41.25" customHeight="1">
      <c r="A1013" s="24">
        <v>20.0</v>
      </c>
      <c r="B1013" s="23" t="s">
        <v>2849</v>
      </c>
      <c r="C1013" s="24">
        <v>253064.0</v>
      </c>
      <c r="D1013" s="23" t="s">
        <v>104</v>
      </c>
      <c r="E1013" s="24" t="s">
        <v>580</v>
      </c>
      <c r="F1013" s="61">
        <v>0.5208333333333334</v>
      </c>
      <c r="G1013" s="24"/>
    </row>
    <row r="1014" spans="8:8" ht="41.25" customHeight="1">
      <c r="A1014" s="24">
        <v>21.0</v>
      </c>
      <c r="B1014" s="12" t="s">
        <v>2850</v>
      </c>
      <c r="C1014" s="13">
        <v>241336.0</v>
      </c>
      <c r="D1014" s="12" t="s">
        <v>1369</v>
      </c>
      <c r="E1014" s="13" t="s">
        <v>580</v>
      </c>
      <c r="F1014" s="61">
        <v>0.5208333333333334</v>
      </c>
      <c r="G1014" s="13"/>
    </row>
    <row r="1015" spans="8:8" ht="41.25" customHeight="1">
      <c r="A1015" s="60" t="s">
        <v>18</v>
      </c>
      <c r="B1015" s="60" t="s">
        <v>19</v>
      </c>
      <c r="C1015" s="60" t="s">
        <v>1870</v>
      </c>
      <c r="D1015" s="60" t="s">
        <v>21</v>
      </c>
      <c r="E1015" s="60" t="s">
        <v>22</v>
      </c>
      <c r="F1015" s="9" t="s">
        <v>23</v>
      </c>
      <c r="G1015" s="60" t="s">
        <v>2334</v>
      </c>
    </row>
    <row r="1016" spans="8:8" ht="41.25" customHeight="1">
      <c r="A1016" s="24">
        <v>1.0</v>
      </c>
      <c r="B1016" s="12" t="s">
        <v>2851</v>
      </c>
      <c r="C1016" s="13">
        <v>251959.0</v>
      </c>
      <c r="D1016" s="23" t="s">
        <v>104</v>
      </c>
      <c r="E1016" s="13" t="s">
        <v>781</v>
      </c>
      <c r="F1016" s="58">
        <v>0.5208333333333334</v>
      </c>
      <c r="G1016" s="13"/>
    </row>
    <row r="1017" spans="8:8" ht="41.25" customHeight="1">
      <c r="A1017" s="20">
        <v>2.0</v>
      </c>
      <c r="B1017" s="19" t="s">
        <v>2852</v>
      </c>
      <c r="C1017" s="20">
        <v>252270.0</v>
      </c>
      <c r="D1017" s="19" t="s">
        <v>104</v>
      </c>
      <c r="E1017" s="20" t="s">
        <v>781</v>
      </c>
      <c r="F1017" s="59">
        <v>0.5208333333333334</v>
      </c>
      <c r="G1017" s="13"/>
    </row>
    <row r="1018" spans="8:8" ht="41.25" customHeight="1">
      <c r="A1018" s="20">
        <v>3.0</v>
      </c>
      <c r="B1018" s="19" t="s">
        <v>2853</v>
      </c>
      <c r="C1018" s="20">
        <v>241717.0</v>
      </c>
      <c r="D1018" s="19" t="s">
        <v>2665</v>
      </c>
      <c r="E1018" s="20" t="s">
        <v>781</v>
      </c>
      <c r="F1018" s="59">
        <v>0.5208333333333334</v>
      </c>
      <c r="G1018" s="20"/>
    </row>
    <row r="1019" spans="8:8" ht="41.25" customHeight="1">
      <c r="A1019" s="20">
        <v>4.0</v>
      </c>
      <c r="B1019" s="19" t="s">
        <v>2854</v>
      </c>
      <c r="C1019" s="20">
        <v>241688.0</v>
      </c>
      <c r="D1019" s="19" t="s">
        <v>2665</v>
      </c>
      <c r="E1019" s="20" t="s">
        <v>781</v>
      </c>
      <c r="F1019" s="59">
        <v>0.5208333333333334</v>
      </c>
      <c r="G1019" s="20"/>
    </row>
    <row r="1020" spans="8:8" ht="41.25" customHeight="1">
      <c r="A1020" s="20">
        <v>5.0</v>
      </c>
      <c r="B1020" s="19" t="s">
        <v>2855</v>
      </c>
      <c r="C1020" s="20">
        <v>241697.0</v>
      </c>
      <c r="D1020" s="19" t="s">
        <v>2665</v>
      </c>
      <c r="E1020" s="20" t="s">
        <v>781</v>
      </c>
      <c r="F1020" s="59">
        <v>0.5208333333333334</v>
      </c>
      <c r="G1020" s="20"/>
    </row>
    <row r="1021" spans="8:8" ht="41.25" customHeight="1">
      <c r="A1021" s="20">
        <v>6.0</v>
      </c>
      <c r="B1021" s="19" t="s">
        <v>2856</v>
      </c>
      <c r="C1021" s="20">
        <v>241689.0</v>
      </c>
      <c r="D1021" s="19" t="s">
        <v>2665</v>
      </c>
      <c r="E1021" s="20" t="s">
        <v>781</v>
      </c>
      <c r="F1021" s="59">
        <v>0.5208333333333334</v>
      </c>
      <c r="G1021" s="20"/>
    </row>
    <row r="1022" spans="8:8" ht="41.25" customHeight="1">
      <c r="A1022" s="20">
        <v>7.0</v>
      </c>
      <c r="B1022" s="19" t="s">
        <v>2857</v>
      </c>
      <c r="C1022" s="20">
        <v>241715.0</v>
      </c>
      <c r="D1022" s="19" t="s">
        <v>2665</v>
      </c>
      <c r="E1022" s="20" t="s">
        <v>781</v>
      </c>
      <c r="F1022" s="59">
        <v>0.5208333333333334</v>
      </c>
      <c r="G1022" s="20"/>
    </row>
    <row r="1023" spans="8:8" ht="41.25" customHeight="1">
      <c r="A1023" s="20">
        <v>8.0</v>
      </c>
      <c r="B1023" s="19" t="s">
        <v>2858</v>
      </c>
      <c r="C1023" s="20">
        <v>241804.0</v>
      </c>
      <c r="D1023" s="19" t="s">
        <v>2665</v>
      </c>
      <c r="E1023" s="20" t="s">
        <v>781</v>
      </c>
      <c r="F1023" s="59">
        <v>0.5208333333333334</v>
      </c>
      <c r="G1023" s="20"/>
    </row>
    <row r="1024" spans="8:8" ht="41.25" customHeight="1">
      <c r="A1024" s="20">
        <v>9.0</v>
      </c>
      <c r="B1024" s="19" t="s">
        <v>2859</v>
      </c>
      <c r="C1024" s="20">
        <v>241716.0</v>
      </c>
      <c r="D1024" s="19" t="s">
        <v>2665</v>
      </c>
      <c r="E1024" s="20" t="s">
        <v>781</v>
      </c>
      <c r="F1024" s="59">
        <v>0.5208333333333334</v>
      </c>
      <c r="G1024" s="20"/>
    </row>
    <row r="1025" spans="8:8" ht="41.25" customHeight="1">
      <c r="A1025" s="20">
        <v>10.0</v>
      </c>
      <c r="B1025" s="19" t="s">
        <v>2860</v>
      </c>
      <c r="C1025" s="20">
        <v>241681.0</v>
      </c>
      <c r="D1025" s="19" t="s">
        <v>2665</v>
      </c>
      <c r="E1025" s="20" t="s">
        <v>781</v>
      </c>
      <c r="F1025" s="59">
        <v>0.5208333333333334</v>
      </c>
      <c r="G1025" s="20"/>
    </row>
    <row r="1026" spans="8:8" ht="41.25" customHeight="1">
      <c r="A1026" s="20">
        <v>11.0</v>
      </c>
      <c r="B1026" s="19" t="s">
        <v>2861</v>
      </c>
      <c r="C1026" s="20">
        <v>252302.0</v>
      </c>
      <c r="D1026" s="19" t="s">
        <v>104</v>
      </c>
      <c r="E1026" s="20" t="s">
        <v>781</v>
      </c>
      <c r="F1026" s="59">
        <v>0.5208333333333334</v>
      </c>
      <c r="G1026" s="20"/>
    </row>
    <row r="1027" spans="8:8" ht="41.25" customHeight="1">
      <c r="A1027" s="20">
        <v>12.0</v>
      </c>
      <c r="B1027" s="19" t="s">
        <v>2862</v>
      </c>
      <c r="C1027" s="20">
        <v>241728.0</v>
      </c>
      <c r="D1027" s="19" t="s">
        <v>2665</v>
      </c>
      <c r="E1027" s="20" t="s">
        <v>781</v>
      </c>
      <c r="F1027" s="59">
        <v>0.5208333333333334</v>
      </c>
      <c r="G1027" s="20"/>
    </row>
    <row r="1028" spans="8:8" ht="41.25" customHeight="1">
      <c r="A1028" s="20">
        <v>13.0</v>
      </c>
      <c r="B1028" s="19" t="s">
        <v>2863</v>
      </c>
      <c r="C1028" s="20">
        <v>241702.0</v>
      </c>
      <c r="D1028" s="19" t="s">
        <v>2665</v>
      </c>
      <c r="E1028" s="20" t="s">
        <v>781</v>
      </c>
      <c r="F1028" s="59">
        <v>0.5208333333333334</v>
      </c>
      <c r="G1028" s="20"/>
    </row>
    <row r="1029" spans="8:8" ht="41.25" customHeight="1">
      <c r="A1029" s="20">
        <v>14.0</v>
      </c>
      <c r="B1029" s="19" t="s">
        <v>2864</v>
      </c>
      <c r="C1029" s="20">
        <v>241731.0</v>
      </c>
      <c r="D1029" s="19" t="s">
        <v>2665</v>
      </c>
      <c r="E1029" s="20" t="s">
        <v>781</v>
      </c>
      <c r="F1029" s="59">
        <v>0.5208333333333334</v>
      </c>
      <c r="G1029" s="20"/>
    </row>
    <row r="1030" spans="8:8" ht="41.25" customHeight="1">
      <c r="A1030" s="20">
        <v>16.0</v>
      </c>
      <c r="B1030" s="21" t="s">
        <v>2865</v>
      </c>
      <c r="C1030" s="22">
        <v>252069.0</v>
      </c>
      <c r="D1030" s="21" t="s">
        <v>104</v>
      </c>
      <c r="E1030" s="22" t="s">
        <v>781</v>
      </c>
      <c r="F1030" s="59">
        <v>0.5208333333333334</v>
      </c>
      <c r="G1030" s="22"/>
    </row>
    <row r="1031" spans="8:8" ht="41.25" customHeight="1">
      <c r="A1031" s="20">
        <v>17.0</v>
      </c>
      <c r="B1031" s="19" t="s">
        <v>2866</v>
      </c>
      <c r="C1031" s="20">
        <v>252073.0</v>
      </c>
      <c r="D1031" s="19" t="s">
        <v>104</v>
      </c>
      <c r="E1031" s="20" t="s">
        <v>781</v>
      </c>
      <c r="F1031" s="59">
        <v>0.5208333333333334</v>
      </c>
      <c r="G1031" s="20"/>
    </row>
    <row r="1032" spans="8:8" ht="41.25" customHeight="1">
      <c r="A1032" s="20">
        <v>18.0</v>
      </c>
      <c r="B1032" s="19" t="s">
        <v>2867</v>
      </c>
      <c r="C1032" s="20">
        <v>253163.0</v>
      </c>
      <c r="D1032" s="19" t="s">
        <v>104</v>
      </c>
      <c r="E1032" s="20" t="s">
        <v>781</v>
      </c>
      <c r="F1032" s="59">
        <v>0.5208333333333334</v>
      </c>
      <c r="G1032" s="20"/>
    </row>
    <row r="1033" spans="8:8" ht="41.25" customHeight="1">
      <c r="A1033" s="20">
        <v>20.0</v>
      </c>
      <c r="B1033" s="23" t="s">
        <v>2868</v>
      </c>
      <c r="C1033" s="24">
        <v>241705.0</v>
      </c>
      <c r="D1033" s="19" t="s">
        <v>2665</v>
      </c>
      <c r="E1033" s="20" t="s">
        <v>781</v>
      </c>
      <c r="F1033" s="59">
        <v>0.5208333333333334</v>
      </c>
      <c r="G1033" s="20"/>
    </row>
    <row r="1034" spans="8:8" ht="41.25" customHeight="1">
      <c r="A1034" s="20">
        <v>21.0</v>
      </c>
      <c r="B1034" s="23" t="s">
        <v>2869</v>
      </c>
      <c r="C1034" s="24">
        <v>251801.0</v>
      </c>
      <c r="D1034" s="19" t="s">
        <v>104</v>
      </c>
      <c r="E1034" s="20" t="s">
        <v>781</v>
      </c>
      <c r="F1034" s="59">
        <v>0.5208333333333334</v>
      </c>
      <c r="G1034" s="20"/>
    </row>
    <row r="1035" spans="8:8" ht="41.25" customHeight="1">
      <c r="A1035" s="60" t="s">
        <v>18</v>
      </c>
      <c r="B1035" s="60" t="s">
        <v>19</v>
      </c>
      <c r="C1035" s="60" t="s">
        <v>1870</v>
      </c>
      <c r="D1035" s="60" t="s">
        <v>21</v>
      </c>
      <c r="E1035" s="60" t="s">
        <v>22</v>
      </c>
      <c r="F1035" s="9" t="s">
        <v>23</v>
      </c>
      <c r="G1035" s="60" t="s">
        <v>2359</v>
      </c>
    </row>
    <row r="1036" spans="8:8" ht="41.25" customHeight="1">
      <c r="A1036" s="24">
        <v>1.0</v>
      </c>
      <c r="B1036" s="23" t="s">
        <v>2870</v>
      </c>
      <c r="C1036" s="24">
        <v>241730.0</v>
      </c>
      <c r="D1036" s="23" t="s">
        <v>2665</v>
      </c>
      <c r="E1036" s="24" t="s">
        <v>580</v>
      </c>
      <c r="F1036" s="61">
        <v>0.5208333333333334</v>
      </c>
      <c r="G1036" s="24"/>
    </row>
    <row r="1037" spans="8:8" ht="41.25" customHeight="1">
      <c r="A1037" s="20">
        <v>2.0</v>
      </c>
      <c r="B1037" s="19" t="s">
        <v>2871</v>
      </c>
      <c r="C1037" s="20">
        <v>241908.0</v>
      </c>
      <c r="D1037" s="19" t="s">
        <v>2665</v>
      </c>
      <c r="E1037" s="20" t="s">
        <v>580</v>
      </c>
      <c r="F1037" s="59">
        <v>0.5208333333333334</v>
      </c>
      <c r="G1037" s="13"/>
    </row>
    <row r="1038" spans="8:8" ht="41.25" customHeight="1">
      <c r="A1038" s="20">
        <v>3.0</v>
      </c>
      <c r="B1038" s="19" t="s">
        <v>2872</v>
      </c>
      <c r="C1038" s="20">
        <v>241690.0</v>
      </c>
      <c r="D1038" s="19" t="s">
        <v>2665</v>
      </c>
      <c r="E1038" s="20" t="s">
        <v>580</v>
      </c>
      <c r="F1038" s="59">
        <v>0.5208333333333334</v>
      </c>
      <c r="G1038" s="20"/>
    </row>
    <row r="1039" spans="8:8" ht="41.25" customHeight="1">
      <c r="A1039" s="20">
        <v>4.0</v>
      </c>
      <c r="B1039" s="19" t="s">
        <v>2873</v>
      </c>
      <c r="C1039" s="20">
        <v>241729.0</v>
      </c>
      <c r="D1039" s="19" t="s">
        <v>2665</v>
      </c>
      <c r="E1039" s="20" t="s">
        <v>580</v>
      </c>
      <c r="F1039" s="59">
        <v>0.5208333333333334</v>
      </c>
      <c r="G1039" s="20"/>
    </row>
    <row r="1040" spans="8:8" ht="41.25" customHeight="1">
      <c r="A1040" s="20">
        <v>5.0</v>
      </c>
      <c r="B1040" s="19" t="s">
        <v>2874</v>
      </c>
      <c r="C1040" s="20">
        <v>241687.0</v>
      </c>
      <c r="D1040" s="19" t="s">
        <v>2665</v>
      </c>
      <c r="E1040" s="20" t="s">
        <v>580</v>
      </c>
      <c r="F1040" s="59">
        <v>0.5208333333333334</v>
      </c>
      <c r="G1040" s="20"/>
    </row>
    <row r="1041" spans="8:8" ht="41.25" customHeight="1">
      <c r="A1041" s="20">
        <v>6.0</v>
      </c>
      <c r="B1041" s="19" t="s">
        <v>2875</v>
      </c>
      <c r="C1041" s="20">
        <v>241677.0</v>
      </c>
      <c r="D1041" s="19" t="s">
        <v>2665</v>
      </c>
      <c r="E1041" s="20" t="s">
        <v>580</v>
      </c>
      <c r="F1041" s="59">
        <v>0.5208333333333334</v>
      </c>
      <c r="G1041" s="20"/>
    </row>
    <row r="1042" spans="8:8" ht="41.25" customHeight="1">
      <c r="A1042" s="20">
        <v>7.0</v>
      </c>
      <c r="B1042" s="19" t="s">
        <v>2876</v>
      </c>
      <c r="C1042" s="20">
        <v>241698.0</v>
      </c>
      <c r="D1042" s="19" t="s">
        <v>2665</v>
      </c>
      <c r="E1042" s="20" t="s">
        <v>580</v>
      </c>
      <c r="F1042" s="59">
        <v>0.5208333333333334</v>
      </c>
      <c r="G1042" s="20"/>
    </row>
    <row r="1043" spans="8:8" ht="41.25" customHeight="1">
      <c r="A1043" s="20">
        <v>8.0</v>
      </c>
      <c r="B1043" s="19" t="s">
        <v>2877</v>
      </c>
      <c r="C1043" s="20">
        <v>241719.0</v>
      </c>
      <c r="D1043" s="19" t="s">
        <v>2665</v>
      </c>
      <c r="E1043" s="20" t="s">
        <v>580</v>
      </c>
      <c r="F1043" s="59">
        <v>0.5208333333333334</v>
      </c>
      <c r="G1043" s="20"/>
    </row>
    <row r="1044" spans="8:8" ht="41.25" customHeight="1">
      <c r="A1044" s="20">
        <v>9.0</v>
      </c>
      <c r="B1044" s="19" t="s">
        <v>2878</v>
      </c>
      <c r="C1044" s="20">
        <v>241803.0</v>
      </c>
      <c r="D1044" s="19" t="s">
        <v>2665</v>
      </c>
      <c r="E1044" s="20" t="s">
        <v>580</v>
      </c>
      <c r="F1044" s="59">
        <v>0.5208333333333334</v>
      </c>
      <c r="G1044" s="20"/>
    </row>
    <row r="1045" spans="8:8" ht="41.25" customHeight="1">
      <c r="A1045" s="20">
        <v>10.0</v>
      </c>
      <c r="B1045" s="19" t="s">
        <v>2879</v>
      </c>
      <c r="C1045" s="20">
        <v>241680.0</v>
      </c>
      <c r="D1045" s="19" t="s">
        <v>2665</v>
      </c>
      <c r="E1045" s="20" t="s">
        <v>580</v>
      </c>
      <c r="F1045" s="59">
        <v>0.5208333333333334</v>
      </c>
      <c r="G1045" s="20"/>
    </row>
    <row r="1046" spans="8:8" ht="41.25" customHeight="1">
      <c r="A1046" s="20">
        <v>11.0</v>
      </c>
      <c r="B1046" s="19" t="s">
        <v>2880</v>
      </c>
      <c r="C1046" s="20">
        <v>241815.0</v>
      </c>
      <c r="D1046" s="19" t="s">
        <v>2665</v>
      </c>
      <c r="E1046" s="20" t="s">
        <v>580</v>
      </c>
      <c r="F1046" s="59">
        <v>0.5208333333333334</v>
      </c>
      <c r="G1046" s="20"/>
    </row>
    <row r="1047" spans="8:8" ht="41.25" customHeight="1">
      <c r="A1047" s="20">
        <v>12.0</v>
      </c>
      <c r="B1047" s="19" t="s">
        <v>2881</v>
      </c>
      <c r="C1047" s="20">
        <v>241673.0</v>
      </c>
      <c r="D1047" s="19" t="s">
        <v>2665</v>
      </c>
      <c r="E1047" s="20" t="s">
        <v>580</v>
      </c>
      <c r="F1047" s="59">
        <v>0.5208333333333334</v>
      </c>
      <c r="G1047" s="20"/>
    </row>
    <row r="1048" spans="8:8" ht="41.25" customHeight="1">
      <c r="A1048" s="20">
        <v>13.0</v>
      </c>
      <c r="B1048" s="19" t="s">
        <v>2882</v>
      </c>
      <c r="C1048" s="20">
        <v>241907.0</v>
      </c>
      <c r="D1048" s="19" t="s">
        <v>2665</v>
      </c>
      <c r="E1048" s="20" t="s">
        <v>580</v>
      </c>
      <c r="F1048" s="59">
        <v>0.5208333333333334</v>
      </c>
      <c r="G1048" s="20"/>
    </row>
    <row r="1049" spans="8:8" ht="41.25" customHeight="1">
      <c r="A1049" s="20">
        <v>14.0</v>
      </c>
      <c r="B1049" s="19" t="s">
        <v>2883</v>
      </c>
      <c r="C1049" s="20">
        <v>252020.0</v>
      </c>
      <c r="D1049" s="19" t="s">
        <v>104</v>
      </c>
      <c r="E1049" s="20" t="s">
        <v>580</v>
      </c>
      <c r="F1049" s="59">
        <v>0.5208333333333334</v>
      </c>
      <c r="G1049" s="20"/>
    </row>
    <row r="1050" spans="8:8" ht="41.25" customHeight="1">
      <c r="A1050" s="60" t="s">
        <v>18</v>
      </c>
      <c r="B1050" s="60" t="s">
        <v>19</v>
      </c>
      <c r="C1050" s="60" t="s">
        <v>1870</v>
      </c>
      <c r="D1050" s="60" t="s">
        <v>21</v>
      </c>
      <c r="E1050" s="60" t="s">
        <v>22</v>
      </c>
      <c r="F1050" s="9" t="s">
        <v>23</v>
      </c>
      <c r="G1050" s="60" t="s">
        <v>2385</v>
      </c>
    </row>
    <row r="1051" spans="8:8" ht="41.25" customHeight="1">
      <c r="A1051" s="24">
        <v>1.0</v>
      </c>
      <c r="B1051" s="23" t="s">
        <v>2884</v>
      </c>
      <c r="C1051" s="24">
        <v>251901.0</v>
      </c>
      <c r="D1051" s="23" t="s">
        <v>104</v>
      </c>
      <c r="E1051" s="24" t="s">
        <v>1512</v>
      </c>
      <c r="F1051" s="61">
        <v>0.5208333333333334</v>
      </c>
      <c r="G1051" s="24"/>
    </row>
    <row r="1052" spans="8:8" ht="41.25" customHeight="1">
      <c r="A1052" s="20">
        <v>2.0</v>
      </c>
      <c r="B1052" s="19" t="s">
        <v>2885</v>
      </c>
      <c r="C1052" s="20">
        <v>251842.0</v>
      </c>
      <c r="D1052" s="19" t="s">
        <v>104</v>
      </c>
      <c r="E1052" s="20" t="s">
        <v>1512</v>
      </c>
      <c r="F1052" s="59">
        <v>0.5208333333333334</v>
      </c>
      <c r="G1052" s="13"/>
    </row>
    <row r="1053" spans="8:8" ht="41.25" customHeight="1">
      <c r="A1053" s="20">
        <v>3.0</v>
      </c>
      <c r="B1053" s="19" t="s">
        <v>2886</v>
      </c>
      <c r="C1053" s="20">
        <v>251845.0</v>
      </c>
      <c r="D1053" s="19" t="s">
        <v>104</v>
      </c>
      <c r="E1053" s="20" t="s">
        <v>1512</v>
      </c>
      <c r="F1053" s="59">
        <v>0.5208333333333334</v>
      </c>
      <c r="G1053" s="20"/>
    </row>
    <row r="1054" spans="8:8" ht="41.25" customHeight="1">
      <c r="A1054" s="20">
        <v>4.0</v>
      </c>
      <c r="B1054" s="19" t="s">
        <v>2887</v>
      </c>
      <c r="C1054" s="20">
        <v>251857.0</v>
      </c>
      <c r="D1054" s="19" t="s">
        <v>104</v>
      </c>
      <c r="E1054" s="20" t="s">
        <v>1512</v>
      </c>
      <c r="F1054" s="59">
        <v>0.5208333333333334</v>
      </c>
      <c r="G1054" s="20"/>
    </row>
    <row r="1055" spans="8:8" ht="41.25" customHeight="1">
      <c r="A1055" s="20">
        <v>5.0</v>
      </c>
      <c r="B1055" s="19" t="s">
        <v>2888</v>
      </c>
      <c r="C1055" s="20">
        <v>251864.0</v>
      </c>
      <c r="D1055" s="19" t="s">
        <v>104</v>
      </c>
      <c r="E1055" s="20" t="s">
        <v>1512</v>
      </c>
      <c r="F1055" s="59">
        <v>0.5208333333333334</v>
      </c>
      <c r="G1055" s="20"/>
    </row>
    <row r="1056" spans="8:8" ht="41.25" customHeight="1">
      <c r="A1056" s="20">
        <v>6.0</v>
      </c>
      <c r="B1056" s="19" t="s">
        <v>2889</v>
      </c>
      <c r="C1056" s="20">
        <v>251882.0</v>
      </c>
      <c r="D1056" s="19" t="s">
        <v>104</v>
      </c>
      <c r="E1056" s="20" t="s">
        <v>1512</v>
      </c>
      <c r="F1056" s="59">
        <v>0.5208333333333334</v>
      </c>
      <c r="G1056" s="20"/>
    </row>
    <row r="1057" spans="8:8" ht="41.25" customHeight="1">
      <c r="A1057" s="20">
        <v>7.0</v>
      </c>
      <c r="B1057" s="19" t="s">
        <v>2890</v>
      </c>
      <c r="C1057" s="20">
        <v>251900.0</v>
      </c>
      <c r="D1057" s="19" t="s">
        <v>104</v>
      </c>
      <c r="E1057" s="20" t="s">
        <v>1512</v>
      </c>
      <c r="F1057" s="59">
        <v>0.5208333333333334</v>
      </c>
      <c r="G1057" s="20"/>
    </row>
    <row r="1058" spans="8:8" ht="41.25" customHeight="1">
      <c r="A1058" s="20">
        <v>8.0</v>
      </c>
      <c r="B1058" s="19" t="s">
        <v>2891</v>
      </c>
      <c r="C1058" s="20">
        <v>251921.0</v>
      </c>
      <c r="D1058" s="19" t="s">
        <v>104</v>
      </c>
      <c r="E1058" s="20" t="s">
        <v>1512</v>
      </c>
      <c r="F1058" s="59">
        <v>0.5208333333333334</v>
      </c>
      <c r="G1058" s="20"/>
    </row>
    <row r="1059" spans="8:8" ht="41.25" customHeight="1">
      <c r="A1059" s="20">
        <v>9.0</v>
      </c>
      <c r="B1059" s="19" t="s">
        <v>2892</v>
      </c>
      <c r="C1059" s="20">
        <v>251796.0</v>
      </c>
      <c r="D1059" s="19" t="s">
        <v>104</v>
      </c>
      <c r="E1059" s="20" t="s">
        <v>1512</v>
      </c>
      <c r="F1059" s="59">
        <v>0.5208333333333334</v>
      </c>
      <c r="G1059" s="20"/>
    </row>
    <row r="1060" spans="8:8" ht="41.25" customHeight="1">
      <c r="A1060" s="20">
        <v>10.0</v>
      </c>
      <c r="B1060" s="19" t="s">
        <v>2893</v>
      </c>
      <c r="C1060" s="20">
        <v>251957.0</v>
      </c>
      <c r="D1060" s="19" t="s">
        <v>104</v>
      </c>
      <c r="E1060" s="20" t="s">
        <v>1512</v>
      </c>
      <c r="F1060" s="59">
        <v>0.5208333333333334</v>
      </c>
      <c r="G1060" s="20"/>
    </row>
    <row r="1061" spans="8:8" ht="41.25" customHeight="1">
      <c r="A1061" s="20">
        <v>11.0</v>
      </c>
      <c r="B1061" s="23" t="s">
        <v>2894</v>
      </c>
      <c r="C1061" s="24">
        <v>252156.0</v>
      </c>
      <c r="D1061" s="19" t="s">
        <v>104</v>
      </c>
      <c r="E1061" s="20" t="s">
        <v>1512</v>
      </c>
      <c r="F1061" s="59">
        <v>0.5208333333333334</v>
      </c>
      <c r="G1061" s="20"/>
    </row>
    <row r="1062" spans="8:8" ht="41.25" customHeight="1">
      <c r="A1062" s="20">
        <v>12.0</v>
      </c>
      <c r="B1062" s="19" t="s">
        <v>2895</v>
      </c>
      <c r="C1062" s="20">
        <v>253119.0</v>
      </c>
      <c r="D1062" s="19" t="s">
        <v>90</v>
      </c>
      <c r="E1062" s="24" t="s">
        <v>1512</v>
      </c>
      <c r="F1062" s="59">
        <v>0.5208333333333334</v>
      </c>
      <c r="G1062" s="24"/>
    </row>
    <row r="1063" spans="8:8" ht="41.25" customHeight="1">
      <c r="A1063" s="20">
        <v>13.0</v>
      </c>
      <c r="B1063" s="19" t="s">
        <v>2896</v>
      </c>
      <c r="C1063" s="20">
        <v>252989.0</v>
      </c>
      <c r="D1063" s="33" t="s">
        <v>90</v>
      </c>
      <c r="E1063" s="24" t="s">
        <v>1512</v>
      </c>
      <c r="F1063" s="59">
        <v>0.5208333333333334</v>
      </c>
      <c r="G1063" s="24"/>
    </row>
    <row r="1064" spans="8:8" ht="41.25" customHeight="1">
      <c r="A1064" s="20">
        <v>14.0</v>
      </c>
      <c r="B1064" s="19" t="s">
        <v>2897</v>
      </c>
      <c r="C1064" s="20">
        <v>252583.0</v>
      </c>
      <c r="D1064" s="33" t="s">
        <v>90</v>
      </c>
      <c r="E1064" s="20" t="s">
        <v>1512</v>
      </c>
      <c r="F1064" s="59">
        <v>0.5208333333333334</v>
      </c>
      <c r="G1064" s="20"/>
    </row>
    <row r="1065" spans="8:8" ht="41.25" customHeight="1">
      <c r="A1065" s="60" t="s">
        <v>18</v>
      </c>
      <c r="B1065" s="60" t="s">
        <v>19</v>
      </c>
      <c r="C1065" s="60" t="s">
        <v>1870</v>
      </c>
      <c r="D1065" s="60" t="s">
        <v>21</v>
      </c>
      <c r="E1065" s="60" t="s">
        <v>22</v>
      </c>
      <c r="F1065" s="9" t="s">
        <v>23</v>
      </c>
      <c r="G1065" s="60" t="s">
        <v>2411</v>
      </c>
    </row>
    <row r="1066" spans="8:8" ht="41.25" customHeight="1">
      <c r="A1066" s="24">
        <v>1.0</v>
      </c>
      <c r="B1066" s="23" t="s">
        <v>2898</v>
      </c>
      <c r="C1066" s="24">
        <v>252179.0</v>
      </c>
      <c r="D1066" s="33" t="s">
        <v>104</v>
      </c>
      <c r="E1066" s="24" t="s">
        <v>1512</v>
      </c>
      <c r="F1066" s="61">
        <v>0.5208333333333334</v>
      </c>
      <c r="G1066" s="24"/>
    </row>
    <row r="1067" spans="8:8" ht="41.25" customHeight="1">
      <c r="A1067" s="20">
        <v>2.0</v>
      </c>
      <c r="B1067" s="19" t="s">
        <v>2899</v>
      </c>
      <c r="C1067" s="20">
        <v>252178.0</v>
      </c>
      <c r="D1067" s="19" t="s">
        <v>104</v>
      </c>
      <c r="E1067" s="20" t="s">
        <v>1512</v>
      </c>
      <c r="F1067" s="59">
        <v>0.5208333333333334</v>
      </c>
      <c r="G1067" s="13"/>
    </row>
    <row r="1068" spans="8:8" ht="41.25" customHeight="1">
      <c r="A1068" s="20">
        <v>3.0</v>
      </c>
      <c r="B1068" s="19" t="s">
        <v>2900</v>
      </c>
      <c r="C1068" s="20">
        <v>252251.0</v>
      </c>
      <c r="D1068" s="19" t="s">
        <v>104</v>
      </c>
      <c r="E1068" s="20" t="s">
        <v>1512</v>
      </c>
      <c r="F1068" s="59">
        <v>0.5208333333333334</v>
      </c>
      <c r="G1068" s="20"/>
    </row>
    <row r="1069" spans="8:8" ht="41.25" customHeight="1">
      <c r="A1069" s="20">
        <v>4.0</v>
      </c>
      <c r="B1069" s="19" t="s">
        <v>2901</v>
      </c>
      <c r="C1069" s="20">
        <v>252283.0</v>
      </c>
      <c r="D1069" s="19" t="s">
        <v>104</v>
      </c>
      <c r="E1069" s="20" t="s">
        <v>1512</v>
      </c>
      <c r="F1069" s="59">
        <v>0.5208333333333334</v>
      </c>
      <c r="G1069" s="20"/>
    </row>
    <row r="1070" spans="8:8" ht="41.25" customHeight="1">
      <c r="A1070" s="20">
        <v>5.0</v>
      </c>
      <c r="B1070" s="19" t="s">
        <v>2902</v>
      </c>
      <c r="C1070" s="20">
        <v>252262.0</v>
      </c>
      <c r="D1070" s="19" t="s">
        <v>104</v>
      </c>
      <c r="E1070" s="20" t="s">
        <v>1512</v>
      </c>
      <c r="F1070" s="59">
        <v>0.5208333333333334</v>
      </c>
      <c r="G1070" s="20"/>
    </row>
    <row r="1071" spans="8:8" ht="41.25" customHeight="1">
      <c r="A1071" s="20">
        <v>6.0</v>
      </c>
      <c r="B1071" s="19" t="s">
        <v>2903</v>
      </c>
      <c r="C1071" s="20">
        <v>252323.0</v>
      </c>
      <c r="D1071" s="19" t="s">
        <v>104</v>
      </c>
      <c r="E1071" s="20" t="s">
        <v>1512</v>
      </c>
      <c r="F1071" s="59">
        <v>0.5208333333333334</v>
      </c>
      <c r="G1071" s="20"/>
    </row>
    <row r="1072" spans="8:8" ht="41.25" customHeight="1">
      <c r="A1072" s="20">
        <v>7.0</v>
      </c>
      <c r="B1072" s="19" t="s">
        <v>2904</v>
      </c>
      <c r="C1072" s="20">
        <v>252322.0</v>
      </c>
      <c r="D1072" s="19" t="s">
        <v>104</v>
      </c>
      <c r="E1072" s="20" t="s">
        <v>1512</v>
      </c>
      <c r="F1072" s="59">
        <v>0.5208333333333334</v>
      </c>
      <c r="G1072" s="20"/>
    </row>
    <row r="1073" spans="8:8" ht="41.25" customHeight="1">
      <c r="A1073" s="20">
        <v>8.0</v>
      </c>
      <c r="B1073" s="19" t="s">
        <v>2905</v>
      </c>
      <c r="C1073" s="20">
        <v>241866.0</v>
      </c>
      <c r="D1073" s="19" t="s">
        <v>2665</v>
      </c>
      <c r="E1073" s="20" t="s">
        <v>1512</v>
      </c>
      <c r="F1073" s="59">
        <v>0.5208333333333334</v>
      </c>
      <c r="G1073" s="20"/>
    </row>
    <row r="1074" spans="8:8" ht="41.25" customHeight="1">
      <c r="A1074" s="20">
        <v>9.0</v>
      </c>
      <c r="B1074" s="19" t="s">
        <v>2906</v>
      </c>
      <c r="C1074" s="20">
        <v>253187.0</v>
      </c>
      <c r="D1074" s="19" t="s">
        <v>27</v>
      </c>
      <c r="E1074" s="20" t="s">
        <v>1512</v>
      </c>
      <c r="F1074" s="59">
        <v>0.5208333333333334</v>
      </c>
      <c r="G1074" s="20"/>
    </row>
    <row r="1075" spans="8:8" ht="41.25" customHeight="1">
      <c r="A1075" s="20">
        <v>10.0</v>
      </c>
      <c r="B1075" s="19" t="s">
        <v>2907</v>
      </c>
      <c r="C1075" s="20">
        <v>252130.0</v>
      </c>
      <c r="D1075" s="12" t="s">
        <v>104</v>
      </c>
      <c r="E1075" s="20" t="s">
        <v>1512</v>
      </c>
      <c r="F1075" s="59">
        <v>0.5208333333333334</v>
      </c>
      <c r="G1075" s="20"/>
    </row>
    <row r="1076" spans="8:8" ht="41.25" customHeight="1">
      <c r="A1076" s="20">
        <v>11.0</v>
      </c>
      <c r="B1076" s="19" t="s">
        <v>2908</v>
      </c>
      <c r="C1076" s="20">
        <v>252675.0</v>
      </c>
      <c r="D1076" s="19" t="s">
        <v>90</v>
      </c>
      <c r="E1076" s="20" t="s">
        <v>1512</v>
      </c>
      <c r="F1076" s="59">
        <v>0.5208333333333334</v>
      </c>
      <c r="G1076" s="20"/>
    </row>
    <row r="1077" spans="8:8" ht="41.25" customHeight="1">
      <c r="A1077" s="20">
        <v>12.0</v>
      </c>
      <c r="B1077" s="19" t="s">
        <v>2909</v>
      </c>
      <c r="C1077" s="20">
        <v>253020.0</v>
      </c>
      <c r="D1077" s="33" t="s">
        <v>90</v>
      </c>
      <c r="E1077" s="20" t="s">
        <v>1512</v>
      </c>
      <c r="F1077" s="59">
        <v>0.5208333333333334</v>
      </c>
      <c r="G1077" s="20"/>
    </row>
    <row r="1078" spans="8:8" ht="41.25" customHeight="1">
      <c r="A1078" s="20">
        <v>13.0</v>
      </c>
      <c r="B1078" s="23" t="s">
        <v>2910</v>
      </c>
      <c r="C1078" s="24">
        <v>252725.0</v>
      </c>
      <c r="D1078" s="33" t="s">
        <v>90</v>
      </c>
      <c r="E1078" s="20" t="s">
        <v>1512</v>
      </c>
      <c r="F1078" s="59">
        <v>0.5208333333333334</v>
      </c>
      <c r="G1078" s="20"/>
    </row>
    <row r="1079" spans="8:8" ht="41.25" customHeight="1">
      <c r="A1079" s="24">
        <v>14.0</v>
      </c>
      <c r="B1079" s="23" t="s">
        <v>2911</v>
      </c>
      <c r="C1079" s="24">
        <v>252726.0</v>
      </c>
      <c r="D1079" s="33" t="s">
        <v>90</v>
      </c>
      <c r="E1079" s="24" t="s">
        <v>1512</v>
      </c>
      <c r="F1079" s="61">
        <v>0.5208333333333334</v>
      </c>
      <c r="G1079" s="24"/>
    </row>
    <row r="1080" spans="8:8" ht="41.25" customHeight="1">
      <c r="A1080" s="60" t="s">
        <v>18</v>
      </c>
      <c r="B1080" s="60" t="s">
        <v>19</v>
      </c>
      <c r="C1080" s="60" t="s">
        <v>1870</v>
      </c>
      <c r="D1080" s="60" t="s">
        <v>21</v>
      </c>
      <c r="E1080" s="60" t="s">
        <v>22</v>
      </c>
      <c r="F1080" s="9" t="s">
        <v>23</v>
      </c>
      <c r="G1080" s="60" t="s">
        <v>2437</v>
      </c>
    </row>
    <row r="1081" spans="8:8" ht="41.25" customHeight="1">
      <c r="A1081" s="24">
        <v>1.0</v>
      </c>
      <c r="B1081" s="23" t="s">
        <v>2912</v>
      </c>
      <c r="C1081" s="24">
        <v>252607.0</v>
      </c>
      <c r="D1081" s="33" t="s">
        <v>90</v>
      </c>
      <c r="E1081" s="24" t="s">
        <v>1512</v>
      </c>
      <c r="F1081" s="61">
        <v>0.5208333333333334</v>
      </c>
      <c r="G1081" s="24"/>
    </row>
    <row r="1082" spans="8:8" ht="41.25" customHeight="1">
      <c r="A1082" s="24">
        <v>2.0</v>
      </c>
      <c r="B1082" s="23" t="s">
        <v>2913</v>
      </c>
      <c r="C1082" s="24">
        <v>252347.0</v>
      </c>
      <c r="D1082" s="33" t="s">
        <v>104</v>
      </c>
      <c r="E1082" s="24" t="s">
        <v>1512</v>
      </c>
      <c r="F1082" s="61">
        <v>0.5208333333333334</v>
      </c>
      <c r="G1082" s="13"/>
    </row>
    <row r="1083" spans="8:8" ht="41.25" customHeight="1">
      <c r="A1083" s="24">
        <v>3.0</v>
      </c>
      <c r="B1083" s="33" t="s">
        <v>2914</v>
      </c>
      <c r="C1083" s="40">
        <v>251920.0</v>
      </c>
      <c r="D1083" s="33" t="s">
        <v>104</v>
      </c>
      <c r="E1083" s="40" t="s">
        <v>1512</v>
      </c>
      <c r="F1083" s="61">
        <v>0.5208333333333334</v>
      </c>
      <c r="G1083" s="40"/>
    </row>
    <row r="1084" spans="8:8" ht="41.25" customHeight="1">
      <c r="A1084" s="24">
        <v>4.0</v>
      </c>
      <c r="B1084" s="23" t="s">
        <v>2915</v>
      </c>
      <c r="C1084" s="24">
        <v>253089.0</v>
      </c>
      <c r="D1084" s="23" t="s">
        <v>90</v>
      </c>
      <c r="E1084" s="24" t="s">
        <v>1512</v>
      </c>
      <c r="F1084" s="61">
        <v>0.5208333333333334</v>
      </c>
      <c r="G1084" s="24"/>
    </row>
    <row r="1085" spans="8:8" ht="41.25" customHeight="1">
      <c r="A1085" s="24">
        <v>5.0</v>
      </c>
      <c r="B1085" s="33" t="s">
        <v>2916</v>
      </c>
      <c r="C1085" s="40">
        <v>252884.0</v>
      </c>
      <c r="D1085" s="33" t="s">
        <v>104</v>
      </c>
      <c r="E1085" s="40" t="s">
        <v>1512</v>
      </c>
      <c r="F1085" s="61">
        <v>0.5208333333333334</v>
      </c>
      <c r="G1085" s="40"/>
    </row>
    <row r="1086" spans="8:8" ht="41.25" customHeight="1">
      <c r="A1086" s="24">
        <v>6.0</v>
      </c>
      <c r="B1086" s="23" t="s">
        <v>2917</v>
      </c>
      <c r="C1086" s="24">
        <v>253088.0</v>
      </c>
      <c r="D1086" s="23" t="s">
        <v>90</v>
      </c>
      <c r="E1086" s="24" t="s">
        <v>1512</v>
      </c>
      <c r="F1086" s="61">
        <v>0.5208333333333334</v>
      </c>
      <c r="G1086" s="24"/>
    </row>
    <row r="1087" spans="8:8" ht="41.25" customHeight="1">
      <c r="A1087" s="24">
        <v>8.0</v>
      </c>
      <c r="B1087" s="23" t="s">
        <v>2918</v>
      </c>
      <c r="C1087" s="24">
        <v>253274.0</v>
      </c>
      <c r="D1087" s="23" t="s">
        <v>90</v>
      </c>
      <c r="E1087" s="24" t="s">
        <v>1512</v>
      </c>
      <c r="F1087" s="61">
        <v>0.5208333333333334</v>
      </c>
      <c r="G1087" s="24"/>
    </row>
    <row r="1088" spans="8:8" ht="41.25" customHeight="1">
      <c r="A1088" s="24">
        <v>9.0</v>
      </c>
      <c r="B1088" s="23" t="s">
        <v>2919</v>
      </c>
      <c r="C1088" s="24">
        <v>252961.0</v>
      </c>
      <c r="D1088" s="33" t="s">
        <v>104</v>
      </c>
      <c r="E1088" s="24" t="s">
        <v>1512</v>
      </c>
      <c r="F1088" s="61">
        <v>0.5208333333333334</v>
      </c>
      <c r="G1088" s="24"/>
    </row>
    <row r="1089" spans="8:8" ht="41.25" customHeight="1">
      <c r="A1089" s="24">
        <v>10.0</v>
      </c>
      <c r="B1089" s="33" t="s">
        <v>2920</v>
      </c>
      <c r="C1089" s="40">
        <v>252753.0</v>
      </c>
      <c r="D1089" s="33" t="s">
        <v>90</v>
      </c>
      <c r="E1089" s="40" t="s">
        <v>1512</v>
      </c>
      <c r="F1089" s="61">
        <v>0.5208333333333334</v>
      </c>
      <c r="G1089" s="40"/>
    </row>
    <row r="1090" spans="8:8" ht="41.25" customHeight="1">
      <c r="A1090" s="24">
        <v>11.0</v>
      </c>
      <c r="B1090" s="23" t="s">
        <v>2921</v>
      </c>
      <c r="C1090" s="24">
        <v>252749.0</v>
      </c>
      <c r="D1090" s="33" t="s">
        <v>2922</v>
      </c>
      <c r="E1090" s="24" t="s">
        <v>1512</v>
      </c>
      <c r="F1090" s="61">
        <v>0.5208333333333334</v>
      </c>
      <c r="G1090" s="24"/>
    </row>
    <row r="1091" spans="8:8" ht="41.25" customHeight="1">
      <c r="A1091" s="24">
        <v>12.0</v>
      </c>
      <c r="B1091" s="23" t="s">
        <v>2923</v>
      </c>
      <c r="C1091" s="24">
        <v>252575.0</v>
      </c>
      <c r="D1091" s="33" t="s">
        <v>90</v>
      </c>
      <c r="E1091" s="24" t="s">
        <v>1512</v>
      </c>
      <c r="F1091" s="61">
        <v>0.5208333333333334</v>
      </c>
      <c r="G1091" s="24"/>
    </row>
    <row r="1092" spans="8:8" ht="41.25" customHeight="1">
      <c r="A1092" s="24">
        <v>13.0</v>
      </c>
      <c r="B1092" s="23" t="s">
        <v>2924</v>
      </c>
      <c r="C1092" s="24">
        <v>252998.0</v>
      </c>
      <c r="D1092" s="33" t="s">
        <v>90</v>
      </c>
      <c r="E1092" s="24" t="s">
        <v>1512</v>
      </c>
      <c r="F1092" s="61">
        <v>0.5208333333333334</v>
      </c>
      <c r="G1092" s="24"/>
    </row>
    <row r="1093" spans="8:8" ht="41.25" customHeight="1">
      <c r="A1093" s="24">
        <v>14.0</v>
      </c>
      <c r="B1093" s="23" t="s">
        <v>2925</v>
      </c>
      <c r="C1093" s="24">
        <v>252658.0</v>
      </c>
      <c r="D1093" s="33" t="s">
        <v>90</v>
      </c>
      <c r="E1093" s="24" t="s">
        <v>1512</v>
      </c>
      <c r="F1093" s="61">
        <v>0.5208333333333334</v>
      </c>
      <c r="G1093" s="24"/>
    </row>
    <row r="1094" spans="8:8" ht="41.25" customHeight="1">
      <c r="A1094" s="24">
        <v>15.0</v>
      </c>
      <c r="B1094" s="23" t="s">
        <v>2926</v>
      </c>
      <c r="C1094" s="24">
        <v>252843.0</v>
      </c>
      <c r="D1094" s="33" t="s">
        <v>90</v>
      </c>
      <c r="E1094" s="24" t="s">
        <v>1512</v>
      </c>
      <c r="F1094" s="61">
        <v>0.5208333333333334</v>
      </c>
      <c r="G1094" s="24"/>
    </row>
    <row r="1095" spans="8:8" ht="41.25" customHeight="1">
      <c r="A1095" s="60" t="s">
        <v>18</v>
      </c>
      <c r="B1095" s="60" t="s">
        <v>19</v>
      </c>
      <c r="C1095" s="60" t="s">
        <v>1870</v>
      </c>
      <c r="D1095" s="60" t="s">
        <v>21</v>
      </c>
      <c r="E1095" s="60" t="s">
        <v>22</v>
      </c>
      <c r="F1095" s="9" t="s">
        <v>23</v>
      </c>
      <c r="G1095" s="60" t="s">
        <v>2462</v>
      </c>
    </row>
    <row r="1096" spans="8:8" ht="41.25" customHeight="1">
      <c r="A1096" s="24">
        <v>1.0</v>
      </c>
      <c r="B1096" s="23" t="s">
        <v>2927</v>
      </c>
      <c r="C1096" s="24">
        <v>251967.0</v>
      </c>
      <c r="D1096" s="33" t="s">
        <v>104</v>
      </c>
      <c r="E1096" s="24" t="s">
        <v>984</v>
      </c>
      <c r="F1096" s="61">
        <v>0.5208333333333334</v>
      </c>
      <c r="G1096" s="24"/>
    </row>
    <row r="1097" spans="8:8" ht="41.25" customHeight="1">
      <c r="A1097" s="20">
        <v>2.0</v>
      </c>
      <c r="B1097" s="19" t="s">
        <v>2928</v>
      </c>
      <c r="C1097" s="20">
        <v>252210.0</v>
      </c>
      <c r="D1097" s="19" t="s">
        <v>104</v>
      </c>
      <c r="E1097" s="20" t="s">
        <v>984</v>
      </c>
      <c r="F1097" s="59">
        <v>0.5208333333333334</v>
      </c>
      <c r="G1097" s="13"/>
    </row>
    <row r="1098" spans="8:8" ht="41.25" customHeight="1">
      <c r="A1098" s="20">
        <v>3.0</v>
      </c>
      <c r="B1098" s="19" t="s">
        <v>2929</v>
      </c>
      <c r="C1098" s="20">
        <v>241704.0</v>
      </c>
      <c r="D1098" s="19" t="s">
        <v>2665</v>
      </c>
      <c r="E1098" s="20" t="s">
        <v>984</v>
      </c>
      <c r="F1098" s="59">
        <v>0.5208333333333334</v>
      </c>
      <c r="G1098" s="20"/>
    </row>
    <row r="1099" spans="8:8" ht="41.25" customHeight="1">
      <c r="A1099" s="20">
        <v>4.0</v>
      </c>
      <c r="B1099" s="19" t="s">
        <v>2930</v>
      </c>
      <c r="C1099" s="20">
        <v>241710.0</v>
      </c>
      <c r="D1099" s="19" t="s">
        <v>2665</v>
      </c>
      <c r="E1099" s="20" t="s">
        <v>984</v>
      </c>
      <c r="F1099" s="59">
        <v>0.5208333333333334</v>
      </c>
      <c r="G1099" s="20"/>
    </row>
    <row r="1100" spans="8:8" ht="41.25" customHeight="1">
      <c r="A1100" s="20">
        <v>5.0</v>
      </c>
      <c r="B1100" s="19" t="s">
        <v>2931</v>
      </c>
      <c r="C1100" s="20">
        <v>240434.0</v>
      </c>
      <c r="D1100" s="19" t="s">
        <v>2932</v>
      </c>
      <c r="E1100" s="20" t="s">
        <v>984</v>
      </c>
      <c r="F1100" s="59">
        <v>0.5208333333333334</v>
      </c>
      <c r="G1100" s="20"/>
    </row>
    <row r="1101" spans="8:8" ht="41.25" customHeight="1">
      <c r="A1101" s="20">
        <v>6.0</v>
      </c>
      <c r="B1101" s="23" t="s">
        <v>2933</v>
      </c>
      <c r="C1101" s="24">
        <v>253260.0</v>
      </c>
      <c r="D1101" s="23" t="s">
        <v>90</v>
      </c>
      <c r="E1101" s="24" t="s">
        <v>984</v>
      </c>
      <c r="F1101" s="59">
        <v>0.5208333333333334</v>
      </c>
      <c r="G1101" s="24"/>
    </row>
    <row r="1102" spans="8:8" ht="41.25" customHeight="1">
      <c r="A1102" s="20">
        <v>7.0</v>
      </c>
      <c r="B1102" s="23" t="s">
        <v>2934</v>
      </c>
      <c r="C1102" s="24">
        <v>253262.0</v>
      </c>
      <c r="D1102" s="33" t="s">
        <v>90</v>
      </c>
      <c r="E1102" s="24" t="s">
        <v>984</v>
      </c>
      <c r="F1102" s="59">
        <v>0.5208333333333334</v>
      </c>
      <c r="G1102" s="24"/>
    </row>
    <row r="1103" spans="8:8" ht="41.25" customHeight="1">
      <c r="A1103" s="20">
        <v>8.0</v>
      </c>
      <c r="B1103" s="23" t="s">
        <v>2935</v>
      </c>
      <c r="C1103" s="24">
        <v>253255.0</v>
      </c>
      <c r="D1103" s="33" t="s">
        <v>90</v>
      </c>
      <c r="E1103" s="24" t="s">
        <v>984</v>
      </c>
      <c r="F1103" s="59">
        <v>0.5208333333333334</v>
      </c>
      <c r="G1103" s="24"/>
    </row>
    <row r="1104" spans="8:8" ht="41.25" customHeight="1">
      <c r="A1104" s="20">
        <v>9.0</v>
      </c>
      <c r="B1104" s="23" t="s">
        <v>2936</v>
      </c>
      <c r="C1104" s="24">
        <v>253259.0</v>
      </c>
      <c r="D1104" s="33" t="s">
        <v>90</v>
      </c>
      <c r="E1104" s="24" t="s">
        <v>984</v>
      </c>
      <c r="F1104" s="59">
        <v>0.5208333333333334</v>
      </c>
      <c r="G1104" s="24"/>
    </row>
    <row r="1105" spans="8:8" ht="41.25" customHeight="1">
      <c r="A1105" s="74">
        <v>10.0</v>
      </c>
      <c r="B1105" s="23" t="s">
        <v>2937</v>
      </c>
      <c r="C1105" s="24">
        <v>253258.0</v>
      </c>
      <c r="D1105" s="19" t="s">
        <v>90</v>
      </c>
      <c r="E1105" s="24" t="s">
        <v>984</v>
      </c>
      <c r="F1105" s="59">
        <v>0.5208333333333334</v>
      </c>
      <c r="G1105" s="24"/>
    </row>
    <row r="1106" spans="8:8" ht="41.25" customHeight="1">
      <c r="A1106" s="60" t="s">
        <v>18</v>
      </c>
      <c r="B1106" s="60" t="s">
        <v>19</v>
      </c>
      <c r="C1106" s="60" t="s">
        <v>1870</v>
      </c>
      <c r="D1106" s="60" t="s">
        <v>21</v>
      </c>
      <c r="E1106" s="60" t="s">
        <v>22</v>
      </c>
      <c r="F1106" s="9" t="s">
        <v>23</v>
      </c>
      <c r="G1106" s="60" t="s">
        <v>2488</v>
      </c>
    </row>
    <row r="1107" spans="8:8" ht="41.25" customHeight="1">
      <c r="A1107" s="24">
        <v>1.0</v>
      </c>
      <c r="B1107" s="23" t="s">
        <v>2938</v>
      </c>
      <c r="C1107" s="24">
        <v>252256.0</v>
      </c>
      <c r="D1107" s="33" t="s">
        <v>104</v>
      </c>
      <c r="E1107" s="24" t="s">
        <v>1490</v>
      </c>
      <c r="F1107" s="61">
        <v>0.5208333333333334</v>
      </c>
      <c r="G1107" s="24"/>
    </row>
    <row r="1108" spans="8:8" ht="41.25" customHeight="1">
      <c r="A1108" s="20">
        <v>2.0</v>
      </c>
      <c r="B1108" s="19" t="s">
        <v>2939</v>
      </c>
      <c r="C1108" s="20">
        <v>241706.0</v>
      </c>
      <c r="D1108" s="19" t="s">
        <v>2665</v>
      </c>
      <c r="E1108" s="20" t="s">
        <v>1490</v>
      </c>
      <c r="F1108" s="59">
        <v>0.5208333333333334</v>
      </c>
      <c r="G1108" s="13"/>
    </row>
    <row r="1109" spans="8:8" ht="41.25" customHeight="1">
      <c r="A1109" s="20">
        <v>3.0</v>
      </c>
      <c r="B1109" s="19" t="s">
        <v>2940</v>
      </c>
      <c r="C1109" s="20">
        <v>241813.0</v>
      </c>
      <c r="D1109" s="19" t="s">
        <v>2665</v>
      </c>
      <c r="E1109" s="20" t="s">
        <v>1490</v>
      </c>
      <c r="F1109" s="59">
        <v>0.5208333333333334</v>
      </c>
      <c r="G1109" s="20"/>
    </row>
    <row r="1110" spans="8:8" ht="41.25" customHeight="1">
      <c r="A1110" s="20">
        <v>4.0</v>
      </c>
      <c r="B1110" s="19" t="s">
        <v>2941</v>
      </c>
      <c r="C1110" s="20">
        <v>241856.0</v>
      </c>
      <c r="D1110" s="19" t="s">
        <v>2665</v>
      </c>
      <c r="E1110" s="20" t="s">
        <v>1490</v>
      </c>
      <c r="F1110" s="59">
        <v>0.5208333333333334</v>
      </c>
      <c r="G1110" s="20"/>
    </row>
    <row r="1111" spans="8:8" ht="41.25" customHeight="1">
      <c r="A1111" s="20">
        <v>5.0</v>
      </c>
      <c r="B1111" s="19" t="s">
        <v>2942</v>
      </c>
      <c r="C1111" s="20">
        <v>241732.0</v>
      </c>
      <c r="D1111" s="19" t="s">
        <v>2665</v>
      </c>
      <c r="E1111" s="20" t="s">
        <v>1490</v>
      </c>
      <c r="F1111" s="59">
        <v>0.5208333333333334</v>
      </c>
      <c r="G1111" s="20"/>
    </row>
    <row r="1112" spans="8:8" ht="41.25" customHeight="1">
      <c r="A1112" s="20">
        <v>6.0</v>
      </c>
      <c r="B1112" s="19" t="s">
        <v>2943</v>
      </c>
      <c r="C1112" s="20">
        <v>241707.0</v>
      </c>
      <c r="D1112" s="19" t="s">
        <v>2665</v>
      </c>
      <c r="E1112" s="20" t="s">
        <v>1490</v>
      </c>
      <c r="F1112" s="59">
        <v>0.5208333333333334</v>
      </c>
      <c r="G1112" s="20"/>
    </row>
    <row r="1113" spans="8:8" ht="41.25" customHeight="1">
      <c r="A1113" s="20">
        <v>7.0</v>
      </c>
      <c r="B1113" s="19" t="s">
        <v>2944</v>
      </c>
      <c r="C1113" s="20">
        <v>241711.0</v>
      </c>
      <c r="D1113" s="19" t="s">
        <v>2665</v>
      </c>
      <c r="E1113" s="20" t="s">
        <v>1490</v>
      </c>
      <c r="F1113" s="59">
        <v>0.5208333333333334</v>
      </c>
      <c r="G1113" s="20"/>
    </row>
    <row r="1114" spans="8:8" ht="41.25" customHeight="1">
      <c r="A1114" s="20">
        <v>8.0</v>
      </c>
      <c r="B1114" s="19" t="s">
        <v>2945</v>
      </c>
      <c r="C1114" s="20">
        <v>252370.0</v>
      </c>
      <c r="D1114" s="19" t="s">
        <v>104</v>
      </c>
      <c r="E1114" s="20" t="s">
        <v>1490</v>
      </c>
      <c r="F1114" s="59">
        <v>0.5208333333333334</v>
      </c>
      <c r="G1114" s="20"/>
    </row>
    <row r="1115" spans="8:8" ht="41.25" customHeight="1">
      <c r="A1115" s="20">
        <v>9.0</v>
      </c>
      <c r="B1115" s="19" t="s">
        <v>2946</v>
      </c>
      <c r="C1115" s="20">
        <v>253170.0</v>
      </c>
      <c r="D1115" s="19" t="s">
        <v>90</v>
      </c>
      <c r="E1115" s="20" t="s">
        <v>1490</v>
      </c>
      <c r="F1115" s="59">
        <v>0.5208333333333334</v>
      </c>
      <c r="G1115" s="20"/>
    </row>
    <row r="1116" spans="8:8" ht="41.25" customHeight="1">
      <c r="A1116" s="20">
        <v>10.0</v>
      </c>
      <c r="B1116" s="19" t="s">
        <v>2947</v>
      </c>
      <c r="C1116" s="20">
        <v>252772.0</v>
      </c>
      <c r="D1116" s="33" t="s">
        <v>90</v>
      </c>
      <c r="E1116" s="20" t="s">
        <v>1490</v>
      </c>
      <c r="F1116" s="59">
        <v>0.5208333333333334</v>
      </c>
      <c r="G1116" s="20"/>
    </row>
    <row r="1117" spans="8:8" ht="41.25" customHeight="1">
      <c r="A1117" s="20">
        <v>11.0</v>
      </c>
      <c r="B1117" s="19" t="s">
        <v>2948</v>
      </c>
      <c r="C1117" s="20">
        <v>252559.0</v>
      </c>
      <c r="D1117" s="33" t="s">
        <v>90</v>
      </c>
      <c r="E1117" s="20" t="s">
        <v>1490</v>
      </c>
      <c r="F1117" s="59">
        <v>0.5208333333333334</v>
      </c>
      <c r="G1117" s="20"/>
    </row>
    <row r="1118" spans="8:8" ht="41.25" customHeight="1">
      <c r="A1118" s="20">
        <v>12.0</v>
      </c>
      <c r="B1118" s="19" t="s">
        <v>2949</v>
      </c>
      <c r="C1118" s="20">
        <v>253292.0</v>
      </c>
      <c r="D1118" s="33" t="s">
        <v>27</v>
      </c>
      <c r="E1118" s="20" t="s">
        <v>1490</v>
      </c>
      <c r="F1118" s="59">
        <v>0.5208333333333334</v>
      </c>
      <c r="G1118" s="20"/>
    </row>
    <row r="1119" spans="8:8" ht="41.25" customHeight="1">
      <c r="A1119" s="20">
        <v>13.0</v>
      </c>
      <c r="B1119" s="19" t="s">
        <v>2950</v>
      </c>
      <c r="C1119" s="20">
        <v>253188.0</v>
      </c>
      <c r="D1119" s="12" t="s">
        <v>27</v>
      </c>
      <c r="E1119" s="20" t="s">
        <v>1490</v>
      </c>
      <c r="F1119" s="59">
        <v>0.5208333333333334</v>
      </c>
      <c r="G1119" s="20"/>
    </row>
    <row r="1120" spans="8:8" ht="41.25" customHeight="1">
      <c r="A1120" s="20">
        <v>15.0</v>
      </c>
      <c r="B1120" s="19" t="s">
        <v>2951</v>
      </c>
      <c r="C1120" s="20">
        <v>241913.0</v>
      </c>
      <c r="D1120" s="19" t="s">
        <v>2665</v>
      </c>
      <c r="E1120" s="20" t="s">
        <v>1490</v>
      </c>
      <c r="F1120" s="59">
        <v>0.5208333333333334</v>
      </c>
      <c r="G1120" s="20"/>
    </row>
    <row r="1121" spans="8:8" ht="41.25" customHeight="1">
      <c r="A1121" s="60" t="s">
        <v>18</v>
      </c>
      <c r="B1121" s="60" t="s">
        <v>19</v>
      </c>
      <c r="C1121" s="60" t="s">
        <v>1870</v>
      </c>
      <c r="D1121" s="60" t="s">
        <v>21</v>
      </c>
      <c r="E1121" s="60" t="s">
        <v>22</v>
      </c>
      <c r="F1121" s="9" t="s">
        <v>23</v>
      </c>
      <c r="G1121" s="9" t="s">
        <v>982</v>
      </c>
    </row>
    <row r="1122" spans="8:8" ht="41.25" customHeight="1">
      <c r="A1122" s="24"/>
      <c r="B1122" s="46" t="s">
        <v>2952</v>
      </c>
      <c r="C1122" s="49">
        <v>252646.0</v>
      </c>
      <c r="D1122" s="48" t="s">
        <v>90</v>
      </c>
      <c r="E1122" s="49" t="s">
        <v>1512</v>
      </c>
      <c r="F1122" s="59">
        <v>0.5208333333333334</v>
      </c>
      <c r="G1122" s="24"/>
    </row>
    <row r="1123" spans="8:8" ht="41.25" customHeight="1">
      <c r="A1123" s="20"/>
      <c r="B1123" s="46" t="s">
        <v>2953</v>
      </c>
      <c r="C1123" s="49">
        <v>241725.0</v>
      </c>
      <c r="D1123" s="46" t="s">
        <v>2665</v>
      </c>
      <c r="E1123" s="49" t="s">
        <v>111</v>
      </c>
      <c r="F1123" s="59">
        <v>0.5208333333333334</v>
      </c>
      <c r="G1123" s="20"/>
    </row>
    <row r="1124" spans="8:8" ht="41.25" customHeight="1">
      <c r="A1124" s="20"/>
      <c r="B1124" s="50" t="s">
        <v>2954</v>
      </c>
      <c r="C1124" s="47">
        <v>250366.0</v>
      </c>
      <c r="D1124" s="46" t="s">
        <v>94</v>
      </c>
      <c r="E1124" s="49" t="s">
        <v>781</v>
      </c>
      <c r="F1124" s="59">
        <v>0.5208333333333334</v>
      </c>
      <c r="G1124" s="20"/>
    </row>
    <row r="1125" spans="8:8" ht="41.25" customHeight="1">
      <c r="A1125" s="20"/>
      <c r="B1125" s="46" t="s">
        <v>2955</v>
      </c>
      <c r="C1125" s="49">
        <v>252597.0</v>
      </c>
      <c r="D1125" s="48" t="s">
        <v>90</v>
      </c>
      <c r="E1125" s="49" t="s">
        <v>1512</v>
      </c>
      <c r="F1125" s="59">
        <v>0.5208333333333334</v>
      </c>
      <c r="G1125" s="20"/>
    </row>
    <row r="1126" spans="8:8" ht="41.25" customHeight="1">
      <c r="A1126" s="20"/>
      <c r="B1126" s="20"/>
      <c r="C1126" s="20"/>
      <c r="D1126" s="20"/>
      <c r="E1126" s="20"/>
      <c r="F1126" s="59"/>
      <c r="G1126" s="20"/>
    </row>
    <row r="1127" spans="8:8" ht="41.25" customHeight="1">
      <c r="A1127" s="20"/>
      <c r="B1127" s="20"/>
      <c r="C1127" s="20"/>
      <c r="D1127" s="20"/>
      <c r="E1127" s="20"/>
      <c r="F1127" s="59"/>
      <c r="G1127" s="20"/>
    </row>
    <row r="1128" spans="8:8" ht="41.25" customHeight="1">
      <c r="A1128" s="20"/>
      <c r="B1128" s="20"/>
      <c r="C1128" s="20"/>
      <c r="D1128" s="20"/>
      <c r="E1128" s="20"/>
      <c r="F1128" s="59"/>
      <c r="G1128" s="20"/>
    </row>
    <row r="1129" spans="8:8" ht="41.25" customHeight="1">
      <c r="A1129" s="75"/>
      <c r="B1129" s="75"/>
      <c r="C1129" s="75"/>
      <c r="D1129" s="75"/>
      <c r="E1129" s="75"/>
      <c r="F1129" s="76"/>
      <c r="G1129" s="76"/>
    </row>
    <row r="1130" spans="8:8" ht="41.25" customHeight="1">
      <c r="A1130" s="75"/>
      <c r="B1130" s="75"/>
      <c r="C1130" s="75"/>
      <c r="D1130" s="75"/>
      <c r="E1130" s="75"/>
      <c r="F1130" s="76"/>
      <c r="G1130" s="76"/>
    </row>
  </sheetData>
  <mergeCells count="1">
    <mergeCell ref="A1:G1"/>
  </mergeCells>
  <conditionalFormatting sqref="C2:C4">
    <cfRule type="expression" priority="21" dxfId="44">
      <formula>COUNTIF(#REF!,C2)&gt;0</formula>
    </cfRule>
  </conditionalFormatting>
  <conditionalFormatting sqref="C642">
    <cfRule type="expression" priority="7" dxfId="45">
      <formula>COUNTIF(#REF!,C642)&gt;0</formula>
    </cfRule>
    <cfRule type="expression" priority="8" dxfId="46">
      <formula>COUNTIF(#REF!,C642)&gt;0</formula>
    </cfRule>
  </conditionalFormatting>
  <conditionalFormatting sqref="C1086:C1093">
    <cfRule type="expression" priority="14" dxfId="47">
      <formula>COUNTIF(#REF!,C1086)&gt;0</formula>
    </cfRule>
  </conditionalFormatting>
  <conditionalFormatting sqref="C640">
    <cfRule type="expression" priority="17" dxfId="48">
      <formula>COUNTIF(#REF!,C640)&gt;0</formula>
    </cfRule>
  </conditionalFormatting>
  <conditionalFormatting sqref="C1014">
    <cfRule type="expression" priority="10" dxfId="49">
      <formula>COUNTIF(#REF!,C1014)&gt;0</formula>
    </cfRule>
  </conditionalFormatting>
  <conditionalFormatting sqref="C1089">
    <cfRule type="expression" priority="4" dxfId="50">
      <formula>COUNTIF(#REF!,C1089)&gt;0</formula>
    </cfRule>
  </conditionalFormatting>
  <conditionalFormatting sqref="C518">
    <cfRule type="expression" priority="3" dxfId="51">
      <formula>COUNTIF(#REF!,C518)&gt;0</formula>
    </cfRule>
    <cfRule type="expression" priority="2" dxfId="52">
      <formula>COUNTIF(#REF!,C518)&gt;0</formula>
    </cfRule>
  </conditionalFormatting>
  <conditionalFormatting sqref="C1088">
    <cfRule type="expression" priority="5" dxfId="53">
      <formula>COUNTIF(#REF!,C1088)&gt;0</formula>
    </cfRule>
  </conditionalFormatting>
  <conditionalFormatting sqref="C930">
    <cfRule type="expression" priority="11" dxfId="54">
      <formula>COUNTIF(#REF!,C930)&gt;0</formula>
    </cfRule>
  </conditionalFormatting>
  <conditionalFormatting sqref="C32 C63 C90 C114:C115">
    <cfRule type="expression" priority="19" dxfId="55">
      <formula>COUNTIF(#REF!,C32)&gt;0</formula>
    </cfRule>
  </conditionalFormatting>
  <conditionalFormatting sqref="C1093:C1094">
    <cfRule type="expression" priority="6" dxfId="56">
      <formula>COUNTIF(#REF!,C1093)&gt;0</formula>
    </cfRule>
  </conditionalFormatting>
  <conditionalFormatting sqref="C710">
    <cfRule type="expression" priority="13" dxfId="57">
      <formula>COUNTIF(#REF!,C710)&gt;0</formula>
    </cfRule>
  </conditionalFormatting>
  <conditionalFormatting sqref="C521 C1093:C1094">
    <cfRule type="expression" priority="18" dxfId="58">
      <formula>COUNTIF(#REF!,C521)&gt;0</formula>
    </cfRule>
  </conditionalFormatting>
  <conditionalFormatting sqref="C1085">
    <cfRule type="expression" priority="16" dxfId="59">
      <formula>COUNTIF(#REF!,C1085)&gt;0</formula>
    </cfRule>
  </conditionalFormatting>
  <conditionalFormatting sqref="C5:C649 C652:C1121 C1126:C1130">
    <cfRule type="expression" priority="1" dxfId="60">
      <formula>COUNTIF(#REF!,C5)&gt;0</formula>
    </cfRule>
  </conditionalFormatting>
  <conditionalFormatting sqref="C343">
    <cfRule type="expression" priority="12" dxfId="61">
      <formula>COUNTIF(#REF!,C343)&gt;0</formula>
    </cfRule>
  </conditionalFormatting>
  <conditionalFormatting sqref="C521">
    <cfRule type="expression" priority="20" dxfId="62">
      <formula>COUNTIF(#REF!,C521)&gt;0</formula>
    </cfRule>
  </conditionalFormatting>
  <conditionalFormatting sqref="C375">
    <cfRule type="expression" priority="15" dxfId="63">
      <formula>COUNTIF(#REF!,C375)&gt;0</formula>
    </cfRule>
  </conditionalFormatting>
  <conditionalFormatting sqref="C957">
    <cfRule type="expression" priority="9" dxfId="64">
      <formula>COUNTIF(#REF!,C957)&gt;0</formula>
    </cfRule>
  </conditionalFormatting>
  <printOptions horizontalCentered="1" gridLines="1"/>
  <pageMargins left="0.7" right="0.7" top="0.75" bottom="0.75" header="0.0" footer="0.0"/>
  <pageSetup paperSize="9" fitToHeight="0" pageOrder="overThenDown" orientation="landscape" cellComments="atEnd"/>
  <legacy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93C47D"/>
    <pageSetUpPr fitToPage="1"/>
  </sheetPr>
  <dimension ref="A1:I996"/>
  <sheetViews>
    <sheetView workbookViewId="0">
      <selection activeCell="A1" sqref="A1:G1"/>
    </sheetView>
  </sheetViews>
  <sheetFormatPr defaultRowHeight="15.0" customHeight="1" defaultColWidth="12"/>
  <cols>
    <col min="1" max="1" customWidth="1" width="10.0" style="0"/>
    <col min="2" max="2" customWidth="1" width="41.0" style="0"/>
    <col min="3" max="3" customWidth="1" width="15.0" style="0"/>
    <col min="4" max="4" customWidth="1" width="49.25" style="0"/>
    <col min="5" max="5" customWidth="1" width="11.0" style="0"/>
    <col min="6" max="6" customWidth="1" width="14.378906" style="0"/>
    <col min="7" max="7" customWidth="1" width="51.128906" style="0"/>
  </cols>
  <sheetData>
    <row r="1" spans="8:8" ht="41.25" customHeight="1">
      <c r="A1" s="77" t="s">
        <v>2956</v>
      </c>
      <c r="B1" s="7"/>
      <c r="C1" s="7"/>
      <c r="D1" s="7"/>
      <c r="E1" s="7"/>
      <c r="F1" s="7"/>
      <c r="G1" s="7"/>
    </row>
    <row r="2" spans="8:8" ht="41.25" customHeight="1">
      <c r="A2" s="78" t="s">
        <v>18</v>
      </c>
      <c r="B2" s="79" t="s">
        <v>19</v>
      </c>
      <c r="C2" s="79" t="s">
        <v>20</v>
      </c>
      <c r="D2" s="79" t="s">
        <v>21</v>
      </c>
      <c r="E2" s="79" t="s">
        <v>22</v>
      </c>
      <c r="F2" s="79" t="s">
        <v>23</v>
      </c>
      <c r="G2" s="79" t="s">
        <v>24</v>
      </c>
    </row>
    <row r="3" spans="8:8" ht="41.25" customHeight="1">
      <c r="A3" s="78" t="s">
        <v>18</v>
      </c>
      <c r="B3" s="79" t="s">
        <v>19</v>
      </c>
      <c r="C3" s="79" t="s">
        <v>20</v>
      </c>
      <c r="D3" s="79" t="s">
        <v>21</v>
      </c>
      <c r="E3" s="79" t="s">
        <v>22</v>
      </c>
      <c r="F3" s="79" t="s">
        <v>23</v>
      </c>
      <c r="G3" s="79" t="s">
        <v>25</v>
      </c>
    </row>
    <row r="4" spans="8:8" ht="41.25" customHeight="1">
      <c r="A4" s="80">
        <v>1.0</v>
      </c>
      <c r="B4" s="81" t="s">
        <v>2957</v>
      </c>
      <c r="C4" s="80">
        <v>240277.0</v>
      </c>
      <c r="D4" s="81" t="s">
        <v>2932</v>
      </c>
      <c r="E4" s="80" t="s">
        <v>111</v>
      </c>
      <c r="F4" s="82">
        <v>0.4166666666666667</v>
      </c>
      <c r="G4" s="80"/>
    </row>
    <row r="5" spans="8:8" ht="41.25" customHeight="1">
      <c r="A5" s="80">
        <v>2.0</v>
      </c>
      <c r="B5" s="81" t="s">
        <v>2958</v>
      </c>
      <c r="C5" s="80">
        <v>240367.0</v>
      </c>
      <c r="D5" s="81" t="s">
        <v>2932</v>
      </c>
      <c r="E5" s="80" t="s">
        <v>111</v>
      </c>
      <c r="F5" s="82">
        <v>0.4166666666666667</v>
      </c>
      <c r="G5" s="80"/>
    </row>
    <row r="6" spans="8:8" ht="41.25" customHeight="1">
      <c r="A6" s="80">
        <v>3.0</v>
      </c>
      <c r="B6" s="81" t="s">
        <v>2959</v>
      </c>
      <c r="C6" s="80">
        <v>240388.0</v>
      </c>
      <c r="D6" s="81" t="s">
        <v>2932</v>
      </c>
      <c r="E6" s="80" t="s">
        <v>111</v>
      </c>
      <c r="F6" s="82">
        <v>0.4166666666666667</v>
      </c>
      <c r="G6" s="80"/>
    </row>
    <row r="7" spans="8:8" ht="41.25" customHeight="1">
      <c r="A7" s="80">
        <v>4.0</v>
      </c>
      <c r="B7" s="81" t="s">
        <v>2960</v>
      </c>
      <c r="C7" s="80">
        <v>240400.0</v>
      </c>
      <c r="D7" s="81" t="s">
        <v>2932</v>
      </c>
      <c r="E7" s="80" t="s">
        <v>111</v>
      </c>
      <c r="F7" s="82">
        <v>0.4166666666666667</v>
      </c>
      <c r="G7" s="80"/>
    </row>
    <row r="8" spans="8:8" ht="41.25" customHeight="1">
      <c r="A8" s="80">
        <v>5.0</v>
      </c>
      <c r="B8" s="81" t="s">
        <v>2961</v>
      </c>
      <c r="C8" s="80">
        <v>240413.0</v>
      </c>
      <c r="D8" s="81" t="s">
        <v>2932</v>
      </c>
      <c r="E8" s="80" t="s">
        <v>111</v>
      </c>
      <c r="F8" s="82">
        <v>0.4166666666666667</v>
      </c>
      <c r="G8" s="80"/>
    </row>
    <row r="9" spans="8:8" ht="41.25" customHeight="1">
      <c r="A9" s="80">
        <v>6.0</v>
      </c>
      <c r="B9" s="81" t="s">
        <v>2962</v>
      </c>
      <c r="C9" s="80">
        <v>241929.0</v>
      </c>
      <c r="D9" s="81" t="s">
        <v>2932</v>
      </c>
      <c r="E9" s="80" t="s">
        <v>111</v>
      </c>
      <c r="F9" s="82">
        <v>0.4166666666666667</v>
      </c>
      <c r="G9" s="80"/>
    </row>
    <row r="10" spans="8:8" ht="41.25" customHeight="1">
      <c r="A10" s="80">
        <v>7.0</v>
      </c>
      <c r="B10" s="81" t="s">
        <v>2963</v>
      </c>
      <c r="C10" s="80">
        <v>240289.0</v>
      </c>
      <c r="D10" s="81" t="s">
        <v>2932</v>
      </c>
      <c r="E10" s="80" t="s">
        <v>111</v>
      </c>
      <c r="F10" s="82">
        <v>0.4166666666666667</v>
      </c>
      <c r="G10" s="80"/>
    </row>
    <row r="11" spans="8:8" ht="41.25" customHeight="1">
      <c r="A11" s="80">
        <v>8.0</v>
      </c>
      <c r="B11" s="81" t="s">
        <v>2964</v>
      </c>
      <c r="C11" s="80">
        <v>240396.0</v>
      </c>
      <c r="D11" s="81" t="s">
        <v>2932</v>
      </c>
      <c r="E11" s="80" t="s">
        <v>111</v>
      </c>
      <c r="F11" s="82">
        <v>0.4166666666666667</v>
      </c>
      <c r="G11" s="80"/>
    </row>
    <row r="12" spans="8:8" ht="41.25" customHeight="1">
      <c r="A12" s="80">
        <v>9.0</v>
      </c>
      <c r="B12" s="81" t="s">
        <v>2965</v>
      </c>
      <c r="C12" s="80">
        <v>240440.0</v>
      </c>
      <c r="D12" s="81" t="s">
        <v>2932</v>
      </c>
      <c r="E12" s="80" t="s">
        <v>111</v>
      </c>
      <c r="F12" s="82">
        <v>0.4166666666666667</v>
      </c>
      <c r="G12" s="80"/>
    </row>
    <row r="13" spans="8:8" ht="41.25" customHeight="1">
      <c r="A13" s="80">
        <v>10.0</v>
      </c>
      <c r="B13" s="81" t="s">
        <v>2966</v>
      </c>
      <c r="C13" s="80">
        <v>240436.0</v>
      </c>
      <c r="D13" s="81" t="s">
        <v>2932</v>
      </c>
      <c r="E13" s="80" t="s">
        <v>111</v>
      </c>
      <c r="F13" s="82">
        <v>0.4166666666666667</v>
      </c>
      <c r="G13" s="80"/>
    </row>
    <row r="14" spans="8:8" ht="41.25" customHeight="1">
      <c r="A14" s="80">
        <v>11.0</v>
      </c>
      <c r="B14" s="81" t="s">
        <v>2967</v>
      </c>
      <c r="C14" s="80">
        <v>240322.0</v>
      </c>
      <c r="D14" s="81" t="s">
        <v>2932</v>
      </c>
      <c r="E14" s="80" t="s">
        <v>111</v>
      </c>
      <c r="F14" s="82">
        <v>0.4166666666666667</v>
      </c>
      <c r="G14" s="80"/>
    </row>
    <row r="15" spans="8:8" ht="41.25" customHeight="1">
      <c r="A15" s="80">
        <v>12.0</v>
      </c>
      <c r="B15" s="81" t="s">
        <v>2968</v>
      </c>
      <c r="C15" s="80">
        <v>253148.0</v>
      </c>
      <c r="D15" s="81" t="s">
        <v>27</v>
      </c>
      <c r="E15" s="80" t="s">
        <v>111</v>
      </c>
      <c r="F15" s="82">
        <v>0.4166666666666667</v>
      </c>
      <c r="G15" s="80"/>
    </row>
    <row r="16" spans="8:8" ht="41.25" customHeight="1">
      <c r="A16" s="80">
        <v>13.0</v>
      </c>
      <c r="B16" s="81" t="s">
        <v>2969</v>
      </c>
      <c r="C16" s="80">
        <v>241926.0</v>
      </c>
      <c r="D16" s="81" t="s">
        <v>1065</v>
      </c>
      <c r="E16" s="80" t="s">
        <v>111</v>
      </c>
      <c r="F16" s="82">
        <v>0.4166666666666667</v>
      </c>
      <c r="G16" s="80"/>
    </row>
    <row r="17" spans="8:8" ht="41.25" customHeight="1">
      <c r="A17" s="80">
        <v>14.0</v>
      </c>
      <c r="B17" s="81" t="s">
        <v>2970</v>
      </c>
      <c r="C17" s="80">
        <v>253223.0</v>
      </c>
      <c r="D17" s="83" t="s">
        <v>2971</v>
      </c>
      <c r="E17" s="80" t="s">
        <v>111</v>
      </c>
      <c r="F17" s="82">
        <v>0.4166666666666667</v>
      </c>
      <c r="G17" s="80"/>
    </row>
    <row r="18" spans="8:8" ht="41.25" customHeight="1">
      <c r="A18" s="78" t="s">
        <v>18</v>
      </c>
      <c r="B18" s="79" t="s">
        <v>19</v>
      </c>
      <c r="C18" s="79" t="s">
        <v>20</v>
      </c>
      <c r="D18" s="79" t="s">
        <v>21</v>
      </c>
      <c r="E18" s="79" t="s">
        <v>22</v>
      </c>
      <c r="F18" s="79" t="s">
        <v>23</v>
      </c>
      <c r="G18" s="79" t="s">
        <v>1896</v>
      </c>
    </row>
    <row r="19" spans="8:8" ht="41.25" customHeight="1">
      <c r="A19" s="80">
        <v>1.0</v>
      </c>
      <c r="B19" s="81" t="s">
        <v>2972</v>
      </c>
      <c r="C19" s="80">
        <v>240332.0</v>
      </c>
      <c r="D19" s="81" t="s">
        <v>2932</v>
      </c>
      <c r="E19" s="80" t="s">
        <v>580</v>
      </c>
      <c r="F19" s="82">
        <v>0.4166666666666667</v>
      </c>
      <c r="G19" s="80"/>
    </row>
    <row r="20" spans="8:8" ht="41.25" customHeight="1">
      <c r="A20" s="80">
        <v>2.0</v>
      </c>
      <c r="B20" s="81" t="s">
        <v>2973</v>
      </c>
      <c r="C20" s="80">
        <v>240333.0</v>
      </c>
      <c r="D20" s="81" t="s">
        <v>2932</v>
      </c>
      <c r="E20" s="80" t="s">
        <v>580</v>
      </c>
      <c r="F20" s="82">
        <v>0.4166666666666667</v>
      </c>
      <c r="G20" s="80"/>
    </row>
    <row r="21" spans="8:8" ht="41.25" customHeight="1">
      <c r="A21" s="80">
        <v>3.0</v>
      </c>
      <c r="B21" s="81" t="s">
        <v>2974</v>
      </c>
      <c r="C21" s="80">
        <v>240334.0</v>
      </c>
      <c r="D21" s="81" t="s">
        <v>2932</v>
      </c>
      <c r="E21" s="80" t="s">
        <v>580</v>
      </c>
      <c r="F21" s="82">
        <v>0.4166666666666667</v>
      </c>
      <c r="G21" s="80"/>
    </row>
    <row r="22" spans="8:8" ht="41.25" customHeight="1">
      <c r="A22" s="80">
        <v>4.0</v>
      </c>
      <c r="B22" s="81" t="s">
        <v>2975</v>
      </c>
      <c r="C22" s="80">
        <v>240336.0</v>
      </c>
      <c r="D22" s="81" t="s">
        <v>2932</v>
      </c>
      <c r="E22" s="80" t="s">
        <v>580</v>
      </c>
      <c r="F22" s="82">
        <v>0.4166666666666667</v>
      </c>
      <c r="G22" s="80"/>
    </row>
    <row r="23" spans="8:8" ht="41.25" customHeight="1">
      <c r="A23" s="80">
        <v>5.0</v>
      </c>
      <c r="B23" s="81" t="s">
        <v>2976</v>
      </c>
      <c r="C23" s="80">
        <v>240337.0</v>
      </c>
      <c r="D23" s="81" t="s">
        <v>2932</v>
      </c>
      <c r="E23" s="80" t="s">
        <v>580</v>
      </c>
      <c r="F23" s="82">
        <v>0.4166666666666667</v>
      </c>
      <c r="G23" s="80"/>
    </row>
    <row r="24" spans="8:8" ht="41.25" customHeight="1">
      <c r="A24" s="80">
        <v>6.0</v>
      </c>
      <c r="B24" s="81" t="s">
        <v>2977</v>
      </c>
      <c r="C24" s="80">
        <v>240338.0</v>
      </c>
      <c r="D24" s="81" t="s">
        <v>2932</v>
      </c>
      <c r="E24" s="80" t="s">
        <v>580</v>
      </c>
      <c r="F24" s="82">
        <v>0.4166666666666667</v>
      </c>
      <c r="G24" s="80"/>
    </row>
    <row r="25" spans="8:8" ht="41.25" customHeight="1">
      <c r="A25" s="80">
        <v>7.0</v>
      </c>
      <c r="B25" s="81" t="s">
        <v>2978</v>
      </c>
      <c r="C25" s="80">
        <v>240340.0</v>
      </c>
      <c r="D25" s="81" t="s">
        <v>2932</v>
      </c>
      <c r="E25" s="80" t="s">
        <v>580</v>
      </c>
      <c r="F25" s="82">
        <v>0.4166666666666667</v>
      </c>
      <c r="G25" s="80"/>
    </row>
    <row r="26" spans="8:8" ht="41.25" customHeight="1">
      <c r="A26" s="80">
        <v>8.0</v>
      </c>
      <c r="B26" s="81" t="s">
        <v>2979</v>
      </c>
      <c r="C26" s="80">
        <v>240341.0</v>
      </c>
      <c r="D26" s="81" t="s">
        <v>2932</v>
      </c>
      <c r="E26" s="80" t="s">
        <v>580</v>
      </c>
      <c r="F26" s="82">
        <v>0.4166666666666667</v>
      </c>
      <c r="G26" s="80"/>
    </row>
    <row r="27" spans="8:8" ht="41.25" customHeight="1">
      <c r="A27" s="80">
        <v>9.0</v>
      </c>
      <c r="B27" s="81" t="s">
        <v>2980</v>
      </c>
      <c r="C27" s="80">
        <v>240343.0</v>
      </c>
      <c r="D27" s="81" t="s">
        <v>2932</v>
      </c>
      <c r="E27" s="80" t="s">
        <v>580</v>
      </c>
      <c r="F27" s="82">
        <v>0.4166666666666667</v>
      </c>
      <c r="G27" s="80"/>
    </row>
    <row r="28" spans="8:8" ht="41.25" customHeight="1">
      <c r="A28" s="80">
        <v>10.0</v>
      </c>
      <c r="B28" s="81" t="s">
        <v>2981</v>
      </c>
      <c r="C28" s="80">
        <v>240344.0</v>
      </c>
      <c r="D28" s="81" t="s">
        <v>2932</v>
      </c>
      <c r="E28" s="80" t="s">
        <v>580</v>
      </c>
      <c r="F28" s="82">
        <v>0.4166666666666667</v>
      </c>
      <c r="G28" s="80"/>
    </row>
    <row r="29" spans="8:8" ht="41.25" customHeight="1">
      <c r="A29" s="80">
        <v>11.0</v>
      </c>
      <c r="B29" s="81" t="s">
        <v>2982</v>
      </c>
      <c r="C29" s="80">
        <v>240346.0</v>
      </c>
      <c r="D29" s="81" t="s">
        <v>2932</v>
      </c>
      <c r="E29" s="80" t="s">
        <v>580</v>
      </c>
      <c r="F29" s="82">
        <v>0.4166666666666667</v>
      </c>
      <c r="G29" s="80"/>
    </row>
    <row r="30" spans="8:8" ht="41.25" customHeight="1">
      <c r="A30" s="80">
        <v>12.0</v>
      </c>
      <c r="B30" s="81" t="s">
        <v>2983</v>
      </c>
      <c r="C30" s="80">
        <v>240274.0</v>
      </c>
      <c r="D30" s="81" t="s">
        <v>2932</v>
      </c>
      <c r="E30" s="80" t="s">
        <v>580</v>
      </c>
      <c r="F30" s="82">
        <v>0.4166666666666667</v>
      </c>
      <c r="G30" s="80"/>
    </row>
    <row r="31" spans="8:8" ht="41.25" customHeight="1">
      <c r="A31" s="80">
        <v>13.0</v>
      </c>
      <c r="B31" s="81" t="s">
        <v>2984</v>
      </c>
      <c r="C31" s="80">
        <v>240292.0</v>
      </c>
      <c r="D31" s="81" t="s">
        <v>2932</v>
      </c>
      <c r="E31" s="80" t="s">
        <v>580</v>
      </c>
      <c r="F31" s="82">
        <v>0.4166666666666667</v>
      </c>
      <c r="G31" s="80"/>
    </row>
    <row r="32" spans="8:8" ht="41.25" customHeight="1">
      <c r="A32" s="80">
        <v>14.0</v>
      </c>
      <c r="B32" s="81" t="s">
        <v>2985</v>
      </c>
      <c r="C32" s="80">
        <v>240311.0</v>
      </c>
      <c r="D32" s="81" t="s">
        <v>2932</v>
      </c>
      <c r="E32" s="80" t="s">
        <v>580</v>
      </c>
      <c r="F32" s="82">
        <v>0.4166666666666667</v>
      </c>
      <c r="G32" s="80"/>
    </row>
    <row r="33" spans="8:8" ht="41.25" customHeight="1">
      <c r="A33" s="80">
        <v>15.0</v>
      </c>
      <c r="B33" s="81" t="s">
        <v>2986</v>
      </c>
      <c r="C33" s="80">
        <v>240456.0</v>
      </c>
      <c r="D33" s="81" t="s">
        <v>2932</v>
      </c>
      <c r="E33" s="80" t="s">
        <v>580</v>
      </c>
      <c r="F33" s="82">
        <v>0.4166666666666667</v>
      </c>
      <c r="G33" s="80"/>
    </row>
    <row r="34" spans="8:8" ht="41.25" customHeight="1">
      <c r="A34" s="80">
        <v>16.0</v>
      </c>
      <c r="B34" s="81" t="s">
        <v>2987</v>
      </c>
      <c r="C34" s="80">
        <v>240475.0</v>
      </c>
      <c r="D34" s="81" t="s">
        <v>2932</v>
      </c>
      <c r="E34" s="80" t="s">
        <v>580</v>
      </c>
      <c r="F34" s="82">
        <v>0.4166666666666667</v>
      </c>
      <c r="G34" s="80"/>
    </row>
    <row r="35" spans="8:8" ht="41.25" customHeight="1">
      <c r="A35" s="80">
        <v>17.0</v>
      </c>
      <c r="B35" s="81" t="s">
        <v>2988</v>
      </c>
      <c r="C35" s="80">
        <v>240285.0</v>
      </c>
      <c r="D35" s="81" t="s">
        <v>2932</v>
      </c>
      <c r="E35" s="80" t="s">
        <v>580</v>
      </c>
      <c r="F35" s="82">
        <v>0.4166666666666667</v>
      </c>
      <c r="G35" s="80"/>
    </row>
    <row r="36" spans="8:8" ht="41.25" customHeight="1">
      <c r="A36" s="80">
        <v>18.0</v>
      </c>
      <c r="B36" s="81" t="s">
        <v>2989</v>
      </c>
      <c r="C36" s="80">
        <v>240286.0</v>
      </c>
      <c r="D36" s="81" t="s">
        <v>2932</v>
      </c>
      <c r="E36" s="80" t="s">
        <v>580</v>
      </c>
      <c r="F36" s="82">
        <v>0.4166666666666667</v>
      </c>
      <c r="G36" s="80"/>
    </row>
    <row r="37" spans="8:8" ht="41.25" customHeight="1">
      <c r="A37" s="80">
        <v>19.0</v>
      </c>
      <c r="B37" s="81" t="s">
        <v>2990</v>
      </c>
      <c r="C37" s="80">
        <v>240287.0</v>
      </c>
      <c r="D37" s="81" t="s">
        <v>2932</v>
      </c>
      <c r="E37" s="80" t="s">
        <v>580</v>
      </c>
      <c r="F37" s="82">
        <v>0.4166666666666667</v>
      </c>
      <c r="G37" s="80"/>
    </row>
    <row r="38" spans="8:8" ht="41.25" customHeight="1">
      <c r="A38" s="80">
        <v>20.0</v>
      </c>
      <c r="B38" s="81" t="s">
        <v>2991</v>
      </c>
      <c r="C38" s="80">
        <v>240290.0</v>
      </c>
      <c r="D38" s="81" t="s">
        <v>2932</v>
      </c>
      <c r="E38" s="80" t="s">
        <v>580</v>
      </c>
      <c r="F38" s="82">
        <v>0.4166666666666667</v>
      </c>
      <c r="G38" s="80"/>
    </row>
    <row r="39" spans="8:8" ht="41.25" customHeight="1">
      <c r="A39" s="80">
        <v>21.0</v>
      </c>
      <c r="B39" s="81" t="s">
        <v>2992</v>
      </c>
      <c r="C39" s="80">
        <v>240477.0</v>
      </c>
      <c r="D39" s="81" t="s">
        <v>2932</v>
      </c>
      <c r="E39" s="80" t="s">
        <v>580</v>
      </c>
      <c r="F39" s="82">
        <v>0.4166666666666667</v>
      </c>
      <c r="G39" s="80"/>
    </row>
    <row r="40" spans="8:8" ht="41.25" customHeight="1">
      <c r="A40" s="80">
        <v>22.0</v>
      </c>
      <c r="B40" s="81" t="s">
        <v>2993</v>
      </c>
      <c r="C40" s="80">
        <v>240297.0</v>
      </c>
      <c r="D40" s="81" t="s">
        <v>2932</v>
      </c>
      <c r="E40" s="80" t="s">
        <v>580</v>
      </c>
      <c r="F40" s="82">
        <v>0.4166666666666667</v>
      </c>
      <c r="G40" s="80"/>
    </row>
    <row r="41" spans="8:8" ht="41.25" customHeight="1">
      <c r="A41" s="80">
        <v>23.0</v>
      </c>
      <c r="B41" s="81" t="s">
        <v>2994</v>
      </c>
      <c r="C41" s="80">
        <v>240298.0</v>
      </c>
      <c r="D41" s="81" t="s">
        <v>2932</v>
      </c>
      <c r="E41" s="80" t="s">
        <v>580</v>
      </c>
      <c r="F41" s="82">
        <v>0.4166666666666667</v>
      </c>
      <c r="G41" s="80"/>
    </row>
    <row r="42" spans="8:8" ht="41.25" customHeight="1">
      <c r="A42" s="80">
        <v>24.0</v>
      </c>
      <c r="B42" s="81" t="s">
        <v>2995</v>
      </c>
      <c r="C42" s="80">
        <v>240299.0</v>
      </c>
      <c r="D42" s="81" t="s">
        <v>2932</v>
      </c>
      <c r="E42" s="80" t="s">
        <v>580</v>
      </c>
      <c r="F42" s="82">
        <v>0.4166666666666667</v>
      </c>
      <c r="G42" s="80"/>
    </row>
    <row r="43" spans="8:8" ht="41.25" customHeight="1">
      <c r="A43" s="80">
        <v>25.0</v>
      </c>
      <c r="B43" s="81" t="s">
        <v>2996</v>
      </c>
      <c r="C43" s="80">
        <v>240302.0</v>
      </c>
      <c r="D43" s="81" t="s">
        <v>2932</v>
      </c>
      <c r="E43" s="80" t="s">
        <v>580</v>
      </c>
      <c r="F43" s="82">
        <v>0.4166666666666667</v>
      </c>
      <c r="G43" s="80"/>
    </row>
    <row r="44" spans="8:8" ht="41.25" customHeight="1">
      <c r="A44" s="78" t="s">
        <v>18</v>
      </c>
      <c r="B44" s="79" t="s">
        <v>19</v>
      </c>
      <c r="C44" s="79" t="s">
        <v>20</v>
      </c>
      <c r="D44" s="79" t="s">
        <v>21</v>
      </c>
      <c r="E44" s="79" t="s">
        <v>22</v>
      </c>
      <c r="F44" s="79" t="s">
        <v>23</v>
      </c>
      <c r="G44" s="79" t="s">
        <v>1922</v>
      </c>
    </row>
    <row r="45" spans="8:8" ht="41.25" customHeight="1">
      <c r="A45" s="80">
        <v>1.0</v>
      </c>
      <c r="B45" s="83" t="s">
        <v>2997</v>
      </c>
      <c r="C45" s="84">
        <v>241568.0</v>
      </c>
      <c r="D45" s="83" t="s">
        <v>1369</v>
      </c>
      <c r="E45" s="84" t="s">
        <v>580</v>
      </c>
      <c r="F45" s="82">
        <v>0.4166666666666667</v>
      </c>
      <c r="G45" s="80"/>
    </row>
    <row r="46" spans="8:8" ht="41.25" customHeight="1">
      <c r="A46" s="80">
        <v>2.0</v>
      </c>
      <c r="B46" s="81" t="s">
        <v>2998</v>
      </c>
      <c r="C46" s="80">
        <v>240014.0</v>
      </c>
      <c r="D46" s="81" t="s">
        <v>1065</v>
      </c>
      <c r="E46" s="80" t="s">
        <v>580</v>
      </c>
      <c r="F46" s="82">
        <v>0.4166666666666667</v>
      </c>
      <c r="G46" s="80"/>
    </row>
    <row r="47" spans="8:8" ht="41.25" customHeight="1">
      <c r="A47" s="80">
        <v>3.0</v>
      </c>
      <c r="B47" s="81" t="s">
        <v>2999</v>
      </c>
      <c r="C47" s="80">
        <v>240307.0</v>
      </c>
      <c r="D47" s="81" t="s">
        <v>2932</v>
      </c>
      <c r="E47" s="80" t="s">
        <v>580</v>
      </c>
      <c r="F47" s="82">
        <v>0.4166666666666667</v>
      </c>
      <c r="G47" s="80"/>
    </row>
    <row r="48" spans="8:8" ht="41.25" customHeight="1">
      <c r="A48" s="80">
        <v>4.0</v>
      </c>
      <c r="B48" s="81" t="s">
        <v>3000</v>
      </c>
      <c r="C48" s="80">
        <v>240314.0</v>
      </c>
      <c r="D48" s="81" t="s">
        <v>2932</v>
      </c>
      <c r="E48" s="80" t="s">
        <v>580</v>
      </c>
      <c r="F48" s="82">
        <v>0.4166666666666667</v>
      </c>
      <c r="G48" s="80"/>
    </row>
    <row r="49" spans="8:8" ht="41.25" customHeight="1">
      <c r="A49" s="80">
        <v>5.0</v>
      </c>
      <c r="B49" s="81" t="s">
        <v>3001</v>
      </c>
      <c r="C49" s="80">
        <v>240317.0</v>
      </c>
      <c r="D49" s="81" t="s">
        <v>2932</v>
      </c>
      <c r="E49" s="80" t="s">
        <v>580</v>
      </c>
      <c r="F49" s="82">
        <v>0.4166666666666667</v>
      </c>
      <c r="G49" s="80"/>
    </row>
    <row r="50" spans="8:8" ht="41.25" customHeight="1">
      <c r="A50" s="80">
        <v>6.0</v>
      </c>
      <c r="B50" s="81" t="s">
        <v>3002</v>
      </c>
      <c r="C50" s="80">
        <v>240318.0</v>
      </c>
      <c r="D50" s="81" t="s">
        <v>2932</v>
      </c>
      <c r="E50" s="80" t="s">
        <v>580</v>
      </c>
      <c r="F50" s="82">
        <v>0.4166666666666667</v>
      </c>
      <c r="G50" s="80"/>
    </row>
    <row r="51" spans="8:8" ht="41.25" customHeight="1">
      <c r="A51" s="80">
        <v>7.0</v>
      </c>
      <c r="B51" s="81" t="s">
        <v>3003</v>
      </c>
      <c r="C51" s="80">
        <v>240319.0</v>
      </c>
      <c r="D51" s="81" t="s">
        <v>2932</v>
      </c>
      <c r="E51" s="80" t="s">
        <v>580</v>
      </c>
      <c r="F51" s="82">
        <v>0.4166666666666667</v>
      </c>
      <c r="G51" s="80"/>
    </row>
    <row r="52" spans="8:8" ht="41.25" customHeight="1">
      <c r="A52" s="80">
        <v>8.0</v>
      </c>
      <c r="B52" s="81" t="s">
        <v>3004</v>
      </c>
      <c r="C52" s="80">
        <v>240320.0</v>
      </c>
      <c r="D52" s="81" t="s">
        <v>2932</v>
      </c>
      <c r="E52" s="80" t="s">
        <v>580</v>
      </c>
      <c r="F52" s="82">
        <v>0.4166666666666667</v>
      </c>
      <c r="G52" s="80"/>
    </row>
    <row r="53" spans="8:8" ht="41.25" customHeight="1">
      <c r="A53" s="80">
        <v>9.0</v>
      </c>
      <c r="B53" s="81" t="s">
        <v>3005</v>
      </c>
      <c r="C53" s="80">
        <v>240325.0</v>
      </c>
      <c r="D53" s="81" t="s">
        <v>2932</v>
      </c>
      <c r="E53" s="80" t="s">
        <v>580</v>
      </c>
      <c r="F53" s="82">
        <v>0.4166666666666667</v>
      </c>
      <c r="G53" s="80"/>
    </row>
    <row r="54" spans="8:8" ht="41.25" customHeight="1">
      <c r="A54" s="80">
        <v>10.0</v>
      </c>
      <c r="B54" s="81" t="s">
        <v>3006</v>
      </c>
      <c r="C54" s="80">
        <v>240327.0</v>
      </c>
      <c r="D54" s="81" t="s">
        <v>2932</v>
      </c>
      <c r="E54" s="80" t="s">
        <v>580</v>
      </c>
      <c r="F54" s="82">
        <v>0.4166666666666667</v>
      </c>
      <c r="G54" s="80"/>
    </row>
    <row r="55" spans="8:8" ht="41.25" customHeight="1">
      <c r="A55" s="80">
        <v>11.0</v>
      </c>
      <c r="B55" s="81" t="s">
        <v>3007</v>
      </c>
      <c r="C55" s="80">
        <v>241828.0</v>
      </c>
      <c r="D55" s="81" t="s">
        <v>2932</v>
      </c>
      <c r="E55" s="80" t="s">
        <v>580</v>
      </c>
      <c r="F55" s="82">
        <v>0.4166666666666667</v>
      </c>
      <c r="G55" s="80"/>
    </row>
    <row r="56" spans="8:8" ht="41.25" customHeight="1">
      <c r="A56" s="80">
        <v>12.0</v>
      </c>
      <c r="B56" s="81" t="s">
        <v>3008</v>
      </c>
      <c r="C56" s="80">
        <v>240438.0</v>
      </c>
      <c r="D56" s="81" t="s">
        <v>2932</v>
      </c>
      <c r="E56" s="80" t="s">
        <v>580</v>
      </c>
      <c r="F56" s="82">
        <v>0.4166666666666667</v>
      </c>
      <c r="G56" s="80"/>
    </row>
    <row r="57" spans="8:8" ht="41.25" customHeight="1">
      <c r="A57" s="80">
        <v>13.0</v>
      </c>
      <c r="B57" s="81" t="s">
        <v>3009</v>
      </c>
      <c r="C57" s="80">
        <v>240278.0</v>
      </c>
      <c r="D57" s="81" t="s">
        <v>2932</v>
      </c>
      <c r="E57" s="80" t="s">
        <v>580</v>
      </c>
      <c r="F57" s="82">
        <v>0.4166666666666667</v>
      </c>
      <c r="G57" s="80"/>
    </row>
    <row r="58" spans="8:8" ht="41.25" customHeight="1">
      <c r="A58" s="80">
        <v>14.0</v>
      </c>
      <c r="B58" s="81" t="s">
        <v>3010</v>
      </c>
      <c r="C58" s="80">
        <v>240284.0</v>
      </c>
      <c r="D58" s="81" t="s">
        <v>2932</v>
      </c>
      <c r="E58" s="80" t="s">
        <v>580</v>
      </c>
      <c r="F58" s="82">
        <v>0.4166666666666667</v>
      </c>
      <c r="G58" s="80"/>
    </row>
    <row r="59" spans="8:8" ht="41.25" customHeight="1">
      <c r="A59" s="80">
        <v>15.0</v>
      </c>
      <c r="B59" s="81" t="s">
        <v>3011</v>
      </c>
      <c r="C59" s="80">
        <v>240347.0</v>
      </c>
      <c r="D59" s="81" t="s">
        <v>2932</v>
      </c>
      <c r="E59" s="80" t="s">
        <v>580</v>
      </c>
      <c r="F59" s="82">
        <v>0.4166666666666667</v>
      </c>
      <c r="G59" s="80"/>
    </row>
    <row r="60" spans="8:8" ht="41.25" customHeight="1">
      <c r="A60" s="80">
        <v>16.0</v>
      </c>
      <c r="B60" s="81" t="s">
        <v>3012</v>
      </c>
      <c r="C60" s="80">
        <v>240365.0</v>
      </c>
      <c r="D60" s="81" t="s">
        <v>2932</v>
      </c>
      <c r="E60" s="80" t="s">
        <v>580</v>
      </c>
      <c r="F60" s="82">
        <v>0.4166666666666667</v>
      </c>
      <c r="G60" s="80"/>
    </row>
    <row r="61" spans="8:8" ht="41.25" customHeight="1">
      <c r="A61" s="80">
        <v>17.0</v>
      </c>
      <c r="B61" s="81" t="s">
        <v>3013</v>
      </c>
      <c r="C61" s="80">
        <v>240368.0</v>
      </c>
      <c r="D61" s="81" t="s">
        <v>2932</v>
      </c>
      <c r="E61" s="80" t="s">
        <v>580</v>
      </c>
      <c r="F61" s="82">
        <v>0.4166666666666667</v>
      </c>
      <c r="G61" s="80"/>
    </row>
    <row r="62" spans="8:8" ht="41.25" customHeight="1">
      <c r="A62" s="80">
        <v>18.0</v>
      </c>
      <c r="B62" s="81" t="s">
        <v>3014</v>
      </c>
      <c r="C62" s="80">
        <v>240369.0</v>
      </c>
      <c r="D62" s="81" t="s">
        <v>2932</v>
      </c>
      <c r="E62" s="80" t="s">
        <v>580</v>
      </c>
      <c r="F62" s="82">
        <v>0.4166666666666667</v>
      </c>
      <c r="G62" s="80"/>
    </row>
    <row r="63" spans="8:8" ht="41.25" customHeight="1">
      <c r="A63" s="80">
        <v>19.0</v>
      </c>
      <c r="B63" s="81" t="s">
        <v>3015</v>
      </c>
      <c r="C63" s="80">
        <v>240375.0</v>
      </c>
      <c r="D63" s="81" t="s">
        <v>2932</v>
      </c>
      <c r="E63" s="80" t="s">
        <v>580</v>
      </c>
      <c r="F63" s="82">
        <v>0.4166666666666667</v>
      </c>
      <c r="G63" s="80"/>
    </row>
    <row r="64" spans="8:8" ht="41.25" customHeight="1">
      <c r="A64" s="80">
        <v>20.0</v>
      </c>
      <c r="B64" s="81" t="s">
        <v>3016</v>
      </c>
      <c r="C64" s="80">
        <v>240279.0</v>
      </c>
      <c r="D64" s="81" t="s">
        <v>2932</v>
      </c>
      <c r="E64" s="80" t="s">
        <v>580</v>
      </c>
      <c r="F64" s="82">
        <v>0.4166666666666667</v>
      </c>
      <c r="G64" s="80"/>
    </row>
    <row r="65" spans="8:8" ht="41.25" customHeight="1">
      <c r="A65" s="80">
        <v>21.0</v>
      </c>
      <c r="B65" s="81" t="s">
        <v>3017</v>
      </c>
      <c r="C65" s="80">
        <v>240376.0</v>
      </c>
      <c r="D65" s="81" t="s">
        <v>2932</v>
      </c>
      <c r="E65" s="80" t="s">
        <v>580</v>
      </c>
      <c r="F65" s="82">
        <v>0.4166666666666667</v>
      </c>
      <c r="G65" s="80"/>
    </row>
    <row r="66" spans="8:8" ht="41.25" customHeight="1">
      <c r="A66" s="80">
        <v>22.0</v>
      </c>
      <c r="B66" s="81" t="s">
        <v>3018</v>
      </c>
      <c r="C66" s="80">
        <v>240378.0</v>
      </c>
      <c r="D66" s="81" t="s">
        <v>2932</v>
      </c>
      <c r="E66" s="80" t="s">
        <v>580</v>
      </c>
      <c r="F66" s="82">
        <v>0.4166666666666667</v>
      </c>
      <c r="G66" s="80"/>
    </row>
    <row r="67" spans="8:8" ht="41.25" customHeight="1">
      <c r="A67" s="80">
        <v>23.0</v>
      </c>
      <c r="B67" s="81" t="s">
        <v>3019</v>
      </c>
      <c r="C67" s="80">
        <v>240379.0</v>
      </c>
      <c r="D67" s="81" t="s">
        <v>2932</v>
      </c>
      <c r="E67" s="80" t="s">
        <v>580</v>
      </c>
      <c r="F67" s="82">
        <v>0.4166666666666667</v>
      </c>
      <c r="G67" s="80"/>
    </row>
    <row r="68" spans="8:8" ht="41.25" customHeight="1">
      <c r="A68" s="80">
        <v>24.0</v>
      </c>
      <c r="B68" s="81" t="s">
        <v>3020</v>
      </c>
      <c r="C68" s="80">
        <v>240380.0</v>
      </c>
      <c r="D68" s="81" t="s">
        <v>2932</v>
      </c>
      <c r="E68" s="80" t="s">
        <v>580</v>
      </c>
      <c r="F68" s="82">
        <v>0.4166666666666667</v>
      </c>
      <c r="G68" s="80"/>
    </row>
    <row r="69" spans="8:8" ht="41.25" customHeight="1">
      <c r="A69" s="80">
        <v>25.0</v>
      </c>
      <c r="B69" s="81" t="s">
        <v>3021</v>
      </c>
      <c r="C69" s="80">
        <v>240381.0</v>
      </c>
      <c r="D69" s="81" t="s">
        <v>2932</v>
      </c>
      <c r="E69" s="80" t="s">
        <v>580</v>
      </c>
      <c r="F69" s="82">
        <v>0.4166666666666667</v>
      </c>
      <c r="G69" s="80"/>
    </row>
    <row r="70" spans="8:8" ht="41.25" customHeight="1">
      <c r="A70" s="78" t="s">
        <v>18</v>
      </c>
      <c r="B70" s="79" t="s">
        <v>19</v>
      </c>
      <c r="C70" s="79" t="s">
        <v>20</v>
      </c>
      <c r="D70" s="79" t="s">
        <v>21</v>
      </c>
      <c r="E70" s="79" t="s">
        <v>22</v>
      </c>
      <c r="F70" s="79" t="s">
        <v>23</v>
      </c>
      <c r="G70" s="79" t="s">
        <v>3022</v>
      </c>
    </row>
    <row r="71" spans="8:8" ht="41.25" customHeight="1">
      <c r="A71" s="80">
        <v>1.0</v>
      </c>
      <c r="B71" s="81" t="s">
        <v>3023</v>
      </c>
      <c r="C71" s="80">
        <v>240386.0</v>
      </c>
      <c r="D71" s="81" t="s">
        <v>2932</v>
      </c>
      <c r="E71" s="80" t="s">
        <v>580</v>
      </c>
      <c r="F71" s="82">
        <v>0.4166666666666667</v>
      </c>
      <c r="G71" s="80"/>
    </row>
    <row r="72" spans="8:8" ht="41.25" customHeight="1">
      <c r="A72" s="80">
        <v>2.0</v>
      </c>
      <c r="B72" s="81" t="s">
        <v>3024</v>
      </c>
      <c r="C72" s="80">
        <v>240389.0</v>
      </c>
      <c r="D72" s="81" t="s">
        <v>2932</v>
      </c>
      <c r="E72" s="80" t="s">
        <v>580</v>
      </c>
      <c r="F72" s="82">
        <v>0.4166666666666667</v>
      </c>
      <c r="G72" s="80"/>
    </row>
    <row r="73" spans="8:8" ht="41.25" customHeight="1">
      <c r="A73" s="80">
        <v>3.0</v>
      </c>
      <c r="B73" s="81" t="s">
        <v>3025</v>
      </c>
      <c r="C73" s="80">
        <v>240021.0</v>
      </c>
      <c r="D73" s="81" t="s">
        <v>1065</v>
      </c>
      <c r="E73" s="80" t="s">
        <v>580</v>
      </c>
      <c r="F73" s="82">
        <v>0.4166666666666667</v>
      </c>
      <c r="G73" s="80"/>
    </row>
    <row r="74" spans="8:8" ht="41.25" customHeight="1">
      <c r="A74" s="80">
        <v>4.0</v>
      </c>
      <c r="B74" s="81" t="s">
        <v>3026</v>
      </c>
      <c r="C74" s="80">
        <v>240326.0</v>
      </c>
      <c r="D74" s="81" t="s">
        <v>2932</v>
      </c>
      <c r="E74" s="80" t="s">
        <v>580</v>
      </c>
      <c r="F74" s="82">
        <v>0.4166666666666667</v>
      </c>
      <c r="G74" s="80"/>
    </row>
    <row r="75" spans="8:8" ht="41.25" customHeight="1">
      <c r="A75" s="80">
        <v>5.0</v>
      </c>
      <c r="B75" s="81" t="s">
        <v>3027</v>
      </c>
      <c r="C75" s="80">
        <v>252093.0</v>
      </c>
      <c r="D75" s="81" t="s">
        <v>104</v>
      </c>
      <c r="E75" s="80" t="s">
        <v>580</v>
      </c>
      <c r="F75" s="82">
        <v>0.4166666666666667</v>
      </c>
      <c r="G75" s="80"/>
    </row>
    <row r="76" spans="8:8" ht="41.25" customHeight="1">
      <c r="A76" s="80">
        <v>6.0</v>
      </c>
      <c r="B76" s="81" t="s">
        <v>3028</v>
      </c>
      <c r="C76" s="80">
        <v>240451.0</v>
      </c>
      <c r="D76" s="81" t="s">
        <v>2932</v>
      </c>
      <c r="E76" s="80" t="s">
        <v>580</v>
      </c>
      <c r="F76" s="82">
        <v>0.4166666666666667</v>
      </c>
      <c r="G76" s="80"/>
    </row>
    <row r="77" spans="8:8" ht="41.25" customHeight="1">
      <c r="A77" s="80">
        <v>7.0</v>
      </c>
      <c r="B77" s="81" t="s">
        <v>3029</v>
      </c>
      <c r="C77" s="80">
        <v>240272.0</v>
      </c>
      <c r="D77" s="81" t="s">
        <v>2932</v>
      </c>
      <c r="E77" s="80" t="s">
        <v>580</v>
      </c>
      <c r="F77" s="82">
        <v>0.4166666666666667</v>
      </c>
      <c r="G77" s="80"/>
    </row>
    <row r="78" spans="8:8" ht="41.25" customHeight="1">
      <c r="A78" s="80">
        <v>8.0</v>
      </c>
      <c r="B78" s="81" t="s">
        <v>3030</v>
      </c>
      <c r="C78" s="80">
        <v>240273.0</v>
      </c>
      <c r="D78" s="81" t="s">
        <v>2932</v>
      </c>
      <c r="E78" s="80" t="s">
        <v>580</v>
      </c>
      <c r="F78" s="82">
        <v>0.4166666666666667</v>
      </c>
      <c r="G78" s="80"/>
    </row>
    <row r="79" spans="8:8" ht="41.25" customHeight="1">
      <c r="A79" s="80">
        <v>9.0</v>
      </c>
      <c r="B79" s="81" t="s">
        <v>3031</v>
      </c>
      <c r="C79" s="80">
        <v>240249.0</v>
      </c>
      <c r="D79" s="81" t="s">
        <v>2932</v>
      </c>
      <c r="E79" s="80" t="s">
        <v>580</v>
      </c>
      <c r="F79" s="82">
        <v>0.4166666666666667</v>
      </c>
      <c r="G79" s="80"/>
    </row>
    <row r="80" spans="8:8" ht="41.25" customHeight="1">
      <c r="A80" s="80">
        <v>10.0</v>
      </c>
      <c r="B80" s="81" t="s">
        <v>3032</v>
      </c>
      <c r="C80" s="80">
        <v>240250.0</v>
      </c>
      <c r="D80" s="81" t="s">
        <v>2932</v>
      </c>
      <c r="E80" s="80" t="s">
        <v>580</v>
      </c>
      <c r="F80" s="82">
        <v>0.4166666666666667</v>
      </c>
      <c r="G80" s="80"/>
    </row>
    <row r="81" spans="8:8" ht="41.25" customHeight="1">
      <c r="A81" s="80">
        <v>11.0</v>
      </c>
      <c r="B81" s="81" t="s">
        <v>3033</v>
      </c>
      <c r="C81" s="80">
        <v>240254.0</v>
      </c>
      <c r="D81" s="81" t="s">
        <v>2932</v>
      </c>
      <c r="E81" s="80" t="s">
        <v>580</v>
      </c>
      <c r="F81" s="82">
        <v>0.4166666666666667</v>
      </c>
      <c r="G81" s="80"/>
    </row>
    <row r="82" spans="8:8" ht="41.25" customHeight="1">
      <c r="A82" s="80">
        <v>12.0</v>
      </c>
      <c r="B82" s="81" t="s">
        <v>3034</v>
      </c>
      <c r="C82" s="80">
        <v>240256.0</v>
      </c>
      <c r="D82" s="81" t="s">
        <v>2932</v>
      </c>
      <c r="E82" s="80" t="s">
        <v>580</v>
      </c>
      <c r="F82" s="82">
        <v>0.4166666666666667</v>
      </c>
      <c r="G82" s="80"/>
    </row>
    <row r="83" spans="8:8" ht="41.25" customHeight="1">
      <c r="A83" s="80">
        <v>13.0</v>
      </c>
      <c r="B83" s="81" t="s">
        <v>3035</v>
      </c>
      <c r="C83" s="80">
        <v>240372.0</v>
      </c>
      <c r="D83" s="81" t="s">
        <v>2932</v>
      </c>
      <c r="E83" s="80" t="s">
        <v>580</v>
      </c>
      <c r="F83" s="82">
        <v>0.4166666666666667</v>
      </c>
      <c r="G83" s="80"/>
    </row>
    <row r="84" spans="8:8" ht="41.25" customHeight="1">
      <c r="A84" s="80">
        <v>14.0</v>
      </c>
      <c r="B84" s="81" t="s">
        <v>3036</v>
      </c>
      <c r="C84" s="80">
        <v>240373.0</v>
      </c>
      <c r="D84" s="81" t="s">
        <v>2932</v>
      </c>
      <c r="E84" s="80" t="s">
        <v>580</v>
      </c>
      <c r="F84" s="82">
        <v>0.4166666666666667</v>
      </c>
      <c r="G84" s="80"/>
    </row>
    <row r="85" spans="8:8" ht="41.25" customHeight="1">
      <c r="A85" s="80">
        <v>15.0</v>
      </c>
      <c r="B85" s="81" t="s">
        <v>3037</v>
      </c>
      <c r="C85" s="80">
        <v>240382.0</v>
      </c>
      <c r="D85" s="81" t="s">
        <v>2932</v>
      </c>
      <c r="E85" s="80" t="s">
        <v>580</v>
      </c>
      <c r="F85" s="82">
        <v>0.4166666666666667</v>
      </c>
      <c r="G85" s="80"/>
    </row>
    <row r="86" spans="8:8" ht="41.25" customHeight="1">
      <c r="A86" s="80">
        <v>16.0</v>
      </c>
      <c r="B86" s="81" t="s">
        <v>3038</v>
      </c>
      <c r="C86" s="80">
        <v>240385.0</v>
      </c>
      <c r="D86" s="81" t="s">
        <v>2932</v>
      </c>
      <c r="E86" s="80" t="s">
        <v>580</v>
      </c>
      <c r="F86" s="82">
        <v>0.4166666666666667</v>
      </c>
      <c r="G86" s="80"/>
    </row>
    <row r="87" spans="8:8" ht="41.25" customHeight="1">
      <c r="A87" s="80">
        <v>17.0</v>
      </c>
      <c r="B87" s="81" t="s">
        <v>3039</v>
      </c>
      <c r="C87" s="80">
        <v>240387.0</v>
      </c>
      <c r="D87" s="81" t="s">
        <v>2932</v>
      </c>
      <c r="E87" s="80" t="s">
        <v>580</v>
      </c>
      <c r="F87" s="82">
        <v>0.4166666666666667</v>
      </c>
      <c r="G87" s="80"/>
    </row>
    <row r="88" spans="8:8" ht="41.25" customHeight="1">
      <c r="A88" s="80">
        <v>18.0</v>
      </c>
      <c r="B88" s="81" t="s">
        <v>3040</v>
      </c>
      <c r="C88" s="80">
        <v>240392.0</v>
      </c>
      <c r="D88" s="81" t="s">
        <v>2932</v>
      </c>
      <c r="E88" s="80" t="s">
        <v>580</v>
      </c>
      <c r="F88" s="82">
        <v>0.4166666666666667</v>
      </c>
      <c r="G88" s="80"/>
    </row>
    <row r="89" spans="8:8" ht="41.25" customHeight="1">
      <c r="A89" s="80">
        <v>19.0</v>
      </c>
      <c r="B89" s="81" t="s">
        <v>3041</v>
      </c>
      <c r="C89" s="80">
        <v>240394.0</v>
      </c>
      <c r="D89" s="81" t="s">
        <v>2932</v>
      </c>
      <c r="E89" s="80" t="s">
        <v>580</v>
      </c>
      <c r="F89" s="82">
        <v>0.4166666666666667</v>
      </c>
      <c r="G89" s="80"/>
    </row>
    <row r="90" spans="8:8" ht="41.25" customHeight="1">
      <c r="A90" s="80">
        <v>20.0</v>
      </c>
      <c r="B90" s="81" t="s">
        <v>3042</v>
      </c>
      <c r="C90" s="80">
        <v>240398.0</v>
      </c>
      <c r="D90" s="81" t="s">
        <v>2932</v>
      </c>
      <c r="E90" s="80" t="s">
        <v>580</v>
      </c>
      <c r="F90" s="82">
        <v>0.4166666666666667</v>
      </c>
      <c r="G90" s="80"/>
    </row>
    <row r="91" spans="8:8" ht="41.25" customHeight="1">
      <c r="A91" s="80">
        <v>21.0</v>
      </c>
      <c r="B91" s="81" t="s">
        <v>3043</v>
      </c>
      <c r="C91" s="80">
        <v>240401.0</v>
      </c>
      <c r="D91" s="81" t="s">
        <v>2932</v>
      </c>
      <c r="E91" s="80" t="s">
        <v>580</v>
      </c>
      <c r="F91" s="82">
        <v>0.4166666666666667</v>
      </c>
      <c r="G91" s="80"/>
    </row>
    <row r="92" spans="8:8" ht="41.25" customHeight="1">
      <c r="A92" s="80">
        <v>22.0</v>
      </c>
      <c r="B92" s="81" t="s">
        <v>3044</v>
      </c>
      <c r="C92" s="80">
        <v>240404.0</v>
      </c>
      <c r="D92" s="81" t="s">
        <v>2932</v>
      </c>
      <c r="E92" s="80" t="s">
        <v>580</v>
      </c>
      <c r="F92" s="82">
        <v>0.4166666666666667</v>
      </c>
      <c r="G92" s="80"/>
    </row>
    <row r="93" spans="8:8" ht="41.25" customHeight="1">
      <c r="A93" s="80">
        <v>23.0</v>
      </c>
      <c r="B93" s="81" t="s">
        <v>3045</v>
      </c>
      <c r="C93" s="80">
        <v>240405.0</v>
      </c>
      <c r="D93" s="81" t="s">
        <v>2932</v>
      </c>
      <c r="E93" s="80" t="s">
        <v>580</v>
      </c>
      <c r="F93" s="82">
        <v>0.4166666666666667</v>
      </c>
      <c r="G93" s="80"/>
    </row>
    <row r="94" spans="8:8" ht="41.25" customHeight="1">
      <c r="A94" s="80">
        <v>24.0</v>
      </c>
      <c r="B94" s="81" t="s">
        <v>3046</v>
      </c>
      <c r="C94" s="80">
        <v>240406.0</v>
      </c>
      <c r="D94" s="81" t="s">
        <v>2932</v>
      </c>
      <c r="E94" s="80" t="s">
        <v>580</v>
      </c>
      <c r="F94" s="82">
        <v>0.4166666666666667</v>
      </c>
      <c r="G94" s="80"/>
    </row>
    <row r="95" spans="8:8" ht="41.25" customHeight="1">
      <c r="A95" s="80">
        <v>25.0</v>
      </c>
      <c r="B95" s="81" t="s">
        <v>3047</v>
      </c>
      <c r="C95" s="80">
        <v>240410.0</v>
      </c>
      <c r="D95" s="81" t="s">
        <v>2932</v>
      </c>
      <c r="E95" s="80" t="s">
        <v>580</v>
      </c>
      <c r="F95" s="82">
        <v>0.4166666666666667</v>
      </c>
      <c r="G95" s="80"/>
    </row>
    <row r="96" spans="8:8" ht="41.25" customHeight="1">
      <c r="A96" s="78" t="s">
        <v>18</v>
      </c>
      <c r="B96" s="79" t="s">
        <v>19</v>
      </c>
      <c r="C96" s="79" t="s">
        <v>20</v>
      </c>
      <c r="D96" s="79" t="s">
        <v>21</v>
      </c>
      <c r="E96" s="79" t="s">
        <v>22</v>
      </c>
      <c r="F96" s="79" t="s">
        <v>23</v>
      </c>
      <c r="G96" s="79" t="s">
        <v>3048</v>
      </c>
    </row>
    <row r="97" spans="8:8" ht="41.25" customHeight="1">
      <c r="A97" s="80">
        <v>1.0</v>
      </c>
      <c r="B97" s="81" t="s">
        <v>3049</v>
      </c>
      <c r="C97" s="80">
        <v>240411.0</v>
      </c>
      <c r="D97" s="81" t="s">
        <v>2932</v>
      </c>
      <c r="E97" s="80" t="s">
        <v>580</v>
      </c>
      <c r="F97" s="82">
        <v>0.4166666666666667</v>
      </c>
      <c r="G97" s="80"/>
    </row>
    <row r="98" spans="8:8" ht="41.25" customHeight="1">
      <c r="A98" s="80">
        <v>2.0</v>
      </c>
      <c r="B98" s="81" t="s">
        <v>3050</v>
      </c>
      <c r="C98" s="80">
        <v>240414.0</v>
      </c>
      <c r="D98" s="81" t="s">
        <v>2932</v>
      </c>
      <c r="E98" s="80" t="s">
        <v>580</v>
      </c>
      <c r="F98" s="82">
        <v>0.4166666666666667</v>
      </c>
      <c r="G98" s="80"/>
    </row>
    <row r="99" spans="8:8" ht="41.25" customHeight="1">
      <c r="A99" s="80">
        <v>3.0</v>
      </c>
      <c r="B99" s="81" t="s">
        <v>3051</v>
      </c>
      <c r="C99" s="80">
        <v>240415.0</v>
      </c>
      <c r="D99" s="81" t="s">
        <v>2932</v>
      </c>
      <c r="E99" s="80" t="s">
        <v>580</v>
      </c>
      <c r="F99" s="82">
        <v>0.4166666666666667</v>
      </c>
      <c r="G99" s="80"/>
    </row>
    <row r="100" spans="8:8" ht="41.25" customHeight="1">
      <c r="A100" s="80">
        <v>4.0</v>
      </c>
      <c r="B100" s="81" t="s">
        <v>3052</v>
      </c>
      <c r="C100" s="80">
        <v>240432.0</v>
      </c>
      <c r="D100" s="81" t="s">
        <v>2932</v>
      </c>
      <c r="E100" s="80" t="s">
        <v>580</v>
      </c>
      <c r="F100" s="82">
        <v>0.4166666666666667</v>
      </c>
      <c r="G100" s="80"/>
    </row>
    <row r="101" spans="8:8" ht="41.25" customHeight="1">
      <c r="A101" s="80">
        <v>5.0</v>
      </c>
      <c r="B101" s="81" t="s">
        <v>3053</v>
      </c>
      <c r="C101" s="80">
        <v>240418.0</v>
      </c>
      <c r="D101" s="81" t="s">
        <v>2932</v>
      </c>
      <c r="E101" s="80" t="s">
        <v>580</v>
      </c>
      <c r="F101" s="82">
        <v>0.4166666666666667</v>
      </c>
      <c r="G101" s="80"/>
    </row>
    <row r="102" spans="8:8" ht="41.25" customHeight="1">
      <c r="A102" s="80">
        <v>6.0</v>
      </c>
      <c r="B102" s="81" t="s">
        <v>3054</v>
      </c>
      <c r="C102" s="80">
        <v>240269.0</v>
      </c>
      <c r="D102" s="81" t="s">
        <v>2932</v>
      </c>
      <c r="E102" s="80" t="s">
        <v>580</v>
      </c>
      <c r="F102" s="82">
        <v>0.4166666666666667</v>
      </c>
      <c r="G102" s="80"/>
    </row>
    <row r="103" spans="8:8" ht="41.25" customHeight="1">
      <c r="A103" s="80">
        <v>7.0</v>
      </c>
      <c r="B103" s="81" t="s">
        <v>3055</v>
      </c>
      <c r="C103" s="80">
        <v>240291.0</v>
      </c>
      <c r="D103" s="81" t="s">
        <v>2932</v>
      </c>
      <c r="E103" s="80" t="s">
        <v>580</v>
      </c>
      <c r="F103" s="82">
        <v>0.4166666666666667</v>
      </c>
      <c r="G103" s="80"/>
    </row>
    <row r="104" spans="8:8" ht="41.25" customHeight="1">
      <c r="A104" s="80">
        <v>8.0</v>
      </c>
      <c r="B104" s="81" t="s">
        <v>3056</v>
      </c>
      <c r="C104" s="80">
        <v>240294.0</v>
      </c>
      <c r="D104" s="81" t="s">
        <v>2932</v>
      </c>
      <c r="E104" s="80" t="s">
        <v>580</v>
      </c>
      <c r="F104" s="82">
        <v>0.4166666666666667</v>
      </c>
      <c r="G104" s="80"/>
    </row>
    <row r="105" spans="8:8" ht="41.25" customHeight="1">
      <c r="A105" s="80">
        <v>9.0</v>
      </c>
      <c r="B105" s="81" t="s">
        <v>3057</v>
      </c>
      <c r="C105" s="80">
        <v>240313.0</v>
      </c>
      <c r="D105" s="81" t="s">
        <v>2932</v>
      </c>
      <c r="E105" s="80" t="s">
        <v>580</v>
      </c>
      <c r="F105" s="82">
        <v>0.4166666666666667</v>
      </c>
      <c r="G105" s="80"/>
    </row>
    <row r="106" spans="8:8" ht="41.25" customHeight="1">
      <c r="A106" s="80">
        <v>10.0</v>
      </c>
      <c r="B106" s="81" t="s">
        <v>3058</v>
      </c>
      <c r="C106" s="80">
        <v>240323.0</v>
      </c>
      <c r="D106" s="81" t="s">
        <v>2932</v>
      </c>
      <c r="E106" s="80" t="s">
        <v>580</v>
      </c>
      <c r="F106" s="82">
        <v>0.4166666666666667</v>
      </c>
      <c r="G106" s="80"/>
    </row>
    <row r="107" spans="8:8" ht="41.25" customHeight="1">
      <c r="A107" s="80">
        <v>11.0</v>
      </c>
      <c r="B107" s="81" t="s">
        <v>3059</v>
      </c>
      <c r="C107" s="80">
        <v>240324.0</v>
      </c>
      <c r="D107" s="81" t="s">
        <v>2932</v>
      </c>
      <c r="E107" s="80" t="s">
        <v>580</v>
      </c>
      <c r="F107" s="82">
        <v>0.4166666666666667</v>
      </c>
      <c r="G107" s="80"/>
    </row>
    <row r="108" spans="8:8" ht="41.25" customHeight="1">
      <c r="A108" s="80">
        <v>12.0</v>
      </c>
      <c r="B108" s="81" t="s">
        <v>3060</v>
      </c>
      <c r="C108" s="80">
        <v>240335.0</v>
      </c>
      <c r="D108" s="81" t="s">
        <v>2932</v>
      </c>
      <c r="E108" s="80" t="s">
        <v>580</v>
      </c>
      <c r="F108" s="82">
        <v>0.4166666666666667</v>
      </c>
      <c r="G108" s="80"/>
    </row>
    <row r="109" spans="8:8" ht="41.25" customHeight="1">
      <c r="A109" s="80">
        <v>13.0</v>
      </c>
      <c r="B109" s="81" t="s">
        <v>3061</v>
      </c>
      <c r="C109" s="80">
        <v>240474.0</v>
      </c>
      <c r="D109" s="81" t="s">
        <v>2932</v>
      </c>
      <c r="E109" s="80" t="s">
        <v>580</v>
      </c>
      <c r="F109" s="82">
        <v>0.4166666666666667</v>
      </c>
      <c r="G109" s="80"/>
    </row>
    <row r="110" spans="8:8" ht="41.25" customHeight="1">
      <c r="A110" s="80">
        <v>14.0</v>
      </c>
      <c r="B110" s="81" t="s">
        <v>3062</v>
      </c>
      <c r="C110" s="80">
        <v>240303.0</v>
      </c>
      <c r="D110" s="81" t="s">
        <v>2932</v>
      </c>
      <c r="E110" s="80" t="s">
        <v>580</v>
      </c>
      <c r="F110" s="82">
        <v>0.4166666666666667</v>
      </c>
      <c r="G110" s="80"/>
    </row>
    <row r="111" spans="8:8" ht="41.25" customHeight="1">
      <c r="A111" s="80">
        <v>15.0</v>
      </c>
      <c r="B111" s="81" t="s">
        <v>3063</v>
      </c>
      <c r="C111" s="80">
        <v>240449.0</v>
      </c>
      <c r="D111" s="81" t="s">
        <v>2932</v>
      </c>
      <c r="E111" s="80" t="s">
        <v>580</v>
      </c>
      <c r="F111" s="82">
        <v>0.4166666666666667</v>
      </c>
      <c r="G111" s="80"/>
    </row>
    <row r="112" spans="8:8" ht="41.25" customHeight="1">
      <c r="A112" s="80">
        <v>16.0</v>
      </c>
      <c r="B112" s="81" t="s">
        <v>3064</v>
      </c>
      <c r="C112" s="80">
        <v>240390.0</v>
      </c>
      <c r="D112" s="81" t="s">
        <v>2932</v>
      </c>
      <c r="E112" s="80" t="s">
        <v>580</v>
      </c>
      <c r="F112" s="82">
        <v>0.4166666666666667</v>
      </c>
      <c r="G112" s="80"/>
    </row>
    <row r="113" spans="8:8" ht="41.25" customHeight="1">
      <c r="A113" s="80">
        <v>17.0</v>
      </c>
      <c r="B113" s="81" t="s">
        <v>3065</v>
      </c>
      <c r="C113" s="80">
        <v>240402.0</v>
      </c>
      <c r="D113" s="81" t="s">
        <v>2932</v>
      </c>
      <c r="E113" s="80" t="s">
        <v>580</v>
      </c>
      <c r="F113" s="82">
        <v>0.4166666666666667</v>
      </c>
      <c r="G113" s="80"/>
    </row>
    <row r="114" spans="8:8" ht="41.25" customHeight="1">
      <c r="A114" s="80">
        <v>18.0</v>
      </c>
      <c r="B114" s="81" t="s">
        <v>3066</v>
      </c>
      <c r="C114" s="80">
        <v>240247.0</v>
      </c>
      <c r="D114" s="81" t="s">
        <v>2932</v>
      </c>
      <c r="E114" s="80" t="s">
        <v>580</v>
      </c>
      <c r="F114" s="82">
        <v>0.4166666666666667</v>
      </c>
      <c r="G114" s="80"/>
    </row>
    <row r="115" spans="8:8" ht="41.25" customHeight="1">
      <c r="A115" s="80">
        <v>19.0</v>
      </c>
      <c r="B115" s="81" t="s">
        <v>3067</v>
      </c>
      <c r="C115" s="80">
        <v>240248.0</v>
      </c>
      <c r="D115" s="81" t="s">
        <v>2932</v>
      </c>
      <c r="E115" s="80" t="s">
        <v>580</v>
      </c>
      <c r="F115" s="82">
        <v>0.4166666666666667</v>
      </c>
      <c r="G115" s="80"/>
    </row>
    <row r="116" spans="8:8" ht="41.25" customHeight="1">
      <c r="A116" s="80">
        <v>20.0</v>
      </c>
      <c r="B116" s="81" t="s">
        <v>3068</v>
      </c>
      <c r="C116" s="80">
        <v>240448.0</v>
      </c>
      <c r="D116" s="81" t="s">
        <v>2932</v>
      </c>
      <c r="E116" s="80" t="s">
        <v>580</v>
      </c>
      <c r="F116" s="82">
        <v>0.4166666666666667</v>
      </c>
      <c r="G116" s="80"/>
    </row>
    <row r="117" spans="8:8" ht="41.25" customHeight="1">
      <c r="A117" s="80">
        <v>21.0</v>
      </c>
      <c r="B117" s="83" t="s">
        <v>3069</v>
      </c>
      <c r="C117" s="84">
        <v>253147.0</v>
      </c>
      <c r="D117" s="81" t="s">
        <v>27</v>
      </c>
      <c r="E117" s="84" t="s">
        <v>580</v>
      </c>
      <c r="F117" s="82">
        <v>0.4166666666666667</v>
      </c>
      <c r="G117" s="84"/>
    </row>
    <row r="118" spans="8:8" ht="41.25" customHeight="1">
      <c r="A118" s="80">
        <v>22.0</v>
      </c>
      <c r="B118" s="81" t="s">
        <v>3070</v>
      </c>
      <c r="C118" s="80">
        <v>240316.0</v>
      </c>
      <c r="D118" s="81" t="s">
        <v>2932</v>
      </c>
      <c r="E118" s="80" t="s">
        <v>580</v>
      </c>
      <c r="F118" s="82">
        <v>0.4166666666666667</v>
      </c>
      <c r="G118" s="80"/>
    </row>
    <row r="119" spans="8:8" ht="41.25" customHeight="1">
      <c r="A119" s="80">
        <v>23.0</v>
      </c>
      <c r="B119" s="85" t="s">
        <v>3071</v>
      </c>
      <c r="C119" s="86">
        <v>240349.0</v>
      </c>
      <c r="D119" s="85" t="s">
        <v>2932</v>
      </c>
      <c r="E119" s="86" t="s">
        <v>580</v>
      </c>
      <c r="F119" s="82">
        <v>0.4166666666666667</v>
      </c>
      <c r="G119" s="86"/>
    </row>
    <row r="120" spans="8:8" ht="41.25" customHeight="1">
      <c r="A120" s="80">
        <v>24.0</v>
      </c>
      <c r="B120" s="85" t="s">
        <v>3072</v>
      </c>
      <c r="C120" s="86">
        <v>240384.0</v>
      </c>
      <c r="D120" s="85" t="s">
        <v>2932</v>
      </c>
      <c r="E120" s="86" t="s">
        <v>580</v>
      </c>
      <c r="F120" s="82">
        <v>0.4166666666666667</v>
      </c>
      <c r="G120" s="86"/>
    </row>
    <row r="121" spans="8:8" ht="41.25" customHeight="1">
      <c r="A121" s="80">
        <v>25.0</v>
      </c>
      <c r="B121" s="81" t="s">
        <v>3073</v>
      </c>
      <c r="C121" s="80">
        <v>240391.0</v>
      </c>
      <c r="D121" s="81" t="s">
        <v>2932</v>
      </c>
      <c r="E121" s="80" t="s">
        <v>580</v>
      </c>
      <c r="F121" s="82">
        <v>0.4166666666666667</v>
      </c>
      <c r="G121" s="80"/>
    </row>
    <row r="122" spans="8:8" ht="41.25" customHeight="1">
      <c r="A122" s="78" t="s">
        <v>18</v>
      </c>
      <c r="B122" s="79" t="s">
        <v>19</v>
      </c>
      <c r="C122" s="79" t="s">
        <v>20</v>
      </c>
      <c r="D122" s="79" t="s">
        <v>21</v>
      </c>
      <c r="E122" s="79" t="s">
        <v>22</v>
      </c>
      <c r="F122" s="79" t="s">
        <v>23</v>
      </c>
      <c r="G122" s="79" t="s">
        <v>2000</v>
      </c>
    </row>
    <row r="123" spans="8:8" ht="41.25" customHeight="1">
      <c r="A123" s="84">
        <v>1.0</v>
      </c>
      <c r="B123" s="81" t="s">
        <v>3074</v>
      </c>
      <c r="C123" s="80">
        <v>240395.0</v>
      </c>
      <c r="D123" s="81" t="s">
        <v>2932</v>
      </c>
      <c r="E123" s="80" t="s">
        <v>580</v>
      </c>
      <c r="F123" s="82">
        <v>0.4166666666666667</v>
      </c>
      <c r="G123" s="80"/>
    </row>
    <row r="124" spans="8:8" ht="41.25" customHeight="1">
      <c r="A124" s="80">
        <v>2.0</v>
      </c>
      <c r="B124" s="81" t="s">
        <v>3075</v>
      </c>
      <c r="C124" s="80">
        <v>240469.0</v>
      </c>
      <c r="D124" s="81" t="s">
        <v>2932</v>
      </c>
      <c r="E124" s="80" t="s">
        <v>580</v>
      </c>
      <c r="F124" s="82">
        <v>0.4166666666666667</v>
      </c>
      <c r="G124" s="80"/>
    </row>
    <row r="125" spans="8:8" ht="41.25" customHeight="1">
      <c r="A125" s="84">
        <v>3.0</v>
      </c>
      <c r="B125" s="81" t="s">
        <v>3076</v>
      </c>
      <c r="C125" s="80">
        <v>240407.0</v>
      </c>
      <c r="D125" s="81" t="s">
        <v>2932</v>
      </c>
      <c r="E125" s="80" t="s">
        <v>580</v>
      </c>
      <c r="F125" s="82">
        <v>0.4166666666666667</v>
      </c>
      <c r="G125" s="80"/>
    </row>
    <row r="126" spans="8:8" ht="41.25" customHeight="1">
      <c r="A126" s="80">
        <v>4.0</v>
      </c>
      <c r="B126" s="81" t="s">
        <v>3077</v>
      </c>
      <c r="C126" s="80">
        <v>240409.0</v>
      </c>
      <c r="D126" s="81" t="s">
        <v>2932</v>
      </c>
      <c r="E126" s="80" t="s">
        <v>580</v>
      </c>
      <c r="F126" s="82">
        <v>0.4166666666666667</v>
      </c>
      <c r="G126" s="80"/>
    </row>
    <row r="127" spans="8:8" ht="41.25" customHeight="1">
      <c r="A127" s="84">
        <v>5.0</v>
      </c>
      <c r="B127" s="81" t="s">
        <v>3078</v>
      </c>
      <c r="C127" s="80">
        <v>240412.0</v>
      </c>
      <c r="D127" s="81" t="s">
        <v>2932</v>
      </c>
      <c r="E127" s="80" t="s">
        <v>580</v>
      </c>
      <c r="F127" s="82">
        <v>0.4166666666666667</v>
      </c>
      <c r="G127" s="80"/>
    </row>
    <row r="128" spans="8:8" ht="41.25" customHeight="1">
      <c r="A128" s="80">
        <v>6.0</v>
      </c>
      <c r="B128" s="81" t="s">
        <v>3079</v>
      </c>
      <c r="C128" s="80">
        <v>240423.0</v>
      </c>
      <c r="D128" s="81" t="s">
        <v>2932</v>
      </c>
      <c r="E128" s="80" t="s">
        <v>580</v>
      </c>
      <c r="F128" s="82">
        <v>0.4166666666666667</v>
      </c>
      <c r="G128" s="80"/>
    </row>
    <row r="129" spans="8:8" ht="41.25" customHeight="1">
      <c r="A129" s="84">
        <v>7.0</v>
      </c>
      <c r="B129" s="81" t="s">
        <v>3080</v>
      </c>
      <c r="C129" s="80">
        <v>240424.0</v>
      </c>
      <c r="D129" s="81" t="s">
        <v>2932</v>
      </c>
      <c r="E129" s="80" t="s">
        <v>580</v>
      </c>
      <c r="F129" s="82">
        <v>0.4166666666666667</v>
      </c>
      <c r="G129" s="80"/>
    </row>
    <row r="130" spans="8:8" ht="41.25" customHeight="1">
      <c r="A130" s="80">
        <v>8.0</v>
      </c>
      <c r="B130" s="81" t="s">
        <v>3081</v>
      </c>
      <c r="C130" s="80">
        <v>240425.0</v>
      </c>
      <c r="D130" s="81" t="s">
        <v>2932</v>
      </c>
      <c r="E130" s="80" t="s">
        <v>580</v>
      </c>
      <c r="F130" s="82">
        <v>0.4166666666666667</v>
      </c>
      <c r="G130" s="80"/>
    </row>
    <row r="131" spans="8:8" ht="41.25" customHeight="1">
      <c r="A131" s="84">
        <v>9.0</v>
      </c>
      <c r="B131" s="81" t="s">
        <v>3082</v>
      </c>
      <c r="C131" s="80">
        <v>240426.0</v>
      </c>
      <c r="D131" s="81" t="s">
        <v>2932</v>
      </c>
      <c r="E131" s="80" t="s">
        <v>580</v>
      </c>
      <c r="F131" s="82">
        <v>0.4166666666666667</v>
      </c>
      <c r="G131" s="80"/>
    </row>
    <row r="132" spans="8:8" ht="41.25" customHeight="1">
      <c r="A132" s="80">
        <v>10.0</v>
      </c>
      <c r="B132" s="81" t="s">
        <v>3083</v>
      </c>
      <c r="C132" s="80">
        <v>240428.0</v>
      </c>
      <c r="D132" s="81" t="s">
        <v>2932</v>
      </c>
      <c r="E132" s="80" t="s">
        <v>580</v>
      </c>
      <c r="F132" s="82">
        <v>0.4166666666666667</v>
      </c>
      <c r="G132" s="80"/>
    </row>
    <row r="133" spans="8:8" ht="41.25" customHeight="1">
      <c r="A133" s="84">
        <v>11.0</v>
      </c>
      <c r="B133" s="81" t="s">
        <v>3084</v>
      </c>
      <c r="C133" s="80">
        <v>240429.0</v>
      </c>
      <c r="D133" s="81" t="s">
        <v>2932</v>
      </c>
      <c r="E133" s="80" t="s">
        <v>580</v>
      </c>
      <c r="F133" s="82">
        <v>0.4166666666666667</v>
      </c>
      <c r="G133" s="80"/>
    </row>
    <row r="134" spans="8:8" ht="41.25" customHeight="1">
      <c r="A134" s="80">
        <v>12.0</v>
      </c>
      <c r="B134" s="81" t="s">
        <v>3085</v>
      </c>
      <c r="C134" s="80">
        <v>240430.0</v>
      </c>
      <c r="D134" s="81" t="s">
        <v>2932</v>
      </c>
      <c r="E134" s="80" t="s">
        <v>580</v>
      </c>
      <c r="F134" s="82">
        <v>0.4166666666666667</v>
      </c>
      <c r="G134" s="80"/>
    </row>
    <row r="135" spans="8:8" ht="41.25" customHeight="1">
      <c r="A135" s="84">
        <v>13.0</v>
      </c>
      <c r="B135" s="81" t="s">
        <v>3086</v>
      </c>
      <c r="C135" s="80">
        <v>240435.0</v>
      </c>
      <c r="D135" s="81" t="s">
        <v>2932</v>
      </c>
      <c r="E135" s="80" t="s">
        <v>580</v>
      </c>
      <c r="F135" s="82">
        <v>0.4166666666666667</v>
      </c>
      <c r="G135" s="80"/>
    </row>
    <row r="136" spans="8:8" ht="41.25" customHeight="1">
      <c r="A136" s="80">
        <v>14.0</v>
      </c>
      <c r="B136" s="81" t="s">
        <v>3087</v>
      </c>
      <c r="C136" s="80">
        <v>240437.0</v>
      </c>
      <c r="D136" s="81" t="s">
        <v>2932</v>
      </c>
      <c r="E136" s="80" t="s">
        <v>580</v>
      </c>
      <c r="F136" s="82">
        <v>0.4166666666666667</v>
      </c>
      <c r="G136" s="80"/>
    </row>
    <row r="137" spans="8:8" ht="41.25" customHeight="1">
      <c r="A137" s="84">
        <v>15.0</v>
      </c>
      <c r="B137" s="81" t="s">
        <v>3088</v>
      </c>
      <c r="C137" s="80">
        <v>240441.0</v>
      </c>
      <c r="D137" s="81" t="s">
        <v>2932</v>
      </c>
      <c r="E137" s="80" t="s">
        <v>580</v>
      </c>
      <c r="F137" s="82">
        <v>0.4166666666666667</v>
      </c>
      <c r="G137" s="80"/>
    </row>
    <row r="138" spans="8:8" ht="41.25" customHeight="1">
      <c r="A138" s="80">
        <v>16.0</v>
      </c>
      <c r="B138" s="81" t="s">
        <v>3089</v>
      </c>
      <c r="C138" s="80">
        <v>240443.0</v>
      </c>
      <c r="D138" s="81" t="s">
        <v>2932</v>
      </c>
      <c r="E138" s="80" t="s">
        <v>580</v>
      </c>
      <c r="F138" s="82">
        <v>0.4166666666666667</v>
      </c>
      <c r="G138" s="80"/>
    </row>
    <row r="139" spans="8:8" ht="41.25" customHeight="1">
      <c r="A139" s="84">
        <v>17.0</v>
      </c>
      <c r="B139" s="81" t="s">
        <v>3090</v>
      </c>
      <c r="C139" s="80">
        <v>240444.0</v>
      </c>
      <c r="D139" s="81" t="s">
        <v>2932</v>
      </c>
      <c r="E139" s="80" t="s">
        <v>580</v>
      </c>
      <c r="F139" s="82">
        <v>0.4166666666666667</v>
      </c>
      <c r="G139" s="80"/>
    </row>
    <row r="140" spans="8:8" ht="41.25" customHeight="1">
      <c r="A140" s="80">
        <v>18.0</v>
      </c>
      <c r="B140" s="81" t="s">
        <v>3091</v>
      </c>
      <c r="C140" s="80">
        <v>240417.0</v>
      </c>
      <c r="D140" s="81" t="s">
        <v>2932</v>
      </c>
      <c r="E140" s="80" t="s">
        <v>580</v>
      </c>
      <c r="F140" s="82">
        <v>0.4166666666666667</v>
      </c>
      <c r="G140" s="80"/>
    </row>
    <row r="141" spans="8:8" ht="41.25" customHeight="1">
      <c r="A141" s="84">
        <v>19.0</v>
      </c>
      <c r="B141" s="81" t="s">
        <v>3092</v>
      </c>
      <c r="C141" s="80">
        <v>240419.0</v>
      </c>
      <c r="D141" s="81" t="s">
        <v>2932</v>
      </c>
      <c r="E141" s="80" t="s">
        <v>580</v>
      </c>
      <c r="F141" s="82">
        <v>0.4166666666666667</v>
      </c>
      <c r="G141" s="80"/>
    </row>
    <row r="142" spans="8:8" ht="41.25" customHeight="1">
      <c r="A142" s="80">
        <v>20.0</v>
      </c>
      <c r="B142" s="81" t="s">
        <v>3093</v>
      </c>
      <c r="C142" s="80">
        <v>240467.0</v>
      </c>
      <c r="D142" s="81" t="s">
        <v>2932</v>
      </c>
      <c r="E142" s="80" t="s">
        <v>580</v>
      </c>
      <c r="F142" s="82">
        <v>0.4166666666666667</v>
      </c>
      <c r="G142" s="80"/>
    </row>
    <row r="143" spans="8:8" ht="41.25" customHeight="1">
      <c r="A143" s="84">
        <v>21.0</v>
      </c>
      <c r="B143" s="81" t="s">
        <v>3094</v>
      </c>
      <c r="C143" s="80">
        <v>240422.0</v>
      </c>
      <c r="D143" s="81" t="s">
        <v>2932</v>
      </c>
      <c r="E143" s="80" t="s">
        <v>580</v>
      </c>
      <c r="F143" s="82">
        <v>0.4166666666666667</v>
      </c>
      <c r="G143" s="80"/>
    </row>
    <row r="144" spans="8:8" ht="41.25" customHeight="1">
      <c r="A144" s="80">
        <v>22.0</v>
      </c>
      <c r="B144" s="81" t="s">
        <v>3095</v>
      </c>
      <c r="C144" s="80">
        <v>240244.0</v>
      </c>
      <c r="D144" s="81" t="s">
        <v>2932</v>
      </c>
      <c r="E144" s="80" t="s">
        <v>580</v>
      </c>
      <c r="F144" s="82">
        <v>0.4166666666666667</v>
      </c>
      <c r="G144" s="80"/>
    </row>
    <row r="145" spans="8:8" ht="41.25" customHeight="1">
      <c r="A145" s="84">
        <v>23.0</v>
      </c>
      <c r="B145" s="81" t="s">
        <v>3096</v>
      </c>
      <c r="C145" s="80">
        <v>240245.0</v>
      </c>
      <c r="D145" s="81" t="s">
        <v>2932</v>
      </c>
      <c r="E145" s="80" t="s">
        <v>580</v>
      </c>
      <c r="F145" s="82">
        <v>0.4166666666666667</v>
      </c>
      <c r="G145" s="80"/>
    </row>
    <row r="146" spans="8:8" ht="41.25" customHeight="1">
      <c r="A146" s="80">
        <v>24.0</v>
      </c>
      <c r="B146" s="81" t="s">
        <v>3097</v>
      </c>
      <c r="C146" s="80">
        <v>240246.0</v>
      </c>
      <c r="D146" s="81" t="s">
        <v>2932</v>
      </c>
      <c r="E146" s="80" t="s">
        <v>580</v>
      </c>
      <c r="F146" s="82">
        <v>0.4166666666666667</v>
      </c>
      <c r="G146" s="80"/>
    </row>
    <row r="147" spans="8:8" ht="41.25" customHeight="1">
      <c r="A147" s="84">
        <v>25.0</v>
      </c>
      <c r="B147" s="81" t="s">
        <v>3098</v>
      </c>
      <c r="C147" s="80">
        <v>240420.0</v>
      </c>
      <c r="D147" s="81" t="s">
        <v>2932</v>
      </c>
      <c r="E147" s="80" t="s">
        <v>580</v>
      </c>
      <c r="F147" s="82">
        <v>0.4166666666666667</v>
      </c>
      <c r="G147" s="80"/>
    </row>
    <row r="148" spans="8:8" ht="41.25" customHeight="1">
      <c r="A148" s="78" t="s">
        <v>18</v>
      </c>
      <c r="B148" s="79" t="s">
        <v>19</v>
      </c>
      <c r="C148" s="79" t="s">
        <v>20</v>
      </c>
      <c r="D148" s="79" t="s">
        <v>21</v>
      </c>
      <c r="E148" s="79" t="s">
        <v>22</v>
      </c>
      <c r="F148" s="79" t="s">
        <v>23</v>
      </c>
      <c r="G148" s="79" t="s">
        <v>3099</v>
      </c>
    </row>
    <row r="149" spans="8:8" ht="41.25" customHeight="1">
      <c r="A149" s="80">
        <v>1.0</v>
      </c>
      <c r="B149" s="81" t="s">
        <v>3100</v>
      </c>
      <c r="C149" s="80">
        <v>240476.0</v>
      </c>
      <c r="D149" s="81" t="s">
        <v>2932</v>
      </c>
      <c r="E149" s="80" t="s">
        <v>580</v>
      </c>
      <c r="F149" s="82">
        <v>0.4166666666666667</v>
      </c>
      <c r="G149" s="80"/>
    </row>
    <row r="150" spans="8:8" ht="41.25" customHeight="1">
      <c r="A150" s="80">
        <v>2.0</v>
      </c>
      <c r="B150" s="81" t="s">
        <v>3101</v>
      </c>
      <c r="C150" s="80">
        <v>240472.0</v>
      </c>
      <c r="D150" s="81" t="s">
        <v>2932</v>
      </c>
      <c r="E150" s="80" t="s">
        <v>580</v>
      </c>
      <c r="F150" s="82">
        <v>0.4166666666666667</v>
      </c>
      <c r="G150" s="80"/>
    </row>
    <row r="151" spans="8:8" ht="41.25" customHeight="1">
      <c r="A151" s="80">
        <v>3.0</v>
      </c>
      <c r="B151" s="81" t="s">
        <v>3102</v>
      </c>
      <c r="C151" s="80">
        <v>240473.0</v>
      </c>
      <c r="D151" s="81" t="s">
        <v>2932</v>
      </c>
      <c r="E151" s="80" t="s">
        <v>580</v>
      </c>
      <c r="F151" s="82">
        <v>0.4166666666666667</v>
      </c>
      <c r="G151" s="80"/>
    </row>
    <row r="152" spans="8:8" ht="41.25" customHeight="1">
      <c r="A152" s="80">
        <v>4.0</v>
      </c>
      <c r="B152" s="81" t="s">
        <v>3103</v>
      </c>
      <c r="C152" s="80">
        <v>240452.0</v>
      </c>
      <c r="D152" s="81" t="s">
        <v>2932</v>
      </c>
      <c r="E152" s="80" t="s">
        <v>580</v>
      </c>
      <c r="F152" s="82">
        <v>0.4166666666666667</v>
      </c>
      <c r="G152" s="80"/>
    </row>
    <row r="153" spans="8:8" ht="41.25" customHeight="1">
      <c r="A153" s="80">
        <v>5.0</v>
      </c>
      <c r="B153" s="81" t="s">
        <v>3104</v>
      </c>
      <c r="C153" s="80">
        <v>240447.0</v>
      </c>
      <c r="D153" s="81" t="s">
        <v>2932</v>
      </c>
      <c r="E153" s="80" t="s">
        <v>580</v>
      </c>
      <c r="F153" s="82">
        <v>0.4166666666666667</v>
      </c>
      <c r="G153" s="80"/>
    </row>
    <row r="154" spans="8:8" ht="41.25" customHeight="1">
      <c r="A154" s="80">
        <v>6.0</v>
      </c>
      <c r="B154" s="81" t="s">
        <v>3105</v>
      </c>
      <c r="C154" s="80">
        <v>240458.0</v>
      </c>
      <c r="D154" s="81" t="s">
        <v>2932</v>
      </c>
      <c r="E154" s="80" t="s">
        <v>580</v>
      </c>
      <c r="F154" s="82">
        <v>0.4166666666666667</v>
      </c>
      <c r="G154" s="80"/>
    </row>
    <row r="155" spans="8:8" ht="41.25" customHeight="1">
      <c r="A155" s="80">
        <v>7.0</v>
      </c>
      <c r="B155" s="81" t="s">
        <v>3106</v>
      </c>
      <c r="C155" s="80">
        <v>240459.0</v>
      </c>
      <c r="D155" s="81" t="s">
        <v>2932</v>
      </c>
      <c r="E155" s="80" t="s">
        <v>580</v>
      </c>
      <c r="F155" s="82">
        <v>0.4166666666666667</v>
      </c>
      <c r="G155" s="80"/>
    </row>
    <row r="156" spans="8:8" ht="41.25" customHeight="1">
      <c r="A156" s="80">
        <v>8.0</v>
      </c>
      <c r="B156" s="81" t="s">
        <v>3107</v>
      </c>
      <c r="C156" s="80">
        <v>240260.0</v>
      </c>
      <c r="D156" s="81" t="s">
        <v>2932</v>
      </c>
      <c r="E156" s="80" t="s">
        <v>580</v>
      </c>
      <c r="F156" s="82">
        <v>0.4166666666666667</v>
      </c>
      <c r="G156" s="80"/>
    </row>
    <row r="157" spans="8:8" ht="41.25" customHeight="1">
      <c r="A157" s="80">
        <v>9.0</v>
      </c>
      <c r="B157" s="81" t="s">
        <v>3108</v>
      </c>
      <c r="C157" s="80">
        <v>240261.0</v>
      </c>
      <c r="D157" s="81" t="s">
        <v>2932</v>
      </c>
      <c r="E157" s="80" t="s">
        <v>580</v>
      </c>
      <c r="F157" s="82">
        <v>0.4166666666666667</v>
      </c>
      <c r="G157" s="80"/>
    </row>
    <row r="158" spans="8:8" ht="41.25" customHeight="1">
      <c r="A158" s="80">
        <v>10.0</v>
      </c>
      <c r="B158" s="81" t="s">
        <v>3109</v>
      </c>
      <c r="C158" s="80">
        <v>240262.0</v>
      </c>
      <c r="D158" s="81" t="s">
        <v>2932</v>
      </c>
      <c r="E158" s="80" t="s">
        <v>580</v>
      </c>
      <c r="F158" s="82">
        <v>0.4166666666666667</v>
      </c>
      <c r="G158" s="80"/>
    </row>
    <row r="159" spans="8:8" ht="41.25" customHeight="1">
      <c r="A159" s="80">
        <v>11.0</v>
      </c>
      <c r="B159" s="81" t="s">
        <v>3110</v>
      </c>
      <c r="C159" s="80">
        <v>240060.0</v>
      </c>
      <c r="D159" s="81" t="s">
        <v>1065</v>
      </c>
      <c r="E159" s="80" t="s">
        <v>580</v>
      </c>
      <c r="F159" s="82">
        <v>0.4166666666666667</v>
      </c>
      <c r="G159" s="80"/>
    </row>
    <row r="160" spans="8:8" ht="41.25" customHeight="1">
      <c r="A160" s="80">
        <v>12.0</v>
      </c>
      <c r="B160" s="81" t="s">
        <v>3111</v>
      </c>
      <c r="C160" s="80">
        <v>241884.0</v>
      </c>
      <c r="D160" s="81" t="s">
        <v>1065</v>
      </c>
      <c r="E160" s="80" t="s">
        <v>580</v>
      </c>
      <c r="F160" s="82">
        <v>0.4166666666666667</v>
      </c>
      <c r="G160" s="80"/>
    </row>
    <row r="161" spans="8:8" ht="41.25" customHeight="1">
      <c r="A161" s="80">
        <v>13.0</v>
      </c>
      <c r="B161" s="85" t="s">
        <v>3112</v>
      </c>
      <c r="C161" s="86">
        <v>240264.0</v>
      </c>
      <c r="D161" s="85" t="s">
        <v>2932</v>
      </c>
      <c r="E161" s="86" t="s">
        <v>580</v>
      </c>
      <c r="F161" s="82">
        <v>0.4166666666666667</v>
      </c>
      <c r="G161" s="80"/>
    </row>
    <row r="162" spans="8:8" ht="41.25" customHeight="1">
      <c r="A162" s="80">
        <v>14.0</v>
      </c>
      <c r="B162" s="85" t="s">
        <v>3113</v>
      </c>
      <c r="C162" s="86">
        <v>240265.0</v>
      </c>
      <c r="D162" s="85" t="s">
        <v>2932</v>
      </c>
      <c r="E162" s="86" t="s">
        <v>580</v>
      </c>
      <c r="F162" s="82">
        <v>0.4166666666666667</v>
      </c>
      <c r="G162" s="86"/>
    </row>
    <row r="163" spans="8:8" ht="41.25" customHeight="1">
      <c r="A163" s="80">
        <v>15.0</v>
      </c>
      <c r="B163" s="85" t="s">
        <v>3114</v>
      </c>
      <c r="C163" s="86">
        <v>240267.0</v>
      </c>
      <c r="D163" s="85" t="s">
        <v>2932</v>
      </c>
      <c r="E163" s="86" t="s">
        <v>580</v>
      </c>
      <c r="F163" s="82">
        <v>0.4166666666666667</v>
      </c>
      <c r="G163" s="86"/>
    </row>
    <row r="164" spans="8:8" ht="41.25" customHeight="1">
      <c r="A164" s="80">
        <v>16.0</v>
      </c>
      <c r="B164" s="85" t="s">
        <v>3115</v>
      </c>
      <c r="C164" s="86">
        <v>240268.0</v>
      </c>
      <c r="D164" s="85" t="s">
        <v>2932</v>
      </c>
      <c r="E164" s="86" t="s">
        <v>580</v>
      </c>
      <c r="F164" s="82">
        <v>0.4166666666666667</v>
      </c>
      <c r="G164" s="86"/>
    </row>
    <row r="165" spans="8:8" ht="41.25" customHeight="1">
      <c r="A165" s="80">
        <v>17.0</v>
      </c>
      <c r="B165" s="85" t="s">
        <v>3116</v>
      </c>
      <c r="C165" s="86">
        <v>240270.0</v>
      </c>
      <c r="D165" s="85" t="s">
        <v>2932</v>
      </c>
      <c r="E165" s="86" t="s">
        <v>580</v>
      </c>
      <c r="F165" s="82">
        <v>0.4166666666666667</v>
      </c>
      <c r="G165" s="86"/>
    </row>
    <row r="166" spans="8:8" ht="41.25" customHeight="1">
      <c r="A166" s="80">
        <v>18.0</v>
      </c>
      <c r="B166" s="85" t="s">
        <v>3117</v>
      </c>
      <c r="C166" s="86">
        <v>240271.0</v>
      </c>
      <c r="D166" s="85" t="s">
        <v>2932</v>
      </c>
      <c r="E166" s="86" t="s">
        <v>580</v>
      </c>
      <c r="F166" s="82">
        <v>0.4166666666666667</v>
      </c>
      <c r="G166" s="86"/>
    </row>
    <row r="167" spans="8:8" ht="41.25" customHeight="1">
      <c r="A167" s="80">
        <v>19.0</v>
      </c>
      <c r="B167" s="85" t="s">
        <v>3118</v>
      </c>
      <c r="C167" s="86">
        <v>240257.0</v>
      </c>
      <c r="D167" s="85" t="s">
        <v>2932</v>
      </c>
      <c r="E167" s="86" t="s">
        <v>580</v>
      </c>
      <c r="F167" s="82">
        <v>0.4166666666666667</v>
      </c>
      <c r="G167" s="86"/>
    </row>
    <row r="168" spans="8:8" ht="41.25" customHeight="1">
      <c r="A168" s="80">
        <v>20.0</v>
      </c>
      <c r="B168" s="85" t="s">
        <v>3119</v>
      </c>
      <c r="C168" s="86">
        <v>240275.0</v>
      </c>
      <c r="D168" s="85" t="s">
        <v>2932</v>
      </c>
      <c r="E168" s="86" t="s">
        <v>580</v>
      </c>
      <c r="F168" s="82">
        <v>0.4166666666666667</v>
      </c>
      <c r="G168" s="86"/>
    </row>
    <row r="169" spans="8:8" ht="41.25" customHeight="1">
      <c r="A169" s="80">
        <v>21.0</v>
      </c>
      <c r="B169" s="85" t="s">
        <v>3120</v>
      </c>
      <c r="C169" s="86">
        <v>240293.0</v>
      </c>
      <c r="D169" s="85" t="s">
        <v>2932</v>
      </c>
      <c r="E169" s="86" t="s">
        <v>580</v>
      </c>
      <c r="F169" s="82">
        <v>0.4166666666666667</v>
      </c>
      <c r="G169" s="86"/>
    </row>
    <row r="170" spans="8:8" ht="41.25" customHeight="1">
      <c r="A170" s="80">
        <v>22.0</v>
      </c>
      <c r="B170" s="85" t="s">
        <v>3121</v>
      </c>
      <c r="C170" s="86">
        <v>240312.0</v>
      </c>
      <c r="D170" s="85" t="s">
        <v>2932</v>
      </c>
      <c r="E170" s="86" t="s">
        <v>580</v>
      </c>
      <c r="F170" s="82">
        <v>0.4166666666666667</v>
      </c>
      <c r="G170" s="86"/>
    </row>
    <row r="171" spans="8:8" ht="41.25" customHeight="1">
      <c r="A171" s="80">
        <v>23.0</v>
      </c>
      <c r="B171" s="85" t="s">
        <v>3122</v>
      </c>
      <c r="C171" s="86">
        <v>240330.0</v>
      </c>
      <c r="D171" s="85" t="s">
        <v>2932</v>
      </c>
      <c r="E171" s="86" t="s">
        <v>580</v>
      </c>
      <c r="F171" s="82">
        <v>0.4166666666666667</v>
      </c>
      <c r="G171" s="86"/>
    </row>
    <row r="172" spans="8:8" ht="41.25" customHeight="1">
      <c r="A172" s="80">
        <v>24.0</v>
      </c>
      <c r="B172" s="85" t="s">
        <v>3123</v>
      </c>
      <c r="C172" s="86">
        <v>240348.0</v>
      </c>
      <c r="D172" s="85" t="s">
        <v>2932</v>
      </c>
      <c r="E172" s="86" t="s">
        <v>580</v>
      </c>
      <c r="F172" s="82">
        <v>0.4166666666666667</v>
      </c>
      <c r="G172" s="86"/>
    </row>
    <row r="173" spans="8:8" ht="41.25" customHeight="1">
      <c r="A173" s="78" t="s">
        <v>18</v>
      </c>
      <c r="B173" s="79" t="s">
        <v>19</v>
      </c>
      <c r="C173" s="79" t="s">
        <v>20</v>
      </c>
      <c r="D173" s="79" t="s">
        <v>21</v>
      </c>
      <c r="E173" s="79" t="s">
        <v>22</v>
      </c>
      <c r="F173" s="79" t="s">
        <v>23</v>
      </c>
      <c r="G173" s="79" t="s">
        <v>214</v>
      </c>
    </row>
    <row r="174" spans="8:8" ht="41.25" customHeight="1">
      <c r="A174" s="80">
        <v>1.0</v>
      </c>
      <c r="B174" s="81" t="s">
        <v>3124</v>
      </c>
      <c r="C174" s="80">
        <v>240471.0</v>
      </c>
      <c r="D174" s="81" t="s">
        <v>2932</v>
      </c>
      <c r="E174" s="80" t="s">
        <v>781</v>
      </c>
      <c r="F174" s="82">
        <v>0.4166666666666667</v>
      </c>
      <c r="G174" s="80"/>
    </row>
    <row r="175" spans="8:8" ht="41.25" customHeight="1">
      <c r="A175" s="84">
        <v>2.0</v>
      </c>
      <c r="B175" s="81" t="s">
        <v>3125</v>
      </c>
      <c r="C175" s="80">
        <v>240362.0</v>
      </c>
      <c r="D175" s="81" t="s">
        <v>2932</v>
      </c>
      <c r="E175" s="80" t="s">
        <v>781</v>
      </c>
      <c r="F175" s="82">
        <v>0.4166666666666667</v>
      </c>
      <c r="G175" s="80"/>
    </row>
    <row r="176" spans="8:8" ht="41.25" customHeight="1">
      <c r="A176" s="80">
        <v>3.0</v>
      </c>
      <c r="B176" s="81" t="s">
        <v>3126</v>
      </c>
      <c r="C176" s="80">
        <v>240352.0</v>
      </c>
      <c r="D176" s="81" t="s">
        <v>2932</v>
      </c>
      <c r="E176" s="80" t="s">
        <v>781</v>
      </c>
      <c r="F176" s="82">
        <v>0.4166666666666667</v>
      </c>
      <c r="G176" s="80"/>
    </row>
    <row r="177" spans="8:8" ht="41.25" customHeight="1">
      <c r="A177" s="84">
        <v>4.0</v>
      </c>
      <c r="B177" s="81" t="s">
        <v>3127</v>
      </c>
      <c r="C177" s="80">
        <v>240353.0</v>
      </c>
      <c r="D177" s="81" t="s">
        <v>2932</v>
      </c>
      <c r="E177" s="80" t="s">
        <v>781</v>
      </c>
      <c r="F177" s="82">
        <v>0.4166666666666667</v>
      </c>
      <c r="G177" s="80"/>
    </row>
    <row r="178" spans="8:8" ht="41.25" customHeight="1">
      <c r="A178" s="80">
        <v>5.0</v>
      </c>
      <c r="B178" s="81" t="s">
        <v>3128</v>
      </c>
      <c r="C178" s="80">
        <v>240355.0</v>
      </c>
      <c r="D178" s="81" t="s">
        <v>2932</v>
      </c>
      <c r="E178" s="80" t="s">
        <v>781</v>
      </c>
      <c r="F178" s="82">
        <v>0.4166666666666667</v>
      </c>
      <c r="G178" s="80"/>
    </row>
    <row r="179" spans="8:8" ht="41.25" customHeight="1">
      <c r="A179" s="84">
        <v>6.0</v>
      </c>
      <c r="B179" s="81" t="s">
        <v>3129</v>
      </c>
      <c r="C179" s="80">
        <v>240357.0</v>
      </c>
      <c r="D179" s="81" t="s">
        <v>2932</v>
      </c>
      <c r="E179" s="80" t="s">
        <v>781</v>
      </c>
      <c r="F179" s="82">
        <v>0.4166666666666667</v>
      </c>
      <c r="G179" s="80"/>
    </row>
    <row r="180" spans="8:8" ht="41.25" customHeight="1">
      <c r="A180" s="80">
        <v>7.0</v>
      </c>
      <c r="B180" s="81" t="s">
        <v>3130</v>
      </c>
      <c r="C180" s="80">
        <v>240358.0</v>
      </c>
      <c r="D180" s="81" t="s">
        <v>2932</v>
      </c>
      <c r="E180" s="80" t="s">
        <v>781</v>
      </c>
      <c r="F180" s="82">
        <v>0.4166666666666667</v>
      </c>
      <c r="G180" s="80"/>
    </row>
    <row r="181" spans="8:8" ht="41.25" customHeight="1">
      <c r="A181" s="84">
        <v>8.0</v>
      </c>
      <c r="B181" s="81" t="s">
        <v>3131</v>
      </c>
      <c r="C181" s="80">
        <v>240359.0</v>
      </c>
      <c r="D181" s="81" t="s">
        <v>2932</v>
      </c>
      <c r="E181" s="80" t="s">
        <v>781</v>
      </c>
      <c r="F181" s="82">
        <v>0.4166666666666667</v>
      </c>
      <c r="G181" s="80"/>
    </row>
    <row r="182" spans="8:8" ht="41.25" customHeight="1">
      <c r="A182" s="80">
        <v>9.0</v>
      </c>
      <c r="B182" s="81" t="s">
        <v>3132</v>
      </c>
      <c r="C182" s="80">
        <v>240361.0</v>
      </c>
      <c r="D182" s="81" t="s">
        <v>2932</v>
      </c>
      <c r="E182" s="80" t="s">
        <v>781</v>
      </c>
      <c r="F182" s="82">
        <v>0.4166666666666667</v>
      </c>
      <c r="G182" s="80"/>
    </row>
    <row r="183" spans="8:8" ht="41.25" customHeight="1">
      <c r="A183" s="84">
        <v>10.0</v>
      </c>
      <c r="B183" s="81" t="s">
        <v>3133</v>
      </c>
      <c r="C183" s="80">
        <v>240363.0</v>
      </c>
      <c r="D183" s="81" t="s">
        <v>2932</v>
      </c>
      <c r="E183" s="80" t="s">
        <v>781</v>
      </c>
      <c r="F183" s="82">
        <v>0.4166666666666667</v>
      </c>
      <c r="G183" s="80"/>
    </row>
    <row r="184" spans="8:8" ht="41.25" customHeight="1">
      <c r="A184" s="80">
        <v>11.0</v>
      </c>
      <c r="B184" s="81" t="s">
        <v>3134</v>
      </c>
      <c r="C184" s="80">
        <v>240364.0</v>
      </c>
      <c r="D184" s="81" t="s">
        <v>2932</v>
      </c>
      <c r="E184" s="80" t="s">
        <v>781</v>
      </c>
      <c r="F184" s="82">
        <v>0.4166666666666667</v>
      </c>
      <c r="G184" s="80"/>
    </row>
    <row r="185" spans="8:8" ht="41.25" customHeight="1">
      <c r="A185" s="84">
        <v>12.0</v>
      </c>
      <c r="B185" s="81" t="s">
        <v>3135</v>
      </c>
      <c r="C185" s="80">
        <v>240310.0</v>
      </c>
      <c r="D185" s="81" t="s">
        <v>2932</v>
      </c>
      <c r="E185" s="80" t="s">
        <v>781</v>
      </c>
      <c r="F185" s="82">
        <v>0.4166666666666667</v>
      </c>
      <c r="G185" s="80"/>
    </row>
    <row r="186" spans="8:8" ht="41.25" customHeight="1">
      <c r="A186" s="80">
        <v>13.0</v>
      </c>
      <c r="B186" s="81" t="s">
        <v>3136</v>
      </c>
      <c r="C186" s="80">
        <v>240421.0</v>
      </c>
      <c r="D186" s="81" t="s">
        <v>2932</v>
      </c>
      <c r="E186" s="80" t="s">
        <v>781</v>
      </c>
      <c r="F186" s="82">
        <v>0.4166666666666667</v>
      </c>
      <c r="G186" s="80"/>
    </row>
    <row r="187" spans="8:8" ht="41.25" customHeight="1">
      <c r="A187" s="84">
        <v>14.0</v>
      </c>
      <c r="B187" s="81" t="s">
        <v>3137</v>
      </c>
      <c r="C187" s="80">
        <v>240350.0</v>
      </c>
      <c r="D187" s="81" t="s">
        <v>2932</v>
      </c>
      <c r="E187" s="80" t="s">
        <v>781</v>
      </c>
      <c r="F187" s="82">
        <v>0.4166666666666667</v>
      </c>
      <c r="G187" s="80"/>
    </row>
    <row r="188" spans="8:8" ht="41.25" customHeight="1">
      <c r="A188" s="80">
        <v>15.0</v>
      </c>
      <c r="B188" s="81" t="s">
        <v>3138</v>
      </c>
      <c r="C188" s="80">
        <v>240351.0</v>
      </c>
      <c r="D188" s="81" t="s">
        <v>2932</v>
      </c>
      <c r="E188" s="80" t="s">
        <v>781</v>
      </c>
      <c r="F188" s="82">
        <v>0.4166666666666667</v>
      </c>
      <c r="G188" s="80"/>
    </row>
    <row r="189" spans="8:8" ht="41.25" customHeight="1">
      <c r="A189" s="84">
        <v>16.0</v>
      </c>
      <c r="B189" s="81" t="s">
        <v>3139</v>
      </c>
      <c r="C189" s="80">
        <v>240460.0</v>
      </c>
      <c r="D189" s="81" t="s">
        <v>2932</v>
      </c>
      <c r="E189" s="80" t="s">
        <v>781</v>
      </c>
      <c r="F189" s="82">
        <v>0.4166666666666667</v>
      </c>
      <c r="G189" s="80"/>
    </row>
    <row r="190" spans="8:8" ht="41.25" customHeight="1">
      <c r="A190" s="80">
        <v>17.0</v>
      </c>
      <c r="B190" s="81" t="s">
        <v>3140</v>
      </c>
      <c r="C190" s="80">
        <v>240462.0</v>
      </c>
      <c r="D190" s="81" t="s">
        <v>2932</v>
      </c>
      <c r="E190" s="80" t="s">
        <v>781</v>
      </c>
      <c r="F190" s="82">
        <v>0.4166666666666667</v>
      </c>
      <c r="G190" s="80"/>
    </row>
    <row r="191" spans="8:8" ht="41.25" customHeight="1">
      <c r="A191" s="84">
        <v>18.0</v>
      </c>
      <c r="B191" s="81" t="s">
        <v>3141</v>
      </c>
      <c r="C191" s="80">
        <v>240463.0</v>
      </c>
      <c r="D191" s="81" t="s">
        <v>2932</v>
      </c>
      <c r="E191" s="80" t="s">
        <v>781</v>
      </c>
      <c r="F191" s="82">
        <v>0.4166666666666667</v>
      </c>
      <c r="G191" s="80"/>
    </row>
    <row r="192" spans="8:8" ht="41.25" customHeight="1">
      <c r="A192" s="80">
        <v>19.0</v>
      </c>
      <c r="B192" s="81" t="s">
        <v>3142</v>
      </c>
      <c r="C192" s="80">
        <v>240464.0</v>
      </c>
      <c r="D192" s="81" t="s">
        <v>2932</v>
      </c>
      <c r="E192" s="80" t="s">
        <v>781</v>
      </c>
      <c r="F192" s="82">
        <v>0.4166666666666667</v>
      </c>
      <c r="G192" s="80"/>
    </row>
    <row r="193" spans="8:8" ht="41.25" customHeight="1">
      <c r="A193" s="84">
        <v>20.0</v>
      </c>
      <c r="B193" s="81" t="s">
        <v>3143</v>
      </c>
      <c r="C193" s="80">
        <v>240465.0</v>
      </c>
      <c r="D193" s="81" t="s">
        <v>2932</v>
      </c>
      <c r="E193" s="80" t="s">
        <v>781</v>
      </c>
      <c r="F193" s="82">
        <v>0.4166666666666667</v>
      </c>
      <c r="G193" s="80"/>
    </row>
    <row r="194" spans="8:8" ht="41.25" customHeight="1">
      <c r="A194" s="80">
        <v>21.0</v>
      </c>
      <c r="B194" s="81" t="s">
        <v>3144</v>
      </c>
      <c r="C194" s="80">
        <v>240468.0</v>
      </c>
      <c r="D194" s="81" t="s">
        <v>2932</v>
      </c>
      <c r="E194" s="80" t="s">
        <v>781</v>
      </c>
      <c r="F194" s="82">
        <v>0.4166666666666667</v>
      </c>
      <c r="G194" s="80"/>
    </row>
    <row r="195" spans="8:8" ht="41.25" customHeight="1">
      <c r="A195" s="84">
        <v>22.0</v>
      </c>
      <c r="B195" s="81" t="s">
        <v>3145</v>
      </c>
      <c r="C195" s="80">
        <v>240480.0</v>
      </c>
      <c r="D195" s="81" t="s">
        <v>2932</v>
      </c>
      <c r="E195" s="80" t="s">
        <v>781</v>
      </c>
      <c r="F195" s="82">
        <v>0.4166666666666667</v>
      </c>
      <c r="G195" s="80"/>
    </row>
    <row r="196" spans="8:8" ht="41.25" customHeight="1">
      <c r="A196" s="80">
        <v>23.0</v>
      </c>
      <c r="B196" s="81" t="s">
        <v>3146</v>
      </c>
      <c r="C196" s="80">
        <v>240300.0</v>
      </c>
      <c r="D196" s="81" t="s">
        <v>2932</v>
      </c>
      <c r="E196" s="80" t="s">
        <v>781</v>
      </c>
      <c r="F196" s="82">
        <v>0.4166666666666667</v>
      </c>
      <c r="G196" s="80"/>
    </row>
    <row r="197" spans="8:8" ht="41.25" customHeight="1">
      <c r="A197" s="84">
        <v>24.0</v>
      </c>
      <c r="B197" s="81" t="s">
        <v>3147</v>
      </c>
      <c r="C197" s="80">
        <v>240149.0</v>
      </c>
      <c r="D197" s="81" t="s">
        <v>1065</v>
      </c>
      <c r="E197" s="80" t="s">
        <v>781</v>
      </c>
      <c r="F197" s="82">
        <v>0.4166666666666667</v>
      </c>
      <c r="G197" s="80"/>
    </row>
    <row r="198" spans="8:8" ht="41.25" customHeight="1">
      <c r="A198" s="80">
        <v>25.0</v>
      </c>
      <c r="B198" s="81" t="s">
        <v>3148</v>
      </c>
      <c r="C198" s="80">
        <v>240181.0</v>
      </c>
      <c r="D198" s="81" t="s">
        <v>1065</v>
      </c>
      <c r="E198" s="80" t="s">
        <v>781</v>
      </c>
      <c r="F198" s="82">
        <v>0.4166666666666667</v>
      </c>
      <c r="G198" s="80"/>
    </row>
    <row r="199" spans="8:8" ht="41.25" customHeight="1">
      <c r="A199" s="78" t="s">
        <v>18</v>
      </c>
      <c r="B199" s="79" t="s">
        <v>19</v>
      </c>
      <c r="C199" s="79" t="s">
        <v>20</v>
      </c>
      <c r="D199" s="79" t="s">
        <v>21</v>
      </c>
      <c r="E199" s="79" t="s">
        <v>22</v>
      </c>
      <c r="F199" s="79" t="s">
        <v>23</v>
      </c>
      <c r="G199" s="79" t="s">
        <v>3149</v>
      </c>
    </row>
    <row r="200" spans="8:8" ht="41.25" customHeight="1">
      <c r="A200" s="84">
        <v>1.0</v>
      </c>
      <c r="B200" s="81" t="s">
        <v>3150</v>
      </c>
      <c r="C200" s="80">
        <v>240455.0</v>
      </c>
      <c r="D200" s="81" t="s">
        <v>2932</v>
      </c>
      <c r="E200" s="80" t="s">
        <v>781</v>
      </c>
      <c r="F200" s="82">
        <v>0.4166666666666667</v>
      </c>
      <c r="G200" s="80"/>
    </row>
    <row r="201" spans="8:8" ht="41.25" customHeight="1">
      <c r="A201" s="80">
        <v>2.0</v>
      </c>
      <c r="B201" s="81" t="s">
        <v>3151</v>
      </c>
      <c r="C201" s="80">
        <v>240470.0</v>
      </c>
      <c r="D201" s="81" t="s">
        <v>2932</v>
      </c>
      <c r="E201" s="80" t="s">
        <v>781</v>
      </c>
      <c r="F201" s="82">
        <v>0.4166666666666667</v>
      </c>
      <c r="G201" s="80"/>
    </row>
    <row r="202" spans="8:8" ht="41.25" customHeight="1">
      <c r="A202" s="84">
        <v>3.0</v>
      </c>
      <c r="B202" s="81" t="s">
        <v>3152</v>
      </c>
      <c r="C202" s="80">
        <v>240305.0</v>
      </c>
      <c r="D202" s="81" t="s">
        <v>2932</v>
      </c>
      <c r="E202" s="80" t="s">
        <v>781</v>
      </c>
      <c r="F202" s="82">
        <v>0.4166666666666667</v>
      </c>
      <c r="G202" s="80"/>
    </row>
    <row r="203" spans="8:8" ht="41.25" customHeight="1">
      <c r="A203" s="80">
        <v>4.0</v>
      </c>
      <c r="B203" s="81" t="s">
        <v>3153</v>
      </c>
      <c r="C203" s="80">
        <v>240466.0</v>
      </c>
      <c r="D203" s="81" t="s">
        <v>2932</v>
      </c>
      <c r="E203" s="80" t="s">
        <v>781</v>
      </c>
      <c r="F203" s="82">
        <v>0.4166666666666667</v>
      </c>
      <c r="G203" s="80"/>
    </row>
    <row r="204" spans="8:8" ht="41.25" customHeight="1">
      <c r="A204" s="84">
        <v>5.0</v>
      </c>
      <c r="B204" s="81" t="s">
        <v>3154</v>
      </c>
      <c r="C204" s="80">
        <v>240306.0</v>
      </c>
      <c r="D204" s="81" t="s">
        <v>2932</v>
      </c>
      <c r="E204" s="80" t="s">
        <v>781</v>
      </c>
      <c r="F204" s="82">
        <v>0.4166666666666667</v>
      </c>
      <c r="G204" s="80"/>
    </row>
    <row r="205" spans="8:8" ht="41.25" customHeight="1">
      <c r="A205" s="80">
        <v>6.0</v>
      </c>
      <c r="B205" s="81" t="s">
        <v>3155</v>
      </c>
      <c r="C205" s="80">
        <v>240479.0</v>
      </c>
      <c r="D205" s="81" t="s">
        <v>2932</v>
      </c>
      <c r="E205" s="80" t="s">
        <v>781</v>
      </c>
      <c r="F205" s="82">
        <v>0.4166666666666667</v>
      </c>
      <c r="G205" s="80"/>
    </row>
    <row r="206" spans="8:8" ht="41.25" customHeight="1">
      <c r="A206" s="84">
        <v>7.0</v>
      </c>
      <c r="B206" s="81" t="s">
        <v>3156</v>
      </c>
      <c r="C206" s="80">
        <v>240167.0</v>
      </c>
      <c r="D206" s="81" t="s">
        <v>1065</v>
      </c>
      <c r="E206" s="80" t="s">
        <v>781</v>
      </c>
      <c r="F206" s="82">
        <v>0.4166666666666667</v>
      </c>
      <c r="G206" s="80"/>
    </row>
    <row r="207" spans="8:8" ht="41.25" customHeight="1">
      <c r="A207" s="80">
        <v>8.0</v>
      </c>
      <c r="B207" s="83" t="s">
        <v>3157</v>
      </c>
      <c r="C207" s="84">
        <v>241456.0</v>
      </c>
      <c r="D207" s="83" t="s">
        <v>1369</v>
      </c>
      <c r="E207" s="84" t="s">
        <v>781</v>
      </c>
      <c r="F207" s="82">
        <v>0.4166666666666667</v>
      </c>
      <c r="G207" s="84"/>
    </row>
    <row r="208" spans="8:8" ht="41.25" customHeight="1">
      <c r="A208" s="84">
        <v>9.0</v>
      </c>
      <c r="B208" s="81" t="s">
        <v>3158</v>
      </c>
      <c r="C208" s="80">
        <v>240123.0</v>
      </c>
      <c r="D208" s="81" t="s">
        <v>1065</v>
      </c>
      <c r="E208" s="80" t="s">
        <v>781</v>
      </c>
      <c r="F208" s="82">
        <v>0.4166666666666667</v>
      </c>
      <c r="G208" s="80"/>
    </row>
    <row r="209" spans="8:8" ht="41.25" customHeight="1">
      <c r="A209" s="80">
        <v>10.0</v>
      </c>
      <c r="B209" s="81" t="s">
        <v>3159</v>
      </c>
      <c r="C209" s="80">
        <v>240129.0</v>
      </c>
      <c r="D209" s="81" t="s">
        <v>1065</v>
      </c>
      <c r="E209" s="80" t="s">
        <v>781</v>
      </c>
      <c r="F209" s="82">
        <v>0.4166666666666667</v>
      </c>
      <c r="G209" s="80"/>
    </row>
    <row r="210" spans="8:8" ht="41.25" customHeight="1">
      <c r="A210" s="84">
        <v>11.0</v>
      </c>
      <c r="B210" s="81" t="s">
        <v>3160</v>
      </c>
      <c r="C210" s="80">
        <v>240130.0</v>
      </c>
      <c r="D210" s="81" t="s">
        <v>1065</v>
      </c>
      <c r="E210" s="80" t="s">
        <v>781</v>
      </c>
      <c r="F210" s="82">
        <v>0.4166666666666667</v>
      </c>
      <c r="G210" s="80"/>
    </row>
    <row r="211" spans="8:8" ht="41.25" customHeight="1">
      <c r="A211" s="80">
        <v>12.0</v>
      </c>
      <c r="B211" s="81" t="s">
        <v>3161</v>
      </c>
      <c r="C211" s="80">
        <v>240131.0</v>
      </c>
      <c r="D211" s="81" t="s">
        <v>1065</v>
      </c>
      <c r="E211" s="80" t="s">
        <v>781</v>
      </c>
      <c r="F211" s="82">
        <v>0.4166666666666667</v>
      </c>
      <c r="G211" s="80"/>
    </row>
    <row r="212" spans="8:8" ht="41.25" customHeight="1">
      <c r="A212" s="84">
        <v>13.0</v>
      </c>
      <c r="B212" s="81" t="s">
        <v>3162</v>
      </c>
      <c r="C212" s="80">
        <v>240132.0</v>
      </c>
      <c r="D212" s="81" t="s">
        <v>1065</v>
      </c>
      <c r="E212" s="80" t="s">
        <v>781</v>
      </c>
      <c r="F212" s="82">
        <v>0.4166666666666667</v>
      </c>
      <c r="G212" s="80"/>
    </row>
    <row r="213" spans="8:8" ht="41.25" customHeight="1">
      <c r="A213" s="80">
        <v>14.0</v>
      </c>
      <c r="B213" s="81" t="s">
        <v>3163</v>
      </c>
      <c r="C213" s="80">
        <v>240166.0</v>
      </c>
      <c r="D213" s="81" t="s">
        <v>1065</v>
      </c>
      <c r="E213" s="80" t="s">
        <v>781</v>
      </c>
      <c r="F213" s="82">
        <v>0.4166666666666667</v>
      </c>
      <c r="G213" s="80"/>
    </row>
    <row r="214" spans="8:8" ht="41.25" customHeight="1">
      <c r="A214" s="84">
        <v>15.0</v>
      </c>
      <c r="B214" s="81" t="s">
        <v>3164</v>
      </c>
      <c r="C214" s="80">
        <v>240089.0</v>
      </c>
      <c r="D214" s="81" t="s">
        <v>1065</v>
      </c>
      <c r="E214" s="80" t="s">
        <v>781</v>
      </c>
      <c r="F214" s="82">
        <v>0.4166666666666667</v>
      </c>
      <c r="G214" s="80"/>
    </row>
    <row r="215" spans="8:8" ht="41.25" customHeight="1">
      <c r="A215" s="80">
        <v>16.0</v>
      </c>
      <c r="B215" s="81" t="s">
        <v>3165</v>
      </c>
      <c r="C215" s="80">
        <v>240090.0</v>
      </c>
      <c r="D215" s="81" t="s">
        <v>1065</v>
      </c>
      <c r="E215" s="80" t="s">
        <v>781</v>
      </c>
      <c r="F215" s="82">
        <v>0.4166666666666667</v>
      </c>
      <c r="G215" s="80"/>
    </row>
    <row r="216" spans="8:8" ht="41.25" customHeight="1">
      <c r="A216" s="84">
        <v>17.0</v>
      </c>
      <c r="B216" s="81" t="s">
        <v>3166</v>
      </c>
      <c r="C216" s="80">
        <v>240091.0</v>
      </c>
      <c r="D216" s="81" t="s">
        <v>1065</v>
      </c>
      <c r="E216" s="80" t="s">
        <v>781</v>
      </c>
      <c r="F216" s="82">
        <v>0.4166666666666667</v>
      </c>
      <c r="G216" s="80"/>
    </row>
    <row r="217" spans="8:8" ht="41.25" customHeight="1">
      <c r="A217" s="80">
        <v>18.0</v>
      </c>
      <c r="B217" s="81" t="s">
        <v>3167</v>
      </c>
      <c r="C217" s="80">
        <v>240093.0</v>
      </c>
      <c r="D217" s="81" t="s">
        <v>1065</v>
      </c>
      <c r="E217" s="80" t="s">
        <v>781</v>
      </c>
      <c r="F217" s="82">
        <v>0.4166666666666667</v>
      </c>
      <c r="G217" s="80"/>
    </row>
    <row r="218" spans="8:8" ht="41.25" customHeight="1">
      <c r="A218" s="84">
        <v>19.0</v>
      </c>
      <c r="B218" s="81" t="s">
        <v>3168</v>
      </c>
      <c r="C218" s="80">
        <v>240094.0</v>
      </c>
      <c r="D218" s="81" t="s">
        <v>1065</v>
      </c>
      <c r="E218" s="80" t="s">
        <v>781</v>
      </c>
      <c r="F218" s="82">
        <v>0.4166666666666667</v>
      </c>
      <c r="G218" s="80"/>
    </row>
    <row r="219" spans="8:8" ht="41.25" customHeight="1">
      <c r="A219" s="80">
        <v>20.0</v>
      </c>
      <c r="B219" s="81" t="s">
        <v>3169</v>
      </c>
      <c r="C219" s="80">
        <v>240096.0</v>
      </c>
      <c r="D219" s="81" t="s">
        <v>1065</v>
      </c>
      <c r="E219" s="80" t="s">
        <v>781</v>
      </c>
      <c r="F219" s="82">
        <v>0.4166666666666667</v>
      </c>
      <c r="G219" s="80"/>
    </row>
    <row r="220" spans="8:8" ht="41.25" customHeight="1">
      <c r="A220" s="84">
        <v>21.0</v>
      </c>
      <c r="B220" s="81" t="s">
        <v>3170</v>
      </c>
      <c r="C220" s="80">
        <v>240097.0</v>
      </c>
      <c r="D220" s="81" t="s">
        <v>1065</v>
      </c>
      <c r="E220" s="80" t="s">
        <v>781</v>
      </c>
      <c r="F220" s="82">
        <v>0.4166666666666667</v>
      </c>
      <c r="G220" s="80"/>
    </row>
    <row r="221" spans="8:8" ht="41.25" customHeight="1">
      <c r="A221" s="80">
        <v>22.0</v>
      </c>
      <c r="B221" s="81" t="s">
        <v>3171</v>
      </c>
      <c r="C221" s="80">
        <v>240099.0</v>
      </c>
      <c r="D221" s="81" t="s">
        <v>1065</v>
      </c>
      <c r="E221" s="80" t="s">
        <v>781</v>
      </c>
      <c r="F221" s="82">
        <v>0.4166666666666667</v>
      </c>
      <c r="G221" s="80"/>
    </row>
    <row r="222" spans="8:8" ht="41.25" customHeight="1">
      <c r="A222" s="84">
        <v>23.0</v>
      </c>
      <c r="B222" s="81" t="s">
        <v>3172</v>
      </c>
      <c r="C222" s="80">
        <v>240100.0</v>
      </c>
      <c r="D222" s="81" t="s">
        <v>1065</v>
      </c>
      <c r="E222" s="80" t="s">
        <v>781</v>
      </c>
      <c r="F222" s="82">
        <v>0.4166666666666667</v>
      </c>
      <c r="G222" s="80"/>
    </row>
    <row r="223" spans="8:8" ht="41.25" customHeight="1">
      <c r="A223" s="80">
        <v>24.0</v>
      </c>
      <c r="B223" s="81" t="s">
        <v>3173</v>
      </c>
      <c r="C223" s="80">
        <v>240101.0</v>
      </c>
      <c r="D223" s="81" t="s">
        <v>1065</v>
      </c>
      <c r="E223" s="80" t="s">
        <v>781</v>
      </c>
      <c r="F223" s="82">
        <v>0.4166666666666667</v>
      </c>
      <c r="G223" s="80"/>
    </row>
    <row r="224" spans="8:8" ht="41.25" customHeight="1">
      <c r="A224" s="84">
        <v>25.0</v>
      </c>
      <c r="B224" s="81" t="s">
        <v>3174</v>
      </c>
      <c r="C224" s="80">
        <v>240103.0</v>
      </c>
      <c r="D224" s="81" t="s">
        <v>1065</v>
      </c>
      <c r="E224" s="80" t="s">
        <v>781</v>
      </c>
      <c r="F224" s="82">
        <v>0.4166666666666667</v>
      </c>
      <c r="G224" s="80"/>
    </row>
    <row r="225" spans="8:8" ht="41.25" customHeight="1">
      <c r="A225" s="78" t="s">
        <v>18</v>
      </c>
      <c r="B225" s="79" t="s">
        <v>19</v>
      </c>
      <c r="C225" s="79" t="s">
        <v>20</v>
      </c>
      <c r="D225" s="79" t="s">
        <v>21</v>
      </c>
      <c r="E225" s="79" t="s">
        <v>22</v>
      </c>
      <c r="F225" s="79" t="s">
        <v>23</v>
      </c>
      <c r="G225" s="79" t="s">
        <v>2101</v>
      </c>
    </row>
    <row r="226" spans="8:8" ht="41.25" customHeight="1">
      <c r="A226" s="80">
        <v>1.0</v>
      </c>
      <c r="B226" s="81" t="s">
        <v>3175</v>
      </c>
      <c r="C226" s="80">
        <v>240251.0</v>
      </c>
      <c r="D226" s="81" t="s">
        <v>2932</v>
      </c>
      <c r="E226" s="80" t="s">
        <v>1645</v>
      </c>
      <c r="F226" s="82">
        <v>0.4166666666666667</v>
      </c>
      <c r="G226" s="80"/>
    </row>
    <row r="227" spans="8:8" ht="41.25" customHeight="1">
      <c r="A227" s="84">
        <v>2.0</v>
      </c>
      <c r="B227" s="81" t="s">
        <v>3176</v>
      </c>
      <c r="C227" s="80">
        <v>240252.0</v>
      </c>
      <c r="D227" s="81" t="s">
        <v>2932</v>
      </c>
      <c r="E227" s="80" t="s">
        <v>1645</v>
      </c>
      <c r="F227" s="82">
        <v>0.4166666666666667</v>
      </c>
      <c r="G227" s="80"/>
    </row>
    <row r="228" spans="8:8" ht="41.25" customHeight="1">
      <c r="A228" s="80">
        <v>3.0</v>
      </c>
      <c r="B228" s="81" t="s">
        <v>3177</v>
      </c>
      <c r="C228" s="80">
        <v>240276.0</v>
      </c>
      <c r="D228" s="81" t="s">
        <v>2932</v>
      </c>
      <c r="E228" s="80" t="s">
        <v>1645</v>
      </c>
      <c r="F228" s="82">
        <v>0.4166666666666667</v>
      </c>
      <c r="G228" s="80"/>
    </row>
    <row r="229" spans="8:8" ht="41.25" customHeight="1">
      <c r="A229" s="84">
        <v>4.0</v>
      </c>
      <c r="B229" s="81" t="s">
        <v>3178</v>
      </c>
      <c r="C229" s="80">
        <v>240304.0</v>
      </c>
      <c r="D229" s="81" t="s">
        <v>2932</v>
      </c>
      <c r="E229" s="80" t="s">
        <v>1645</v>
      </c>
      <c r="F229" s="82">
        <v>0.4166666666666667</v>
      </c>
      <c r="G229" s="80"/>
    </row>
    <row r="230" spans="8:8" ht="41.25" customHeight="1">
      <c r="A230" s="80">
        <v>5.0</v>
      </c>
      <c r="B230" s="81" t="s">
        <v>3179</v>
      </c>
      <c r="C230" s="80">
        <v>240309.0</v>
      </c>
      <c r="D230" s="81" t="s">
        <v>2932</v>
      </c>
      <c r="E230" s="80" t="s">
        <v>1645</v>
      </c>
      <c r="F230" s="82">
        <v>0.4166666666666667</v>
      </c>
      <c r="G230" s="80"/>
    </row>
    <row r="231" spans="8:8" ht="41.25" customHeight="1">
      <c r="A231" s="84">
        <v>6.0</v>
      </c>
      <c r="B231" s="81" t="s">
        <v>3180</v>
      </c>
      <c r="C231" s="80">
        <v>240446.0</v>
      </c>
      <c r="D231" s="81" t="s">
        <v>2932</v>
      </c>
      <c r="E231" s="80" t="s">
        <v>1645</v>
      </c>
      <c r="F231" s="82">
        <v>0.4166666666666667</v>
      </c>
      <c r="G231" s="80"/>
    </row>
    <row r="232" spans="8:8" ht="41.25" customHeight="1">
      <c r="A232" s="80">
        <v>7.0</v>
      </c>
      <c r="B232" s="85" t="s">
        <v>3181</v>
      </c>
      <c r="C232" s="86">
        <v>240216.0</v>
      </c>
      <c r="D232" s="85" t="s">
        <v>27</v>
      </c>
      <c r="E232" s="86" t="s">
        <v>1645</v>
      </c>
      <c r="F232" s="82">
        <v>0.4166666666666667</v>
      </c>
      <c r="G232" s="86"/>
    </row>
    <row r="233" spans="8:8" ht="41.25" customHeight="1">
      <c r="A233" s="84">
        <v>8.0</v>
      </c>
      <c r="B233" s="85" t="s">
        <v>3182</v>
      </c>
      <c r="C233" s="86">
        <v>240215.0</v>
      </c>
      <c r="D233" s="85" t="s">
        <v>1065</v>
      </c>
      <c r="E233" s="86" t="s">
        <v>1645</v>
      </c>
      <c r="F233" s="82">
        <v>0.4166666666666667</v>
      </c>
      <c r="G233" s="86"/>
    </row>
    <row r="234" spans="8:8" ht="41.25" customHeight="1">
      <c r="A234" s="80">
        <v>9.0</v>
      </c>
      <c r="B234" s="85" t="s">
        <v>3183</v>
      </c>
      <c r="C234" s="86">
        <v>240229.0</v>
      </c>
      <c r="D234" s="85" t="s">
        <v>1065</v>
      </c>
      <c r="E234" s="86" t="s">
        <v>1645</v>
      </c>
      <c r="F234" s="82">
        <v>0.4166666666666667</v>
      </c>
      <c r="G234" s="86"/>
    </row>
    <row r="235" spans="8:8" ht="41.25" customHeight="1">
      <c r="A235" s="84">
        <v>10.0</v>
      </c>
      <c r="B235" s="85" t="s">
        <v>3184</v>
      </c>
      <c r="C235" s="86">
        <v>240194.0</v>
      </c>
      <c r="D235" s="85" t="s">
        <v>1065</v>
      </c>
      <c r="E235" s="86" t="s">
        <v>1645</v>
      </c>
      <c r="F235" s="82">
        <v>0.4166666666666667</v>
      </c>
      <c r="G235" s="80"/>
    </row>
    <row r="236" spans="8:8" ht="41.25" customHeight="1">
      <c r="A236" s="80">
        <v>11.0</v>
      </c>
      <c r="B236" s="85" t="s">
        <v>3185</v>
      </c>
      <c r="C236" s="86">
        <v>240196.0</v>
      </c>
      <c r="D236" s="85" t="s">
        <v>1065</v>
      </c>
      <c r="E236" s="86" t="s">
        <v>1645</v>
      </c>
      <c r="F236" s="82">
        <v>0.4166666666666667</v>
      </c>
      <c r="G236" s="86"/>
    </row>
    <row r="237" spans="8:8" ht="41.25" customHeight="1">
      <c r="A237" s="84">
        <v>12.0</v>
      </c>
      <c r="B237" s="85" t="s">
        <v>3186</v>
      </c>
      <c r="C237" s="86">
        <v>240197.0</v>
      </c>
      <c r="D237" s="85" t="s">
        <v>1065</v>
      </c>
      <c r="E237" s="86" t="s">
        <v>1645</v>
      </c>
      <c r="F237" s="82">
        <v>0.4166666666666667</v>
      </c>
      <c r="G237" s="86"/>
    </row>
    <row r="238" spans="8:8" ht="41.25" customHeight="1">
      <c r="A238" s="80">
        <v>13.0</v>
      </c>
      <c r="B238" s="85" t="s">
        <v>3187</v>
      </c>
      <c r="C238" s="86">
        <v>240198.0</v>
      </c>
      <c r="D238" s="85" t="s">
        <v>1065</v>
      </c>
      <c r="E238" s="86" t="s">
        <v>1645</v>
      </c>
      <c r="F238" s="82">
        <v>0.4166666666666667</v>
      </c>
      <c r="G238" s="86"/>
    </row>
    <row r="239" spans="8:8" ht="41.25" customHeight="1">
      <c r="A239" s="84">
        <v>14.0</v>
      </c>
      <c r="B239" s="85" t="s">
        <v>3188</v>
      </c>
      <c r="C239" s="86">
        <v>240199.0</v>
      </c>
      <c r="D239" s="85" t="s">
        <v>1065</v>
      </c>
      <c r="E239" s="86" t="s">
        <v>1645</v>
      </c>
      <c r="F239" s="82">
        <v>0.4166666666666667</v>
      </c>
      <c r="G239" s="86"/>
    </row>
    <row r="240" spans="8:8" ht="41.25" customHeight="1">
      <c r="A240" s="80">
        <v>15.0</v>
      </c>
      <c r="B240" s="85" t="s">
        <v>3189</v>
      </c>
      <c r="C240" s="86">
        <v>240200.0</v>
      </c>
      <c r="D240" s="85" t="s">
        <v>1065</v>
      </c>
      <c r="E240" s="86" t="s">
        <v>1645</v>
      </c>
      <c r="F240" s="82">
        <v>0.4166666666666667</v>
      </c>
      <c r="G240" s="86"/>
    </row>
    <row r="241" spans="8:8" ht="41.25" customHeight="1">
      <c r="A241" s="84">
        <v>16.0</v>
      </c>
      <c r="B241" s="85" t="s">
        <v>3190</v>
      </c>
      <c r="C241" s="86">
        <v>240201.0</v>
      </c>
      <c r="D241" s="85" t="s">
        <v>1065</v>
      </c>
      <c r="E241" s="86" t="s">
        <v>1645</v>
      </c>
      <c r="F241" s="82">
        <v>0.4166666666666667</v>
      </c>
      <c r="G241" s="86"/>
    </row>
    <row r="242" spans="8:8" ht="41.25" customHeight="1">
      <c r="A242" s="80">
        <v>17.0</v>
      </c>
      <c r="B242" s="85" t="s">
        <v>3191</v>
      </c>
      <c r="C242" s="86">
        <v>240202.0</v>
      </c>
      <c r="D242" s="85" t="s">
        <v>1065</v>
      </c>
      <c r="E242" s="86" t="s">
        <v>1645</v>
      </c>
      <c r="F242" s="82">
        <v>0.4166666666666667</v>
      </c>
      <c r="G242" s="86"/>
    </row>
    <row r="243" spans="8:8" ht="41.25" customHeight="1">
      <c r="A243" s="84">
        <v>18.0</v>
      </c>
      <c r="B243" s="85" t="s">
        <v>3192</v>
      </c>
      <c r="C243" s="86">
        <v>240203.0</v>
      </c>
      <c r="D243" s="85" t="s">
        <v>1065</v>
      </c>
      <c r="E243" s="86" t="s">
        <v>1645</v>
      </c>
      <c r="F243" s="82">
        <v>0.4166666666666667</v>
      </c>
      <c r="G243" s="86"/>
    </row>
    <row r="244" spans="8:8" ht="41.25" customHeight="1">
      <c r="A244" s="80">
        <v>19.0</v>
      </c>
      <c r="B244" s="85" t="s">
        <v>3193</v>
      </c>
      <c r="C244" s="86">
        <v>240204.0</v>
      </c>
      <c r="D244" s="85" t="s">
        <v>1065</v>
      </c>
      <c r="E244" s="86" t="s">
        <v>1645</v>
      </c>
      <c r="F244" s="82">
        <v>0.4166666666666667</v>
      </c>
      <c r="G244" s="86"/>
    </row>
    <row r="245" spans="8:8" ht="41.25" customHeight="1">
      <c r="A245" s="84">
        <v>20.0</v>
      </c>
      <c r="B245" s="85" t="s">
        <v>3194</v>
      </c>
      <c r="C245" s="86">
        <v>240205.0</v>
      </c>
      <c r="D245" s="85" t="s">
        <v>1065</v>
      </c>
      <c r="E245" s="86" t="s">
        <v>1645</v>
      </c>
      <c r="F245" s="82">
        <v>0.4166666666666667</v>
      </c>
      <c r="G245" s="86"/>
    </row>
    <row r="246" spans="8:8" ht="41.25" customHeight="1">
      <c r="A246" s="80">
        <v>21.0</v>
      </c>
      <c r="B246" s="85" t="s">
        <v>3195</v>
      </c>
      <c r="C246" s="86">
        <v>240206.0</v>
      </c>
      <c r="D246" s="85" t="s">
        <v>1065</v>
      </c>
      <c r="E246" s="86" t="s">
        <v>1645</v>
      </c>
      <c r="F246" s="82">
        <v>0.4166666666666667</v>
      </c>
      <c r="G246" s="86"/>
    </row>
    <row r="247" spans="8:8" ht="41.25" customHeight="1">
      <c r="A247" s="84">
        <v>22.0</v>
      </c>
      <c r="B247" s="85" t="s">
        <v>3196</v>
      </c>
      <c r="C247" s="86">
        <v>240207.0</v>
      </c>
      <c r="D247" s="85" t="s">
        <v>1065</v>
      </c>
      <c r="E247" s="86" t="s">
        <v>1645</v>
      </c>
      <c r="F247" s="82">
        <v>0.4166666666666667</v>
      </c>
      <c r="G247" s="86"/>
    </row>
    <row r="248" spans="8:8" ht="41.25" customHeight="1">
      <c r="A248" s="80">
        <v>23.0</v>
      </c>
      <c r="B248" s="85" t="s">
        <v>3197</v>
      </c>
      <c r="C248" s="86">
        <v>240208.0</v>
      </c>
      <c r="D248" s="85" t="s">
        <v>1065</v>
      </c>
      <c r="E248" s="86" t="s">
        <v>1645</v>
      </c>
      <c r="F248" s="82">
        <v>0.4166666666666667</v>
      </c>
      <c r="G248" s="86"/>
    </row>
    <row r="249" spans="8:8" ht="41.25" customHeight="1">
      <c r="A249" s="84">
        <v>24.0</v>
      </c>
      <c r="B249" s="85" t="s">
        <v>3198</v>
      </c>
      <c r="C249" s="86">
        <v>240209.0</v>
      </c>
      <c r="D249" s="85" t="s">
        <v>1065</v>
      </c>
      <c r="E249" s="86" t="s">
        <v>1645</v>
      </c>
      <c r="F249" s="82">
        <v>0.4166666666666667</v>
      </c>
      <c r="G249" s="86"/>
    </row>
    <row r="250" spans="8:8" ht="41.25" customHeight="1">
      <c r="A250" s="80">
        <v>25.0</v>
      </c>
      <c r="B250" s="85" t="s">
        <v>3199</v>
      </c>
      <c r="C250" s="86">
        <v>240210.0</v>
      </c>
      <c r="D250" s="85" t="s">
        <v>1065</v>
      </c>
      <c r="E250" s="86" t="s">
        <v>1645</v>
      </c>
      <c r="F250" s="82">
        <v>0.4166666666666667</v>
      </c>
      <c r="G250" s="86"/>
    </row>
    <row r="251" spans="8:8" ht="41.25" customHeight="1">
      <c r="A251" s="84">
        <v>26.0</v>
      </c>
      <c r="B251" s="85" t="s">
        <v>3200</v>
      </c>
      <c r="C251" s="86">
        <v>240226.0</v>
      </c>
      <c r="D251" s="85" t="s">
        <v>1065</v>
      </c>
      <c r="E251" s="86" t="s">
        <v>1645</v>
      </c>
      <c r="F251" s="82">
        <v>0.4166666666666667</v>
      </c>
      <c r="G251" s="86"/>
    </row>
    <row r="252" spans="8:8" ht="41.25" customHeight="1">
      <c r="A252" s="78" t="s">
        <v>18</v>
      </c>
      <c r="B252" s="79" t="s">
        <v>19</v>
      </c>
      <c r="C252" s="79" t="s">
        <v>20</v>
      </c>
      <c r="D252" s="79" t="s">
        <v>21</v>
      </c>
      <c r="E252" s="79" t="s">
        <v>22</v>
      </c>
      <c r="F252" s="79" t="s">
        <v>23</v>
      </c>
      <c r="G252" s="79" t="s">
        <v>3201</v>
      </c>
    </row>
    <row r="253" spans="8:8" ht="41.25" customHeight="1">
      <c r="A253" s="80">
        <v>1.0</v>
      </c>
      <c r="B253" s="83" t="s">
        <v>3202</v>
      </c>
      <c r="C253" s="80">
        <v>240019.0</v>
      </c>
      <c r="D253" s="83" t="s">
        <v>1065</v>
      </c>
      <c r="E253" s="84" t="s">
        <v>1512</v>
      </c>
      <c r="F253" s="82">
        <v>0.4166666666666667</v>
      </c>
      <c r="G253" s="80"/>
    </row>
    <row r="254" spans="8:8" ht="41.25" customHeight="1">
      <c r="A254" s="84">
        <v>2.0</v>
      </c>
      <c r="B254" s="83" t="s">
        <v>3203</v>
      </c>
      <c r="C254" s="80">
        <v>240020.0</v>
      </c>
      <c r="D254" s="83" t="s">
        <v>1065</v>
      </c>
      <c r="E254" s="84" t="s">
        <v>1512</v>
      </c>
      <c r="F254" s="82">
        <v>0.4166666666666667</v>
      </c>
      <c r="G254" s="84"/>
    </row>
    <row r="255" spans="8:8" ht="41.25" customHeight="1">
      <c r="A255" s="80">
        <v>3.0</v>
      </c>
      <c r="B255" s="83" t="s">
        <v>3204</v>
      </c>
      <c r="C255" s="80">
        <v>240236.0</v>
      </c>
      <c r="D255" s="83" t="s">
        <v>1065</v>
      </c>
      <c r="E255" s="84" t="s">
        <v>1512</v>
      </c>
      <c r="F255" s="82">
        <v>0.4166666666666667</v>
      </c>
      <c r="G255" s="84"/>
    </row>
    <row r="256" spans="8:8" ht="41.25" customHeight="1">
      <c r="A256" s="84">
        <v>4.0</v>
      </c>
      <c r="B256" s="83" t="s">
        <v>3205</v>
      </c>
      <c r="C256" s="84">
        <v>252994.0</v>
      </c>
      <c r="D256" s="83" t="s">
        <v>90</v>
      </c>
      <c r="E256" s="84" t="s">
        <v>1512</v>
      </c>
      <c r="F256" s="82">
        <v>0.4166666666666667</v>
      </c>
      <c r="G256" s="84"/>
    </row>
    <row r="257" spans="8:8" ht="41.25" customHeight="1">
      <c r="A257" s="80">
        <v>5.0</v>
      </c>
      <c r="B257" s="83" t="s">
        <v>3206</v>
      </c>
      <c r="C257" s="84">
        <v>252581.0</v>
      </c>
      <c r="D257" s="83" t="s">
        <v>90</v>
      </c>
      <c r="E257" s="84" t="s">
        <v>1512</v>
      </c>
      <c r="F257" s="82">
        <v>0.4166666666666667</v>
      </c>
      <c r="G257" s="84"/>
    </row>
    <row r="258" spans="8:8" ht="41.25" customHeight="1">
      <c r="A258" s="84">
        <v>6.0</v>
      </c>
      <c r="B258" s="83" t="s">
        <v>3207</v>
      </c>
      <c r="C258" s="84">
        <v>252471.0</v>
      </c>
      <c r="D258" s="83" t="s">
        <v>104</v>
      </c>
      <c r="E258" s="84" t="s">
        <v>1512</v>
      </c>
      <c r="F258" s="82">
        <v>0.4166666666666667</v>
      </c>
      <c r="G258" s="84"/>
    </row>
    <row r="259" spans="8:8" ht="41.25" customHeight="1">
      <c r="A259" s="80">
        <v>7.0</v>
      </c>
      <c r="B259" s="83" t="s">
        <v>3208</v>
      </c>
      <c r="C259" s="84">
        <v>252444.0</v>
      </c>
      <c r="D259" s="83" t="s">
        <v>104</v>
      </c>
      <c r="E259" s="84" t="s">
        <v>1512</v>
      </c>
      <c r="F259" s="82">
        <v>0.4166666666666667</v>
      </c>
      <c r="G259" s="84"/>
    </row>
    <row r="260" spans="8:8" ht="41.25" customHeight="1">
      <c r="A260" s="84">
        <v>8.0</v>
      </c>
      <c r="B260" s="83" t="s">
        <v>3209</v>
      </c>
      <c r="C260" s="84">
        <v>252750.0</v>
      </c>
      <c r="D260" s="83" t="s">
        <v>90</v>
      </c>
      <c r="E260" s="84" t="s">
        <v>1512</v>
      </c>
      <c r="F260" s="82">
        <v>0.4166666666666667</v>
      </c>
      <c r="G260" s="84"/>
    </row>
    <row r="261" spans="8:8" ht="41.25" customHeight="1">
      <c r="A261" s="80">
        <v>9.0</v>
      </c>
      <c r="B261" s="83" t="s">
        <v>3210</v>
      </c>
      <c r="C261" s="84">
        <v>252836.0</v>
      </c>
      <c r="D261" s="83" t="s">
        <v>90</v>
      </c>
      <c r="E261" s="84" t="s">
        <v>1512</v>
      </c>
      <c r="F261" s="82">
        <v>0.4166666666666667</v>
      </c>
      <c r="G261" s="84"/>
    </row>
    <row r="262" spans="8:8" ht="41.25" customHeight="1">
      <c r="A262" s="84">
        <v>10.0</v>
      </c>
      <c r="B262" s="83" t="s">
        <v>3211</v>
      </c>
      <c r="C262" s="84">
        <v>253225.0</v>
      </c>
      <c r="D262" s="83" t="s">
        <v>2971</v>
      </c>
      <c r="E262" s="84" t="s">
        <v>1512</v>
      </c>
      <c r="F262" s="82">
        <v>0.4166666666666667</v>
      </c>
      <c r="G262" s="84"/>
    </row>
    <row r="263" spans="8:8" ht="41.25" customHeight="1">
      <c r="A263" s="80">
        <v>11.0</v>
      </c>
      <c r="B263" s="83" t="s">
        <v>3212</v>
      </c>
      <c r="C263" s="84">
        <v>253209.0</v>
      </c>
      <c r="D263" s="83" t="s">
        <v>2971</v>
      </c>
      <c r="E263" s="84" t="s">
        <v>1512</v>
      </c>
      <c r="F263" s="82">
        <v>0.4166666666666667</v>
      </c>
      <c r="G263" s="84"/>
    </row>
    <row r="264" spans="8:8" ht="41.25" customHeight="1">
      <c r="A264" s="84">
        <v>12.0</v>
      </c>
      <c r="B264" s="83" t="s">
        <v>3213</v>
      </c>
      <c r="C264" s="80">
        <v>253206.0</v>
      </c>
      <c r="D264" s="83" t="s">
        <v>2971</v>
      </c>
      <c r="E264" s="84" t="s">
        <v>1512</v>
      </c>
      <c r="F264" s="82">
        <v>0.4166666666666667</v>
      </c>
      <c r="G264" s="84"/>
    </row>
    <row r="265" spans="8:8" ht="41.25" customHeight="1">
      <c r="A265" s="80">
        <v>13.0</v>
      </c>
      <c r="B265" s="83" t="s">
        <v>3214</v>
      </c>
      <c r="C265" s="80">
        <v>253213.0</v>
      </c>
      <c r="D265" s="83" t="s">
        <v>2971</v>
      </c>
      <c r="E265" s="84" t="s">
        <v>1512</v>
      </c>
      <c r="F265" s="82">
        <v>0.4166666666666667</v>
      </c>
      <c r="G265" s="84"/>
    </row>
    <row r="266" spans="8:8" ht="41.25" customHeight="1">
      <c r="A266" s="84">
        <v>14.0</v>
      </c>
      <c r="B266" s="83" t="s">
        <v>3215</v>
      </c>
      <c r="C266" s="80">
        <v>253229.0</v>
      </c>
      <c r="D266" s="83" t="s">
        <v>2971</v>
      </c>
      <c r="E266" s="84" t="s">
        <v>1512</v>
      </c>
      <c r="F266" s="82">
        <v>0.4166666666666667</v>
      </c>
      <c r="G266" s="84"/>
    </row>
    <row r="267" spans="8:8" ht="41.25" customHeight="1">
      <c r="A267" s="80">
        <v>15.0</v>
      </c>
      <c r="B267" s="83" t="s">
        <v>3216</v>
      </c>
      <c r="C267" s="80">
        <v>253230.0</v>
      </c>
      <c r="D267" s="83" t="s">
        <v>2971</v>
      </c>
      <c r="E267" s="84" t="s">
        <v>1512</v>
      </c>
      <c r="F267" s="82">
        <v>0.4166666666666667</v>
      </c>
      <c r="G267" s="84"/>
    </row>
    <row r="268" spans="8:8" ht="41.25" customHeight="1">
      <c r="A268" s="84">
        <v>16.0</v>
      </c>
      <c r="B268" s="83" t="s">
        <v>3217</v>
      </c>
      <c r="C268" s="80">
        <v>252074.0</v>
      </c>
      <c r="D268" s="83" t="s">
        <v>104</v>
      </c>
      <c r="E268" s="84" t="s">
        <v>1512</v>
      </c>
      <c r="F268" s="82">
        <v>0.4166666666666667</v>
      </c>
      <c r="G268" s="84"/>
    </row>
    <row r="269" spans="8:8" ht="41.25" customHeight="1">
      <c r="A269" s="80">
        <v>17.0</v>
      </c>
      <c r="B269" s="83" t="s">
        <v>3218</v>
      </c>
      <c r="C269" s="80">
        <v>253228.0</v>
      </c>
      <c r="D269" s="83" t="s">
        <v>3219</v>
      </c>
      <c r="E269" s="84" t="s">
        <v>1512</v>
      </c>
      <c r="F269" s="82">
        <v>0.4166666666666667</v>
      </c>
      <c r="G269" s="84"/>
    </row>
    <row r="270" spans="8:8" ht="41.25" customHeight="1">
      <c r="A270" s="84">
        <v>18.0</v>
      </c>
      <c r="B270" s="83" t="s">
        <v>3220</v>
      </c>
      <c r="C270" s="80">
        <v>253216.0</v>
      </c>
      <c r="D270" s="83" t="s">
        <v>2971</v>
      </c>
      <c r="E270" s="84" t="s">
        <v>1512</v>
      </c>
      <c r="F270" s="82">
        <v>0.4166666666666667</v>
      </c>
      <c r="G270" s="84"/>
    </row>
    <row r="271" spans="8:8" ht="41.25" customHeight="1">
      <c r="A271" s="80">
        <v>19.0</v>
      </c>
      <c r="B271" s="83" t="s">
        <v>3221</v>
      </c>
      <c r="C271" s="84">
        <v>252770.0</v>
      </c>
      <c r="D271" s="83" t="s">
        <v>90</v>
      </c>
      <c r="E271" s="80" t="s">
        <v>1512</v>
      </c>
      <c r="F271" s="82">
        <v>0.4166666666666667</v>
      </c>
      <c r="G271" s="80"/>
    </row>
    <row r="272" spans="8:8" ht="41.25" customHeight="1">
      <c r="A272" s="84">
        <v>20.0</v>
      </c>
      <c r="B272" s="83" t="s">
        <v>3222</v>
      </c>
      <c r="C272" s="84">
        <v>253286.0</v>
      </c>
      <c r="D272" s="83" t="s">
        <v>90</v>
      </c>
      <c r="E272" s="84" t="s">
        <v>1512</v>
      </c>
      <c r="F272" s="82">
        <v>0.4166666666666667</v>
      </c>
      <c r="G272" s="80"/>
    </row>
    <row r="273" spans="8:8" ht="41.25" customHeight="1">
      <c r="A273" s="78" t="s">
        <v>18</v>
      </c>
      <c r="B273" s="79" t="s">
        <v>19</v>
      </c>
      <c r="C273" s="79" t="s">
        <v>20</v>
      </c>
      <c r="D273" s="79" t="s">
        <v>21</v>
      </c>
      <c r="E273" s="79" t="s">
        <v>22</v>
      </c>
      <c r="F273" s="79" t="s">
        <v>23</v>
      </c>
      <c r="G273" s="79" t="s">
        <v>3223</v>
      </c>
    </row>
    <row r="274" spans="8:8" ht="41.25" customHeight="1">
      <c r="A274" s="84">
        <v>1.0</v>
      </c>
      <c r="B274" s="83" t="s">
        <v>3224</v>
      </c>
      <c r="C274" s="80">
        <v>240450.0</v>
      </c>
      <c r="D274" s="83" t="s">
        <v>2932</v>
      </c>
      <c r="E274" s="80" t="s">
        <v>1490</v>
      </c>
      <c r="F274" s="82">
        <v>0.4166666666666667</v>
      </c>
      <c r="G274" s="80"/>
    </row>
    <row r="275" spans="8:8" ht="41.25" customHeight="1">
      <c r="A275" s="84">
        <v>2.0</v>
      </c>
      <c r="B275" s="83" t="s">
        <v>3225</v>
      </c>
      <c r="C275" s="80">
        <v>240453.0</v>
      </c>
      <c r="D275" s="83" t="s">
        <v>2932</v>
      </c>
      <c r="E275" s="80" t="s">
        <v>1490</v>
      </c>
      <c r="F275" s="82">
        <v>0.4166666666666667</v>
      </c>
      <c r="G275" s="80"/>
    </row>
    <row r="276" spans="8:8" ht="41.25" customHeight="1">
      <c r="A276" s="84">
        <v>3.0</v>
      </c>
      <c r="B276" s="83" t="s">
        <v>3226</v>
      </c>
      <c r="C276" s="80">
        <v>240457.0</v>
      </c>
      <c r="D276" s="83" t="s">
        <v>2932</v>
      </c>
      <c r="E276" s="80" t="s">
        <v>1490</v>
      </c>
      <c r="F276" s="82">
        <v>0.4166666666666667</v>
      </c>
      <c r="G276" s="80"/>
    </row>
    <row r="277" spans="8:8" ht="41.25" customHeight="1">
      <c r="A277" s="84">
        <v>4.0</v>
      </c>
      <c r="B277" s="83" t="s">
        <v>3227</v>
      </c>
      <c r="C277" s="80">
        <v>240258.0</v>
      </c>
      <c r="D277" s="83" t="s">
        <v>2932</v>
      </c>
      <c r="E277" s="80" t="s">
        <v>1490</v>
      </c>
      <c r="F277" s="82">
        <v>0.4166666666666667</v>
      </c>
      <c r="G277" s="80"/>
    </row>
    <row r="278" spans="8:8" ht="41.25" customHeight="1">
      <c r="A278" s="84">
        <v>5.0</v>
      </c>
      <c r="B278" s="83" t="s">
        <v>3228</v>
      </c>
      <c r="C278" s="80">
        <v>240315.0</v>
      </c>
      <c r="D278" s="83" t="s">
        <v>2932</v>
      </c>
      <c r="E278" s="80" t="s">
        <v>1490</v>
      </c>
      <c r="F278" s="82">
        <v>0.4166666666666667</v>
      </c>
      <c r="G278" s="80"/>
    </row>
    <row r="279" spans="8:8" ht="41.25" customHeight="1">
      <c r="A279" s="84">
        <v>6.0</v>
      </c>
      <c r="B279" s="83" t="s">
        <v>3229</v>
      </c>
      <c r="C279" s="80">
        <v>240321.0</v>
      </c>
      <c r="D279" s="83" t="s">
        <v>2932</v>
      </c>
      <c r="E279" s="80" t="s">
        <v>1490</v>
      </c>
      <c r="F279" s="82">
        <v>0.4166666666666667</v>
      </c>
      <c r="G279" s="80"/>
    </row>
    <row r="280" spans="8:8" ht="41.25" customHeight="1">
      <c r="A280" s="84">
        <v>7.0</v>
      </c>
      <c r="B280" s="83" t="s">
        <v>3230</v>
      </c>
      <c r="C280" s="80">
        <v>240328.0</v>
      </c>
      <c r="D280" s="83" t="s">
        <v>2932</v>
      </c>
      <c r="E280" s="80" t="s">
        <v>1490</v>
      </c>
      <c r="F280" s="82">
        <v>0.4166666666666667</v>
      </c>
      <c r="G280" s="80"/>
    </row>
    <row r="281" spans="8:8" ht="41.25" customHeight="1">
      <c r="A281" s="84">
        <v>8.0</v>
      </c>
      <c r="B281" s="83" t="s">
        <v>3231</v>
      </c>
      <c r="C281" s="80">
        <v>240329.0</v>
      </c>
      <c r="D281" s="83" t="s">
        <v>2932</v>
      </c>
      <c r="E281" s="80" t="s">
        <v>1490</v>
      </c>
      <c r="F281" s="82">
        <v>0.4166666666666667</v>
      </c>
      <c r="G281" s="80"/>
    </row>
    <row r="282" spans="8:8" ht="41.25" customHeight="1">
      <c r="A282" s="84">
        <v>9.0</v>
      </c>
      <c r="B282" s="83" t="s">
        <v>3232</v>
      </c>
      <c r="C282" s="80">
        <v>240342.0</v>
      </c>
      <c r="D282" s="83" t="s">
        <v>2932</v>
      </c>
      <c r="E282" s="80" t="s">
        <v>1490</v>
      </c>
      <c r="F282" s="82">
        <v>0.4166666666666667</v>
      </c>
      <c r="G282" s="80"/>
    </row>
    <row r="283" spans="8:8" ht="41.25" customHeight="1">
      <c r="A283" s="84">
        <v>10.0</v>
      </c>
      <c r="B283" s="83" t="s">
        <v>3233</v>
      </c>
      <c r="C283" s="80">
        <v>240366.0</v>
      </c>
      <c r="D283" s="83" t="s">
        <v>2932</v>
      </c>
      <c r="E283" s="80" t="s">
        <v>1490</v>
      </c>
      <c r="F283" s="82">
        <v>0.4166666666666667</v>
      </c>
      <c r="G283" s="80"/>
    </row>
    <row r="284" spans="8:8" ht="41.25" customHeight="1">
      <c r="A284" s="84">
        <v>11.0</v>
      </c>
      <c r="B284" s="83" t="s">
        <v>3234</v>
      </c>
      <c r="C284" s="80">
        <v>240461.0</v>
      </c>
      <c r="D284" s="83" t="s">
        <v>2932</v>
      </c>
      <c r="E284" s="80" t="s">
        <v>1490</v>
      </c>
      <c r="F284" s="82">
        <v>0.4166666666666667</v>
      </c>
      <c r="G284" s="80"/>
    </row>
    <row r="285" spans="8:8" ht="41.25" customHeight="1">
      <c r="A285" s="84">
        <v>12.0</v>
      </c>
      <c r="B285" s="81" t="s">
        <v>3235</v>
      </c>
      <c r="C285" s="80">
        <v>253220.0</v>
      </c>
      <c r="D285" s="81" t="s">
        <v>2971</v>
      </c>
      <c r="E285" s="80" t="s">
        <v>1490</v>
      </c>
      <c r="F285" s="82">
        <v>0.4166666666666667</v>
      </c>
      <c r="G285" s="80"/>
    </row>
    <row r="286" spans="8:8" ht="41.25" customHeight="1">
      <c r="A286" s="84">
        <v>13.0</v>
      </c>
      <c r="B286" s="81" t="s">
        <v>3236</v>
      </c>
      <c r="C286" s="80">
        <v>253205.0</v>
      </c>
      <c r="D286" s="81" t="s">
        <v>2971</v>
      </c>
      <c r="E286" s="80" t="s">
        <v>1490</v>
      </c>
      <c r="F286" s="82">
        <v>0.4166666666666667</v>
      </c>
      <c r="G286" s="80"/>
    </row>
    <row r="287" spans="8:8" ht="41.25" customHeight="1">
      <c r="A287" s="84">
        <v>14.0</v>
      </c>
      <c r="B287" s="81" t="s">
        <v>3237</v>
      </c>
      <c r="C287" s="80">
        <v>240015.0</v>
      </c>
      <c r="D287" s="81" t="s">
        <v>1065</v>
      </c>
      <c r="E287" s="80" t="s">
        <v>1490</v>
      </c>
      <c r="F287" s="82">
        <v>0.4166666666666667</v>
      </c>
      <c r="G287" s="80"/>
    </row>
    <row r="288" spans="8:8" ht="41.25" customHeight="1">
      <c r="A288" s="84">
        <v>15.0</v>
      </c>
      <c r="B288" s="87" t="s">
        <v>3238</v>
      </c>
      <c r="C288" s="88">
        <v>253244.0</v>
      </c>
      <c r="D288" s="81" t="s">
        <v>104</v>
      </c>
      <c r="E288" s="80" t="s">
        <v>1490</v>
      </c>
      <c r="F288" s="82">
        <v>0.4166666666666667</v>
      </c>
      <c r="G288" s="84"/>
    </row>
    <row r="289" spans="8:8" ht="41.25" customHeight="1">
      <c r="A289" s="84">
        <v>16.0</v>
      </c>
      <c r="B289" s="81" t="s">
        <v>3239</v>
      </c>
      <c r="C289" s="80">
        <v>253143.0</v>
      </c>
      <c r="D289" s="81" t="s">
        <v>27</v>
      </c>
      <c r="E289" s="80" t="s">
        <v>1490</v>
      </c>
      <c r="F289" s="82">
        <v>0.4166666666666667</v>
      </c>
      <c r="G289" s="84"/>
    </row>
    <row r="290" spans="8:8" ht="41.25" customHeight="1">
      <c r="A290" s="84">
        <v>17.0</v>
      </c>
      <c r="B290" s="81" t="s">
        <v>3240</v>
      </c>
      <c r="C290" s="80">
        <v>253293.0</v>
      </c>
      <c r="D290" s="81" t="s">
        <v>27</v>
      </c>
      <c r="E290" s="80" t="s">
        <v>1490</v>
      </c>
      <c r="F290" s="82">
        <v>0.4166666666666667</v>
      </c>
      <c r="G290" s="80"/>
    </row>
    <row r="291" spans="8:8" ht="41.25" customHeight="1">
      <c r="A291" s="84">
        <v>18.0</v>
      </c>
      <c r="B291" s="81" t="s">
        <v>3241</v>
      </c>
      <c r="C291" s="80">
        <v>240339.0</v>
      </c>
      <c r="D291" s="81" t="s">
        <v>3242</v>
      </c>
      <c r="E291" s="80" t="s">
        <v>1490</v>
      </c>
      <c r="F291" s="82">
        <v>0.4166666666666667</v>
      </c>
      <c r="G291" s="80"/>
    </row>
    <row r="292" spans="8:8" ht="41.25" customHeight="1">
      <c r="A292" s="84">
        <v>19.0</v>
      </c>
      <c r="B292" s="83" t="s">
        <v>3243</v>
      </c>
      <c r="C292" s="80">
        <v>253222.0</v>
      </c>
      <c r="D292" s="81" t="s">
        <v>2971</v>
      </c>
      <c r="E292" s="84" t="s">
        <v>1490</v>
      </c>
      <c r="F292" s="82">
        <v>0.4166666666666667</v>
      </c>
      <c r="G292" s="84"/>
    </row>
    <row r="293" spans="8:8" ht="41.25" customHeight="1">
      <c r="A293" s="84">
        <v>20.0</v>
      </c>
      <c r="B293" s="83" t="s">
        <v>3244</v>
      </c>
      <c r="C293" s="80">
        <v>253156.0</v>
      </c>
      <c r="D293" s="83" t="s">
        <v>104</v>
      </c>
      <c r="E293" s="84" t="s">
        <v>1490</v>
      </c>
      <c r="F293" s="82">
        <v>0.4166666666666667</v>
      </c>
      <c r="G293" s="84"/>
    </row>
    <row r="294" spans="8:8" ht="41.25" customHeight="1">
      <c r="A294" s="84">
        <v>21.0</v>
      </c>
      <c r="B294" s="83" t="s">
        <v>3245</v>
      </c>
      <c r="C294" s="80">
        <v>253221.0</v>
      </c>
      <c r="D294" s="81" t="s">
        <v>2971</v>
      </c>
      <c r="E294" s="84" t="s">
        <v>1490</v>
      </c>
      <c r="F294" s="82">
        <v>0.4166666666666667</v>
      </c>
      <c r="G294" s="84"/>
    </row>
    <row r="295" spans="8:8" ht="41.25" customHeight="1">
      <c r="A295" s="84">
        <v>22.0</v>
      </c>
      <c r="B295" s="81" t="s">
        <v>3246</v>
      </c>
      <c r="C295" s="80">
        <v>253210.0</v>
      </c>
      <c r="D295" s="89" t="s">
        <v>1868</v>
      </c>
      <c r="E295" s="80" t="s">
        <v>1490</v>
      </c>
      <c r="F295" s="82">
        <v>0.4166666666666667</v>
      </c>
      <c r="G295" s="80"/>
    </row>
    <row r="296" spans="8:8" ht="41.25" customHeight="1">
      <c r="A296" s="84">
        <v>23.0</v>
      </c>
      <c r="B296" s="83" t="s">
        <v>3247</v>
      </c>
      <c r="C296" s="80">
        <v>253211.0</v>
      </c>
      <c r="D296" s="89" t="s">
        <v>1868</v>
      </c>
      <c r="E296" s="84" t="s">
        <v>1490</v>
      </c>
      <c r="F296" s="82">
        <v>0.4166666666666667</v>
      </c>
      <c r="G296" s="84"/>
    </row>
    <row r="297" spans="8:8" ht="41.25" customHeight="1">
      <c r="A297" s="78" t="s">
        <v>18</v>
      </c>
      <c r="B297" s="79" t="s">
        <v>19</v>
      </c>
      <c r="C297" s="79" t="s">
        <v>20</v>
      </c>
      <c r="D297" s="79" t="s">
        <v>21</v>
      </c>
      <c r="E297" s="79" t="s">
        <v>22</v>
      </c>
      <c r="F297" s="79" t="s">
        <v>23</v>
      </c>
      <c r="G297" s="79" t="s">
        <v>3248</v>
      </c>
    </row>
    <row r="298" spans="8:8" ht="41.25" customHeight="1">
      <c r="A298" s="86">
        <v>1.0</v>
      </c>
      <c r="B298" s="81" t="s">
        <v>3249</v>
      </c>
      <c r="C298" s="80">
        <v>240044.0</v>
      </c>
      <c r="D298" s="81" t="s">
        <v>1065</v>
      </c>
      <c r="E298" s="80" t="s">
        <v>1477</v>
      </c>
      <c r="F298" s="82">
        <v>0.4166666666666667</v>
      </c>
      <c r="G298" s="80"/>
    </row>
    <row r="299" spans="8:8" ht="41.25" customHeight="1">
      <c r="A299" s="86">
        <v>2.0</v>
      </c>
      <c r="B299" s="81" t="s">
        <v>3250</v>
      </c>
      <c r="C299" s="80">
        <v>240070.0</v>
      </c>
      <c r="D299" s="81" t="s">
        <v>1065</v>
      </c>
      <c r="E299" s="80" t="s">
        <v>1477</v>
      </c>
      <c r="F299" s="82">
        <v>0.4166666666666667</v>
      </c>
      <c r="G299" s="84"/>
    </row>
    <row r="300" spans="8:8" ht="41.25" customHeight="1">
      <c r="A300" s="86">
        <v>3.0</v>
      </c>
      <c r="B300" s="81" t="s">
        <v>3251</v>
      </c>
      <c r="C300" s="80">
        <v>240074.0</v>
      </c>
      <c r="D300" s="81" t="s">
        <v>1065</v>
      </c>
      <c r="E300" s="80" t="s">
        <v>1477</v>
      </c>
      <c r="F300" s="82">
        <v>0.4166666666666667</v>
      </c>
      <c r="G300" s="84"/>
    </row>
    <row r="301" spans="8:8" ht="41.25" customHeight="1">
      <c r="A301" s="86">
        <v>4.0</v>
      </c>
      <c r="B301" s="81" t="s">
        <v>3252</v>
      </c>
      <c r="C301" s="80">
        <v>240088.0</v>
      </c>
      <c r="D301" s="81" t="s">
        <v>1065</v>
      </c>
      <c r="E301" s="80" t="s">
        <v>1477</v>
      </c>
      <c r="F301" s="82">
        <v>0.4166666666666667</v>
      </c>
      <c r="G301" s="84"/>
    </row>
    <row r="302" spans="8:8" ht="41.25" customHeight="1">
      <c r="A302" s="86">
        <v>5.0</v>
      </c>
      <c r="B302" s="81" t="s">
        <v>3253</v>
      </c>
      <c r="C302" s="80">
        <v>240159.0</v>
      </c>
      <c r="D302" s="81" t="s">
        <v>1065</v>
      </c>
      <c r="E302" s="80" t="s">
        <v>1477</v>
      </c>
      <c r="F302" s="82">
        <v>0.4166666666666667</v>
      </c>
      <c r="G302" s="84"/>
    </row>
    <row r="303" spans="8:8" ht="41.25" customHeight="1">
      <c r="A303" s="86">
        <v>6.0</v>
      </c>
      <c r="B303" s="81" t="s">
        <v>3254</v>
      </c>
      <c r="C303" s="80">
        <v>240157.0</v>
      </c>
      <c r="D303" s="81" t="s">
        <v>1065</v>
      </c>
      <c r="E303" s="80" t="s">
        <v>1477</v>
      </c>
      <c r="F303" s="82">
        <v>0.4166666666666667</v>
      </c>
      <c r="G303" s="84"/>
    </row>
    <row r="304" spans="8:8" ht="41.25" customHeight="1">
      <c r="A304" s="86">
        <v>7.0</v>
      </c>
      <c r="B304" s="81" t="s">
        <v>3255</v>
      </c>
      <c r="C304" s="80">
        <v>240043.0</v>
      </c>
      <c r="D304" s="81" t="s">
        <v>1065</v>
      </c>
      <c r="E304" s="80" t="s">
        <v>1477</v>
      </c>
      <c r="F304" s="82">
        <v>0.4166666666666667</v>
      </c>
      <c r="G304" s="84"/>
    </row>
    <row r="305" spans="8:8" ht="41.25" customHeight="1">
      <c r="A305" s="86">
        <v>8.0</v>
      </c>
      <c r="B305" s="81" t="s">
        <v>3256</v>
      </c>
      <c r="C305" s="80">
        <v>240082.0</v>
      </c>
      <c r="D305" s="81" t="s">
        <v>1065</v>
      </c>
      <c r="E305" s="80" t="s">
        <v>1477</v>
      </c>
      <c r="F305" s="82">
        <v>0.4166666666666667</v>
      </c>
      <c r="G305" s="84"/>
    </row>
    <row r="306" spans="8:8" ht="41.25" customHeight="1">
      <c r="A306" s="86">
        <v>9.0</v>
      </c>
      <c r="B306" s="81" t="s">
        <v>3257</v>
      </c>
      <c r="C306" s="80">
        <v>240211.0</v>
      </c>
      <c r="D306" s="81" t="s">
        <v>1065</v>
      </c>
      <c r="E306" s="80" t="s">
        <v>1477</v>
      </c>
      <c r="F306" s="82">
        <v>0.4166666666666667</v>
      </c>
      <c r="G306" s="84"/>
    </row>
    <row r="307" spans="8:8" ht="41.25" customHeight="1">
      <c r="A307" s="86">
        <v>10.0</v>
      </c>
      <c r="B307" s="81" t="s">
        <v>3258</v>
      </c>
      <c r="C307" s="80">
        <v>251851.0</v>
      </c>
      <c r="D307" s="81" t="s">
        <v>104</v>
      </c>
      <c r="E307" s="80" t="s">
        <v>1477</v>
      </c>
      <c r="F307" s="82">
        <v>0.4166666666666667</v>
      </c>
      <c r="G307" s="84"/>
    </row>
    <row r="308" spans="8:8" ht="41.25" customHeight="1">
      <c r="A308" s="86">
        <v>11.0</v>
      </c>
      <c r="B308" s="81" t="s">
        <v>3259</v>
      </c>
      <c r="C308" s="80">
        <v>240092.0</v>
      </c>
      <c r="D308" s="81" t="s">
        <v>1065</v>
      </c>
      <c r="E308" s="80" t="s">
        <v>1477</v>
      </c>
      <c r="F308" s="82">
        <v>0.4166666666666667</v>
      </c>
      <c r="G308" s="84"/>
    </row>
    <row r="309" spans="8:8" ht="41.25" customHeight="1">
      <c r="A309" s="86">
        <v>12.0</v>
      </c>
      <c r="B309" s="81" t="s">
        <v>3260</v>
      </c>
      <c r="C309" s="80">
        <v>241671.0</v>
      </c>
      <c r="D309" s="81" t="s">
        <v>2665</v>
      </c>
      <c r="E309" s="80" t="s">
        <v>1477</v>
      </c>
      <c r="F309" s="82">
        <v>0.4166666666666667</v>
      </c>
      <c r="G309" s="84"/>
    </row>
    <row r="310" spans="8:8" ht="41.25" customHeight="1">
      <c r="A310" s="78" t="s">
        <v>18</v>
      </c>
      <c r="B310" s="79" t="s">
        <v>19</v>
      </c>
      <c r="C310" s="79" t="s">
        <v>20</v>
      </c>
      <c r="D310" s="79" t="s">
        <v>21</v>
      </c>
      <c r="E310" s="79" t="s">
        <v>22</v>
      </c>
      <c r="F310" s="79" t="s">
        <v>23</v>
      </c>
      <c r="G310" s="79" t="s">
        <v>3261</v>
      </c>
    </row>
    <row r="311" spans="8:8" ht="41.25" customHeight="1">
      <c r="A311" s="86">
        <v>1.0</v>
      </c>
      <c r="B311" s="81" t="s">
        <v>3262</v>
      </c>
      <c r="C311" s="80">
        <v>240005.0</v>
      </c>
      <c r="D311" s="81" t="s">
        <v>1065</v>
      </c>
      <c r="E311" s="80" t="s">
        <v>450</v>
      </c>
      <c r="F311" s="82">
        <v>0.4166666666666667</v>
      </c>
      <c r="G311" s="80"/>
    </row>
    <row r="312" spans="8:8" ht="41.25" customHeight="1">
      <c r="A312" s="84">
        <v>2.0</v>
      </c>
      <c r="B312" s="81" t="s">
        <v>3263</v>
      </c>
      <c r="C312" s="80">
        <v>241925.0</v>
      </c>
      <c r="D312" s="81" t="s">
        <v>1065</v>
      </c>
      <c r="E312" s="80" t="s">
        <v>450</v>
      </c>
      <c r="F312" s="82">
        <v>0.4166666666666667</v>
      </c>
      <c r="G312" s="80"/>
    </row>
    <row r="313" spans="8:8" ht="41.25" customHeight="1">
      <c r="A313" s="86">
        <v>3.0</v>
      </c>
      <c r="B313" s="81" t="s">
        <v>3264</v>
      </c>
      <c r="C313" s="80">
        <v>241927.0</v>
      </c>
      <c r="D313" s="81" t="s">
        <v>1065</v>
      </c>
      <c r="E313" s="80" t="s">
        <v>28</v>
      </c>
      <c r="F313" s="82">
        <v>0.4166666666666667</v>
      </c>
      <c r="G313" s="80"/>
    </row>
    <row r="314" spans="8:8" ht="41.25" customHeight="1">
      <c r="A314" s="84">
        <v>4.0</v>
      </c>
      <c r="B314" s="81" t="s">
        <v>3265</v>
      </c>
      <c r="C314" s="80">
        <v>240233.0</v>
      </c>
      <c r="D314" s="81" t="s">
        <v>1065</v>
      </c>
      <c r="E314" s="80" t="s">
        <v>28</v>
      </c>
      <c r="F314" s="82">
        <v>0.4166666666666667</v>
      </c>
      <c r="G314" s="80"/>
    </row>
    <row r="315" spans="8:8" ht="41.25" customHeight="1">
      <c r="A315" s="86">
        <v>5.0</v>
      </c>
      <c r="B315" s="81" t="s">
        <v>3266</v>
      </c>
      <c r="C315" s="80">
        <v>240009.0</v>
      </c>
      <c r="D315" s="81" t="s">
        <v>1065</v>
      </c>
      <c r="E315" s="80" t="s">
        <v>28</v>
      </c>
      <c r="F315" s="82">
        <v>0.4166666666666667</v>
      </c>
      <c r="G315" s="80"/>
    </row>
    <row r="316" spans="8:8" ht="41.25" customHeight="1">
      <c r="A316" s="84">
        <v>6.0</v>
      </c>
      <c r="B316" s="81" t="s">
        <v>3267</v>
      </c>
      <c r="C316" s="80">
        <v>253130.0</v>
      </c>
      <c r="D316" s="81" t="s">
        <v>615</v>
      </c>
      <c r="E316" s="80" t="s">
        <v>28</v>
      </c>
      <c r="F316" s="82">
        <v>0.4166666666666667</v>
      </c>
      <c r="G316" s="80"/>
    </row>
    <row r="317" spans="8:8" ht="41.25" customHeight="1">
      <c r="A317" s="86">
        <v>7.0</v>
      </c>
      <c r="B317" s="83" t="s">
        <v>3268</v>
      </c>
      <c r="C317" s="80">
        <v>252238.0</v>
      </c>
      <c r="D317" s="83" t="s">
        <v>104</v>
      </c>
      <c r="E317" s="84" t="s">
        <v>28</v>
      </c>
      <c r="F317" s="82">
        <v>0.4166666666666667</v>
      </c>
      <c r="G317" s="84"/>
    </row>
    <row r="318" spans="8:8" ht="41.25" customHeight="1">
      <c r="A318" s="84">
        <v>8.0</v>
      </c>
      <c r="B318" s="83" t="s">
        <v>3269</v>
      </c>
      <c r="C318" s="80">
        <v>252009.0</v>
      </c>
      <c r="D318" s="83" t="s">
        <v>104</v>
      </c>
      <c r="E318" s="84" t="s">
        <v>28</v>
      </c>
      <c r="F318" s="82">
        <v>0.4166666666666667</v>
      </c>
      <c r="G318" s="84"/>
    </row>
    <row r="319" spans="8:8" ht="41.25" customHeight="1">
      <c r="A319" s="86">
        <v>9.0</v>
      </c>
      <c r="B319" s="83" t="s">
        <v>3270</v>
      </c>
      <c r="C319" s="80">
        <v>252272.0</v>
      </c>
      <c r="D319" s="83" t="s">
        <v>104</v>
      </c>
      <c r="E319" s="84" t="s">
        <v>28</v>
      </c>
      <c r="F319" s="82">
        <v>0.4166666666666667</v>
      </c>
      <c r="G319" s="84"/>
    </row>
    <row r="320" spans="8:8" ht="41.25" customHeight="1">
      <c r="A320" s="84">
        <v>10.0</v>
      </c>
      <c r="B320" s="83" t="s">
        <v>3271</v>
      </c>
      <c r="C320" s="80">
        <v>251997.0</v>
      </c>
      <c r="D320" s="83" t="s">
        <v>104</v>
      </c>
      <c r="E320" s="84" t="s">
        <v>28</v>
      </c>
      <c r="F320" s="82">
        <v>0.4166666666666667</v>
      </c>
      <c r="G320" s="84"/>
    </row>
    <row r="321" spans="8:8" ht="41.25" customHeight="1">
      <c r="A321" s="86">
        <v>11.0</v>
      </c>
      <c r="B321" s="83" t="s">
        <v>3272</v>
      </c>
      <c r="C321" s="80">
        <v>252889.0</v>
      </c>
      <c r="D321" s="83" t="s">
        <v>104</v>
      </c>
      <c r="E321" s="84" t="s">
        <v>28</v>
      </c>
      <c r="F321" s="82">
        <v>0.4166666666666667</v>
      </c>
      <c r="G321" s="84"/>
    </row>
    <row r="322" spans="8:8" ht="41.25" customHeight="1">
      <c r="A322" s="84">
        <v>12.0</v>
      </c>
      <c r="B322" s="83" t="s">
        <v>3273</v>
      </c>
      <c r="C322" s="80">
        <v>252265.0</v>
      </c>
      <c r="D322" s="83" t="s">
        <v>104</v>
      </c>
      <c r="E322" s="84" t="s">
        <v>28</v>
      </c>
      <c r="F322" s="82">
        <v>0.4166666666666667</v>
      </c>
      <c r="G322" s="84"/>
    </row>
    <row r="323" spans="8:8" ht="41.25" customHeight="1">
      <c r="A323" s="86">
        <v>13.0</v>
      </c>
      <c r="B323" s="83" t="s">
        <v>3274</v>
      </c>
      <c r="C323" s="80">
        <v>252001.0</v>
      </c>
      <c r="D323" s="83" t="s">
        <v>104</v>
      </c>
      <c r="E323" s="84" t="s">
        <v>28</v>
      </c>
      <c r="F323" s="82">
        <v>0.4166666666666667</v>
      </c>
      <c r="G323" s="84"/>
    </row>
    <row r="324" spans="8:8" ht="41.25" customHeight="1">
      <c r="A324" s="84">
        <v>14.0</v>
      </c>
      <c r="B324" s="83" t="s">
        <v>3275</v>
      </c>
      <c r="C324" s="80">
        <v>252155.0</v>
      </c>
      <c r="D324" s="83" t="s">
        <v>104</v>
      </c>
      <c r="E324" s="84" t="s">
        <v>28</v>
      </c>
      <c r="F324" s="82">
        <v>0.4166666666666667</v>
      </c>
      <c r="G324" s="84"/>
    </row>
    <row r="325" spans="8:8" ht="41.25" customHeight="1">
      <c r="A325" s="78" t="s">
        <v>18</v>
      </c>
      <c r="B325" s="79" t="s">
        <v>19</v>
      </c>
      <c r="C325" s="79" t="s">
        <v>20</v>
      </c>
      <c r="D325" s="79" t="s">
        <v>21</v>
      </c>
      <c r="E325" s="79" t="s">
        <v>22</v>
      </c>
      <c r="F325" s="79" t="s">
        <v>23</v>
      </c>
      <c r="G325" s="79" t="s">
        <v>3276</v>
      </c>
    </row>
    <row r="326" spans="8:8" ht="41.25" customHeight="1">
      <c r="A326" s="80">
        <v>1.0</v>
      </c>
      <c r="B326" s="81" t="s">
        <v>3277</v>
      </c>
      <c r="C326" s="80">
        <v>240301.0</v>
      </c>
      <c r="D326" s="81" t="s">
        <v>1065</v>
      </c>
      <c r="E326" s="80" t="s">
        <v>580</v>
      </c>
      <c r="F326" s="82">
        <v>0.4166666666666667</v>
      </c>
      <c r="G326" s="80"/>
    </row>
    <row r="327" spans="8:8" ht="41.25" customHeight="1">
      <c r="A327" s="84">
        <v>2.0</v>
      </c>
      <c r="B327" s="81" t="s">
        <v>3278</v>
      </c>
      <c r="C327" s="80">
        <v>240061.0</v>
      </c>
      <c r="D327" s="81" t="s">
        <v>1065</v>
      </c>
      <c r="E327" s="80" t="s">
        <v>580</v>
      </c>
      <c r="F327" s="82">
        <v>0.4166666666666667</v>
      </c>
      <c r="G327" s="80"/>
    </row>
    <row r="328" spans="8:8" ht="41.25" customHeight="1">
      <c r="A328" s="80">
        <v>3.0</v>
      </c>
      <c r="B328" s="81" t="s">
        <v>3279</v>
      </c>
      <c r="C328" s="80">
        <v>240062.0</v>
      </c>
      <c r="D328" s="81" t="s">
        <v>1065</v>
      </c>
      <c r="E328" s="80" t="s">
        <v>580</v>
      </c>
      <c r="F328" s="82">
        <v>0.4166666666666667</v>
      </c>
      <c r="G328" s="80"/>
    </row>
    <row r="329" spans="8:8" ht="41.25" customHeight="1">
      <c r="A329" s="84">
        <v>4.0</v>
      </c>
      <c r="B329" s="81" t="s">
        <v>3280</v>
      </c>
      <c r="C329" s="80">
        <v>240063.0</v>
      </c>
      <c r="D329" s="81" t="s">
        <v>1065</v>
      </c>
      <c r="E329" s="80" t="s">
        <v>580</v>
      </c>
      <c r="F329" s="82">
        <v>0.4166666666666667</v>
      </c>
      <c r="G329" s="80"/>
    </row>
    <row r="330" spans="8:8" ht="41.25" customHeight="1">
      <c r="A330" s="80">
        <v>5.0</v>
      </c>
      <c r="B330" s="81" t="s">
        <v>3281</v>
      </c>
      <c r="C330" s="80">
        <v>240064.0</v>
      </c>
      <c r="D330" s="81" t="s">
        <v>1065</v>
      </c>
      <c r="E330" s="80" t="s">
        <v>580</v>
      </c>
      <c r="F330" s="82">
        <v>0.4166666666666667</v>
      </c>
      <c r="G330" s="80"/>
    </row>
    <row r="331" spans="8:8" ht="41.25" customHeight="1">
      <c r="A331" s="84">
        <v>6.0</v>
      </c>
      <c r="B331" s="81" t="s">
        <v>3282</v>
      </c>
      <c r="C331" s="80">
        <v>240065.0</v>
      </c>
      <c r="D331" s="81" t="s">
        <v>1065</v>
      </c>
      <c r="E331" s="80" t="s">
        <v>580</v>
      </c>
      <c r="F331" s="82">
        <v>0.4166666666666667</v>
      </c>
      <c r="G331" s="80"/>
    </row>
    <row r="332" spans="8:8" ht="41.25" customHeight="1">
      <c r="A332" s="80">
        <v>7.0</v>
      </c>
      <c r="B332" s="81" t="s">
        <v>3283</v>
      </c>
      <c r="C332" s="80">
        <v>240066.0</v>
      </c>
      <c r="D332" s="81" t="s">
        <v>1065</v>
      </c>
      <c r="E332" s="80" t="s">
        <v>580</v>
      </c>
      <c r="F332" s="82">
        <v>0.4166666666666667</v>
      </c>
      <c r="G332" s="80"/>
    </row>
    <row r="333" spans="8:8" ht="41.25" customHeight="1">
      <c r="A333" s="84">
        <v>8.0</v>
      </c>
      <c r="B333" s="81" t="s">
        <v>3284</v>
      </c>
      <c r="C333" s="80">
        <v>240067.0</v>
      </c>
      <c r="D333" s="81" t="s">
        <v>1065</v>
      </c>
      <c r="E333" s="80" t="s">
        <v>580</v>
      </c>
      <c r="F333" s="82">
        <v>0.4166666666666667</v>
      </c>
      <c r="G333" s="80"/>
    </row>
    <row r="334" spans="8:8" ht="41.25" customHeight="1">
      <c r="A334" s="80">
        <v>9.0</v>
      </c>
      <c r="B334" s="81" t="s">
        <v>3285</v>
      </c>
      <c r="C334" s="80">
        <v>240068.0</v>
      </c>
      <c r="D334" s="81" t="s">
        <v>1065</v>
      </c>
      <c r="E334" s="80" t="s">
        <v>580</v>
      </c>
      <c r="F334" s="82">
        <v>0.4166666666666667</v>
      </c>
      <c r="G334" s="80"/>
    </row>
    <row r="335" spans="8:8" ht="41.25" customHeight="1">
      <c r="A335" s="84">
        <v>10.0</v>
      </c>
      <c r="B335" s="81" t="s">
        <v>3286</v>
      </c>
      <c r="C335" s="80">
        <v>240069.0</v>
      </c>
      <c r="D335" s="81" t="s">
        <v>1065</v>
      </c>
      <c r="E335" s="80" t="s">
        <v>580</v>
      </c>
      <c r="F335" s="82">
        <v>0.4166666666666667</v>
      </c>
      <c r="G335" s="80"/>
    </row>
    <row r="336" spans="8:8" ht="41.25" customHeight="1">
      <c r="A336" s="80">
        <v>11.0</v>
      </c>
      <c r="B336" s="81" t="s">
        <v>3287</v>
      </c>
      <c r="C336" s="80">
        <v>240113.0</v>
      </c>
      <c r="D336" s="81" t="s">
        <v>1065</v>
      </c>
      <c r="E336" s="80" t="s">
        <v>580</v>
      </c>
      <c r="F336" s="82">
        <v>0.4166666666666667</v>
      </c>
      <c r="G336" s="80"/>
    </row>
    <row r="337" spans="8:8" ht="41.25" customHeight="1">
      <c r="A337" s="84">
        <v>12.0</v>
      </c>
      <c r="B337" s="81" t="s">
        <v>3288</v>
      </c>
      <c r="C337" s="80">
        <v>240161.0</v>
      </c>
      <c r="D337" s="81" t="s">
        <v>1065</v>
      </c>
      <c r="E337" s="80" t="s">
        <v>580</v>
      </c>
      <c r="F337" s="82">
        <v>0.4166666666666667</v>
      </c>
      <c r="G337" s="80"/>
    </row>
    <row r="338" spans="8:8" ht="41.25" customHeight="1">
      <c r="A338" s="80">
        <v>13.0</v>
      </c>
      <c r="B338" s="81" t="s">
        <v>3289</v>
      </c>
      <c r="C338" s="80">
        <v>240174.0</v>
      </c>
      <c r="D338" s="81" t="s">
        <v>1065</v>
      </c>
      <c r="E338" s="80" t="s">
        <v>580</v>
      </c>
      <c r="F338" s="82">
        <v>0.4166666666666667</v>
      </c>
      <c r="G338" s="80"/>
    </row>
    <row r="339" spans="8:8" ht="41.25" customHeight="1">
      <c r="A339" s="84">
        <v>14.0</v>
      </c>
      <c r="B339" s="81" t="s">
        <v>3290</v>
      </c>
      <c r="C339" s="80">
        <v>240231.0</v>
      </c>
      <c r="D339" s="81" t="s">
        <v>1065</v>
      </c>
      <c r="E339" s="80" t="s">
        <v>580</v>
      </c>
      <c r="F339" s="82">
        <v>0.4166666666666667</v>
      </c>
      <c r="G339" s="80"/>
    </row>
    <row r="340" spans="8:8" ht="41.25" customHeight="1">
      <c r="A340" s="80">
        <v>15.0</v>
      </c>
      <c r="B340" s="81" t="s">
        <v>3291</v>
      </c>
      <c r="C340" s="80">
        <v>240232.0</v>
      </c>
      <c r="D340" s="81" t="s">
        <v>1065</v>
      </c>
      <c r="E340" s="80" t="s">
        <v>580</v>
      </c>
      <c r="F340" s="82">
        <v>0.4166666666666667</v>
      </c>
      <c r="G340" s="80"/>
    </row>
    <row r="341" spans="8:8" ht="41.25" customHeight="1">
      <c r="A341" s="84">
        <v>16.0</v>
      </c>
      <c r="B341" s="81" t="s">
        <v>3292</v>
      </c>
      <c r="C341" s="80">
        <v>240234.0</v>
      </c>
      <c r="D341" s="81" t="s">
        <v>1065</v>
      </c>
      <c r="E341" s="80" t="s">
        <v>580</v>
      </c>
      <c r="F341" s="82">
        <v>0.4166666666666667</v>
      </c>
      <c r="G341" s="80"/>
    </row>
    <row r="342" spans="8:8" ht="41.25" customHeight="1">
      <c r="A342" s="80">
        <v>17.0</v>
      </c>
      <c r="B342" s="81" t="s">
        <v>3293</v>
      </c>
      <c r="C342" s="80">
        <v>240235.0</v>
      </c>
      <c r="D342" s="81" t="s">
        <v>1065</v>
      </c>
      <c r="E342" s="80" t="s">
        <v>580</v>
      </c>
      <c r="F342" s="82">
        <v>0.4166666666666667</v>
      </c>
      <c r="G342" s="80"/>
    </row>
    <row r="343" spans="8:8" ht="41.25" customHeight="1">
      <c r="A343" s="84">
        <v>18.0</v>
      </c>
      <c r="B343" s="81" t="s">
        <v>3294</v>
      </c>
      <c r="C343" s="80">
        <v>240017.0</v>
      </c>
      <c r="D343" s="81" t="s">
        <v>1065</v>
      </c>
      <c r="E343" s="80" t="s">
        <v>580</v>
      </c>
      <c r="F343" s="82">
        <v>0.4166666666666667</v>
      </c>
      <c r="G343" s="80"/>
    </row>
    <row r="344" spans="8:8" ht="41.25" customHeight="1">
      <c r="A344" s="80">
        <v>19.0</v>
      </c>
      <c r="B344" s="81" t="s">
        <v>3295</v>
      </c>
      <c r="C344" s="80">
        <v>240001.0</v>
      </c>
      <c r="D344" s="81" t="s">
        <v>1065</v>
      </c>
      <c r="E344" s="80" t="s">
        <v>580</v>
      </c>
      <c r="F344" s="82">
        <v>0.4166666666666667</v>
      </c>
      <c r="G344" s="80"/>
    </row>
    <row r="345" spans="8:8" ht="41.25" customHeight="1">
      <c r="A345" s="84">
        <v>20.0</v>
      </c>
      <c r="B345" s="81" t="s">
        <v>3296</v>
      </c>
      <c r="C345" s="80">
        <v>240003.0</v>
      </c>
      <c r="D345" s="81" t="s">
        <v>1065</v>
      </c>
      <c r="E345" s="80" t="s">
        <v>580</v>
      </c>
      <c r="F345" s="82">
        <v>0.4166666666666667</v>
      </c>
      <c r="G345" s="80"/>
    </row>
    <row r="346" spans="8:8" ht="41.25" customHeight="1">
      <c r="A346" s="80">
        <v>21.0</v>
      </c>
      <c r="B346" s="81" t="s">
        <v>3297</v>
      </c>
      <c r="C346" s="80">
        <v>240004.0</v>
      </c>
      <c r="D346" s="81" t="s">
        <v>1065</v>
      </c>
      <c r="E346" s="80" t="s">
        <v>580</v>
      </c>
      <c r="F346" s="82">
        <v>0.4166666666666667</v>
      </c>
      <c r="G346" s="80"/>
    </row>
    <row r="347" spans="8:8" ht="41.25" customHeight="1">
      <c r="A347" s="84">
        <v>22.0</v>
      </c>
      <c r="B347" s="81" t="s">
        <v>3298</v>
      </c>
      <c r="C347" s="80">
        <v>240006.0</v>
      </c>
      <c r="D347" s="81" t="s">
        <v>1065</v>
      </c>
      <c r="E347" s="80" t="s">
        <v>580</v>
      </c>
      <c r="F347" s="82">
        <v>0.4166666666666667</v>
      </c>
      <c r="G347" s="80"/>
    </row>
    <row r="348" spans="8:8" ht="41.25" customHeight="1">
      <c r="A348" s="80">
        <v>23.0</v>
      </c>
      <c r="B348" s="81" t="s">
        <v>3299</v>
      </c>
      <c r="C348" s="80">
        <v>240007.0</v>
      </c>
      <c r="D348" s="81" t="s">
        <v>1065</v>
      </c>
      <c r="E348" s="80" t="s">
        <v>580</v>
      </c>
      <c r="F348" s="82">
        <v>0.4166666666666667</v>
      </c>
      <c r="G348" s="80"/>
    </row>
    <row r="349" spans="8:8" ht="41.25" customHeight="1">
      <c r="A349" s="84">
        <v>24.0</v>
      </c>
      <c r="B349" s="81" t="s">
        <v>3300</v>
      </c>
      <c r="C349" s="80">
        <v>240008.0</v>
      </c>
      <c r="D349" s="81" t="s">
        <v>1065</v>
      </c>
      <c r="E349" s="80" t="s">
        <v>580</v>
      </c>
      <c r="F349" s="82">
        <v>0.4166666666666667</v>
      </c>
      <c r="G349" s="80"/>
    </row>
    <row r="350" spans="8:8" ht="41.25" customHeight="1">
      <c r="A350" s="80">
        <v>25.0</v>
      </c>
      <c r="B350" s="81" t="s">
        <v>3301</v>
      </c>
      <c r="C350" s="80">
        <v>240011.0</v>
      </c>
      <c r="D350" s="81" t="s">
        <v>1065</v>
      </c>
      <c r="E350" s="80" t="s">
        <v>580</v>
      </c>
      <c r="F350" s="82">
        <v>0.4166666666666667</v>
      </c>
      <c r="G350" s="80"/>
    </row>
    <row r="351" spans="8:8" ht="41.25" customHeight="1">
      <c r="A351" s="78" t="s">
        <v>18</v>
      </c>
      <c r="B351" s="79" t="s">
        <v>19</v>
      </c>
      <c r="C351" s="79" t="s">
        <v>20</v>
      </c>
      <c r="D351" s="79" t="s">
        <v>21</v>
      </c>
      <c r="E351" s="79" t="s">
        <v>22</v>
      </c>
      <c r="F351" s="79" t="s">
        <v>23</v>
      </c>
      <c r="G351" s="79" t="s">
        <v>3302</v>
      </c>
    </row>
    <row r="352" spans="8:8" ht="41.25" customHeight="1">
      <c r="A352" s="80">
        <v>1.0</v>
      </c>
      <c r="B352" s="81" t="s">
        <v>3303</v>
      </c>
      <c r="C352" s="80">
        <v>240016.0</v>
      </c>
      <c r="D352" s="81" t="s">
        <v>1065</v>
      </c>
      <c r="E352" s="80" t="s">
        <v>580</v>
      </c>
      <c r="F352" s="82">
        <v>0.4166666666666667</v>
      </c>
      <c r="G352" s="80"/>
    </row>
    <row r="353" spans="8:8" ht="41.25" customHeight="1">
      <c r="A353" s="80">
        <v>2.0</v>
      </c>
      <c r="B353" s="81" t="s">
        <v>3304</v>
      </c>
      <c r="C353" s="80">
        <v>240047.0</v>
      </c>
      <c r="D353" s="81" t="s">
        <v>1065</v>
      </c>
      <c r="E353" s="80" t="s">
        <v>580</v>
      </c>
      <c r="F353" s="82">
        <v>0.4166666666666667</v>
      </c>
      <c r="G353" s="80"/>
    </row>
    <row r="354" spans="8:8" ht="41.25" customHeight="1">
      <c r="A354" s="80">
        <v>3.0</v>
      </c>
      <c r="B354" s="81" t="s">
        <v>3305</v>
      </c>
      <c r="C354" s="80">
        <v>240048.0</v>
      </c>
      <c r="D354" s="81" t="s">
        <v>1065</v>
      </c>
      <c r="E354" s="80" t="s">
        <v>580</v>
      </c>
      <c r="F354" s="82">
        <v>0.4166666666666667</v>
      </c>
      <c r="G354" s="80"/>
    </row>
    <row r="355" spans="8:8" ht="41.25" customHeight="1">
      <c r="A355" s="80">
        <v>4.0</v>
      </c>
      <c r="B355" s="81" t="s">
        <v>3306</v>
      </c>
      <c r="C355" s="80">
        <v>240219.0</v>
      </c>
      <c r="D355" s="81" t="s">
        <v>1065</v>
      </c>
      <c r="E355" s="80" t="s">
        <v>580</v>
      </c>
      <c r="F355" s="82">
        <v>0.4166666666666667</v>
      </c>
      <c r="G355" s="80"/>
    </row>
    <row r="356" spans="8:8" ht="41.25" customHeight="1">
      <c r="A356" s="80">
        <v>5.0</v>
      </c>
      <c r="B356" s="81" t="s">
        <v>3307</v>
      </c>
      <c r="C356" s="80">
        <v>240049.0</v>
      </c>
      <c r="D356" s="81" t="s">
        <v>1065</v>
      </c>
      <c r="E356" s="80" t="s">
        <v>580</v>
      </c>
      <c r="F356" s="82">
        <v>0.4166666666666667</v>
      </c>
      <c r="G356" s="80"/>
    </row>
    <row r="357" spans="8:8" ht="41.25" customHeight="1">
      <c r="A357" s="80">
        <v>6.0</v>
      </c>
      <c r="B357" s="81" t="s">
        <v>3308</v>
      </c>
      <c r="C357" s="80">
        <v>240050.0</v>
      </c>
      <c r="D357" s="81" t="s">
        <v>1065</v>
      </c>
      <c r="E357" s="80" t="s">
        <v>580</v>
      </c>
      <c r="F357" s="82">
        <v>0.4166666666666667</v>
      </c>
      <c r="G357" s="80"/>
    </row>
    <row r="358" spans="8:8" ht="41.25" customHeight="1">
      <c r="A358" s="80">
        <v>7.0</v>
      </c>
      <c r="B358" s="81" t="s">
        <v>3309</v>
      </c>
      <c r="C358" s="80">
        <v>240051.0</v>
      </c>
      <c r="D358" s="81" t="s">
        <v>1065</v>
      </c>
      <c r="E358" s="80" t="s">
        <v>580</v>
      </c>
      <c r="F358" s="82">
        <v>0.4166666666666667</v>
      </c>
      <c r="G358" s="80"/>
    </row>
    <row r="359" spans="8:8" ht="41.25" customHeight="1">
      <c r="A359" s="80">
        <v>8.0</v>
      </c>
      <c r="B359" s="81" t="s">
        <v>3310</v>
      </c>
      <c r="C359" s="80">
        <v>240052.0</v>
      </c>
      <c r="D359" s="81" t="s">
        <v>1065</v>
      </c>
      <c r="E359" s="80" t="s">
        <v>580</v>
      </c>
      <c r="F359" s="82">
        <v>0.4166666666666667</v>
      </c>
      <c r="G359" s="80"/>
    </row>
    <row r="360" spans="8:8" ht="41.25" customHeight="1">
      <c r="A360" s="80">
        <v>9.0</v>
      </c>
      <c r="B360" s="81" t="s">
        <v>3311</v>
      </c>
      <c r="C360" s="80">
        <v>240057.0</v>
      </c>
      <c r="D360" s="81" t="s">
        <v>1065</v>
      </c>
      <c r="E360" s="80" t="s">
        <v>580</v>
      </c>
      <c r="F360" s="82">
        <v>0.4166666666666667</v>
      </c>
      <c r="G360" s="80"/>
    </row>
    <row r="361" spans="8:8" ht="41.25" customHeight="1">
      <c r="A361" s="80">
        <v>10.0</v>
      </c>
      <c r="B361" s="81" t="s">
        <v>3312</v>
      </c>
      <c r="C361" s="80">
        <v>240059.0</v>
      </c>
      <c r="D361" s="81" t="s">
        <v>1065</v>
      </c>
      <c r="E361" s="80" t="s">
        <v>580</v>
      </c>
      <c r="F361" s="82">
        <v>0.4166666666666667</v>
      </c>
      <c r="G361" s="80"/>
    </row>
    <row r="362" spans="8:8" ht="41.25" customHeight="1">
      <c r="A362" s="80">
        <v>11.0</v>
      </c>
      <c r="B362" s="81" t="s">
        <v>3313</v>
      </c>
      <c r="C362" s="80">
        <v>241876.0</v>
      </c>
      <c r="D362" s="81" t="s">
        <v>1065</v>
      </c>
      <c r="E362" s="80" t="s">
        <v>580</v>
      </c>
      <c r="F362" s="82">
        <v>0.4166666666666667</v>
      </c>
      <c r="G362" s="80"/>
    </row>
    <row r="363" spans="8:8" ht="41.25" customHeight="1">
      <c r="A363" s="80">
        <v>12.0</v>
      </c>
      <c r="B363" s="81" t="s">
        <v>3314</v>
      </c>
      <c r="C363" s="80">
        <v>240180.0</v>
      </c>
      <c r="D363" s="81" t="s">
        <v>1065</v>
      </c>
      <c r="E363" s="80" t="s">
        <v>580</v>
      </c>
      <c r="F363" s="82">
        <v>0.4166666666666667</v>
      </c>
      <c r="G363" s="80"/>
    </row>
    <row r="364" spans="8:8" ht="41.25" customHeight="1">
      <c r="A364" s="80">
        <v>13.0</v>
      </c>
      <c r="B364" s="81" t="s">
        <v>3315</v>
      </c>
      <c r="C364" s="80">
        <v>253142.0</v>
      </c>
      <c r="D364" s="81" t="s">
        <v>27</v>
      </c>
      <c r="E364" s="80" t="s">
        <v>580</v>
      </c>
      <c r="F364" s="82">
        <v>0.4166666666666667</v>
      </c>
      <c r="G364" s="80"/>
    </row>
    <row r="365" spans="8:8" ht="41.25" customHeight="1">
      <c r="A365" s="78" t="s">
        <v>18</v>
      </c>
      <c r="B365" s="79" t="s">
        <v>19</v>
      </c>
      <c r="C365" s="79" t="s">
        <v>20</v>
      </c>
      <c r="D365" s="79" t="s">
        <v>21</v>
      </c>
      <c r="E365" s="79" t="s">
        <v>22</v>
      </c>
      <c r="F365" s="79" t="s">
        <v>23</v>
      </c>
      <c r="G365" s="79" t="s">
        <v>500</v>
      </c>
    </row>
    <row r="366" spans="8:8" ht="41.25" customHeight="1">
      <c r="A366" s="86">
        <v>1.0</v>
      </c>
      <c r="B366" s="85" t="s">
        <v>3316</v>
      </c>
      <c r="C366" s="86">
        <v>240227.0</v>
      </c>
      <c r="D366" s="85" t="s">
        <v>1065</v>
      </c>
      <c r="E366" s="86" t="s">
        <v>1645</v>
      </c>
      <c r="F366" s="82">
        <v>0.4166666666666667</v>
      </c>
      <c r="G366" s="80"/>
    </row>
    <row r="367" spans="8:8" ht="41.25" customHeight="1">
      <c r="A367" s="86">
        <v>2.0</v>
      </c>
      <c r="B367" s="85" t="s">
        <v>3317</v>
      </c>
      <c r="C367" s="86">
        <v>240228.0</v>
      </c>
      <c r="D367" s="85" t="s">
        <v>1065</v>
      </c>
      <c r="E367" s="86" t="s">
        <v>1645</v>
      </c>
      <c r="F367" s="82">
        <v>0.4166666666666667</v>
      </c>
      <c r="G367" s="86"/>
    </row>
    <row r="368" spans="8:8" ht="41.25" customHeight="1">
      <c r="A368" s="86">
        <v>3.0</v>
      </c>
      <c r="B368" s="85" t="s">
        <v>3318</v>
      </c>
      <c r="C368" s="86">
        <v>240230.0</v>
      </c>
      <c r="D368" s="85" t="s">
        <v>1065</v>
      </c>
      <c r="E368" s="86" t="s">
        <v>1645</v>
      </c>
      <c r="F368" s="82">
        <v>0.4166666666666667</v>
      </c>
      <c r="G368" s="86"/>
    </row>
    <row r="369" spans="8:8" ht="41.25" customHeight="1">
      <c r="A369" s="86">
        <v>4.0</v>
      </c>
      <c r="B369" s="85" t="s">
        <v>3319</v>
      </c>
      <c r="C369" s="86">
        <v>240191.0</v>
      </c>
      <c r="D369" s="85" t="s">
        <v>1065</v>
      </c>
      <c r="E369" s="86" t="s">
        <v>1645</v>
      </c>
      <c r="F369" s="82">
        <v>0.4166666666666667</v>
      </c>
      <c r="G369" s="86"/>
    </row>
    <row r="370" spans="8:8" ht="41.25" customHeight="1">
      <c r="A370" s="86">
        <v>5.0</v>
      </c>
      <c r="B370" s="85" t="s">
        <v>3320</v>
      </c>
      <c r="C370" s="86">
        <v>240193.0</v>
      </c>
      <c r="D370" s="85" t="s">
        <v>1065</v>
      </c>
      <c r="E370" s="86" t="s">
        <v>1645</v>
      </c>
      <c r="F370" s="82">
        <v>0.4166666666666667</v>
      </c>
      <c r="G370" s="86"/>
    </row>
    <row r="371" spans="8:8" ht="41.25" customHeight="1">
      <c r="A371" s="86">
        <v>6.0</v>
      </c>
      <c r="B371" s="81" t="s">
        <v>3321</v>
      </c>
      <c r="C371" s="80">
        <v>240028.0</v>
      </c>
      <c r="D371" s="81" t="s">
        <v>1065</v>
      </c>
      <c r="E371" s="80" t="s">
        <v>1645</v>
      </c>
      <c r="F371" s="82">
        <v>0.4166666666666667</v>
      </c>
      <c r="G371" s="80"/>
    </row>
    <row r="372" spans="8:8" ht="41.25" customHeight="1">
      <c r="A372" s="86">
        <v>7.0</v>
      </c>
      <c r="B372" s="81" t="s">
        <v>3322</v>
      </c>
      <c r="C372" s="80">
        <v>240158.0</v>
      </c>
      <c r="D372" s="81" t="s">
        <v>1065</v>
      </c>
      <c r="E372" s="80" t="s">
        <v>1645</v>
      </c>
      <c r="F372" s="82">
        <v>0.4166666666666667</v>
      </c>
      <c r="G372" s="80"/>
    </row>
    <row r="373" spans="8:8" ht="41.25" customHeight="1">
      <c r="A373" s="86">
        <v>8.0</v>
      </c>
      <c r="B373" s="81" t="s">
        <v>3323</v>
      </c>
      <c r="C373" s="80">
        <v>240160.0</v>
      </c>
      <c r="D373" s="81" t="s">
        <v>1065</v>
      </c>
      <c r="E373" s="80" t="s">
        <v>1645</v>
      </c>
      <c r="F373" s="82">
        <v>0.4166666666666667</v>
      </c>
      <c r="G373" s="80"/>
    </row>
    <row r="374" spans="8:8" ht="41.25" customHeight="1">
      <c r="A374" s="86">
        <v>9.0</v>
      </c>
      <c r="B374" s="81" t="s">
        <v>3324</v>
      </c>
      <c r="C374" s="80">
        <v>240222.0</v>
      </c>
      <c r="D374" s="81" t="s">
        <v>1065</v>
      </c>
      <c r="E374" s="80" t="s">
        <v>1645</v>
      </c>
      <c r="F374" s="82">
        <v>0.4166666666666667</v>
      </c>
      <c r="G374" s="80"/>
    </row>
    <row r="375" spans="8:8" ht="41.25" customHeight="1">
      <c r="A375" s="86">
        <v>10.0</v>
      </c>
      <c r="B375" s="81" t="s">
        <v>3325</v>
      </c>
      <c r="C375" s="80">
        <v>240223.0</v>
      </c>
      <c r="D375" s="81" t="s">
        <v>1065</v>
      </c>
      <c r="E375" s="80" t="s">
        <v>1645</v>
      </c>
      <c r="F375" s="82">
        <v>0.4166666666666667</v>
      </c>
      <c r="G375" s="80"/>
    </row>
    <row r="376" spans="8:8" ht="41.25" customHeight="1">
      <c r="A376" s="86">
        <v>11.0</v>
      </c>
      <c r="B376" s="81" t="s">
        <v>3326</v>
      </c>
      <c r="C376" s="80">
        <v>240224.0</v>
      </c>
      <c r="D376" s="81" t="s">
        <v>1065</v>
      </c>
      <c r="E376" s="80" t="s">
        <v>1645</v>
      </c>
      <c r="F376" s="82">
        <v>0.4166666666666667</v>
      </c>
      <c r="G376" s="80"/>
    </row>
    <row r="377" spans="8:8" ht="41.25" customHeight="1">
      <c r="A377" s="86">
        <v>12.0</v>
      </c>
      <c r="B377" s="81" t="s">
        <v>3327</v>
      </c>
      <c r="C377" s="80">
        <v>240213.0</v>
      </c>
      <c r="D377" s="81" t="s">
        <v>1065</v>
      </c>
      <c r="E377" s="80" t="s">
        <v>1645</v>
      </c>
      <c r="F377" s="82">
        <v>0.4166666666666667</v>
      </c>
      <c r="G377" s="80"/>
    </row>
    <row r="378" spans="8:8" ht="41.25" customHeight="1">
      <c r="A378" s="86">
        <v>13.0</v>
      </c>
      <c r="B378" s="81" t="s">
        <v>3328</v>
      </c>
      <c r="C378" s="80">
        <v>240058.0</v>
      </c>
      <c r="D378" s="81" t="s">
        <v>1065</v>
      </c>
      <c r="E378" s="80" t="s">
        <v>1645</v>
      </c>
      <c r="F378" s="82">
        <v>0.4166666666666667</v>
      </c>
      <c r="G378" s="80"/>
    </row>
    <row r="379" spans="8:8" ht="41.25" customHeight="1">
      <c r="A379" s="86">
        <v>14.0</v>
      </c>
      <c r="B379" s="85" t="s">
        <v>3329</v>
      </c>
      <c r="C379" s="86">
        <v>241855.0</v>
      </c>
      <c r="D379" s="85" t="s">
        <v>1369</v>
      </c>
      <c r="E379" s="86" t="s">
        <v>1645</v>
      </c>
      <c r="F379" s="82">
        <v>0.4166666666666667</v>
      </c>
      <c r="G379" s="86"/>
    </row>
    <row r="380" spans="8:8" ht="41.25" customHeight="1">
      <c r="A380" s="78" t="s">
        <v>18</v>
      </c>
      <c r="B380" s="79" t="s">
        <v>19</v>
      </c>
      <c r="C380" s="79" t="s">
        <v>20</v>
      </c>
      <c r="D380" s="79" t="s">
        <v>21</v>
      </c>
      <c r="E380" s="79" t="s">
        <v>22</v>
      </c>
      <c r="F380" s="79" t="s">
        <v>23</v>
      </c>
      <c r="G380" s="79" t="s">
        <v>3330</v>
      </c>
    </row>
    <row r="381" spans="8:8" ht="41.25" customHeight="1">
      <c r="A381" s="84">
        <v>1.0</v>
      </c>
      <c r="B381" s="81" t="s">
        <v>3331</v>
      </c>
      <c r="C381" s="80">
        <v>240104.0</v>
      </c>
      <c r="D381" s="81" t="s">
        <v>1065</v>
      </c>
      <c r="E381" s="80" t="s">
        <v>781</v>
      </c>
      <c r="F381" s="82">
        <v>0.4166666666666667</v>
      </c>
      <c r="G381" s="80"/>
    </row>
    <row r="382" spans="8:8" ht="41.25" customHeight="1">
      <c r="A382" s="80">
        <v>2.0</v>
      </c>
      <c r="B382" s="81" t="s">
        <v>3332</v>
      </c>
      <c r="C382" s="80">
        <v>240105.0</v>
      </c>
      <c r="D382" s="81" t="s">
        <v>1065</v>
      </c>
      <c r="E382" s="80" t="s">
        <v>781</v>
      </c>
      <c r="F382" s="82">
        <v>0.4166666666666667</v>
      </c>
      <c r="G382" s="80"/>
    </row>
    <row r="383" spans="8:8" ht="41.25" customHeight="1">
      <c r="A383" s="84">
        <v>3.0</v>
      </c>
      <c r="B383" s="81" t="s">
        <v>3333</v>
      </c>
      <c r="C383" s="80">
        <v>240106.0</v>
      </c>
      <c r="D383" s="81" t="s">
        <v>1065</v>
      </c>
      <c r="E383" s="80" t="s">
        <v>781</v>
      </c>
      <c r="F383" s="82">
        <v>0.4166666666666667</v>
      </c>
      <c r="G383" s="80"/>
    </row>
    <row r="384" spans="8:8" ht="41.25" customHeight="1">
      <c r="A384" s="80">
        <v>4.0</v>
      </c>
      <c r="B384" s="81" t="s">
        <v>3334</v>
      </c>
      <c r="C384" s="80">
        <v>240107.0</v>
      </c>
      <c r="D384" s="81" t="s">
        <v>1065</v>
      </c>
      <c r="E384" s="80" t="s">
        <v>781</v>
      </c>
      <c r="F384" s="82">
        <v>0.4166666666666667</v>
      </c>
      <c r="G384" s="80"/>
    </row>
    <row r="385" spans="8:8" ht="41.25" customHeight="1">
      <c r="A385" s="84">
        <v>5.0</v>
      </c>
      <c r="B385" s="81" t="s">
        <v>3335</v>
      </c>
      <c r="C385" s="80">
        <v>240108.0</v>
      </c>
      <c r="D385" s="81" t="s">
        <v>1065</v>
      </c>
      <c r="E385" s="80" t="s">
        <v>781</v>
      </c>
      <c r="F385" s="82">
        <v>0.4166666666666667</v>
      </c>
      <c r="G385" s="80"/>
    </row>
    <row r="386" spans="8:8" ht="41.25" customHeight="1">
      <c r="A386" s="80">
        <v>6.0</v>
      </c>
      <c r="B386" s="81" t="s">
        <v>3336</v>
      </c>
      <c r="C386" s="80">
        <v>240109.0</v>
      </c>
      <c r="D386" s="81" t="s">
        <v>1065</v>
      </c>
      <c r="E386" s="80" t="s">
        <v>781</v>
      </c>
      <c r="F386" s="82">
        <v>0.4166666666666667</v>
      </c>
      <c r="G386" s="80"/>
    </row>
    <row r="387" spans="8:8" ht="41.25" customHeight="1">
      <c r="A387" s="84">
        <v>7.0</v>
      </c>
      <c r="B387" s="81" t="s">
        <v>3337</v>
      </c>
      <c r="C387" s="80">
        <v>240110.0</v>
      </c>
      <c r="D387" s="81" t="s">
        <v>1065</v>
      </c>
      <c r="E387" s="80" t="s">
        <v>781</v>
      </c>
      <c r="F387" s="82">
        <v>0.4166666666666667</v>
      </c>
      <c r="G387" s="80"/>
    </row>
    <row r="388" spans="8:8" ht="41.25" customHeight="1">
      <c r="A388" s="80">
        <v>8.0</v>
      </c>
      <c r="B388" s="81" t="s">
        <v>3338</v>
      </c>
      <c r="C388" s="80">
        <v>240237.0</v>
      </c>
      <c r="D388" s="81" t="s">
        <v>1065</v>
      </c>
      <c r="E388" s="80" t="s">
        <v>781</v>
      </c>
      <c r="F388" s="82">
        <v>0.4166666666666667</v>
      </c>
      <c r="G388" s="80"/>
    </row>
    <row r="389" spans="8:8" ht="41.25" customHeight="1">
      <c r="A389" s="84">
        <v>9.0</v>
      </c>
      <c r="B389" s="81" t="s">
        <v>3339</v>
      </c>
      <c r="C389" s="80">
        <v>240085.0</v>
      </c>
      <c r="D389" s="81" t="s">
        <v>1065</v>
      </c>
      <c r="E389" s="80" t="s">
        <v>781</v>
      </c>
      <c r="F389" s="82">
        <v>0.4166666666666667</v>
      </c>
      <c r="G389" s="80"/>
    </row>
    <row r="390" spans="8:8" ht="41.25" customHeight="1">
      <c r="A390" s="80">
        <v>10.0</v>
      </c>
      <c r="B390" s="81" t="s">
        <v>3340</v>
      </c>
      <c r="C390" s="80">
        <v>240002.0</v>
      </c>
      <c r="D390" s="81" t="s">
        <v>1065</v>
      </c>
      <c r="E390" s="80" t="s">
        <v>781</v>
      </c>
      <c r="F390" s="82">
        <v>0.4166666666666667</v>
      </c>
      <c r="G390" s="80"/>
    </row>
    <row r="391" spans="8:8" ht="41.25" customHeight="1">
      <c r="A391" s="84">
        <v>11.0</v>
      </c>
      <c r="B391" s="81" t="s">
        <v>3341</v>
      </c>
      <c r="C391" s="80">
        <v>240012.0</v>
      </c>
      <c r="D391" s="81" t="s">
        <v>1065</v>
      </c>
      <c r="E391" s="80" t="s">
        <v>781</v>
      </c>
      <c r="F391" s="82">
        <v>0.4166666666666667</v>
      </c>
      <c r="G391" s="80"/>
    </row>
    <row r="392" spans="8:8" ht="41.25" customHeight="1">
      <c r="A392" s="80">
        <v>12.0</v>
      </c>
      <c r="B392" s="81" t="s">
        <v>3342</v>
      </c>
      <c r="C392" s="80">
        <v>240013.0</v>
      </c>
      <c r="D392" s="81" t="s">
        <v>1065</v>
      </c>
      <c r="E392" s="80" t="s">
        <v>781</v>
      </c>
      <c r="F392" s="82">
        <v>0.4166666666666667</v>
      </c>
      <c r="G392" s="80"/>
    </row>
    <row r="393" spans="8:8" ht="41.25" customHeight="1">
      <c r="A393" s="84">
        <v>13.0</v>
      </c>
      <c r="B393" s="81" t="s">
        <v>3343</v>
      </c>
      <c r="C393" s="80">
        <v>240018.0</v>
      </c>
      <c r="D393" s="81" t="s">
        <v>1065</v>
      </c>
      <c r="E393" s="80" t="s">
        <v>781</v>
      </c>
      <c r="F393" s="82">
        <v>0.4166666666666667</v>
      </c>
      <c r="G393" s="80"/>
    </row>
    <row r="394" spans="8:8" ht="41.25" customHeight="1">
      <c r="A394" s="80">
        <v>14.0</v>
      </c>
      <c r="B394" s="81" t="s">
        <v>3344</v>
      </c>
      <c r="C394" s="80">
        <v>240022.0</v>
      </c>
      <c r="D394" s="81" t="s">
        <v>1065</v>
      </c>
      <c r="E394" s="80" t="s">
        <v>781</v>
      </c>
      <c r="F394" s="82">
        <v>0.4166666666666667</v>
      </c>
      <c r="G394" s="80"/>
    </row>
    <row r="395" spans="8:8" ht="41.25" customHeight="1">
      <c r="A395" s="84">
        <v>15.0</v>
      </c>
      <c r="B395" s="81" t="s">
        <v>3345</v>
      </c>
      <c r="C395" s="80">
        <v>240023.0</v>
      </c>
      <c r="D395" s="81" t="s">
        <v>1065</v>
      </c>
      <c r="E395" s="80" t="s">
        <v>781</v>
      </c>
      <c r="F395" s="82">
        <v>0.4166666666666667</v>
      </c>
      <c r="G395" s="80"/>
    </row>
    <row r="396" spans="8:8" ht="41.25" customHeight="1">
      <c r="A396" s="80">
        <v>16.0</v>
      </c>
      <c r="B396" s="81" t="s">
        <v>3346</v>
      </c>
      <c r="C396" s="80">
        <v>240024.0</v>
      </c>
      <c r="D396" s="81" t="s">
        <v>1065</v>
      </c>
      <c r="E396" s="80" t="s">
        <v>781</v>
      </c>
      <c r="F396" s="82">
        <v>0.4166666666666667</v>
      </c>
      <c r="G396" s="80"/>
    </row>
    <row r="397" spans="8:8" ht="41.25" customHeight="1">
      <c r="A397" s="84">
        <v>17.0</v>
      </c>
      <c r="B397" s="81" t="s">
        <v>3347</v>
      </c>
      <c r="C397" s="80">
        <v>240026.0</v>
      </c>
      <c r="D397" s="81" t="s">
        <v>1065</v>
      </c>
      <c r="E397" s="80" t="s">
        <v>781</v>
      </c>
      <c r="F397" s="82">
        <v>0.4166666666666667</v>
      </c>
      <c r="G397" s="80"/>
    </row>
    <row r="398" spans="8:8" ht="41.25" customHeight="1">
      <c r="A398" s="80">
        <v>18.0</v>
      </c>
      <c r="B398" s="81" t="s">
        <v>3348</v>
      </c>
      <c r="C398" s="80">
        <v>240027.0</v>
      </c>
      <c r="D398" s="81" t="s">
        <v>1065</v>
      </c>
      <c r="E398" s="80" t="s">
        <v>781</v>
      </c>
      <c r="F398" s="82">
        <v>0.4166666666666667</v>
      </c>
      <c r="G398" s="80"/>
    </row>
    <row r="399" spans="8:8" ht="41.25" customHeight="1">
      <c r="A399" s="84">
        <v>19.0</v>
      </c>
      <c r="B399" s="81" t="s">
        <v>3349</v>
      </c>
      <c r="C399" s="80">
        <v>240029.0</v>
      </c>
      <c r="D399" s="81" t="s">
        <v>1065</v>
      </c>
      <c r="E399" s="80" t="s">
        <v>781</v>
      </c>
      <c r="F399" s="82">
        <v>0.4166666666666667</v>
      </c>
      <c r="G399" s="80"/>
    </row>
    <row r="400" spans="8:8" ht="41.25" customHeight="1">
      <c r="A400" s="80">
        <v>20.0</v>
      </c>
      <c r="B400" s="81" t="s">
        <v>3350</v>
      </c>
      <c r="C400" s="80">
        <v>240030.0</v>
      </c>
      <c r="D400" s="81" t="s">
        <v>1065</v>
      </c>
      <c r="E400" s="80" t="s">
        <v>781</v>
      </c>
      <c r="F400" s="82">
        <v>0.4166666666666667</v>
      </c>
      <c r="G400" s="80"/>
    </row>
    <row r="401" spans="8:8" ht="41.25" customHeight="1">
      <c r="A401" s="84">
        <v>21.0</v>
      </c>
      <c r="B401" s="81" t="s">
        <v>3351</v>
      </c>
      <c r="C401" s="80">
        <v>240031.0</v>
      </c>
      <c r="D401" s="81" t="s">
        <v>1065</v>
      </c>
      <c r="E401" s="80" t="s">
        <v>781</v>
      </c>
      <c r="F401" s="82">
        <v>0.4166666666666667</v>
      </c>
      <c r="G401" s="80"/>
    </row>
    <row r="402" spans="8:8" ht="41.25" customHeight="1">
      <c r="A402" s="80">
        <v>22.0</v>
      </c>
      <c r="B402" s="81" t="s">
        <v>3352</v>
      </c>
      <c r="C402" s="80">
        <v>240032.0</v>
      </c>
      <c r="D402" s="81" t="s">
        <v>1065</v>
      </c>
      <c r="E402" s="80" t="s">
        <v>781</v>
      </c>
      <c r="F402" s="82">
        <v>0.4166666666666667</v>
      </c>
      <c r="G402" s="80"/>
    </row>
    <row r="403" spans="8:8" ht="41.25" customHeight="1">
      <c r="A403" s="84">
        <v>23.0</v>
      </c>
      <c r="B403" s="81" t="s">
        <v>3353</v>
      </c>
      <c r="C403" s="80">
        <v>240033.0</v>
      </c>
      <c r="D403" s="81" t="s">
        <v>1065</v>
      </c>
      <c r="E403" s="80" t="s">
        <v>781</v>
      </c>
      <c r="F403" s="82">
        <v>0.4166666666666667</v>
      </c>
      <c r="G403" s="80"/>
    </row>
    <row r="404" spans="8:8" ht="41.25" customHeight="1">
      <c r="A404" s="80">
        <v>24.0</v>
      </c>
      <c r="B404" s="81" t="s">
        <v>3354</v>
      </c>
      <c r="C404" s="80">
        <v>240034.0</v>
      </c>
      <c r="D404" s="81" t="s">
        <v>1065</v>
      </c>
      <c r="E404" s="80" t="s">
        <v>781</v>
      </c>
      <c r="F404" s="82">
        <v>0.4166666666666667</v>
      </c>
      <c r="G404" s="80"/>
    </row>
    <row r="405" spans="8:8" ht="41.25" customHeight="1">
      <c r="A405" s="84">
        <v>25.0</v>
      </c>
      <c r="B405" s="81" t="s">
        <v>3355</v>
      </c>
      <c r="C405" s="80">
        <v>240036.0</v>
      </c>
      <c r="D405" s="81" t="s">
        <v>1065</v>
      </c>
      <c r="E405" s="80" t="s">
        <v>781</v>
      </c>
      <c r="F405" s="82">
        <v>0.4166666666666667</v>
      </c>
      <c r="G405" s="80"/>
    </row>
    <row r="406" spans="8:8" ht="41.25" customHeight="1">
      <c r="A406" s="78" t="s">
        <v>18</v>
      </c>
      <c r="B406" s="79" t="s">
        <v>19</v>
      </c>
      <c r="C406" s="79" t="s">
        <v>20</v>
      </c>
      <c r="D406" s="79" t="s">
        <v>21</v>
      </c>
      <c r="E406" s="79" t="s">
        <v>22</v>
      </c>
      <c r="F406" s="79" t="s">
        <v>23</v>
      </c>
      <c r="G406" s="79" t="s">
        <v>552</v>
      </c>
    </row>
    <row r="407" spans="8:8" ht="41.25" customHeight="1">
      <c r="A407" s="80">
        <v>1.0</v>
      </c>
      <c r="B407" s="81" t="s">
        <v>3356</v>
      </c>
      <c r="C407" s="80">
        <v>240162.0</v>
      </c>
      <c r="D407" s="81" t="s">
        <v>1065</v>
      </c>
      <c r="E407" s="80" t="s">
        <v>1645</v>
      </c>
      <c r="F407" s="82">
        <v>0.4166666666666667</v>
      </c>
      <c r="G407" s="80"/>
    </row>
    <row r="408" spans="8:8" ht="41.25" customHeight="1">
      <c r="A408" s="80">
        <v>2.0</v>
      </c>
      <c r="B408" s="81" t="s">
        <v>3357</v>
      </c>
      <c r="C408" s="80">
        <v>240163.0</v>
      </c>
      <c r="D408" s="81" t="s">
        <v>1065</v>
      </c>
      <c r="E408" s="80" t="s">
        <v>1645</v>
      </c>
      <c r="F408" s="82">
        <v>0.4166666666666667</v>
      </c>
      <c r="G408" s="80"/>
    </row>
    <row r="409" spans="8:8" ht="41.25" customHeight="1">
      <c r="A409" s="80">
        <v>3.0</v>
      </c>
      <c r="B409" s="81" t="s">
        <v>3358</v>
      </c>
      <c r="C409" s="80">
        <v>240165.0</v>
      </c>
      <c r="D409" s="81" t="s">
        <v>1065</v>
      </c>
      <c r="E409" s="80" t="s">
        <v>1645</v>
      </c>
      <c r="F409" s="82">
        <v>0.4166666666666667</v>
      </c>
      <c r="G409" s="80"/>
    </row>
    <row r="410" spans="8:8" ht="41.25" customHeight="1">
      <c r="A410" s="80">
        <v>4.0</v>
      </c>
      <c r="B410" s="81" t="s">
        <v>3359</v>
      </c>
      <c r="C410" s="80">
        <v>240168.0</v>
      </c>
      <c r="D410" s="81" t="s">
        <v>1065</v>
      </c>
      <c r="E410" s="80" t="s">
        <v>1645</v>
      </c>
      <c r="F410" s="82">
        <v>0.4166666666666667</v>
      </c>
      <c r="G410" s="80"/>
    </row>
    <row r="411" spans="8:8" ht="41.25" customHeight="1">
      <c r="A411" s="80">
        <v>5.0</v>
      </c>
      <c r="B411" s="81" t="s">
        <v>3360</v>
      </c>
      <c r="C411" s="80">
        <v>240171.0</v>
      </c>
      <c r="D411" s="81" t="s">
        <v>1065</v>
      </c>
      <c r="E411" s="80" t="s">
        <v>1645</v>
      </c>
      <c r="F411" s="82">
        <v>0.4166666666666667</v>
      </c>
      <c r="G411" s="80"/>
    </row>
    <row r="412" spans="8:8" ht="41.25" customHeight="1">
      <c r="A412" s="80">
        <v>6.0</v>
      </c>
      <c r="B412" s="81" t="s">
        <v>3361</v>
      </c>
      <c r="C412" s="80">
        <v>240176.0</v>
      </c>
      <c r="D412" s="81" t="s">
        <v>1065</v>
      </c>
      <c r="E412" s="80" t="s">
        <v>1645</v>
      </c>
      <c r="F412" s="82">
        <v>0.4166666666666667</v>
      </c>
      <c r="G412" s="80"/>
    </row>
    <row r="413" spans="8:8" ht="41.25" customHeight="1">
      <c r="A413" s="80">
        <v>7.0</v>
      </c>
      <c r="B413" s="81" t="s">
        <v>3362</v>
      </c>
      <c r="C413" s="80">
        <v>240182.0</v>
      </c>
      <c r="D413" s="81" t="s">
        <v>1065</v>
      </c>
      <c r="E413" s="80" t="s">
        <v>1645</v>
      </c>
      <c r="F413" s="82">
        <v>0.4166666666666667</v>
      </c>
      <c r="G413" s="80"/>
    </row>
    <row r="414" spans="8:8" ht="41.25" customHeight="1">
      <c r="A414" s="80">
        <v>8.0</v>
      </c>
      <c r="B414" s="81" t="s">
        <v>3363</v>
      </c>
      <c r="C414" s="80">
        <v>240184.0</v>
      </c>
      <c r="D414" s="81" t="s">
        <v>1065</v>
      </c>
      <c r="E414" s="80" t="s">
        <v>1645</v>
      </c>
      <c r="F414" s="82">
        <v>0.4166666666666667</v>
      </c>
      <c r="G414" s="80"/>
    </row>
    <row r="415" spans="8:8" ht="41.25" customHeight="1">
      <c r="A415" s="80">
        <v>9.0</v>
      </c>
      <c r="B415" s="81" t="s">
        <v>3364</v>
      </c>
      <c r="C415" s="80">
        <v>240185.0</v>
      </c>
      <c r="D415" s="81" t="s">
        <v>1065</v>
      </c>
      <c r="E415" s="80" t="s">
        <v>1645</v>
      </c>
      <c r="F415" s="82">
        <v>0.4166666666666667</v>
      </c>
      <c r="G415" s="80"/>
    </row>
    <row r="416" spans="8:8" ht="41.25" customHeight="1">
      <c r="A416" s="80">
        <v>10.0</v>
      </c>
      <c r="B416" s="81" t="s">
        <v>3365</v>
      </c>
      <c r="C416" s="80">
        <v>240186.0</v>
      </c>
      <c r="D416" s="81" t="s">
        <v>1065</v>
      </c>
      <c r="E416" s="80" t="s">
        <v>1645</v>
      </c>
      <c r="F416" s="82">
        <v>0.4166666666666667</v>
      </c>
      <c r="G416" s="80"/>
    </row>
    <row r="417" spans="8:8" ht="41.25" customHeight="1">
      <c r="A417" s="80">
        <v>11.0</v>
      </c>
      <c r="B417" s="81" t="s">
        <v>3366</v>
      </c>
      <c r="C417" s="80">
        <v>240187.0</v>
      </c>
      <c r="D417" s="81" t="s">
        <v>1065</v>
      </c>
      <c r="E417" s="80" t="s">
        <v>1645</v>
      </c>
      <c r="F417" s="82">
        <v>0.4166666666666667</v>
      </c>
      <c r="G417" s="80"/>
    </row>
    <row r="418" spans="8:8" ht="41.25" customHeight="1">
      <c r="A418" s="80">
        <v>12.0</v>
      </c>
      <c r="B418" s="81" t="s">
        <v>3367</v>
      </c>
      <c r="C418" s="80">
        <v>240189.0</v>
      </c>
      <c r="D418" s="81" t="s">
        <v>1065</v>
      </c>
      <c r="E418" s="80" t="s">
        <v>1645</v>
      </c>
      <c r="F418" s="82">
        <v>0.4166666666666667</v>
      </c>
      <c r="G418" s="80"/>
    </row>
    <row r="419" spans="8:8" ht="41.25" customHeight="1">
      <c r="A419" s="80">
        <v>13.0</v>
      </c>
      <c r="B419" s="81" t="s">
        <v>3368</v>
      </c>
      <c r="C419" s="80">
        <v>240238.0</v>
      </c>
      <c r="D419" s="81" t="s">
        <v>1065</v>
      </c>
      <c r="E419" s="80" t="s">
        <v>1645</v>
      </c>
      <c r="F419" s="82">
        <v>0.4166666666666667</v>
      </c>
      <c r="G419" s="80"/>
    </row>
    <row r="420" spans="8:8" ht="41.25" customHeight="1">
      <c r="A420" s="80">
        <v>14.0</v>
      </c>
      <c r="B420" s="81" t="s">
        <v>3369</v>
      </c>
      <c r="C420" s="80">
        <v>240190.0</v>
      </c>
      <c r="D420" s="81" t="s">
        <v>1065</v>
      </c>
      <c r="E420" s="80" t="s">
        <v>1645</v>
      </c>
      <c r="F420" s="82">
        <v>0.4166666666666667</v>
      </c>
      <c r="G420" s="80"/>
    </row>
    <row r="421" spans="8:8" ht="41.25" customHeight="1">
      <c r="A421" s="80">
        <v>15.0</v>
      </c>
      <c r="B421" s="81" t="s">
        <v>3370</v>
      </c>
      <c r="C421" s="80">
        <v>240217.0</v>
      </c>
      <c r="D421" s="81" t="s">
        <v>1065</v>
      </c>
      <c r="E421" s="80" t="s">
        <v>1645</v>
      </c>
      <c r="F421" s="82">
        <v>0.4166666666666667</v>
      </c>
      <c r="G421" s="80"/>
    </row>
    <row r="422" spans="8:8" ht="41.25" customHeight="1">
      <c r="A422" s="80">
        <v>16.0</v>
      </c>
      <c r="B422" s="81" t="s">
        <v>3371</v>
      </c>
      <c r="C422" s="80">
        <v>240218.0</v>
      </c>
      <c r="D422" s="81" t="s">
        <v>1065</v>
      </c>
      <c r="E422" s="80" t="s">
        <v>1645</v>
      </c>
      <c r="F422" s="82">
        <v>0.4166666666666667</v>
      </c>
      <c r="G422" s="80"/>
    </row>
    <row r="423" spans="8:8" ht="41.25" customHeight="1">
      <c r="A423" s="80">
        <v>17.0</v>
      </c>
      <c r="B423" s="81" t="s">
        <v>3372</v>
      </c>
      <c r="C423" s="80">
        <v>240220.0</v>
      </c>
      <c r="D423" s="81" t="s">
        <v>1065</v>
      </c>
      <c r="E423" s="80" t="s">
        <v>1645</v>
      </c>
      <c r="F423" s="82">
        <v>0.4166666666666667</v>
      </c>
      <c r="G423" s="80"/>
    </row>
    <row r="424" spans="8:8" ht="41.25" customHeight="1">
      <c r="A424" s="80">
        <v>18.0</v>
      </c>
      <c r="B424" s="81" t="s">
        <v>3373</v>
      </c>
      <c r="C424" s="80">
        <v>240221.0</v>
      </c>
      <c r="D424" s="81" t="s">
        <v>1065</v>
      </c>
      <c r="E424" s="80" t="s">
        <v>1645</v>
      </c>
      <c r="F424" s="82">
        <v>0.4166666666666667</v>
      </c>
      <c r="G424" s="80"/>
    </row>
    <row r="425" spans="8:8" ht="41.25" customHeight="1">
      <c r="A425" s="78" t="s">
        <v>18</v>
      </c>
      <c r="B425" s="79" t="s">
        <v>19</v>
      </c>
      <c r="C425" s="79" t="s">
        <v>20</v>
      </c>
      <c r="D425" s="79" t="s">
        <v>21</v>
      </c>
      <c r="E425" s="79" t="s">
        <v>22</v>
      </c>
      <c r="F425" s="79" t="s">
        <v>23</v>
      </c>
      <c r="G425" s="79" t="s">
        <v>578</v>
      </c>
    </row>
    <row r="426" spans="8:8" ht="41.25" customHeight="1">
      <c r="A426" s="80">
        <v>1.0</v>
      </c>
      <c r="B426" s="81" t="s">
        <v>3374</v>
      </c>
      <c r="C426" s="80">
        <v>240037.0</v>
      </c>
      <c r="D426" s="81" t="s">
        <v>1065</v>
      </c>
      <c r="E426" s="80" t="s">
        <v>781</v>
      </c>
      <c r="F426" s="82">
        <v>0.4166666666666667</v>
      </c>
      <c r="G426" s="80"/>
    </row>
    <row r="427" spans="8:8" ht="41.25" customHeight="1">
      <c r="A427" s="86">
        <v>2.0</v>
      </c>
      <c r="B427" s="81" t="s">
        <v>3375</v>
      </c>
      <c r="C427" s="80">
        <v>240038.0</v>
      </c>
      <c r="D427" s="81" t="s">
        <v>1065</v>
      </c>
      <c r="E427" s="80" t="s">
        <v>781</v>
      </c>
      <c r="F427" s="82">
        <v>0.4166666666666667</v>
      </c>
      <c r="G427" s="80"/>
    </row>
    <row r="428" spans="8:8" ht="41.25" customHeight="1">
      <c r="A428" s="80">
        <v>3.0</v>
      </c>
      <c r="B428" s="81" t="s">
        <v>3376</v>
      </c>
      <c r="C428" s="80">
        <v>240039.0</v>
      </c>
      <c r="D428" s="81" t="s">
        <v>1065</v>
      </c>
      <c r="E428" s="80" t="s">
        <v>781</v>
      </c>
      <c r="F428" s="82">
        <v>0.4166666666666667</v>
      </c>
      <c r="G428" s="80"/>
    </row>
    <row r="429" spans="8:8" ht="41.25" customHeight="1">
      <c r="A429" s="86">
        <v>4.0</v>
      </c>
      <c r="B429" s="81" t="s">
        <v>3377</v>
      </c>
      <c r="C429" s="80">
        <v>240081.0</v>
      </c>
      <c r="D429" s="81" t="s">
        <v>1065</v>
      </c>
      <c r="E429" s="80" t="s">
        <v>781</v>
      </c>
      <c r="F429" s="82">
        <v>0.4166666666666667</v>
      </c>
      <c r="G429" s="80"/>
    </row>
    <row r="430" spans="8:8" ht="41.25" customHeight="1">
      <c r="A430" s="80">
        <v>5.0</v>
      </c>
      <c r="B430" s="81" t="s">
        <v>3378</v>
      </c>
      <c r="C430" s="80">
        <v>240145.0</v>
      </c>
      <c r="D430" s="81" t="s">
        <v>1065</v>
      </c>
      <c r="E430" s="80" t="s">
        <v>781</v>
      </c>
      <c r="F430" s="82">
        <v>0.4166666666666667</v>
      </c>
      <c r="G430" s="80"/>
    </row>
    <row r="431" spans="8:8" ht="41.25" customHeight="1">
      <c r="A431" s="86">
        <v>6.0</v>
      </c>
      <c r="B431" s="81" t="s">
        <v>3379</v>
      </c>
      <c r="C431" s="80">
        <v>240146.0</v>
      </c>
      <c r="D431" s="81" t="s">
        <v>1065</v>
      </c>
      <c r="E431" s="80" t="s">
        <v>781</v>
      </c>
      <c r="F431" s="82">
        <v>0.4166666666666667</v>
      </c>
      <c r="G431" s="80"/>
    </row>
    <row r="432" spans="8:8" ht="41.25" customHeight="1">
      <c r="A432" s="80">
        <v>7.0</v>
      </c>
      <c r="B432" s="81" t="s">
        <v>3380</v>
      </c>
      <c r="C432" s="80">
        <v>240147.0</v>
      </c>
      <c r="D432" s="81" t="s">
        <v>1065</v>
      </c>
      <c r="E432" s="80" t="s">
        <v>781</v>
      </c>
      <c r="F432" s="82">
        <v>0.4166666666666667</v>
      </c>
      <c r="G432" s="80"/>
    </row>
    <row r="433" spans="8:8" ht="41.25" customHeight="1">
      <c r="A433" s="86">
        <v>8.0</v>
      </c>
      <c r="B433" s="81" t="s">
        <v>3381</v>
      </c>
      <c r="C433" s="80">
        <v>240148.0</v>
      </c>
      <c r="D433" s="81" t="s">
        <v>1065</v>
      </c>
      <c r="E433" s="80" t="s">
        <v>781</v>
      </c>
      <c r="F433" s="82">
        <v>0.4166666666666667</v>
      </c>
      <c r="G433" s="80"/>
    </row>
    <row r="434" spans="8:8" ht="41.25" customHeight="1">
      <c r="A434" s="80">
        <v>9.0</v>
      </c>
      <c r="B434" s="81" t="s">
        <v>3382</v>
      </c>
      <c r="C434" s="80">
        <v>240150.0</v>
      </c>
      <c r="D434" s="81" t="s">
        <v>1065</v>
      </c>
      <c r="E434" s="80" t="s">
        <v>781</v>
      </c>
      <c r="F434" s="82">
        <v>0.4166666666666667</v>
      </c>
      <c r="G434" s="80"/>
    </row>
    <row r="435" spans="8:8" ht="41.25" customHeight="1">
      <c r="A435" s="86">
        <v>10.0</v>
      </c>
      <c r="B435" s="81" t="s">
        <v>3383</v>
      </c>
      <c r="C435" s="80">
        <v>240040.0</v>
      </c>
      <c r="D435" s="81" t="s">
        <v>1065</v>
      </c>
      <c r="E435" s="80" t="s">
        <v>781</v>
      </c>
      <c r="F435" s="82">
        <v>0.4166666666666667</v>
      </c>
      <c r="G435" s="80"/>
    </row>
    <row r="436" spans="8:8" ht="41.25" customHeight="1">
      <c r="A436" s="80">
        <v>11.0</v>
      </c>
      <c r="B436" s="81" t="s">
        <v>3384</v>
      </c>
      <c r="C436" s="80">
        <v>240041.0</v>
      </c>
      <c r="D436" s="81" t="s">
        <v>1065</v>
      </c>
      <c r="E436" s="80" t="s">
        <v>781</v>
      </c>
      <c r="F436" s="82">
        <v>0.4166666666666667</v>
      </c>
      <c r="G436" s="80"/>
    </row>
    <row r="437" spans="8:8" ht="41.25" customHeight="1">
      <c r="A437" s="86">
        <v>12.0</v>
      </c>
      <c r="B437" s="81" t="s">
        <v>3385</v>
      </c>
      <c r="C437" s="80">
        <v>240179.0</v>
      </c>
      <c r="D437" s="81" t="s">
        <v>1065</v>
      </c>
      <c r="E437" s="80" t="s">
        <v>781</v>
      </c>
      <c r="F437" s="82">
        <v>0.4166666666666667</v>
      </c>
      <c r="G437" s="80"/>
    </row>
    <row r="438" spans="8:8" ht="41.25" customHeight="1">
      <c r="A438" s="80">
        <v>13.0</v>
      </c>
      <c r="B438" s="81" t="s">
        <v>3386</v>
      </c>
      <c r="C438" s="80">
        <v>241928.0</v>
      </c>
      <c r="D438" s="81" t="s">
        <v>1065</v>
      </c>
      <c r="E438" s="80" t="s">
        <v>781</v>
      </c>
      <c r="F438" s="82">
        <v>0.4166666666666667</v>
      </c>
      <c r="G438" s="80"/>
    </row>
    <row r="439" spans="8:8" ht="41.25" customHeight="1">
      <c r="A439" s="86">
        <v>14.0</v>
      </c>
      <c r="B439" s="81" t="s">
        <v>3387</v>
      </c>
      <c r="C439" s="80">
        <v>240111.0</v>
      </c>
      <c r="D439" s="81" t="s">
        <v>1065</v>
      </c>
      <c r="E439" s="80" t="s">
        <v>781</v>
      </c>
      <c r="F439" s="82">
        <v>0.4166666666666667</v>
      </c>
      <c r="G439" s="80"/>
    </row>
    <row r="440" spans="8:8" ht="41.25" customHeight="1">
      <c r="A440" s="80">
        <v>15.0</v>
      </c>
      <c r="B440" s="81" t="s">
        <v>3388</v>
      </c>
      <c r="C440" s="80">
        <v>240112.0</v>
      </c>
      <c r="D440" s="81" t="s">
        <v>1065</v>
      </c>
      <c r="E440" s="80" t="s">
        <v>781</v>
      </c>
      <c r="F440" s="82">
        <v>0.4166666666666667</v>
      </c>
      <c r="G440" s="80"/>
    </row>
    <row r="441" spans="8:8" ht="41.25" customHeight="1">
      <c r="A441" s="86">
        <v>16.0</v>
      </c>
      <c r="B441" s="81" t="s">
        <v>3389</v>
      </c>
      <c r="C441" s="80">
        <v>240114.0</v>
      </c>
      <c r="D441" s="81" t="s">
        <v>1065</v>
      </c>
      <c r="E441" s="80" t="s">
        <v>781</v>
      </c>
      <c r="F441" s="82">
        <v>0.4166666666666667</v>
      </c>
      <c r="G441" s="80"/>
    </row>
    <row r="442" spans="8:8" ht="41.25" customHeight="1">
      <c r="A442" s="80">
        <v>17.0</v>
      </c>
      <c r="B442" s="81" t="s">
        <v>3390</v>
      </c>
      <c r="C442" s="80">
        <v>240115.0</v>
      </c>
      <c r="D442" s="81" t="s">
        <v>1065</v>
      </c>
      <c r="E442" s="80" t="s">
        <v>781</v>
      </c>
      <c r="F442" s="82">
        <v>0.4166666666666667</v>
      </c>
      <c r="G442" s="80"/>
    </row>
    <row r="443" spans="8:8" ht="41.25" customHeight="1">
      <c r="A443" s="86">
        <v>18.0</v>
      </c>
      <c r="B443" s="81" t="s">
        <v>3391</v>
      </c>
      <c r="C443" s="80">
        <v>240116.0</v>
      </c>
      <c r="D443" s="81" t="s">
        <v>1065</v>
      </c>
      <c r="E443" s="80" t="s">
        <v>781</v>
      </c>
      <c r="F443" s="82">
        <v>0.4166666666666667</v>
      </c>
      <c r="G443" s="80"/>
    </row>
    <row r="444" spans="8:8" ht="41.25" customHeight="1">
      <c r="A444" s="80">
        <v>19.0</v>
      </c>
      <c r="B444" s="81" t="s">
        <v>3392</v>
      </c>
      <c r="C444" s="80">
        <v>240119.0</v>
      </c>
      <c r="D444" s="81" t="s">
        <v>1065</v>
      </c>
      <c r="E444" s="80" t="s">
        <v>781</v>
      </c>
      <c r="F444" s="82">
        <v>0.4166666666666667</v>
      </c>
      <c r="G444" s="80"/>
    </row>
    <row r="445" spans="8:8" ht="41.25" customHeight="1">
      <c r="A445" s="86">
        <v>20.0</v>
      </c>
      <c r="B445" s="81" t="s">
        <v>3393</v>
      </c>
      <c r="C445" s="80">
        <v>240120.0</v>
      </c>
      <c r="D445" s="81" t="s">
        <v>1065</v>
      </c>
      <c r="E445" s="80" t="s">
        <v>781</v>
      </c>
      <c r="F445" s="82">
        <v>0.4166666666666667</v>
      </c>
      <c r="G445" s="80"/>
    </row>
    <row r="446" spans="8:8" ht="41.25" customHeight="1">
      <c r="A446" s="80">
        <v>21.0</v>
      </c>
      <c r="B446" s="81" t="s">
        <v>3394</v>
      </c>
      <c r="C446" s="80">
        <v>240121.0</v>
      </c>
      <c r="D446" s="81" t="s">
        <v>1065</v>
      </c>
      <c r="E446" s="80" t="s">
        <v>781</v>
      </c>
      <c r="F446" s="82">
        <v>0.4166666666666667</v>
      </c>
      <c r="G446" s="80"/>
    </row>
    <row r="447" spans="8:8" ht="41.25" customHeight="1">
      <c r="A447" s="86">
        <v>22.0</v>
      </c>
      <c r="B447" s="81" t="s">
        <v>3395</v>
      </c>
      <c r="C447" s="80">
        <v>240122.0</v>
      </c>
      <c r="D447" s="81" t="s">
        <v>1065</v>
      </c>
      <c r="E447" s="80" t="s">
        <v>781</v>
      </c>
      <c r="F447" s="82">
        <v>0.4166666666666667</v>
      </c>
      <c r="G447" s="80"/>
    </row>
    <row r="448" spans="8:8" ht="41.25" customHeight="1">
      <c r="A448" s="80">
        <v>23.0</v>
      </c>
      <c r="B448" s="81" t="s">
        <v>3396</v>
      </c>
      <c r="C448" s="80">
        <v>240124.0</v>
      </c>
      <c r="D448" s="81" t="s">
        <v>1065</v>
      </c>
      <c r="E448" s="80" t="s">
        <v>781</v>
      </c>
      <c r="F448" s="82">
        <v>0.4166666666666667</v>
      </c>
      <c r="G448" s="80"/>
    </row>
    <row r="449" spans="8:8" ht="41.25" customHeight="1">
      <c r="A449" s="86">
        <v>24.0</v>
      </c>
      <c r="B449" s="81" t="s">
        <v>3397</v>
      </c>
      <c r="C449" s="80">
        <v>240125.0</v>
      </c>
      <c r="D449" s="81" t="s">
        <v>1065</v>
      </c>
      <c r="E449" s="80" t="s">
        <v>781</v>
      </c>
      <c r="F449" s="82">
        <v>0.4166666666666667</v>
      </c>
      <c r="G449" s="80"/>
    </row>
    <row r="450" spans="8:8" ht="41.25" customHeight="1">
      <c r="A450" s="80">
        <v>25.0</v>
      </c>
      <c r="B450" s="81" t="s">
        <v>3398</v>
      </c>
      <c r="C450" s="80">
        <v>240126.0</v>
      </c>
      <c r="D450" s="81" t="s">
        <v>1065</v>
      </c>
      <c r="E450" s="80" t="s">
        <v>781</v>
      </c>
      <c r="F450" s="82">
        <v>0.4166666666666667</v>
      </c>
      <c r="G450" s="80"/>
    </row>
    <row r="451" spans="8:8" ht="41.25" customHeight="1">
      <c r="A451" s="78" t="s">
        <v>18</v>
      </c>
      <c r="B451" s="79" t="s">
        <v>19</v>
      </c>
      <c r="C451" s="79" t="s">
        <v>20</v>
      </c>
      <c r="D451" s="79" t="s">
        <v>21</v>
      </c>
      <c r="E451" s="79" t="s">
        <v>22</v>
      </c>
      <c r="F451" s="79" t="s">
        <v>23</v>
      </c>
      <c r="G451" s="79" t="s">
        <v>611</v>
      </c>
    </row>
    <row r="452" spans="8:8" ht="41.25" customHeight="1">
      <c r="A452" s="80">
        <v>1.0</v>
      </c>
      <c r="B452" s="81" t="s">
        <v>3399</v>
      </c>
      <c r="C452" s="80">
        <v>240127.0</v>
      </c>
      <c r="D452" s="81" t="s">
        <v>1065</v>
      </c>
      <c r="E452" s="80" t="s">
        <v>781</v>
      </c>
      <c r="F452" s="82">
        <v>0.4166666666666667</v>
      </c>
      <c r="G452" s="80"/>
    </row>
    <row r="453" spans="8:8" ht="41.25" customHeight="1">
      <c r="A453" s="80">
        <v>2.0</v>
      </c>
      <c r="B453" s="81" t="s">
        <v>3400</v>
      </c>
      <c r="C453" s="80">
        <v>240128.0</v>
      </c>
      <c r="D453" s="81" t="s">
        <v>1065</v>
      </c>
      <c r="E453" s="80" t="s">
        <v>781</v>
      </c>
      <c r="F453" s="82">
        <v>0.4166666666666667</v>
      </c>
      <c r="G453" s="80"/>
    </row>
    <row r="454" spans="8:8" ht="41.25" customHeight="1">
      <c r="A454" s="80">
        <v>3.0</v>
      </c>
      <c r="B454" s="81" t="s">
        <v>3401</v>
      </c>
      <c r="C454" s="80">
        <v>240084.0</v>
      </c>
      <c r="D454" s="81" t="s">
        <v>1065</v>
      </c>
      <c r="E454" s="80" t="s">
        <v>781</v>
      </c>
      <c r="F454" s="82">
        <v>0.4166666666666667</v>
      </c>
      <c r="G454" s="80"/>
    </row>
    <row r="455" spans="8:8" ht="41.25" customHeight="1">
      <c r="A455" s="80">
        <v>4.0</v>
      </c>
      <c r="B455" s="81" t="s">
        <v>3402</v>
      </c>
      <c r="C455" s="80">
        <v>240072.0</v>
      </c>
      <c r="D455" s="81" t="s">
        <v>1065</v>
      </c>
      <c r="E455" s="80" t="s">
        <v>781</v>
      </c>
      <c r="F455" s="82">
        <v>0.4166666666666667</v>
      </c>
      <c r="G455" s="80"/>
    </row>
    <row r="456" spans="8:8" ht="41.25" customHeight="1">
      <c r="A456" s="80">
        <v>5.0</v>
      </c>
      <c r="B456" s="81" t="s">
        <v>3403</v>
      </c>
      <c r="C456" s="80">
        <v>240075.0</v>
      </c>
      <c r="D456" s="81" t="s">
        <v>1065</v>
      </c>
      <c r="E456" s="80" t="s">
        <v>781</v>
      </c>
      <c r="F456" s="82">
        <v>0.4166666666666667</v>
      </c>
      <c r="G456" s="80"/>
    </row>
    <row r="457" spans="8:8" ht="41.25" customHeight="1">
      <c r="A457" s="80">
        <v>6.0</v>
      </c>
      <c r="B457" s="81" t="s">
        <v>3404</v>
      </c>
      <c r="C457" s="80">
        <v>240076.0</v>
      </c>
      <c r="D457" s="81" t="s">
        <v>1065</v>
      </c>
      <c r="E457" s="80" t="s">
        <v>781</v>
      </c>
      <c r="F457" s="82">
        <v>0.4166666666666667</v>
      </c>
      <c r="G457" s="80"/>
    </row>
    <row r="458" spans="8:8" ht="41.25" customHeight="1">
      <c r="A458" s="80">
        <v>7.0</v>
      </c>
      <c r="B458" s="81" t="s">
        <v>3405</v>
      </c>
      <c r="C458" s="80">
        <v>240077.0</v>
      </c>
      <c r="D458" s="81" t="s">
        <v>1065</v>
      </c>
      <c r="E458" s="80" t="s">
        <v>781</v>
      </c>
      <c r="F458" s="82">
        <v>0.4166666666666667</v>
      </c>
      <c r="G458" s="80"/>
    </row>
    <row r="459" spans="8:8" ht="41.25" customHeight="1">
      <c r="A459" s="80">
        <v>8.0</v>
      </c>
      <c r="B459" s="81" t="s">
        <v>3406</v>
      </c>
      <c r="C459" s="80">
        <v>240078.0</v>
      </c>
      <c r="D459" s="81" t="s">
        <v>1065</v>
      </c>
      <c r="E459" s="80" t="s">
        <v>781</v>
      </c>
      <c r="F459" s="82">
        <v>0.4166666666666667</v>
      </c>
      <c r="G459" s="80"/>
    </row>
    <row r="460" spans="8:8" ht="41.25" customHeight="1">
      <c r="A460" s="80">
        <v>9.0</v>
      </c>
      <c r="B460" s="81" t="s">
        <v>3407</v>
      </c>
      <c r="C460" s="80">
        <v>240356.0</v>
      </c>
      <c r="D460" s="81" t="s">
        <v>2932</v>
      </c>
      <c r="E460" s="80" t="s">
        <v>781</v>
      </c>
      <c r="F460" s="82">
        <v>0.4166666666666667</v>
      </c>
      <c r="G460" s="80"/>
    </row>
    <row r="461" spans="8:8" ht="41.25" customHeight="1">
      <c r="A461" s="80">
        <v>10.0</v>
      </c>
      <c r="B461" s="81" t="s">
        <v>3408</v>
      </c>
      <c r="C461" s="80">
        <v>240151.0</v>
      </c>
      <c r="D461" s="81" t="s">
        <v>1065</v>
      </c>
      <c r="E461" s="80" t="s">
        <v>781</v>
      </c>
      <c r="F461" s="82">
        <v>0.4166666666666667</v>
      </c>
      <c r="G461" s="80"/>
    </row>
    <row r="462" spans="8:8" ht="41.25" customHeight="1">
      <c r="A462" s="80">
        <v>11.0</v>
      </c>
      <c r="B462" s="81" t="s">
        <v>3409</v>
      </c>
      <c r="C462" s="80">
        <v>240152.0</v>
      </c>
      <c r="D462" s="81" t="s">
        <v>1065</v>
      </c>
      <c r="E462" s="80" t="s">
        <v>781</v>
      </c>
      <c r="F462" s="82">
        <v>0.4166666666666667</v>
      </c>
      <c r="G462" s="80"/>
    </row>
    <row r="463" spans="8:8" ht="41.25" customHeight="1">
      <c r="A463" s="80">
        <v>12.0</v>
      </c>
      <c r="B463" s="81" t="s">
        <v>3410</v>
      </c>
      <c r="C463" s="80">
        <v>240153.0</v>
      </c>
      <c r="D463" s="81" t="s">
        <v>1065</v>
      </c>
      <c r="E463" s="80" t="s">
        <v>781</v>
      </c>
      <c r="F463" s="82">
        <v>0.4166666666666667</v>
      </c>
      <c r="G463" s="80"/>
    </row>
    <row r="464" spans="8:8" ht="41.25" customHeight="1">
      <c r="A464" s="80">
        <v>13.0</v>
      </c>
      <c r="B464" s="81" t="s">
        <v>3411</v>
      </c>
      <c r="C464" s="80">
        <v>240155.0</v>
      </c>
      <c r="D464" s="81" t="s">
        <v>1065</v>
      </c>
      <c r="E464" s="80" t="s">
        <v>781</v>
      </c>
      <c r="F464" s="82">
        <v>0.4166666666666667</v>
      </c>
      <c r="G464" s="80"/>
    </row>
    <row r="465" spans="8:8" ht="41.25" customHeight="1">
      <c r="A465" s="80">
        <v>14.0</v>
      </c>
      <c r="B465" s="81" t="s">
        <v>3412</v>
      </c>
      <c r="C465" s="80">
        <v>240156.0</v>
      </c>
      <c r="D465" s="81" t="s">
        <v>1065</v>
      </c>
      <c r="E465" s="80" t="s">
        <v>781</v>
      </c>
      <c r="F465" s="82">
        <v>0.4166666666666667</v>
      </c>
      <c r="G465" s="80"/>
    </row>
    <row r="466" spans="8:8" ht="41.25" customHeight="1">
      <c r="A466" s="80">
        <v>15.0</v>
      </c>
      <c r="B466" s="81" t="s">
        <v>3413</v>
      </c>
      <c r="C466" s="80">
        <v>240172.0</v>
      </c>
      <c r="D466" s="81" t="s">
        <v>1065</v>
      </c>
      <c r="E466" s="80" t="s">
        <v>781</v>
      </c>
      <c r="F466" s="82">
        <v>0.4166666666666667</v>
      </c>
      <c r="G466" s="80"/>
    </row>
    <row r="467" spans="8:8" ht="41.25" customHeight="1">
      <c r="A467" s="80">
        <v>16.0</v>
      </c>
      <c r="B467" s="81" t="s">
        <v>3414</v>
      </c>
      <c r="C467" s="80">
        <v>240175.0</v>
      </c>
      <c r="D467" s="81" t="s">
        <v>1065</v>
      </c>
      <c r="E467" s="80" t="s">
        <v>781</v>
      </c>
      <c r="F467" s="82">
        <v>0.4166666666666667</v>
      </c>
      <c r="G467" s="80"/>
    </row>
    <row r="468" spans="8:8" ht="41.25" customHeight="1">
      <c r="A468" s="80">
        <v>17.0</v>
      </c>
      <c r="B468" s="81" t="s">
        <v>3415</v>
      </c>
      <c r="C468" s="80">
        <v>240177.0</v>
      </c>
      <c r="D468" s="81" t="s">
        <v>1065</v>
      </c>
      <c r="E468" s="80" t="s">
        <v>781</v>
      </c>
      <c r="F468" s="82">
        <v>0.4166666666666667</v>
      </c>
      <c r="G468" s="80"/>
    </row>
    <row r="469" spans="8:8" ht="41.25" customHeight="1">
      <c r="A469" s="80">
        <v>18.0</v>
      </c>
      <c r="B469" s="81" t="s">
        <v>3416</v>
      </c>
      <c r="C469" s="80">
        <v>240046.0</v>
      </c>
      <c r="D469" s="81" t="s">
        <v>1065</v>
      </c>
      <c r="E469" s="80" t="s">
        <v>781</v>
      </c>
      <c r="F469" s="82">
        <v>0.4166666666666667</v>
      </c>
      <c r="G469" s="80"/>
    </row>
    <row r="470" spans="8:8" ht="41.25" customHeight="1">
      <c r="A470" s="78" t="s">
        <v>18</v>
      </c>
      <c r="B470" s="79" t="s">
        <v>19</v>
      </c>
      <c r="C470" s="79" t="s">
        <v>20</v>
      </c>
      <c r="D470" s="79" t="s">
        <v>21</v>
      </c>
      <c r="E470" s="79" t="s">
        <v>22</v>
      </c>
      <c r="F470" s="79" t="s">
        <v>23</v>
      </c>
      <c r="G470" s="79" t="s">
        <v>3417</v>
      </c>
    </row>
    <row r="471" spans="8:8" ht="41.25" customHeight="1">
      <c r="A471" s="80">
        <v>1.0</v>
      </c>
      <c r="B471" s="81" t="s">
        <v>3418</v>
      </c>
      <c r="C471" s="80">
        <v>240071.0</v>
      </c>
      <c r="D471" s="81" t="s">
        <v>1065</v>
      </c>
      <c r="E471" s="80" t="s">
        <v>781</v>
      </c>
      <c r="F471" s="82">
        <v>0.4166666666666667</v>
      </c>
      <c r="G471" s="80"/>
    </row>
    <row r="472" spans="8:8" ht="41.25" customHeight="1">
      <c r="A472" s="80">
        <v>2.0</v>
      </c>
      <c r="B472" s="81" t="s">
        <v>3419</v>
      </c>
      <c r="C472" s="80">
        <v>240080.0</v>
      </c>
      <c r="D472" s="81" t="s">
        <v>1065</v>
      </c>
      <c r="E472" s="80" t="s">
        <v>781</v>
      </c>
      <c r="F472" s="82">
        <v>0.4166666666666667</v>
      </c>
      <c r="G472" s="80"/>
    </row>
    <row r="473" spans="8:8" ht="41.25" customHeight="1">
      <c r="A473" s="80">
        <v>3.0</v>
      </c>
      <c r="B473" s="81" t="s">
        <v>3420</v>
      </c>
      <c r="C473" s="80">
        <v>240086.0</v>
      </c>
      <c r="D473" s="81" t="s">
        <v>1065</v>
      </c>
      <c r="E473" s="80" t="s">
        <v>781</v>
      </c>
      <c r="F473" s="82">
        <v>0.4166666666666667</v>
      </c>
      <c r="G473" s="80"/>
    </row>
    <row r="474" spans="8:8" ht="41.25" customHeight="1">
      <c r="A474" s="80">
        <v>4.0</v>
      </c>
      <c r="B474" s="81" t="s">
        <v>3421</v>
      </c>
      <c r="C474" s="80">
        <v>240087.0</v>
      </c>
      <c r="D474" s="81" t="s">
        <v>1065</v>
      </c>
      <c r="E474" s="80" t="s">
        <v>781</v>
      </c>
      <c r="F474" s="82">
        <v>0.4166666666666667</v>
      </c>
      <c r="G474" s="80"/>
    </row>
    <row r="475" spans="8:8" ht="41.25" customHeight="1">
      <c r="A475" s="80">
        <v>5.0</v>
      </c>
      <c r="B475" s="81" t="s">
        <v>3422</v>
      </c>
      <c r="C475" s="80">
        <v>240214.0</v>
      </c>
      <c r="D475" s="81" t="s">
        <v>1065</v>
      </c>
      <c r="E475" s="80" t="s">
        <v>781</v>
      </c>
      <c r="F475" s="82">
        <v>0.4166666666666667</v>
      </c>
      <c r="G475" s="80"/>
    </row>
    <row r="476" spans="8:8" ht="41.25" customHeight="1">
      <c r="A476" s="80">
        <v>6.0</v>
      </c>
      <c r="B476" s="81" t="s">
        <v>3423</v>
      </c>
      <c r="C476" s="80">
        <v>240188.0</v>
      </c>
      <c r="D476" s="81" t="s">
        <v>1065</v>
      </c>
      <c r="E476" s="80" t="s">
        <v>781</v>
      </c>
      <c r="F476" s="82">
        <v>0.4166666666666667</v>
      </c>
      <c r="G476" s="80"/>
    </row>
    <row r="477" spans="8:8" ht="41.25" customHeight="1">
      <c r="A477" s="80">
        <v>7.0</v>
      </c>
      <c r="B477" s="81" t="s">
        <v>3424</v>
      </c>
      <c r="C477" s="80">
        <v>240178.0</v>
      </c>
      <c r="D477" s="81" t="s">
        <v>1065</v>
      </c>
      <c r="E477" s="80" t="s">
        <v>781</v>
      </c>
      <c r="F477" s="82">
        <v>0.4166666666666667</v>
      </c>
      <c r="G477" s="80"/>
    </row>
    <row r="478" spans="8:8" ht="41.25" customHeight="1">
      <c r="A478" s="80">
        <v>8.0</v>
      </c>
      <c r="B478" s="81" t="s">
        <v>3425</v>
      </c>
      <c r="C478" s="80">
        <v>240136.0</v>
      </c>
      <c r="D478" s="81" t="s">
        <v>1065</v>
      </c>
      <c r="E478" s="80" t="s">
        <v>781</v>
      </c>
      <c r="F478" s="82">
        <v>0.4166666666666667</v>
      </c>
      <c r="G478" s="80"/>
    </row>
    <row r="479" spans="8:8" ht="41.25" customHeight="1">
      <c r="A479" s="80">
        <v>9.0</v>
      </c>
      <c r="B479" s="81" t="s">
        <v>3426</v>
      </c>
      <c r="C479" s="80">
        <v>240138.0</v>
      </c>
      <c r="D479" s="81" t="s">
        <v>1065</v>
      </c>
      <c r="E479" s="80" t="s">
        <v>781</v>
      </c>
      <c r="F479" s="82">
        <v>0.4166666666666667</v>
      </c>
      <c r="G479" s="80"/>
    </row>
    <row r="480" spans="8:8" ht="41.25" customHeight="1">
      <c r="A480" s="80">
        <v>10.0</v>
      </c>
      <c r="B480" s="81" t="s">
        <v>3427</v>
      </c>
      <c r="C480" s="80">
        <v>240139.0</v>
      </c>
      <c r="D480" s="81" t="s">
        <v>1065</v>
      </c>
      <c r="E480" s="80" t="s">
        <v>781</v>
      </c>
      <c r="F480" s="82">
        <v>0.4166666666666667</v>
      </c>
      <c r="G480" s="80"/>
    </row>
    <row r="481" spans="8:8" ht="41.25" customHeight="1">
      <c r="A481" s="80">
        <v>11.0</v>
      </c>
      <c r="B481" s="81" t="s">
        <v>3428</v>
      </c>
      <c r="C481" s="80">
        <v>240140.0</v>
      </c>
      <c r="D481" s="81" t="s">
        <v>1065</v>
      </c>
      <c r="E481" s="80" t="s">
        <v>781</v>
      </c>
      <c r="F481" s="82">
        <v>0.4166666666666667</v>
      </c>
      <c r="G481" s="80"/>
    </row>
    <row r="482" spans="8:8" ht="41.25" customHeight="1">
      <c r="A482" s="80">
        <v>12.0</v>
      </c>
      <c r="B482" s="81" t="s">
        <v>3429</v>
      </c>
      <c r="C482" s="80">
        <v>240141.0</v>
      </c>
      <c r="D482" s="81" t="s">
        <v>1065</v>
      </c>
      <c r="E482" s="80" t="s">
        <v>781</v>
      </c>
      <c r="F482" s="82">
        <v>0.4166666666666667</v>
      </c>
      <c r="G482" s="80"/>
    </row>
    <row r="483" spans="8:8" ht="41.25" customHeight="1">
      <c r="A483" s="80">
        <v>13.0</v>
      </c>
      <c r="B483" s="81" t="s">
        <v>3430</v>
      </c>
      <c r="C483" s="80">
        <v>240142.0</v>
      </c>
      <c r="D483" s="81" t="s">
        <v>1065</v>
      </c>
      <c r="E483" s="80" t="s">
        <v>781</v>
      </c>
      <c r="F483" s="82">
        <v>0.4166666666666667</v>
      </c>
      <c r="G483" s="80"/>
    </row>
    <row r="484" spans="8:8" ht="41.25" customHeight="1">
      <c r="A484" s="80">
        <v>14.0</v>
      </c>
      <c r="B484" s="81" t="s">
        <v>3431</v>
      </c>
      <c r="C484" s="80">
        <v>240144.0</v>
      </c>
      <c r="D484" s="81" t="s">
        <v>1065</v>
      </c>
      <c r="E484" s="80" t="s">
        <v>781</v>
      </c>
      <c r="F484" s="82">
        <v>0.4166666666666667</v>
      </c>
      <c r="G484" s="80"/>
    </row>
    <row r="485" spans="8:8" ht="41.25" customHeight="1">
      <c r="A485" s="80">
        <v>15.0</v>
      </c>
      <c r="B485" s="81" t="s">
        <v>3432</v>
      </c>
      <c r="C485" s="80">
        <v>240042.0</v>
      </c>
      <c r="D485" s="81" t="s">
        <v>1065</v>
      </c>
      <c r="E485" s="80" t="s">
        <v>781</v>
      </c>
      <c r="F485" s="82">
        <v>0.4166666666666667</v>
      </c>
      <c r="G485" s="80"/>
    </row>
    <row r="486" spans="8:8" ht="41.25" customHeight="1">
      <c r="A486" s="80">
        <v>16.0</v>
      </c>
      <c r="B486" s="81" t="s">
        <v>3433</v>
      </c>
      <c r="C486" s="80">
        <v>240045.0</v>
      </c>
      <c r="D486" s="81" t="s">
        <v>1065</v>
      </c>
      <c r="E486" s="80" t="s">
        <v>781</v>
      </c>
      <c r="F486" s="82">
        <v>0.4166666666666667</v>
      </c>
      <c r="G486" s="80"/>
    </row>
    <row r="487" spans="8:8" ht="41.25" customHeight="1">
      <c r="A487" s="80">
        <v>17.0</v>
      </c>
      <c r="B487" s="81" t="s">
        <v>3434</v>
      </c>
      <c r="C487" s="80">
        <v>240133.0</v>
      </c>
      <c r="D487" s="81" t="s">
        <v>1065</v>
      </c>
      <c r="E487" s="80" t="s">
        <v>781</v>
      </c>
      <c r="F487" s="82">
        <v>0.4166666666666667</v>
      </c>
      <c r="G487" s="80"/>
    </row>
    <row r="488" spans="8:8" ht="41.25" customHeight="1">
      <c r="A488" s="80">
        <v>18.0</v>
      </c>
      <c r="B488" s="83" t="s">
        <v>3435</v>
      </c>
      <c r="C488" s="84">
        <v>252137.0</v>
      </c>
      <c r="D488" s="83" t="s">
        <v>104</v>
      </c>
      <c r="E488" s="84" t="s">
        <v>781</v>
      </c>
      <c r="F488" s="82">
        <v>0.4166666666666667</v>
      </c>
      <c r="G488" s="84"/>
    </row>
    <row r="489" spans="8:8" ht="41.25" customHeight="1">
      <c r="A489" s="78" t="s">
        <v>18</v>
      </c>
      <c r="B489" s="79" t="s">
        <v>19</v>
      </c>
      <c r="C489" s="79" t="s">
        <v>20</v>
      </c>
      <c r="D489" s="79" t="s">
        <v>21</v>
      </c>
      <c r="E489" s="79" t="s">
        <v>22</v>
      </c>
      <c r="F489" s="79" t="s">
        <v>23</v>
      </c>
      <c r="G489" s="79" t="s">
        <v>953</v>
      </c>
    </row>
    <row r="490" spans="8:8" ht="41.25" customHeight="1">
      <c r="A490" s="84">
        <v>1.0</v>
      </c>
      <c r="B490" s="83" t="s">
        <v>3436</v>
      </c>
      <c r="C490" s="84">
        <v>240399.0</v>
      </c>
      <c r="D490" s="83" t="s">
        <v>2932</v>
      </c>
      <c r="E490" s="84" t="s">
        <v>984</v>
      </c>
      <c r="F490" s="82">
        <v>0.4166666666666667</v>
      </c>
      <c r="G490" s="80"/>
    </row>
    <row r="491" spans="8:8" ht="41.25" customHeight="1">
      <c r="A491" s="84">
        <v>2.0</v>
      </c>
      <c r="B491" s="83" t="s">
        <v>3437</v>
      </c>
      <c r="C491" s="84">
        <v>251982.0</v>
      </c>
      <c r="D491" s="83" t="s">
        <v>104</v>
      </c>
      <c r="E491" s="84" t="s">
        <v>984</v>
      </c>
      <c r="F491" s="82">
        <v>0.4166666666666667</v>
      </c>
      <c r="G491" s="84"/>
    </row>
    <row r="492" spans="8:8" ht="41.25" customHeight="1">
      <c r="A492" s="84">
        <v>3.0</v>
      </c>
      <c r="B492" s="81" t="s">
        <v>3438</v>
      </c>
      <c r="C492" s="80">
        <v>252358.0</v>
      </c>
      <c r="D492" s="83" t="s">
        <v>104</v>
      </c>
      <c r="E492" s="84" t="s">
        <v>984</v>
      </c>
      <c r="F492" s="82">
        <v>0.4166666666666667</v>
      </c>
      <c r="G492" s="84"/>
    </row>
    <row r="493" spans="8:8" ht="41.25" customHeight="1">
      <c r="A493" s="84">
        <v>4.0</v>
      </c>
      <c r="B493" s="83" t="s">
        <v>3439</v>
      </c>
      <c r="C493" s="84">
        <v>252451.0</v>
      </c>
      <c r="D493" s="83" t="s">
        <v>104</v>
      </c>
      <c r="E493" s="80" t="s">
        <v>984</v>
      </c>
      <c r="F493" s="82">
        <v>0.4166666666666667</v>
      </c>
      <c r="G493" s="80"/>
    </row>
    <row r="494" spans="8:8" ht="41.25" customHeight="1">
      <c r="A494" s="84">
        <v>5.0</v>
      </c>
      <c r="B494" s="83" t="s">
        <v>3440</v>
      </c>
      <c r="C494" s="84">
        <v>253243.0</v>
      </c>
      <c r="D494" s="83" t="s">
        <v>104</v>
      </c>
      <c r="E494" s="80" t="s">
        <v>984</v>
      </c>
      <c r="F494" s="82">
        <v>0.4166666666666667</v>
      </c>
      <c r="G494" s="80"/>
    </row>
    <row r="495" spans="8:8" ht="41.25" customHeight="1">
      <c r="A495" s="84">
        <v>6.0</v>
      </c>
      <c r="B495" s="83" t="s">
        <v>3441</v>
      </c>
      <c r="C495" s="84">
        <v>252213.0</v>
      </c>
      <c r="D495" s="83" t="s">
        <v>104</v>
      </c>
      <c r="E495" s="84" t="s">
        <v>984</v>
      </c>
      <c r="F495" s="82">
        <v>0.4166666666666667</v>
      </c>
      <c r="G495" s="84"/>
    </row>
    <row r="496" spans="8:8" ht="41.25" customHeight="1">
      <c r="A496" s="84">
        <v>7.0</v>
      </c>
      <c r="B496" s="83" t="s">
        <v>3442</v>
      </c>
      <c r="C496" s="84">
        <v>253246.0</v>
      </c>
      <c r="D496" s="83" t="s">
        <v>104</v>
      </c>
      <c r="E496" s="84" t="s">
        <v>984</v>
      </c>
      <c r="F496" s="82">
        <v>0.4166666666666667</v>
      </c>
      <c r="G496" s="84"/>
    </row>
    <row r="497" spans="8:8" ht="41.25" customHeight="1">
      <c r="A497" s="84">
        <v>8.0</v>
      </c>
      <c r="B497" s="83" t="s">
        <v>3443</v>
      </c>
      <c r="C497" s="84">
        <v>253240.0</v>
      </c>
      <c r="D497" s="83" t="s">
        <v>104</v>
      </c>
      <c r="E497" s="84" t="s">
        <v>984</v>
      </c>
      <c r="F497" s="82">
        <v>0.4166666666666667</v>
      </c>
      <c r="G497" s="84"/>
    </row>
    <row r="498" spans="8:8" ht="41.25" customHeight="1">
      <c r="A498" s="84">
        <v>9.0</v>
      </c>
      <c r="B498" s="83" t="s">
        <v>3444</v>
      </c>
      <c r="C498" s="84">
        <v>241486.0</v>
      </c>
      <c r="D498" s="81" t="s">
        <v>1369</v>
      </c>
      <c r="E498" s="84" t="s">
        <v>984</v>
      </c>
      <c r="F498" s="82">
        <v>0.4166666666666667</v>
      </c>
      <c r="G498" s="84"/>
    </row>
    <row r="499" spans="8:8" ht="41.25" customHeight="1">
      <c r="A499" s="84">
        <v>10.0</v>
      </c>
      <c r="B499" s="83" t="s">
        <v>3445</v>
      </c>
      <c r="C499" s="84">
        <v>253219.0</v>
      </c>
      <c r="D499" s="83" t="s">
        <v>2971</v>
      </c>
      <c r="E499" s="84" t="s">
        <v>984</v>
      </c>
      <c r="F499" s="82">
        <v>0.4166666666666667</v>
      </c>
      <c r="G499" s="84"/>
    </row>
    <row r="500" spans="8:8" ht="41.25" customHeight="1">
      <c r="A500" s="78" t="s">
        <v>18</v>
      </c>
      <c r="B500" s="79" t="s">
        <v>19</v>
      </c>
      <c r="C500" s="79" t="s">
        <v>20</v>
      </c>
      <c r="D500" s="79" t="s">
        <v>21</v>
      </c>
      <c r="E500" s="79" t="s">
        <v>22</v>
      </c>
      <c r="F500" s="79" t="s">
        <v>23</v>
      </c>
      <c r="G500" s="9" t="s">
        <v>982</v>
      </c>
    </row>
    <row r="501" spans="8:8" ht="41.25" customHeight="1">
      <c r="A501" s="84"/>
      <c r="B501" s="90" t="s">
        <v>3446</v>
      </c>
      <c r="C501" s="91">
        <v>252953.0</v>
      </c>
      <c r="D501" s="91" t="s">
        <v>90</v>
      </c>
      <c r="E501" s="92" t="s">
        <v>1512</v>
      </c>
      <c r="F501" s="93">
        <v>0.4166666666666667</v>
      </c>
      <c r="G501" s="84"/>
    </row>
    <row r="502" spans="8:8" ht="41.25" customHeight="1">
      <c r="A502" s="84"/>
      <c r="B502" s="94" t="s">
        <v>3447</v>
      </c>
      <c r="C502" s="95">
        <v>240478.0</v>
      </c>
      <c r="D502" s="96" t="s">
        <v>2932</v>
      </c>
      <c r="E502" s="97" t="s">
        <v>781</v>
      </c>
      <c r="F502" s="93">
        <v>0.4166666666666667</v>
      </c>
      <c r="G502" s="98"/>
    </row>
    <row r="503" spans="8:8" ht="41.25" customHeight="1">
      <c r="A503" s="84"/>
      <c r="B503" s="98"/>
      <c r="C503" s="98"/>
      <c r="D503" s="98"/>
      <c r="E503" s="98"/>
      <c r="F503" s="98"/>
      <c r="G503" s="98"/>
    </row>
    <row r="504" spans="8:8" ht="41.25" customHeight="1">
      <c r="A504" s="84"/>
      <c r="B504" s="98"/>
      <c r="C504" s="98"/>
      <c r="D504" s="98"/>
      <c r="E504" s="98"/>
      <c r="F504" s="98"/>
      <c r="G504" s="98"/>
    </row>
    <row r="505" spans="8:8" ht="41.25" customHeight="1">
      <c r="A505" s="84"/>
      <c r="B505" s="98"/>
      <c r="C505" s="98"/>
      <c r="D505" s="98"/>
      <c r="E505" s="98"/>
      <c r="F505" s="98"/>
      <c r="G505" s="98"/>
    </row>
    <row r="506" spans="8:8" ht="41.25" customHeight="1">
      <c r="A506" s="84"/>
      <c r="B506" s="98"/>
      <c r="C506" s="98"/>
      <c r="D506" s="98"/>
      <c r="E506" s="98"/>
      <c r="F506" s="98"/>
      <c r="G506" s="98"/>
    </row>
    <row r="507" spans="8:8" ht="41.25" customHeight="1">
      <c r="A507" s="84"/>
      <c r="B507" s="98"/>
      <c r="C507" s="98"/>
      <c r="D507" s="98"/>
      <c r="E507" s="98"/>
      <c r="F507" s="98"/>
      <c r="G507" s="98"/>
    </row>
    <row r="508" spans="8:8" ht="41.25" customHeight="1">
      <c r="A508" s="84"/>
      <c r="B508" s="98"/>
      <c r="C508" s="98"/>
      <c r="D508" s="98"/>
      <c r="E508" s="98"/>
      <c r="F508" s="98"/>
      <c r="G508" s="98"/>
    </row>
    <row r="509" spans="8:8" ht="41.25" customHeight="1">
      <c r="A509" s="84"/>
      <c r="B509" s="98"/>
      <c r="C509" s="98"/>
      <c r="D509" s="98"/>
      <c r="E509" s="98"/>
      <c r="F509" s="98"/>
      <c r="G509" s="98"/>
    </row>
    <row r="510" spans="8:8" ht="41.25" customHeight="1">
      <c r="A510" s="84"/>
      <c r="B510" s="98"/>
      <c r="C510" s="98"/>
      <c r="D510" s="98"/>
      <c r="E510" s="98"/>
      <c r="F510" s="98"/>
      <c r="G510" s="98"/>
    </row>
    <row r="511" spans="8:8" ht="41.25" customHeight="1">
      <c r="A511" s="84"/>
      <c r="B511" s="98"/>
      <c r="C511" s="98"/>
      <c r="D511" s="98"/>
      <c r="E511" s="98"/>
      <c r="F511" s="98"/>
      <c r="G511" s="98"/>
    </row>
    <row r="512" spans="8:8" ht="41.25" customHeight="1">
      <c r="A512" s="84"/>
      <c r="B512" s="98"/>
      <c r="C512" s="98"/>
      <c r="D512" s="98"/>
      <c r="E512" s="98"/>
      <c r="F512" s="98"/>
      <c r="G512" s="98"/>
    </row>
    <row r="513" spans="8:8" ht="41.25" customHeight="1">
      <c r="A513" s="84"/>
      <c r="B513" s="98"/>
      <c r="C513" s="98"/>
      <c r="D513" s="98"/>
      <c r="E513" s="98"/>
      <c r="F513" s="98"/>
      <c r="G513" s="98"/>
    </row>
    <row r="514" spans="8:8" ht="41.25" customHeight="1">
      <c r="A514" s="84"/>
      <c r="B514" s="98"/>
      <c r="C514" s="98"/>
      <c r="D514" s="98"/>
      <c r="E514" s="98"/>
      <c r="F514" s="98"/>
      <c r="G514" s="98"/>
    </row>
    <row r="515" spans="8:8" ht="41.25" customHeight="1">
      <c r="A515" s="84"/>
      <c r="B515" s="98"/>
      <c r="C515" s="98"/>
      <c r="D515" s="98"/>
      <c r="E515" s="98"/>
      <c r="F515" s="98"/>
      <c r="G515" s="98"/>
    </row>
    <row r="516" spans="8:8" ht="41.25" customHeight="1">
      <c r="A516" s="84"/>
      <c r="B516" s="98"/>
      <c r="C516" s="98"/>
      <c r="D516" s="98"/>
      <c r="E516" s="98"/>
      <c r="F516" s="98"/>
      <c r="G516" s="98"/>
    </row>
    <row r="517" spans="8:8" ht="41.25" customHeight="1">
      <c r="A517" s="84"/>
      <c r="B517" s="98"/>
      <c r="C517" s="98"/>
      <c r="D517" s="98"/>
      <c r="E517" s="98"/>
      <c r="F517" s="98"/>
      <c r="G517" s="98"/>
    </row>
    <row r="518" spans="8:8" ht="41.25" customHeight="1">
      <c r="A518" s="84"/>
      <c r="B518" s="98"/>
      <c r="C518" s="98"/>
      <c r="D518" s="98"/>
      <c r="E518" s="98"/>
      <c r="F518" s="98"/>
      <c r="G518" s="98"/>
    </row>
    <row r="519" spans="8:8" ht="41.25" customHeight="1">
      <c r="A519" s="84"/>
      <c r="B519" s="98"/>
      <c r="C519" s="98"/>
      <c r="D519" s="98"/>
      <c r="E519" s="98"/>
      <c r="F519" s="98"/>
      <c r="G519" s="98"/>
    </row>
    <row r="520" spans="8:8" ht="41.25" customHeight="1">
      <c r="A520" s="84"/>
      <c r="B520" s="98"/>
      <c r="C520" s="98"/>
      <c r="D520" s="98"/>
      <c r="E520" s="98"/>
      <c r="F520" s="98"/>
      <c r="G520" s="98"/>
    </row>
    <row r="521" spans="8:8" ht="41.25" customHeight="1">
      <c r="A521" s="84"/>
      <c r="B521" s="98"/>
      <c r="C521" s="98"/>
      <c r="D521" s="98"/>
      <c r="E521" s="98"/>
      <c r="F521" s="98"/>
      <c r="G521" s="98"/>
    </row>
    <row r="522" spans="8:8" ht="41.25" customHeight="1">
      <c r="A522" s="84"/>
      <c r="B522" s="98"/>
      <c r="C522" s="98"/>
      <c r="D522" s="98"/>
      <c r="E522" s="98"/>
      <c r="F522" s="98"/>
      <c r="G522" s="98"/>
    </row>
    <row r="523" spans="8:8" ht="41.25" customHeight="1">
      <c r="A523" s="84"/>
      <c r="B523" s="98"/>
      <c r="C523" s="98"/>
      <c r="D523" s="98"/>
      <c r="E523" s="98"/>
      <c r="F523" s="98"/>
      <c r="G523" s="98"/>
    </row>
    <row r="524" spans="8:8" ht="41.25" customHeight="1">
      <c r="A524" s="84"/>
      <c r="B524" s="98"/>
      <c r="C524" s="98"/>
      <c r="D524" s="98"/>
      <c r="E524" s="98"/>
      <c r="F524" s="98"/>
      <c r="G524" s="98"/>
    </row>
    <row r="525" spans="8:8" ht="41.25" customHeight="1">
      <c r="A525" s="84"/>
      <c r="B525" s="98"/>
      <c r="C525" s="98"/>
      <c r="D525" s="98"/>
      <c r="E525" s="98"/>
      <c r="F525" s="98"/>
      <c r="G525" s="98"/>
    </row>
    <row r="526" spans="8:8" ht="41.25" customHeight="1">
      <c r="A526" s="84"/>
      <c r="B526" s="98"/>
      <c r="C526" s="98"/>
      <c r="D526" s="98"/>
      <c r="E526" s="98"/>
      <c r="F526" s="98"/>
      <c r="G526" s="98"/>
    </row>
    <row r="527" spans="8:8" ht="41.25" customHeight="1">
      <c r="A527" s="84"/>
      <c r="B527" s="98"/>
      <c r="C527" s="98"/>
      <c r="D527" s="98"/>
      <c r="E527" s="98"/>
      <c r="F527" s="98"/>
      <c r="G527" s="98"/>
    </row>
    <row r="528" spans="8:8" ht="41.25" customHeight="1">
      <c r="A528" s="84"/>
      <c r="B528" s="98"/>
      <c r="C528" s="98"/>
      <c r="D528" s="98"/>
      <c r="E528" s="98"/>
      <c r="F528" s="98"/>
      <c r="G528" s="98"/>
    </row>
    <row r="529" spans="8:8" ht="41.25" customHeight="1">
      <c r="A529" s="84"/>
      <c r="B529" s="98"/>
      <c r="C529" s="98"/>
      <c r="D529" s="98"/>
      <c r="E529" s="98"/>
      <c r="F529" s="98"/>
      <c r="G529" s="98"/>
    </row>
    <row r="530" spans="8:8" ht="41.25" customHeight="1">
      <c r="A530" s="84"/>
      <c r="B530" s="98"/>
      <c r="C530" s="98"/>
      <c r="D530" s="98"/>
      <c r="E530" s="98"/>
      <c r="F530" s="98"/>
      <c r="G530" s="98"/>
    </row>
    <row r="531" spans="8:8" ht="41.25" customHeight="1">
      <c r="A531" s="84"/>
      <c r="B531" s="98"/>
      <c r="C531" s="98"/>
      <c r="D531" s="98"/>
      <c r="E531" s="98"/>
      <c r="F531" s="98"/>
      <c r="G531" s="98"/>
    </row>
    <row r="532" spans="8:8" ht="41.25" customHeight="1">
      <c r="A532" s="84"/>
      <c r="B532" s="98"/>
      <c r="C532" s="98"/>
      <c r="D532" s="98"/>
      <c r="E532" s="98"/>
      <c r="F532" s="98"/>
      <c r="G532" s="98"/>
    </row>
    <row r="533" spans="8:8" ht="41.25" customHeight="1">
      <c r="A533" s="84"/>
      <c r="B533" s="98"/>
      <c r="C533" s="98"/>
      <c r="D533" s="98"/>
      <c r="E533" s="98"/>
      <c r="F533" s="98"/>
      <c r="G533" s="98"/>
    </row>
    <row r="534" spans="8:8" ht="41.25" customHeight="1">
      <c r="A534" s="84"/>
      <c r="B534" s="98"/>
      <c r="C534" s="98"/>
      <c r="D534" s="98"/>
      <c r="E534" s="98"/>
      <c r="F534" s="98"/>
      <c r="G534" s="98"/>
    </row>
    <row r="535" spans="8:8" ht="41.25" customHeight="1">
      <c r="A535" s="84"/>
      <c r="B535" s="98"/>
      <c r="C535" s="98"/>
      <c r="D535" s="98"/>
      <c r="E535" s="98"/>
      <c r="F535" s="98"/>
      <c r="G535" s="98"/>
    </row>
    <row r="536" spans="8:8" ht="41.25" customHeight="1">
      <c r="A536" s="84"/>
      <c r="B536" s="98"/>
      <c r="C536" s="98"/>
      <c r="D536" s="98"/>
      <c r="E536" s="98"/>
      <c r="F536" s="98"/>
      <c r="G536" s="98"/>
    </row>
    <row r="537" spans="8:8" ht="41.25" customHeight="1">
      <c r="A537" s="84"/>
      <c r="B537" s="98"/>
      <c r="C537" s="98"/>
      <c r="D537" s="98"/>
      <c r="E537" s="98"/>
      <c r="F537" s="98"/>
      <c r="G537" s="98"/>
    </row>
    <row r="538" spans="8:8" ht="41.25" customHeight="1">
      <c r="A538" s="84"/>
      <c r="B538" s="98"/>
      <c r="C538" s="98"/>
      <c r="D538" s="98"/>
      <c r="E538" s="98"/>
      <c r="F538" s="98"/>
      <c r="G538" s="98"/>
    </row>
    <row r="539" spans="8:8" ht="41.25" customHeight="1">
      <c r="A539" s="84"/>
      <c r="B539" s="98"/>
      <c r="C539" s="98"/>
      <c r="D539" s="98"/>
      <c r="E539" s="98"/>
      <c r="F539" s="98"/>
      <c r="G539" s="98"/>
    </row>
    <row r="540" spans="8:8" ht="41.25" customHeight="1">
      <c r="A540" s="84"/>
      <c r="B540" s="98"/>
      <c r="C540" s="98"/>
      <c r="D540" s="98"/>
      <c r="E540" s="98"/>
      <c r="F540" s="98"/>
      <c r="G540" s="98"/>
    </row>
    <row r="541" spans="8:8" ht="41.25" customHeight="1">
      <c r="A541" s="84"/>
      <c r="B541" s="98"/>
      <c r="C541" s="98"/>
      <c r="D541" s="98"/>
      <c r="E541" s="98"/>
      <c r="F541" s="98"/>
      <c r="G541" s="98"/>
    </row>
    <row r="542" spans="8:8" ht="41.25" customHeight="1">
      <c r="A542" s="84"/>
      <c r="B542" s="98"/>
      <c r="C542" s="98"/>
      <c r="D542" s="98"/>
      <c r="E542" s="98"/>
      <c r="F542" s="98"/>
      <c r="G542" s="98"/>
    </row>
    <row r="543" spans="8:8" ht="41.25" customHeight="1">
      <c r="A543" s="84"/>
      <c r="B543" s="98"/>
      <c r="C543" s="98"/>
      <c r="D543" s="98"/>
      <c r="E543" s="98"/>
      <c r="F543" s="98"/>
      <c r="G543" s="98"/>
    </row>
    <row r="544" spans="8:8" ht="41.25" customHeight="1">
      <c r="A544" s="84"/>
      <c r="B544" s="98"/>
      <c r="C544" s="98"/>
      <c r="D544" s="98"/>
      <c r="E544" s="98"/>
      <c r="F544" s="98"/>
      <c r="G544" s="98"/>
    </row>
    <row r="545" spans="8:8" ht="41.25" customHeight="1">
      <c r="A545" s="84"/>
      <c r="B545" s="98"/>
      <c r="C545" s="98"/>
      <c r="D545" s="98"/>
      <c r="E545" s="98"/>
      <c r="F545" s="98"/>
      <c r="G545" s="98"/>
    </row>
    <row r="546" spans="8:8" ht="41.25" customHeight="1">
      <c r="A546" s="84"/>
      <c r="B546" s="98"/>
      <c r="C546" s="98"/>
      <c r="D546" s="98"/>
      <c r="E546" s="98"/>
      <c r="F546" s="98"/>
      <c r="G546" s="98"/>
    </row>
    <row r="547" spans="8:8" ht="41.25" customHeight="1">
      <c r="A547" s="84"/>
      <c r="B547" s="98"/>
      <c r="C547" s="98"/>
      <c r="D547" s="98"/>
      <c r="E547" s="98"/>
      <c r="F547" s="98"/>
      <c r="G547" s="98"/>
    </row>
    <row r="548" spans="8:8" ht="41.25" customHeight="1">
      <c r="A548" s="84"/>
      <c r="B548" s="98"/>
      <c r="C548" s="98"/>
      <c r="D548" s="98"/>
      <c r="E548" s="98"/>
      <c r="F548" s="98"/>
      <c r="G548" s="98"/>
    </row>
    <row r="549" spans="8:8" ht="41.25" customHeight="1">
      <c r="A549" s="84"/>
      <c r="B549" s="98"/>
      <c r="C549" s="98"/>
      <c r="D549" s="98"/>
      <c r="E549" s="98"/>
      <c r="F549" s="98"/>
      <c r="G549" s="98"/>
    </row>
    <row r="550" spans="8:8" ht="41.25" customHeight="1">
      <c r="A550" s="84"/>
      <c r="B550" s="98"/>
      <c r="C550" s="98"/>
      <c r="D550" s="98"/>
      <c r="E550" s="98"/>
      <c r="F550" s="98"/>
      <c r="G550" s="98"/>
    </row>
    <row r="551" spans="8:8" ht="41.25" customHeight="1">
      <c r="A551" s="84"/>
      <c r="B551" s="98"/>
      <c r="C551" s="98"/>
      <c r="D551" s="98"/>
      <c r="E551" s="98"/>
      <c r="F551" s="98"/>
      <c r="G551" s="98"/>
    </row>
    <row r="552" spans="8:8" ht="41.25" customHeight="1">
      <c r="A552" s="84"/>
      <c r="B552" s="98"/>
      <c r="C552" s="98"/>
      <c r="D552" s="98"/>
      <c r="E552" s="98"/>
      <c r="F552" s="98"/>
      <c r="G552" s="98"/>
    </row>
    <row r="553" spans="8:8" ht="41.25" customHeight="1">
      <c r="A553" s="84"/>
      <c r="B553" s="98"/>
      <c r="C553" s="98"/>
      <c r="D553" s="98"/>
      <c r="E553" s="98"/>
      <c r="F553" s="98"/>
      <c r="G553" s="98"/>
    </row>
    <row r="554" spans="8:8" ht="41.25" customHeight="1">
      <c r="A554" s="84"/>
      <c r="B554" s="98"/>
      <c r="C554" s="98"/>
      <c r="D554" s="98"/>
      <c r="E554" s="98"/>
      <c r="F554" s="98"/>
      <c r="G554" s="98"/>
    </row>
    <row r="555" spans="8:8" ht="41.25" customHeight="1">
      <c r="A555" s="84"/>
      <c r="B555" s="98"/>
      <c r="C555" s="98"/>
      <c r="D555" s="98"/>
      <c r="E555" s="98"/>
      <c r="F555" s="98"/>
      <c r="G555" s="98"/>
    </row>
    <row r="556" spans="8:8" ht="41.25" customHeight="1">
      <c r="A556" s="84"/>
      <c r="B556" s="98"/>
      <c r="C556" s="98"/>
      <c r="D556" s="98"/>
      <c r="E556" s="98"/>
      <c r="F556" s="98"/>
      <c r="G556" s="98"/>
    </row>
    <row r="557" spans="8:8" ht="41.25" customHeight="1">
      <c r="A557" s="84"/>
      <c r="B557" s="98"/>
      <c r="C557" s="98"/>
      <c r="D557" s="98"/>
      <c r="E557" s="98"/>
      <c r="F557" s="98"/>
      <c r="G557" s="98"/>
    </row>
    <row r="558" spans="8:8" ht="41.25" customHeight="1">
      <c r="A558" s="84"/>
      <c r="B558" s="98"/>
      <c r="C558" s="98"/>
      <c r="D558" s="98"/>
      <c r="E558" s="98"/>
      <c r="F558" s="98"/>
      <c r="G558" s="98"/>
    </row>
    <row r="559" spans="8:8" ht="41.25" customHeight="1">
      <c r="A559" s="84"/>
      <c r="B559" s="98"/>
      <c r="C559" s="98"/>
      <c r="D559" s="98"/>
      <c r="E559" s="98"/>
      <c r="F559" s="98"/>
      <c r="G559" s="98"/>
    </row>
    <row r="560" spans="8:8" ht="41.25" customHeight="1">
      <c r="A560" s="84"/>
      <c r="B560" s="98"/>
      <c r="C560" s="98"/>
      <c r="D560" s="98"/>
      <c r="E560" s="98"/>
      <c r="F560" s="98"/>
      <c r="G560" s="98"/>
    </row>
    <row r="561" spans="8:8" ht="41.25" customHeight="1">
      <c r="A561" s="84"/>
      <c r="B561" s="98"/>
      <c r="C561" s="98"/>
      <c r="D561" s="98"/>
      <c r="E561" s="98"/>
      <c r="F561" s="98"/>
      <c r="G561" s="98"/>
    </row>
    <row r="562" spans="8:8" ht="41.25" customHeight="1">
      <c r="A562" s="84"/>
      <c r="B562" s="98"/>
      <c r="C562" s="98"/>
      <c r="D562" s="98"/>
      <c r="E562" s="98"/>
      <c r="F562" s="98"/>
      <c r="G562" s="98"/>
    </row>
    <row r="563" spans="8:8" ht="41.25" customHeight="1">
      <c r="A563" s="84"/>
      <c r="B563" s="98"/>
      <c r="C563" s="98"/>
      <c r="D563" s="98"/>
      <c r="E563" s="98"/>
      <c r="F563" s="98"/>
      <c r="G563" s="98"/>
    </row>
    <row r="564" spans="8:8" ht="41.25" customHeight="1">
      <c r="A564" s="84"/>
      <c r="B564" s="98"/>
      <c r="C564" s="98"/>
      <c r="D564" s="98"/>
      <c r="E564" s="98"/>
      <c r="F564" s="98"/>
      <c r="G564" s="98"/>
    </row>
    <row r="565" spans="8:8" ht="41.25" customHeight="1">
      <c r="A565" s="84"/>
      <c r="B565" s="98"/>
      <c r="C565" s="98"/>
      <c r="D565" s="98"/>
      <c r="E565" s="98"/>
      <c r="F565" s="98"/>
      <c r="G565" s="98"/>
    </row>
    <row r="566" spans="8:8" ht="41.25" customHeight="1">
      <c r="A566" s="84"/>
      <c r="B566" s="98"/>
      <c r="C566" s="98"/>
      <c r="D566" s="98"/>
      <c r="E566" s="98"/>
      <c r="F566" s="98"/>
      <c r="G566" s="98"/>
    </row>
    <row r="567" spans="8:8" ht="41.25" customHeight="1">
      <c r="A567" s="84"/>
      <c r="B567" s="98"/>
      <c r="C567" s="98"/>
      <c r="D567" s="98"/>
      <c r="E567" s="98"/>
      <c r="F567" s="98"/>
      <c r="G567" s="98"/>
    </row>
    <row r="568" spans="8:8" ht="41.25" customHeight="1">
      <c r="A568" s="84"/>
      <c r="B568" s="98"/>
      <c r="C568" s="98"/>
      <c r="D568" s="98"/>
      <c r="E568" s="98"/>
      <c r="F568" s="98"/>
      <c r="G568" s="98"/>
    </row>
    <row r="569" spans="8:8" ht="41.25" customHeight="1">
      <c r="A569" s="84"/>
      <c r="B569" s="98"/>
      <c r="C569" s="98"/>
      <c r="D569" s="98"/>
      <c r="E569" s="98"/>
      <c r="F569" s="98"/>
      <c r="G569" s="98"/>
    </row>
    <row r="570" spans="8:8" ht="41.25" customHeight="1">
      <c r="A570" s="84"/>
      <c r="B570" s="98"/>
      <c r="C570" s="98"/>
      <c r="D570" s="98"/>
      <c r="E570" s="98"/>
      <c r="F570" s="98"/>
      <c r="G570" s="98"/>
    </row>
    <row r="571" spans="8:8" ht="41.25" customHeight="1">
      <c r="A571" s="84"/>
      <c r="B571" s="98"/>
      <c r="C571" s="98"/>
      <c r="D571" s="98"/>
      <c r="E571" s="98"/>
      <c r="F571" s="98"/>
      <c r="G571" s="99"/>
    </row>
    <row r="572" spans="8:8" ht="41.25" customHeight="1">
      <c r="A572" s="84"/>
      <c r="B572" s="98"/>
      <c r="C572" s="98"/>
      <c r="D572" s="98"/>
      <c r="E572" s="98"/>
      <c r="F572" s="98"/>
      <c r="G572" s="99"/>
    </row>
    <row r="573" spans="8:8" ht="41.25" customHeight="1">
      <c r="A573" s="84"/>
      <c r="B573" s="98"/>
      <c r="C573" s="98"/>
      <c r="D573" s="98"/>
      <c r="E573" s="98"/>
      <c r="F573" s="98"/>
      <c r="G573" s="99"/>
    </row>
    <row r="574" spans="8:8" ht="41.25" customHeight="1">
      <c r="A574" s="84"/>
      <c r="B574" s="98"/>
      <c r="C574" s="98"/>
      <c r="D574" s="98"/>
      <c r="E574" s="98"/>
      <c r="F574" s="98"/>
      <c r="G574" s="99"/>
    </row>
    <row r="575" spans="8:8" ht="41.25" customHeight="1">
      <c r="A575" s="84"/>
      <c r="B575" s="98"/>
      <c r="C575" s="98"/>
      <c r="D575" s="98"/>
      <c r="E575" s="98"/>
      <c r="F575" s="98"/>
      <c r="G575" s="99"/>
    </row>
    <row r="576" spans="8:8" ht="41.25" customHeight="1">
      <c r="A576" s="84"/>
      <c r="B576" s="98"/>
      <c r="C576" s="98"/>
      <c r="D576" s="98"/>
      <c r="E576" s="98"/>
      <c r="F576" s="98"/>
      <c r="G576" s="99"/>
    </row>
    <row r="577" spans="8:8" ht="41.25" customHeight="1">
      <c r="A577" s="84"/>
      <c r="B577" s="98"/>
      <c r="C577" s="98"/>
      <c r="D577" s="98"/>
      <c r="E577" s="98"/>
      <c r="F577" s="98"/>
      <c r="G577" s="99"/>
    </row>
    <row r="578" spans="8:8" ht="41.25" customHeight="1">
      <c r="A578" s="84"/>
      <c r="B578" s="98"/>
      <c r="C578" s="98"/>
      <c r="D578" s="98"/>
      <c r="E578" s="98"/>
      <c r="F578" s="98"/>
      <c r="G578" s="99"/>
    </row>
    <row r="579" spans="8:8" ht="41.25" customHeight="1">
      <c r="A579" s="84"/>
      <c r="B579" s="98"/>
      <c r="C579" s="98"/>
      <c r="D579" s="98"/>
      <c r="E579" s="98"/>
      <c r="F579" s="98"/>
      <c r="G579" s="99"/>
    </row>
    <row r="580" spans="8:8" ht="41.25" customHeight="1">
      <c r="A580" s="84"/>
      <c r="B580" s="98"/>
      <c r="C580" s="98"/>
      <c r="D580" s="98"/>
      <c r="E580" s="98"/>
      <c r="F580" s="98"/>
      <c r="G580" s="99"/>
    </row>
    <row r="581" spans="8:8" ht="41.25" customHeight="1">
      <c r="A581" s="84"/>
      <c r="B581" s="98"/>
      <c r="C581" s="98"/>
      <c r="D581" s="98"/>
      <c r="E581" s="98"/>
      <c r="F581" s="98"/>
      <c r="G581" s="99"/>
    </row>
    <row r="582" spans="8:8" ht="41.25" customHeight="1">
      <c r="A582" s="84"/>
      <c r="B582" s="98"/>
      <c r="C582" s="98"/>
      <c r="D582" s="98"/>
      <c r="E582" s="98"/>
      <c r="F582" s="98"/>
      <c r="G582" s="99"/>
    </row>
    <row r="583" spans="8:8" ht="41.25" customHeight="1">
      <c r="A583" s="84"/>
      <c r="B583" s="98"/>
      <c r="C583" s="98"/>
      <c r="D583" s="98"/>
      <c r="E583" s="98"/>
      <c r="F583" s="98"/>
      <c r="G583" s="99"/>
    </row>
    <row r="584" spans="8:8" ht="41.25" customHeight="1">
      <c r="A584" s="84"/>
      <c r="B584" s="98"/>
      <c r="C584" s="98"/>
      <c r="D584" s="98"/>
      <c r="E584" s="98"/>
      <c r="F584" s="98"/>
      <c r="G584" s="99"/>
    </row>
    <row r="585" spans="8:8" ht="41.25" customHeight="1">
      <c r="A585" s="84"/>
      <c r="B585" s="98"/>
      <c r="C585" s="98"/>
      <c r="D585" s="98"/>
      <c r="E585" s="98"/>
      <c r="F585" s="98"/>
      <c r="G585" s="99"/>
    </row>
    <row r="586" spans="8:8" ht="41.25" customHeight="1">
      <c r="A586" s="84"/>
      <c r="B586" s="98"/>
      <c r="C586" s="98"/>
      <c r="D586" s="98"/>
      <c r="E586" s="98"/>
      <c r="F586" s="98"/>
      <c r="G586" s="99"/>
    </row>
    <row r="587" spans="8:8" ht="41.25" customHeight="1">
      <c r="A587" s="84"/>
      <c r="B587" s="98"/>
      <c r="C587" s="98"/>
      <c r="D587" s="98"/>
      <c r="E587" s="98"/>
      <c r="F587" s="98"/>
      <c r="G587" s="99"/>
    </row>
    <row r="588" spans="8:8" ht="41.25" customHeight="1">
      <c r="A588" s="84"/>
      <c r="B588" s="98"/>
      <c r="C588" s="98"/>
      <c r="D588" s="98"/>
      <c r="E588" s="98"/>
      <c r="F588" s="98"/>
      <c r="G588" s="99"/>
    </row>
    <row r="589" spans="8:8" ht="41.25" customHeight="1">
      <c r="A589" s="84"/>
      <c r="B589" s="98"/>
      <c r="C589" s="98"/>
      <c r="D589" s="98"/>
      <c r="E589" s="98"/>
      <c r="F589" s="98"/>
      <c r="G589" s="99"/>
    </row>
    <row r="590" spans="8:8" ht="41.25" customHeight="1">
      <c r="A590" s="84"/>
      <c r="B590" s="98"/>
      <c r="C590" s="98"/>
      <c r="D590" s="98"/>
      <c r="E590" s="98"/>
      <c r="F590" s="98"/>
      <c r="G590" s="99"/>
    </row>
    <row r="591" spans="8:8" ht="41.25" customHeight="1">
      <c r="A591" s="84"/>
      <c r="B591" s="98"/>
      <c r="C591" s="98"/>
      <c r="D591" s="98"/>
      <c r="E591" s="98"/>
      <c r="F591" s="98"/>
      <c r="G591" s="99"/>
    </row>
    <row r="592" spans="8:8" ht="41.25" customHeight="1">
      <c r="A592" s="84"/>
      <c r="B592" s="98"/>
      <c r="C592" s="98"/>
      <c r="D592" s="98"/>
      <c r="E592" s="98"/>
      <c r="F592" s="98"/>
      <c r="G592" s="99"/>
    </row>
    <row r="593" spans="8:8" ht="41.25" customHeight="1">
      <c r="A593" s="84"/>
      <c r="B593" s="98"/>
      <c r="C593" s="98"/>
      <c r="D593" s="98"/>
      <c r="E593" s="98"/>
      <c r="F593" s="98"/>
      <c r="G593" s="99"/>
    </row>
    <row r="594" spans="8:8" ht="41.25" customHeight="1">
      <c r="A594" s="84"/>
      <c r="B594" s="98"/>
      <c r="C594" s="98"/>
      <c r="D594" s="98"/>
      <c r="E594" s="98"/>
      <c r="F594" s="98"/>
      <c r="G594" s="99"/>
    </row>
    <row r="595" spans="8:8" ht="41.25" customHeight="1">
      <c r="A595" s="84"/>
      <c r="B595" s="98"/>
      <c r="C595" s="98"/>
      <c r="D595" s="98"/>
      <c r="E595" s="98"/>
      <c r="F595" s="98"/>
      <c r="G595" s="99"/>
    </row>
    <row r="596" spans="8:8" ht="41.25" customHeight="1">
      <c r="A596" s="84"/>
      <c r="B596" s="98"/>
      <c r="C596" s="98"/>
      <c r="D596" s="98"/>
      <c r="E596" s="98"/>
      <c r="F596" s="98"/>
      <c r="G596" s="99"/>
    </row>
    <row r="597" spans="8:8" ht="41.25" customHeight="1">
      <c r="A597" s="84"/>
      <c r="B597" s="98"/>
      <c r="C597" s="98"/>
      <c r="D597" s="98"/>
      <c r="E597" s="98"/>
      <c r="F597" s="98"/>
      <c r="G597" s="99"/>
    </row>
    <row r="598" spans="8:8" ht="41.25" customHeight="1">
      <c r="A598" s="84"/>
      <c r="B598" s="98"/>
      <c r="C598" s="98"/>
      <c r="D598" s="98"/>
      <c r="E598" s="98"/>
      <c r="F598" s="98"/>
      <c r="G598" s="99"/>
    </row>
    <row r="599" spans="8:8" ht="41.25" customHeight="1">
      <c r="A599" s="84"/>
      <c r="B599" s="98"/>
      <c r="C599" s="98"/>
      <c r="D599" s="98"/>
      <c r="E599" s="98"/>
      <c r="F599" s="98"/>
      <c r="G599" s="99"/>
    </row>
    <row r="600" spans="8:8" ht="41.25" customHeight="1">
      <c r="A600" s="84"/>
      <c r="B600" s="98"/>
      <c r="C600" s="98"/>
      <c r="D600" s="98"/>
      <c r="E600" s="98"/>
      <c r="F600" s="98"/>
      <c r="G600" s="99"/>
    </row>
    <row r="601" spans="8:8" ht="41.25" customHeight="1">
      <c r="A601" s="84"/>
      <c r="B601" s="98"/>
      <c r="C601" s="98"/>
      <c r="D601" s="98"/>
      <c r="E601" s="98"/>
      <c r="F601" s="98"/>
      <c r="G601" s="99"/>
    </row>
    <row r="602" spans="8:8" ht="41.25" customHeight="1">
      <c r="A602" s="84"/>
      <c r="B602" s="98"/>
      <c r="C602" s="98"/>
      <c r="D602" s="98"/>
      <c r="E602" s="98"/>
      <c r="F602" s="98"/>
      <c r="G602" s="99"/>
    </row>
    <row r="603" spans="8:8" ht="41.25" customHeight="1">
      <c r="A603" s="84"/>
      <c r="B603" s="98"/>
      <c r="C603" s="98"/>
      <c r="D603" s="98"/>
      <c r="E603" s="98"/>
      <c r="F603" s="98"/>
      <c r="G603" s="99"/>
    </row>
    <row r="604" spans="8:8" ht="41.25" customHeight="1">
      <c r="A604" s="84"/>
      <c r="B604" s="98"/>
      <c r="C604" s="98"/>
      <c r="D604" s="98"/>
      <c r="E604" s="98"/>
      <c r="F604" s="98"/>
      <c r="G604" s="99"/>
    </row>
    <row r="605" spans="8:8" ht="41.25" customHeight="1">
      <c r="A605" s="84"/>
      <c r="B605" s="98"/>
      <c r="C605" s="98"/>
      <c r="D605" s="98"/>
      <c r="E605" s="98"/>
      <c r="F605" s="98"/>
      <c r="G605" s="99"/>
    </row>
    <row r="606" spans="8:8" ht="41.25" customHeight="1">
      <c r="A606" s="84"/>
      <c r="B606" s="98"/>
      <c r="C606" s="98"/>
      <c r="D606" s="98"/>
      <c r="E606" s="98"/>
      <c r="F606" s="98"/>
      <c r="G606" s="99"/>
    </row>
    <row r="607" spans="8:8" ht="41.25" customHeight="1">
      <c r="A607" s="84"/>
      <c r="B607" s="98"/>
      <c r="C607" s="98"/>
      <c r="D607" s="98"/>
      <c r="E607" s="98"/>
      <c r="F607" s="98"/>
      <c r="G607" s="99"/>
    </row>
    <row r="608" spans="8:8" ht="41.25" customHeight="1">
      <c r="A608" s="84"/>
      <c r="B608" s="98"/>
      <c r="C608" s="98"/>
      <c r="D608" s="98"/>
      <c r="E608" s="98"/>
      <c r="F608" s="98"/>
      <c r="G608" s="99"/>
    </row>
    <row r="609" spans="8:8" ht="41.25" customHeight="1">
      <c r="A609" s="84"/>
      <c r="B609" s="98"/>
      <c r="C609" s="98"/>
      <c r="D609" s="98"/>
      <c r="E609" s="98"/>
      <c r="F609" s="98"/>
      <c r="G609" s="99"/>
    </row>
    <row r="610" spans="8:8" ht="41.25" customHeight="1">
      <c r="A610" s="84"/>
      <c r="B610" s="98"/>
      <c r="C610" s="98"/>
      <c r="D610" s="98"/>
      <c r="E610" s="98"/>
      <c r="F610" s="98"/>
      <c r="G610" s="99"/>
    </row>
    <row r="611" spans="8:8" ht="41.25" customHeight="1">
      <c r="A611" s="84"/>
      <c r="B611" s="98"/>
      <c r="C611" s="98"/>
      <c r="D611" s="98"/>
      <c r="E611" s="98"/>
      <c r="F611" s="98"/>
      <c r="G611" s="99"/>
    </row>
    <row r="612" spans="8:8" ht="41.25" customHeight="1">
      <c r="A612" s="84"/>
      <c r="B612" s="98"/>
      <c r="C612" s="98"/>
      <c r="D612" s="98"/>
      <c r="E612" s="98"/>
      <c r="F612" s="98"/>
      <c r="G612" s="99"/>
    </row>
    <row r="613" spans="8:8" ht="41.25" customHeight="1">
      <c r="A613" s="84"/>
      <c r="B613" s="100"/>
      <c r="C613" s="100"/>
      <c r="D613" s="100"/>
      <c r="E613" s="100"/>
      <c r="F613" s="100"/>
      <c r="G613" s="101"/>
    </row>
    <row r="614" spans="8:8" ht="41.25" customHeight="1">
      <c r="A614" s="84"/>
      <c r="B614" s="100"/>
      <c r="C614" s="100"/>
      <c r="D614" s="100"/>
      <c r="E614" s="100"/>
      <c r="F614" s="100"/>
      <c r="G614" s="101"/>
    </row>
    <row r="615" spans="8:8" ht="41.25" customHeight="1">
      <c r="A615" s="102"/>
      <c r="B615" s="103"/>
      <c r="C615" s="103"/>
      <c r="D615" s="103"/>
      <c r="E615" s="103"/>
      <c r="F615" s="104"/>
      <c r="G615" s="104"/>
    </row>
    <row r="616" spans="8:8" ht="41.25" customHeight="1">
      <c r="A616" s="102"/>
      <c r="B616" s="103"/>
      <c r="C616" s="103"/>
      <c r="D616" s="103"/>
      <c r="E616" s="103"/>
      <c r="F616" s="104"/>
      <c r="G616" s="104"/>
    </row>
    <row r="617" spans="8:8" ht="41.25" customHeight="1">
      <c r="A617" s="102"/>
      <c r="B617" s="103"/>
      <c r="C617" s="103"/>
      <c r="D617" s="103"/>
      <c r="E617" s="103"/>
      <c r="F617" s="104"/>
      <c r="G617" s="104"/>
    </row>
    <row r="618" spans="8:8" ht="41.25" customHeight="1">
      <c r="A618" s="102"/>
      <c r="B618" s="103"/>
      <c r="C618" s="103"/>
      <c r="D618" s="103"/>
      <c r="E618" s="103"/>
      <c r="F618" s="104"/>
      <c r="G618" s="104"/>
    </row>
    <row r="619" spans="8:8" ht="41.25" customHeight="1">
      <c r="A619" s="102"/>
      <c r="B619" s="103"/>
      <c r="C619" s="103"/>
      <c r="D619" s="103"/>
      <c r="E619" s="103"/>
      <c r="F619" s="104"/>
      <c r="G619" s="104"/>
    </row>
    <row r="620" spans="8:8" ht="41.25" customHeight="1">
      <c r="A620" s="102"/>
      <c r="B620" s="103"/>
      <c r="C620" s="103"/>
      <c r="D620" s="103"/>
      <c r="E620" s="103"/>
      <c r="F620" s="104"/>
      <c r="G620" s="104"/>
    </row>
    <row r="621" spans="8:8" ht="41.25" customHeight="1">
      <c r="A621" s="102"/>
      <c r="B621" s="103"/>
      <c r="C621" s="103"/>
      <c r="D621" s="103"/>
      <c r="E621" s="103"/>
      <c r="F621" s="104"/>
      <c r="G621" s="104"/>
    </row>
    <row r="622" spans="8:8" ht="41.25" customHeight="1">
      <c r="A622" s="102"/>
      <c r="B622" s="103"/>
      <c r="C622" s="103"/>
      <c r="D622" s="103"/>
      <c r="E622" s="103"/>
      <c r="F622" s="104"/>
      <c r="G622" s="104"/>
    </row>
    <row r="623" spans="8:8" ht="41.25" customHeight="1">
      <c r="A623" s="105"/>
      <c r="B623" s="103"/>
      <c r="C623" s="103"/>
      <c r="D623" s="103"/>
      <c r="E623" s="103"/>
      <c r="F623" s="104"/>
      <c r="G623" s="104"/>
    </row>
    <row r="624" spans="8:8" ht="41.25" customHeight="1">
      <c r="A624" s="105"/>
      <c r="B624" s="103"/>
      <c r="C624" s="103"/>
      <c r="D624" s="103"/>
      <c r="E624" s="103"/>
      <c r="F624" s="104"/>
      <c r="G624" s="104"/>
    </row>
    <row r="625" spans="8:8" ht="41.25" customHeight="1">
      <c r="A625" s="105"/>
      <c r="B625" s="103"/>
      <c r="C625" s="103"/>
      <c r="D625" s="103"/>
      <c r="E625" s="103"/>
      <c r="F625" s="104"/>
      <c r="G625" s="104"/>
    </row>
    <row r="626" spans="8:8" ht="41.25" customHeight="1">
      <c r="A626" s="103"/>
      <c r="B626" s="103"/>
      <c r="C626" s="103"/>
      <c r="D626" s="103"/>
      <c r="E626" s="103"/>
      <c r="F626" s="104"/>
      <c r="G626" s="104"/>
    </row>
    <row r="627" spans="8:8" ht="41.25" customHeight="1">
      <c r="A627" s="103"/>
      <c r="B627" s="103"/>
      <c r="C627" s="103"/>
      <c r="D627" s="103"/>
      <c r="E627" s="103"/>
      <c r="F627" s="104"/>
      <c r="G627" s="104"/>
    </row>
    <row r="628" spans="8:8" ht="41.25" customHeight="1">
      <c r="A628" s="103"/>
      <c r="B628" s="103"/>
      <c r="C628" s="103"/>
      <c r="D628" s="103"/>
      <c r="E628" s="103"/>
      <c r="F628" s="104"/>
      <c r="G628" s="104"/>
    </row>
    <row r="629" spans="8:8" ht="41.25" customHeight="1">
      <c r="A629" s="103"/>
      <c r="B629" s="103"/>
      <c r="C629" s="103"/>
      <c r="D629" s="103"/>
      <c r="E629" s="103"/>
      <c r="F629" s="104"/>
      <c r="G629" s="104"/>
    </row>
    <row r="630" spans="8:8" ht="41.25" customHeight="1">
      <c r="A630" s="103"/>
      <c r="B630" s="103"/>
      <c r="C630" s="103"/>
      <c r="D630" s="103"/>
      <c r="E630" s="103"/>
      <c r="F630" s="104"/>
      <c r="G630" s="104"/>
    </row>
    <row r="631" spans="8:8" ht="41.25" customHeight="1">
      <c r="A631" s="103"/>
      <c r="B631" s="103"/>
      <c r="C631" s="103"/>
      <c r="D631" s="103"/>
      <c r="E631" s="103"/>
      <c r="F631" s="104"/>
      <c r="G631" s="104"/>
    </row>
    <row r="632" spans="8:8" ht="41.25" customHeight="1">
      <c r="A632" s="103"/>
      <c r="B632" s="103"/>
      <c r="C632" s="103"/>
      <c r="D632" s="103"/>
      <c r="E632" s="103"/>
      <c r="F632" s="104"/>
      <c r="G632" s="104"/>
    </row>
    <row r="633" spans="8:8" ht="41.25" customHeight="1">
      <c r="A633" s="103"/>
      <c r="B633" s="103"/>
      <c r="C633" s="103"/>
      <c r="D633" s="103"/>
      <c r="E633" s="103"/>
      <c r="F633" s="104"/>
      <c r="G633" s="104"/>
    </row>
    <row r="634" spans="8:8" ht="41.25" customHeight="1">
      <c r="A634" s="103"/>
      <c r="B634" s="103"/>
      <c r="C634" s="103"/>
      <c r="D634" s="103"/>
      <c r="E634" s="103"/>
      <c r="F634" s="104"/>
      <c r="G634" s="104"/>
    </row>
    <row r="635" spans="8:8" ht="41.25" customHeight="1">
      <c r="A635" s="103"/>
      <c r="B635" s="103"/>
      <c r="C635" s="103"/>
      <c r="D635" s="103"/>
      <c r="E635" s="103"/>
      <c r="F635" s="104"/>
      <c r="G635" s="104"/>
    </row>
    <row r="636" spans="8:8" ht="41.25" customHeight="1">
      <c r="A636" s="103"/>
      <c r="B636" s="103"/>
      <c r="C636" s="103"/>
      <c r="D636" s="103"/>
      <c r="E636" s="103"/>
      <c r="F636" s="104"/>
      <c r="G636" s="104"/>
    </row>
    <row r="637" spans="8:8" ht="41.25" customHeight="1">
      <c r="A637" s="103"/>
      <c r="B637" s="106"/>
      <c r="C637" s="106"/>
      <c r="D637" s="106"/>
      <c r="E637" s="106"/>
      <c r="F637" s="104"/>
      <c r="G637" s="104"/>
    </row>
    <row r="638" spans="8:8" ht="41.25" customHeight="1">
      <c r="A638" s="103"/>
      <c r="B638" s="106"/>
      <c r="C638" s="106"/>
      <c r="D638" s="106"/>
      <c r="E638" s="106"/>
      <c r="F638" s="104"/>
      <c r="G638" s="104"/>
    </row>
    <row r="639" spans="8:8" ht="41.25" customHeight="1">
      <c r="A639" s="103"/>
      <c r="B639" s="106"/>
      <c r="C639" s="106"/>
      <c r="D639" s="106"/>
      <c r="E639" s="106"/>
      <c r="F639" s="104"/>
      <c r="G639" s="104"/>
    </row>
    <row r="640" spans="8:8" ht="41.25" customHeight="1">
      <c r="A640" s="103"/>
      <c r="B640" s="106"/>
      <c r="C640" s="106"/>
      <c r="D640" s="106"/>
      <c r="E640" s="106"/>
      <c r="F640" s="104"/>
      <c r="G640" s="104"/>
    </row>
    <row r="641" spans="8:8" ht="41.25" customHeight="1">
      <c r="A641" s="103"/>
      <c r="B641" s="106"/>
      <c r="C641" s="106"/>
      <c r="D641" s="106"/>
      <c r="E641" s="106"/>
      <c r="F641" s="104"/>
      <c r="G641" s="104"/>
    </row>
    <row r="642" spans="8:8" ht="41.25" customHeight="1">
      <c r="A642" s="103"/>
      <c r="B642" s="106"/>
      <c r="C642" s="106"/>
      <c r="D642" s="106"/>
      <c r="E642" s="106"/>
      <c r="F642" s="104"/>
      <c r="G642" s="104"/>
    </row>
    <row r="643" spans="8:8" ht="41.25" customHeight="1">
      <c r="A643" s="103"/>
      <c r="B643" s="106"/>
      <c r="C643" s="106"/>
      <c r="D643" s="106"/>
      <c r="E643" s="106"/>
      <c r="F643" s="104"/>
      <c r="G643" s="104"/>
    </row>
    <row r="644" spans="8:8" ht="41.25" customHeight="1">
      <c r="A644" s="103"/>
      <c r="B644" s="106"/>
      <c r="C644" s="106"/>
      <c r="D644" s="106"/>
      <c r="E644" s="106"/>
      <c r="F644" s="104"/>
      <c r="G644" s="104"/>
    </row>
    <row r="645" spans="8:8" ht="41.25" customHeight="1">
      <c r="A645" s="103"/>
      <c r="B645" s="106"/>
      <c r="C645" s="106"/>
      <c r="D645" s="106"/>
      <c r="E645" s="106"/>
      <c r="F645" s="104"/>
      <c r="G645" s="104"/>
    </row>
    <row r="646" spans="8:8" ht="41.25" customHeight="1">
      <c r="A646" s="103"/>
      <c r="B646" s="106"/>
      <c r="C646" s="106"/>
      <c r="D646" s="106"/>
      <c r="E646" s="106"/>
      <c r="F646" s="104"/>
      <c r="G646" s="104"/>
    </row>
    <row r="647" spans="8:8" ht="41.25" customHeight="1">
      <c r="A647" s="103"/>
      <c r="B647" s="106"/>
      <c r="C647" s="106"/>
      <c r="D647" s="106"/>
      <c r="E647" s="106"/>
      <c r="F647" s="104"/>
      <c r="G647" s="104"/>
    </row>
    <row r="648" spans="8:8" ht="41.25" customHeight="1">
      <c r="A648" s="103"/>
      <c r="B648" s="106"/>
      <c r="C648" s="106"/>
      <c r="D648" s="106"/>
      <c r="E648" s="106"/>
      <c r="F648" s="104"/>
      <c r="G648" s="104"/>
    </row>
    <row r="649" spans="8:8" ht="41.25" customHeight="1">
      <c r="A649" s="103"/>
      <c r="B649" s="106"/>
      <c r="C649" s="106"/>
      <c r="D649" s="106"/>
      <c r="E649" s="106"/>
      <c r="F649" s="104"/>
      <c r="G649" s="104"/>
    </row>
    <row r="650" spans="8:8" ht="41.25" customHeight="1">
      <c r="A650" s="103"/>
      <c r="B650" s="106"/>
      <c r="C650" s="106"/>
      <c r="D650" s="106"/>
      <c r="E650" s="106"/>
      <c r="F650" s="104"/>
      <c r="G650" s="104"/>
    </row>
    <row r="651" spans="8:8" ht="41.25" customHeight="1">
      <c r="A651" s="103"/>
      <c r="B651" s="106"/>
      <c r="C651" s="106"/>
      <c r="D651" s="106"/>
      <c r="E651" s="106"/>
      <c r="F651" s="104"/>
      <c r="G651" s="104"/>
    </row>
    <row r="652" spans="8:8" ht="41.25" customHeight="1">
      <c r="A652" s="103"/>
      <c r="B652" s="106"/>
      <c r="C652" s="106"/>
      <c r="D652" s="106"/>
      <c r="E652" s="106"/>
      <c r="F652" s="104"/>
      <c r="G652" s="104"/>
    </row>
    <row r="653" spans="8:8" ht="41.25" customHeight="1">
      <c r="A653" s="103"/>
      <c r="B653" s="106"/>
      <c r="C653" s="106"/>
      <c r="D653" s="106"/>
      <c r="E653" s="106"/>
      <c r="F653" s="104"/>
      <c r="G653" s="104"/>
    </row>
    <row r="654" spans="8:8" ht="41.25" customHeight="1">
      <c r="A654" s="103"/>
      <c r="B654" s="106"/>
      <c r="C654" s="106"/>
      <c r="D654" s="106"/>
      <c r="E654" s="106"/>
      <c r="F654" s="104"/>
      <c r="G654" s="104"/>
    </row>
    <row r="655" spans="8:8" ht="41.25" customHeight="1">
      <c r="A655" s="103"/>
      <c r="B655" s="106"/>
      <c r="C655" s="106"/>
      <c r="D655" s="106"/>
      <c r="E655" s="106"/>
      <c r="F655" s="104"/>
      <c r="G655" s="104"/>
    </row>
    <row r="656" spans="8:8" ht="41.25" customHeight="1">
      <c r="A656" s="103"/>
      <c r="B656" s="106"/>
      <c r="C656" s="106"/>
      <c r="D656" s="106"/>
      <c r="E656" s="106"/>
      <c r="F656" s="104"/>
      <c r="G656" s="104"/>
    </row>
    <row r="657" spans="8:8" ht="41.25" customHeight="1">
      <c r="A657" s="103"/>
      <c r="B657" s="106"/>
      <c r="C657" s="106"/>
      <c r="D657" s="106"/>
      <c r="E657" s="106"/>
      <c r="F657" s="104"/>
      <c r="G657" s="104"/>
    </row>
    <row r="658" spans="8:8" ht="41.25" customHeight="1">
      <c r="A658" s="103"/>
      <c r="B658" s="106"/>
      <c r="C658" s="106"/>
      <c r="D658" s="106"/>
      <c r="E658" s="106"/>
      <c r="F658" s="104"/>
      <c r="G658" s="104"/>
    </row>
    <row r="659" spans="8:8" ht="41.25" customHeight="1">
      <c r="A659" s="103"/>
      <c r="B659" s="103"/>
      <c r="C659" s="103"/>
      <c r="D659" s="103"/>
      <c r="E659" s="103"/>
      <c r="F659" s="104"/>
      <c r="G659" s="104"/>
    </row>
    <row r="660" spans="8:8" ht="41.25" customHeight="1">
      <c r="A660" s="103"/>
      <c r="B660" s="103"/>
      <c r="C660" s="103"/>
      <c r="D660" s="103"/>
      <c r="E660" s="103"/>
      <c r="F660" s="104"/>
      <c r="G660" s="104"/>
    </row>
    <row r="661" spans="8:8" ht="41.25" customHeight="1">
      <c r="A661" s="103"/>
      <c r="B661" s="103"/>
      <c r="C661" s="103"/>
      <c r="D661" s="103"/>
      <c r="E661" s="103"/>
      <c r="F661" s="104"/>
      <c r="G661" s="104"/>
    </row>
    <row r="662" spans="8:8" ht="41.25" customHeight="1">
      <c r="A662" s="103"/>
      <c r="B662" s="103"/>
      <c r="C662" s="103"/>
      <c r="D662" s="103"/>
      <c r="E662" s="103"/>
      <c r="F662" s="104"/>
      <c r="G662" s="104"/>
    </row>
    <row r="663" spans="8:8" ht="41.25" customHeight="1">
      <c r="A663" s="103"/>
      <c r="B663" s="103"/>
      <c r="C663" s="103"/>
      <c r="D663" s="103"/>
      <c r="E663" s="103"/>
      <c r="F663" s="104"/>
      <c r="G663" s="104"/>
    </row>
    <row r="664" spans="8:8" ht="41.25" customHeight="1">
      <c r="A664" s="103"/>
      <c r="B664" s="103"/>
      <c r="C664" s="103"/>
      <c r="D664" s="103"/>
      <c r="E664" s="103"/>
      <c r="F664" s="104"/>
      <c r="G664" s="104"/>
    </row>
    <row r="665" spans="8:8" ht="41.25" customHeight="1">
      <c r="A665" s="103"/>
      <c r="B665" s="103"/>
      <c r="C665" s="103"/>
      <c r="D665" s="103"/>
      <c r="E665" s="103"/>
      <c r="F665" s="104"/>
      <c r="G665" s="104"/>
    </row>
    <row r="666" spans="8:8" ht="41.25" customHeight="1">
      <c r="A666" s="103"/>
      <c r="B666" s="103"/>
      <c r="C666" s="103"/>
      <c r="D666" s="103"/>
      <c r="E666" s="103"/>
      <c r="F666" s="104"/>
      <c r="G666" s="104"/>
    </row>
    <row r="667" spans="8:8" ht="41.25" customHeight="1">
      <c r="A667" s="103"/>
      <c r="B667" s="103"/>
      <c r="C667" s="103"/>
      <c r="D667" s="103"/>
      <c r="E667" s="103"/>
      <c r="F667" s="104"/>
      <c r="G667" s="104"/>
    </row>
    <row r="668" spans="8:8" ht="41.25" customHeight="1">
      <c r="A668" s="103"/>
      <c r="B668" s="103"/>
      <c r="C668" s="103"/>
      <c r="D668" s="103"/>
      <c r="E668" s="103"/>
      <c r="F668" s="104"/>
      <c r="G668" s="104"/>
    </row>
    <row r="669" spans="8:8" ht="41.25" customHeight="1">
      <c r="A669" s="103"/>
      <c r="B669" s="103"/>
      <c r="C669" s="103"/>
      <c r="D669" s="103"/>
      <c r="E669" s="103"/>
      <c r="F669" s="104"/>
      <c r="G669" s="104"/>
    </row>
    <row r="670" spans="8:8" ht="41.25" customHeight="1">
      <c r="A670" s="103"/>
      <c r="B670" s="103"/>
      <c r="C670" s="103"/>
      <c r="D670" s="103"/>
      <c r="E670" s="103"/>
      <c r="F670" s="104"/>
      <c r="G670" s="104"/>
    </row>
    <row r="671" spans="8:8" ht="41.25" customHeight="1">
      <c r="A671" s="103"/>
      <c r="B671" s="103"/>
      <c r="C671" s="103"/>
      <c r="D671" s="103"/>
      <c r="E671" s="103"/>
      <c r="F671" s="104"/>
      <c r="G671" s="104"/>
    </row>
    <row r="672" spans="8:8" ht="41.25" customHeight="1">
      <c r="A672" s="103"/>
      <c r="B672" s="103"/>
      <c r="C672" s="103"/>
      <c r="D672" s="103"/>
      <c r="E672" s="103"/>
      <c r="F672" s="104"/>
      <c r="G672" s="104"/>
    </row>
    <row r="673" spans="8:8" ht="41.25" customHeight="1">
      <c r="A673" s="103"/>
      <c r="B673" s="103"/>
      <c r="C673" s="103"/>
      <c r="D673" s="103"/>
      <c r="E673" s="103"/>
      <c r="F673" s="104"/>
      <c r="G673" s="104"/>
    </row>
    <row r="674" spans="8:8" ht="41.25" customHeight="1">
      <c r="A674" s="103"/>
      <c r="B674" s="103"/>
      <c r="C674" s="103"/>
      <c r="D674" s="103"/>
      <c r="E674" s="103"/>
      <c r="F674" s="104"/>
      <c r="G674" s="104"/>
    </row>
    <row r="675" spans="8:8" ht="41.25" customHeight="1">
      <c r="A675" s="103"/>
      <c r="B675" s="103"/>
      <c r="C675" s="103"/>
      <c r="D675" s="103"/>
      <c r="E675" s="103"/>
      <c r="F675" s="104"/>
      <c r="G675" s="104"/>
    </row>
    <row r="676" spans="8:8" ht="41.25" customHeight="1">
      <c r="A676" s="103"/>
      <c r="B676" s="103"/>
      <c r="C676" s="103"/>
      <c r="D676" s="103"/>
      <c r="E676" s="103"/>
      <c r="F676" s="104"/>
      <c r="G676" s="104"/>
    </row>
    <row r="677" spans="8:8" ht="41.25" customHeight="1">
      <c r="A677" s="103"/>
      <c r="B677" s="103"/>
      <c r="C677" s="103"/>
      <c r="D677" s="103"/>
      <c r="E677" s="103"/>
      <c r="F677" s="104"/>
      <c r="G677" s="104"/>
    </row>
    <row r="678" spans="8:8" ht="41.25" customHeight="1">
      <c r="A678" s="103"/>
      <c r="B678" s="103"/>
      <c r="C678" s="103"/>
      <c r="D678" s="103"/>
      <c r="E678" s="103"/>
      <c r="F678" s="104"/>
      <c r="G678" s="104"/>
    </row>
    <row r="679" spans="8:8" ht="41.25" customHeight="1">
      <c r="A679" s="103"/>
      <c r="B679" s="103"/>
      <c r="C679" s="103"/>
      <c r="D679" s="103"/>
      <c r="E679" s="103"/>
      <c r="F679" s="104"/>
      <c r="G679" s="104"/>
    </row>
    <row r="680" spans="8:8" ht="41.25" customHeight="1">
      <c r="A680" s="103"/>
      <c r="B680" s="103"/>
      <c r="C680" s="103"/>
      <c r="D680" s="103"/>
      <c r="E680" s="103"/>
      <c r="F680" s="104"/>
      <c r="G680" s="104"/>
    </row>
    <row r="681" spans="8:8" ht="41.25" customHeight="1">
      <c r="A681" s="103"/>
      <c r="B681" s="103"/>
      <c r="C681" s="103"/>
      <c r="D681" s="103"/>
      <c r="E681" s="103"/>
      <c r="F681" s="104"/>
      <c r="G681" s="104"/>
    </row>
    <row r="682" spans="8:8" ht="41.25" customHeight="1">
      <c r="A682" s="103"/>
      <c r="B682" s="103"/>
      <c r="C682" s="103"/>
      <c r="D682" s="103"/>
      <c r="E682" s="103"/>
      <c r="F682" s="104"/>
      <c r="G682" s="104"/>
    </row>
    <row r="683" spans="8:8" ht="41.25" customHeight="1">
      <c r="A683" s="103"/>
      <c r="B683" s="103"/>
      <c r="C683" s="103"/>
      <c r="D683" s="103"/>
      <c r="E683" s="103"/>
      <c r="F683" s="104"/>
      <c r="G683" s="104"/>
    </row>
    <row r="684" spans="8:8" ht="41.25" customHeight="1">
      <c r="A684" s="103"/>
      <c r="B684" s="103"/>
      <c r="C684" s="103"/>
      <c r="D684" s="103"/>
      <c r="E684" s="103"/>
      <c r="F684" s="104"/>
      <c r="G684" s="104"/>
    </row>
    <row r="685" spans="8:8" ht="41.25" customHeight="1">
      <c r="A685" s="103"/>
      <c r="B685" s="103"/>
      <c r="C685" s="103"/>
      <c r="D685" s="103"/>
      <c r="E685" s="103"/>
      <c r="F685" s="104"/>
      <c r="G685" s="104"/>
    </row>
    <row r="686" spans="8:8" ht="41.25" customHeight="1">
      <c r="A686" s="103"/>
      <c r="B686" s="103"/>
      <c r="C686" s="103"/>
      <c r="D686" s="103"/>
      <c r="E686" s="103"/>
      <c r="F686" s="104"/>
      <c r="G686" s="104"/>
    </row>
    <row r="687" spans="8:8" ht="41.25" customHeight="1">
      <c r="A687" s="103"/>
      <c r="B687" s="103"/>
      <c r="C687" s="103"/>
      <c r="D687" s="103"/>
      <c r="E687" s="103"/>
      <c r="F687" s="104"/>
      <c r="G687" s="104"/>
    </row>
    <row r="688" spans="8:8" ht="41.25" customHeight="1">
      <c r="A688" s="103"/>
      <c r="B688" s="103"/>
      <c r="C688" s="103"/>
      <c r="D688" s="103"/>
      <c r="E688" s="103"/>
      <c r="F688" s="104"/>
      <c r="G688" s="104"/>
    </row>
    <row r="689" spans="8:8" ht="41.25" customHeight="1">
      <c r="A689" s="103"/>
      <c r="B689" s="103"/>
      <c r="C689" s="103"/>
      <c r="D689" s="103"/>
      <c r="E689" s="103"/>
      <c r="F689" s="104"/>
      <c r="G689" s="104"/>
    </row>
    <row r="690" spans="8:8" ht="41.25" customHeight="1">
      <c r="A690" s="103"/>
      <c r="B690" s="103"/>
      <c r="C690" s="103"/>
      <c r="D690" s="103"/>
      <c r="E690" s="103"/>
      <c r="F690" s="104"/>
      <c r="G690" s="104"/>
    </row>
    <row r="691" spans="8:8" ht="41.25" customHeight="1">
      <c r="A691" s="103"/>
      <c r="B691" s="103"/>
      <c r="C691" s="103"/>
      <c r="D691" s="103"/>
      <c r="E691" s="103"/>
      <c r="F691" s="104"/>
      <c r="G691" s="104"/>
    </row>
    <row r="692" spans="8:8" ht="41.25" customHeight="1">
      <c r="A692" s="103"/>
      <c r="B692" s="103"/>
      <c r="C692" s="103"/>
      <c r="D692" s="103"/>
      <c r="E692" s="103"/>
      <c r="F692" s="104"/>
      <c r="G692" s="104"/>
    </row>
    <row r="693" spans="8:8" ht="41.25" customHeight="1">
      <c r="A693" s="103"/>
      <c r="B693" s="103"/>
      <c r="C693" s="103"/>
      <c r="D693" s="103"/>
      <c r="E693" s="103"/>
      <c r="F693" s="104"/>
      <c r="G693" s="104"/>
    </row>
    <row r="694" spans="8:8" ht="41.25" customHeight="1">
      <c r="A694" s="103"/>
      <c r="B694" s="103"/>
      <c r="C694" s="103"/>
      <c r="D694" s="103"/>
      <c r="E694" s="103"/>
      <c r="F694" s="104"/>
      <c r="G694" s="104"/>
    </row>
    <row r="695" spans="8:8" ht="41.25" customHeight="1">
      <c r="A695" s="103"/>
      <c r="B695" s="103"/>
      <c r="C695" s="103"/>
      <c r="D695" s="103"/>
      <c r="E695" s="103"/>
      <c r="F695" s="104"/>
      <c r="G695" s="104"/>
    </row>
    <row r="696" spans="8:8" ht="41.25" customHeight="1">
      <c r="A696" s="103"/>
      <c r="B696" s="103"/>
      <c r="C696" s="103"/>
      <c r="D696" s="103"/>
      <c r="E696" s="103"/>
      <c r="F696" s="104"/>
      <c r="G696" s="104"/>
    </row>
    <row r="697" spans="8:8" ht="41.25" customHeight="1">
      <c r="A697" s="103"/>
      <c r="B697" s="103"/>
      <c r="C697" s="103"/>
      <c r="D697" s="103"/>
      <c r="E697" s="103"/>
      <c r="F697" s="104"/>
      <c r="G697" s="104"/>
    </row>
    <row r="698" spans="8:8" ht="41.25" customHeight="1">
      <c r="A698" s="103"/>
      <c r="B698" s="103"/>
      <c r="C698" s="103"/>
      <c r="D698" s="103"/>
      <c r="E698" s="103"/>
      <c r="F698" s="104"/>
      <c r="G698" s="104"/>
    </row>
    <row r="699" spans="8:8" ht="41.25" customHeight="1">
      <c r="A699" s="103"/>
      <c r="B699" s="103"/>
      <c r="C699" s="103"/>
      <c r="D699" s="103"/>
      <c r="E699" s="103"/>
      <c r="F699" s="104"/>
      <c r="G699" s="104"/>
    </row>
    <row r="700" spans="8:8" ht="41.25" customHeight="1">
      <c r="A700" s="103"/>
      <c r="B700" s="103"/>
      <c r="C700" s="103"/>
      <c r="D700" s="103"/>
      <c r="E700" s="103"/>
      <c r="F700" s="104"/>
      <c r="G700" s="104"/>
    </row>
    <row r="701" spans="8:8" ht="41.25" customHeight="1">
      <c r="A701" s="103"/>
      <c r="B701" s="103"/>
      <c r="C701" s="103"/>
      <c r="D701" s="103"/>
      <c r="E701" s="103"/>
      <c r="F701" s="104"/>
      <c r="G701" s="104"/>
    </row>
    <row r="702" spans="8:8" ht="41.25" customHeight="1">
      <c r="A702" s="103"/>
      <c r="B702" s="103"/>
      <c r="C702" s="103"/>
      <c r="D702" s="103"/>
      <c r="E702" s="103"/>
      <c r="F702" s="104"/>
      <c r="G702" s="104"/>
    </row>
    <row r="703" spans="8:8" ht="41.25" customHeight="1">
      <c r="A703" s="103"/>
      <c r="B703" s="103"/>
      <c r="C703" s="103"/>
      <c r="D703" s="103"/>
      <c r="E703" s="103"/>
      <c r="F703" s="104"/>
      <c r="G703" s="104"/>
    </row>
    <row r="704" spans="8:8" ht="41.25" customHeight="1">
      <c r="A704" s="103"/>
      <c r="B704" s="103"/>
      <c r="C704" s="103"/>
      <c r="D704" s="103"/>
      <c r="E704" s="103"/>
      <c r="F704" s="104"/>
      <c r="G704" s="104"/>
    </row>
    <row r="705" spans="8:8" ht="41.25" customHeight="1">
      <c r="A705" s="103"/>
      <c r="B705" s="103"/>
      <c r="C705" s="103"/>
      <c r="D705" s="103"/>
      <c r="E705" s="103"/>
      <c r="F705" s="104"/>
      <c r="G705" s="104"/>
    </row>
    <row r="706" spans="8:8" ht="41.25" customHeight="1">
      <c r="A706" s="103"/>
      <c r="B706" s="103"/>
      <c r="C706" s="103"/>
      <c r="D706" s="103"/>
      <c r="E706" s="103"/>
      <c r="F706" s="104"/>
      <c r="G706" s="104"/>
    </row>
    <row r="707" spans="8:8" ht="41.25" customHeight="1">
      <c r="A707" s="103"/>
      <c r="B707" s="103"/>
      <c r="C707" s="103"/>
      <c r="D707" s="103"/>
      <c r="E707" s="103"/>
      <c r="F707" s="104"/>
      <c r="G707" s="104"/>
    </row>
    <row r="708" spans="8:8" ht="41.25" customHeight="1">
      <c r="A708" s="103"/>
      <c r="B708" s="103"/>
      <c r="C708" s="103"/>
      <c r="D708" s="103"/>
      <c r="E708" s="103"/>
      <c r="F708" s="104"/>
      <c r="G708" s="104"/>
    </row>
    <row r="709" spans="8:8" ht="41.25" customHeight="1">
      <c r="A709" s="103"/>
      <c r="B709" s="103"/>
      <c r="C709" s="103"/>
      <c r="D709" s="103"/>
      <c r="E709" s="103"/>
      <c r="F709" s="104"/>
      <c r="G709" s="104"/>
    </row>
    <row r="710" spans="8:8" ht="41.25" customHeight="1">
      <c r="A710" s="103"/>
      <c r="B710" s="103"/>
      <c r="C710" s="103"/>
      <c r="D710" s="103"/>
      <c r="E710" s="103"/>
      <c r="F710" s="104"/>
      <c r="G710" s="104"/>
    </row>
    <row r="711" spans="8:8" ht="41.25" customHeight="1">
      <c r="A711" s="103"/>
      <c r="B711" s="103"/>
      <c r="C711" s="103"/>
      <c r="D711" s="103"/>
      <c r="E711" s="103"/>
      <c r="F711" s="104"/>
      <c r="G711" s="104"/>
    </row>
    <row r="712" spans="8:8" ht="41.25" customHeight="1">
      <c r="A712" s="103"/>
      <c r="B712" s="103"/>
      <c r="C712" s="103"/>
      <c r="D712" s="103"/>
      <c r="E712" s="103"/>
      <c r="F712" s="104"/>
      <c r="G712" s="104"/>
    </row>
    <row r="713" spans="8:8" ht="41.25" customHeight="1">
      <c r="A713" s="103"/>
      <c r="B713" s="103"/>
      <c r="C713" s="103"/>
      <c r="D713" s="103"/>
      <c r="E713" s="103"/>
      <c r="F713" s="104"/>
      <c r="G713" s="104"/>
    </row>
    <row r="714" spans="8:8" ht="41.25" customHeight="1">
      <c r="A714" s="103"/>
      <c r="B714" s="103"/>
      <c r="C714" s="103"/>
      <c r="D714" s="103"/>
      <c r="E714" s="103"/>
      <c r="F714" s="104"/>
      <c r="G714" s="104"/>
    </row>
    <row r="715" spans="8:8" ht="41.25" customHeight="1">
      <c r="A715" s="103"/>
      <c r="B715" s="103"/>
      <c r="C715" s="103"/>
      <c r="D715" s="103"/>
      <c r="E715" s="103"/>
      <c r="F715" s="104"/>
      <c r="G715" s="104"/>
    </row>
    <row r="716" spans="8:8" ht="41.25" customHeight="1">
      <c r="A716" s="103"/>
      <c r="B716" s="103"/>
      <c r="C716" s="103"/>
      <c r="D716" s="103"/>
      <c r="E716" s="103"/>
      <c r="F716" s="104"/>
      <c r="G716" s="104"/>
    </row>
    <row r="717" spans="8:8" ht="41.25" customHeight="1">
      <c r="A717" s="103"/>
      <c r="B717" s="103"/>
      <c r="C717" s="103"/>
      <c r="D717" s="103"/>
      <c r="E717" s="103"/>
      <c r="F717" s="104"/>
      <c r="G717" s="104"/>
    </row>
    <row r="718" spans="8:8" ht="41.25" customHeight="1">
      <c r="A718" s="103"/>
      <c r="B718" s="103"/>
      <c r="C718" s="103"/>
      <c r="D718" s="103"/>
      <c r="E718" s="103"/>
      <c r="F718" s="104"/>
      <c r="G718" s="104"/>
    </row>
    <row r="719" spans="8:8" ht="41.25" customHeight="1">
      <c r="A719" s="103"/>
      <c r="B719" s="103"/>
      <c r="C719" s="103"/>
      <c r="D719" s="103"/>
      <c r="E719" s="103"/>
      <c r="F719" s="104"/>
      <c r="G719" s="104"/>
    </row>
    <row r="720" spans="8:8" ht="41.25" customHeight="1">
      <c r="A720" s="103"/>
      <c r="B720" s="103"/>
      <c r="C720" s="103"/>
      <c r="D720" s="103"/>
      <c r="E720" s="103"/>
      <c r="F720" s="104"/>
      <c r="G720" s="104"/>
    </row>
    <row r="721" spans="8:8" ht="41.25" customHeight="1">
      <c r="A721" s="103"/>
      <c r="B721" s="103"/>
      <c r="C721" s="103"/>
      <c r="D721" s="103"/>
      <c r="E721" s="103"/>
      <c r="F721" s="104"/>
      <c r="G721" s="104"/>
    </row>
    <row r="722" spans="8:8" ht="41.25" customHeight="1">
      <c r="A722" s="103"/>
      <c r="B722" s="103"/>
      <c r="C722" s="103"/>
      <c r="D722" s="103"/>
      <c r="E722" s="103"/>
      <c r="F722" s="104"/>
      <c r="G722" s="104"/>
    </row>
    <row r="723" spans="8:8" ht="41.25" customHeight="1">
      <c r="A723" s="103"/>
      <c r="B723" s="103"/>
      <c r="C723" s="103"/>
      <c r="D723" s="103"/>
      <c r="E723" s="103"/>
      <c r="F723" s="104"/>
      <c r="G723" s="104"/>
    </row>
    <row r="724" spans="8:8" ht="41.25" customHeight="1">
      <c r="A724" s="103"/>
      <c r="B724" s="103"/>
      <c r="C724" s="103"/>
      <c r="D724" s="103"/>
      <c r="E724" s="103"/>
      <c r="F724" s="104"/>
      <c r="G724" s="104"/>
    </row>
    <row r="725" spans="8:8" ht="41.25" customHeight="1">
      <c r="A725" s="103"/>
      <c r="B725" s="103"/>
      <c r="C725" s="103"/>
      <c r="D725" s="103"/>
      <c r="E725" s="103"/>
      <c r="F725" s="104"/>
      <c r="G725" s="104"/>
    </row>
    <row r="726" spans="8:8" ht="41.25" customHeight="1">
      <c r="A726" s="103"/>
      <c r="B726" s="103"/>
      <c r="C726" s="103"/>
      <c r="D726" s="103"/>
      <c r="E726" s="103"/>
      <c r="F726" s="104"/>
      <c r="G726" s="104"/>
    </row>
    <row r="727" spans="8:8" ht="41.25" customHeight="1">
      <c r="A727" s="103"/>
      <c r="B727" s="103"/>
      <c r="C727" s="103"/>
      <c r="D727" s="103"/>
      <c r="E727" s="103"/>
      <c r="F727" s="104"/>
      <c r="G727" s="104"/>
    </row>
    <row r="728" spans="8:8" ht="41.25" customHeight="1">
      <c r="A728" s="103"/>
      <c r="B728" s="103"/>
      <c r="C728" s="103"/>
      <c r="D728" s="103"/>
      <c r="E728" s="103"/>
      <c r="F728" s="104"/>
      <c r="G728" s="104"/>
    </row>
    <row r="729" spans="8:8" ht="41.25" customHeight="1">
      <c r="A729" s="103"/>
      <c r="B729" s="103"/>
      <c r="C729" s="103"/>
      <c r="D729" s="103"/>
      <c r="E729" s="103"/>
      <c r="F729" s="104"/>
      <c r="G729" s="104"/>
    </row>
    <row r="730" spans="8:8" ht="41.25" customHeight="1">
      <c r="A730" s="103"/>
      <c r="B730" s="103"/>
      <c r="C730" s="103"/>
      <c r="D730" s="103"/>
      <c r="E730" s="103"/>
      <c r="F730" s="104"/>
      <c r="G730" s="104"/>
    </row>
    <row r="731" spans="8:8" ht="41.25" customHeight="1">
      <c r="A731" s="103"/>
      <c r="B731" s="103"/>
      <c r="C731" s="103"/>
      <c r="D731" s="103"/>
      <c r="E731" s="103"/>
      <c r="F731" s="104"/>
      <c r="G731" s="104"/>
    </row>
    <row r="732" spans="8:8" ht="41.25" customHeight="1">
      <c r="A732" s="103"/>
      <c r="B732" s="103"/>
      <c r="C732" s="103"/>
      <c r="D732" s="103"/>
      <c r="E732" s="103"/>
      <c r="F732" s="104"/>
      <c r="G732" s="104"/>
    </row>
    <row r="733" spans="8:8" ht="41.25" customHeight="1">
      <c r="A733" s="103"/>
      <c r="B733" s="103"/>
      <c r="C733" s="103"/>
      <c r="D733" s="103"/>
      <c r="E733" s="103"/>
      <c r="F733" s="104"/>
      <c r="G733" s="104"/>
    </row>
    <row r="734" spans="8:8" ht="41.25" customHeight="1">
      <c r="A734" s="103"/>
      <c r="B734" s="103"/>
      <c r="C734" s="103"/>
      <c r="D734" s="103"/>
      <c r="E734" s="103"/>
      <c r="F734" s="104"/>
      <c r="G734" s="104"/>
    </row>
    <row r="735" spans="8:8" ht="41.25" customHeight="1">
      <c r="A735" s="103"/>
      <c r="B735" s="103"/>
      <c r="C735" s="103"/>
      <c r="D735" s="103"/>
      <c r="E735" s="103"/>
      <c r="F735" s="104"/>
      <c r="G735" s="104"/>
    </row>
    <row r="736" spans="8:8" ht="41.25" customHeight="1">
      <c r="A736" s="103"/>
      <c r="B736" s="103"/>
      <c r="C736" s="103"/>
      <c r="D736" s="103"/>
      <c r="E736" s="103"/>
      <c r="F736" s="104"/>
      <c r="G736" s="104"/>
    </row>
    <row r="737" spans="8:8" ht="41.25" customHeight="1">
      <c r="A737" s="103"/>
      <c r="B737" s="103"/>
      <c r="C737" s="103"/>
      <c r="D737" s="103"/>
      <c r="E737" s="103"/>
      <c r="F737" s="104"/>
      <c r="G737" s="104"/>
    </row>
    <row r="738" spans="8:8" ht="41.25" customHeight="1">
      <c r="A738" s="103"/>
      <c r="B738" s="103"/>
      <c r="C738" s="103"/>
      <c r="D738" s="103"/>
      <c r="E738" s="103"/>
      <c r="F738" s="104"/>
      <c r="G738" s="104"/>
    </row>
    <row r="739" spans="8:8" ht="41.25" customHeight="1">
      <c r="A739" s="103"/>
      <c r="B739" s="103"/>
      <c r="C739" s="103"/>
      <c r="D739" s="103"/>
      <c r="E739" s="103"/>
      <c r="F739" s="104"/>
      <c r="G739" s="104"/>
    </row>
    <row r="740" spans="8:8" ht="41.25" customHeight="1">
      <c r="A740" s="103"/>
      <c r="B740" s="103"/>
      <c r="C740" s="103"/>
      <c r="D740" s="103"/>
      <c r="E740" s="103"/>
      <c r="F740" s="104"/>
      <c r="G740" s="104"/>
    </row>
    <row r="741" spans="8:8" ht="41.25" customHeight="1">
      <c r="A741" s="103"/>
      <c r="B741" s="103"/>
      <c r="C741" s="103"/>
      <c r="D741" s="103"/>
      <c r="E741" s="103"/>
      <c r="F741" s="104"/>
      <c r="G741" s="104"/>
    </row>
    <row r="742" spans="8:8" ht="41.25" customHeight="1">
      <c r="A742" s="103"/>
      <c r="B742" s="103"/>
      <c r="C742" s="103"/>
      <c r="D742" s="103"/>
      <c r="E742" s="103"/>
      <c r="F742" s="104"/>
      <c r="G742" s="104"/>
    </row>
    <row r="743" spans="8:8" ht="41.25" customHeight="1">
      <c r="A743" s="103"/>
      <c r="B743" s="103"/>
      <c r="C743" s="103"/>
      <c r="D743" s="103"/>
      <c r="E743" s="103"/>
      <c r="F743" s="104"/>
      <c r="G743" s="104"/>
    </row>
    <row r="744" spans="8:8" ht="41.25" customHeight="1">
      <c r="A744" s="103"/>
      <c r="B744" s="103"/>
      <c r="C744" s="103"/>
      <c r="D744" s="103"/>
      <c r="E744" s="103"/>
      <c r="F744" s="104"/>
      <c r="G744" s="104"/>
    </row>
    <row r="745" spans="8:8" ht="41.25" customHeight="1">
      <c r="A745" s="103"/>
      <c r="B745" s="103"/>
      <c r="C745" s="103"/>
      <c r="D745" s="103"/>
      <c r="E745" s="103"/>
      <c r="F745" s="104"/>
      <c r="G745" s="104"/>
    </row>
    <row r="746" spans="8:8" ht="41.25" customHeight="1">
      <c r="A746" s="103"/>
      <c r="B746" s="103"/>
      <c r="C746" s="103"/>
      <c r="D746" s="103"/>
      <c r="E746" s="103"/>
      <c r="F746" s="104"/>
      <c r="G746" s="104"/>
    </row>
    <row r="747" spans="8:8" ht="41.25" customHeight="1">
      <c r="A747" s="103"/>
      <c r="B747" s="103"/>
      <c r="C747" s="103"/>
      <c r="D747" s="103"/>
      <c r="E747" s="103"/>
      <c r="F747" s="104"/>
      <c r="G747" s="104"/>
    </row>
    <row r="748" spans="8:8" ht="41.25" customHeight="1">
      <c r="A748" s="103"/>
      <c r="B748" s="103"/>
      <c r="C748" s="103"/>
      <c r="D748" s="103"/>
      <c r="E748" s="103"/>
      <c r="F748" s="104"/>
      <c r="G748" s="104"/>
    </row>
    <row r="749" spans="8:8" ht="41.25" customHeight="1">
      <c r="A749" s="103"/>
      <c r="B749" s="103"/>
      <c r="C749" s="103"/>
      <c r="D749" s="103"/>
      <c r="E749" s="103"/>
      <c r="F749" s="104"/>
      <c r="G749" s="104"/>
    </row>
    <row r="750" spans="8:8" ht="41.25" customHeight="1">
      <c r="A750" s="103"/>
      <c r="B750" s="103"/>
      <c r="C750" s="103"/>
      <c r="D750" s="103"/>
      <c r="E750" s="103"/>
      <c r="F750" s="104"/>
      <c r="G750" s="104"/>
    </row>
    <row r="751" spans="8:8" ht="41.25" customHeight="1">
      <c r="A751" s="103"/>
      <c r="B751" s="103"/>
      <c r="C751" s="103"/>
      <c r="D751" s="103"/>
      <c r="E751" s="103"/>
      <c r="F751" s="104"/>
      <c r="G751" s="104"/>
    </row>
    <row r="752" spans="8:8" ht="41.25" customHeight="1">
      <c r="A752" s="103"/>
      <c r="B752" s="103"/>
      <c r="C752" s="103"/>
      <c r="D752" s="103"/>
      <c r="E752" s="103"/>
      <c r="F752" s="104"/>
      <c r="G752" s="104"/>
    </row>
    <row r="753" spans="8:8" ht="41.25" customHeight="1">
      <c r="A753" s="103"/>
      <c r="B753" s="103"/>
      <c r="C753" s="103"/>
      <c r="D753" s="103"/>
      <c r="E753" s="103"/>
      <c r="F753" s="104"/>
      <c r="G753" s="104"/>
    </row>
    <row r="754" spans="8:8" ht="41.25" customHeight="1">
      <c r="A754" s="103"/>
      <c r="B754" s="103"/>
      <c r="C754" s="103"/>
      <c r="D754" s="103"/>
      <c r="E754" s="103"/>
      <c r="F754" s="104"/>
      <c r="G754" s="104"/>
    </row>
    <row r="755" spans="8:8" ht="41.25" customHeight="1">
      <c r="A755" s="103"/>
      <c r="B755" s="103"/>
      <c r="C755" s="103"/>
      <c r="D755" s="103"/>
      <c r="E755" s="103"/>
      <c r="F755" s="104"/>
      <c r="G755" s="104"/>
    </row>
    <row r="756" spans="8:8" ht="41.25" customHeight="1">
      <c r="A756" s="103"/>
      <c r="B756" s="103"/>
      <c r="C756" s="103"/>
      <c r="D756" s="103"/>
      <c r="E756" s="103"/>
      <c r="F756" s="104"/>
      <c r="G756" s="104"/>
    </row>
    <row r="757" spans="8:8" ht="41.25" customHeight="1">
      <c r="A757" s="103"/>
      <c r="B757" s="103"/>
      <c r="C757" s="103"/>
      <c r="D757" s="103"/>
      <c r="E757" s="103"/>
      <c r="F757" s="104"/>
      <c r="G757" s="104"/>
    </row>
    <row r="758" spans="8:8" ht="41.25" customHeight="1">
      <c r="A758" s="103"/>
      <c r="B758" s="103"/>
      <c r="C758" s="103"/>
      <c r="D758" s="103"/>
      <c r="E758" s="103"/>
      <c r="F758" s="104"/>
      <c r="G758" s="104"/>
    </row>
    <row r="759" spans="8:8" ht="41.25" customHeight="1">
      <c r="A759" s="103"/>
      <c r="B759" s="103"/>
      <c r="C759" s="103"/>
      <c r="D759" s="103"/>
      <c r="E759" s="103"/>
      <c r="F759" s="104"/>
      <c r="G759" s="104"/>
    </row>
    <row r="760" spans="8:8" ht="41.25" customHeight="1">
      <c r="A760" s="103"/>
      <c r="B760" s="103"/>
      <c r="C760" s="103"/>
      <c r="D760" s="103"/>
      <c r="E760" s="103"/>
      <c r="F760" s="104"/>
      <c r="G760" s="104"/>
    </row>
    <row r="761" spans="8:8" ht="41.25" customHeight="1">
      <c r="A761" s="103"/>
      <c r="B761" s="103"/>
      <c r="C761" s="103"/>
      <c r="D761" s="103"/>
      <c r="E761" s="103"/>
      <c r="F761" s="104"/>
      <c r="G761" s="104"/>
    </row>
    <row r="762" spans="8:8" ht="41.25" customHeight="1">
      <c r="A762" s="103"/>
      <c r="B762" s="103"/>
      <c r="C762" s="103"/>
      <c r="D762" s="103"/>
      <c r="E762" s="103"/>
      <c r="F762" s="104"/>
      <c r="G762" s="104"/>
    </row>
    <row r="763" spans="8:8" ht="41.25" customHeight="1">
      <c r="A763" s="103"/>
      <c r="B763" s="103"/>
      <c r="C763" s="103"/>
      <c r="D763" s="103"/>
      <c r="E763" s="103"/>
      <c r="F763" s="104"/>
      <c r="G763" s="104"/>
    </row>
    <row r="764" spans="8:8" ht="41.25" customHeight="1">
      <c r="A764" s="103"/>
      <c r="B764" s="103"/>
      <c r="C764" s="103"/>
      <c r="D764" s="103"/>
      <c r="E764" s="103"/>
      <c r="F764" s="104"/>
      <c r="G764" s="104"/>
    </row>
    <row r="765" spans="8:8" ht="41.25" customHeight="1">
      <c r="A765" s="103"/>
      <c r="B765" s="103"/>
      <c r="C765" s="103"/>
      <c r="D765" s="103"/>
      <c r="E765" s="103"/>
      <c r="F765" s="104"/>
      <c r="G765" s="104"/>
    </row>
    <row r="766" spans="8:8" ht="41.25" customHeight="1">
      <c r="A766" s="103"/>
      <c r="B766" s="103"/>
      <c r="C766" s="103"/>
      <c r="D766" s="103"/>
      <c r="E766" s="103"/>
      <c r="F766" s="104"/>
      <c r="G766" s="104"/>
    </row>
    <row r="767" spans="8:8" ht="41.25" customHeight="1">
      <c r="A767" s="103"/>
      <c r="B767" s="103"/>
      <c r="C767" s="103"/>
      <c r="D767" s="103"/>
      <c r="E767" s="103"/>
      <c r="F767" s="104"/>
      <c r="G767" s="104"/>
    </row>
    <row r="768" spans="8:8" ht="41.25" customHeight="1">
      <c r="A768" s="103"/>
      <c r="B768" s="103"/>
      <c r="C768" s="103"/>
      <c r="D768" s="103"/>
      <c r="E768" s="103"/>
      <c r="F768" s="104"/>
      <c r="G768" s="104"/>
    </row>
    <row r="769" spans="8:8" ht="41.25" customHeight="1">
      <c r="A769" s="103"/>
      <c r="B769" s="103"/>
      <c r="C769" s="103"/>
      <c r="D769" s="103"/>
      <c r="E769" s="103"/>
      <c r="F769" s="104"/>
      <c r="G769" s="104"/>
    </row>
    <row r="770" spans="8:8" ht="41.25" customHeight="1">
      <c r="A770" s="103"/>
      <c r="B770" s="103"/>
      <c r="C770" s="103"/>
      <c r="D770" s="103"/>
      <c r="E770" s="103"/>
      <c r="F770" s="104"/>
      <c r="G770" s="104"/>
    </row>
    <row r="771" spans="8:8" ht="41.25" customHeight="1">
      <c r="A771" s="103"/>
      <c r="B771" s="103"/>
      <c r="C771" s="103"/>
      <c r="D771" s="103"/>
      <c r="E771" s="103"/>
      <c r="F771" s="104"/>
      <c r="G771" s="104"/>
    </row>
    <row r="772" spans="8:8" ht="41.25" customHeight="1">
      <c r="A772" s="103"/>
      <c r="B772" s="103"/>
      <c r="C772" s="103"/>
      <c r="D772" s="103"/>
      <c r="E772" s="103"/>
      <c r="F772" s="104"/>
      <c r="G772" s="104"/>
    </row>
    <row r="773" spans="8:8" ht="41.25" customHeight="1">
      <c r="A773" s="103"/>
      <c r="B773" s="103"/>
      <c r="C773" s="103"/>
      <c r="D773" s="103"/>
      <c r="E773" s="103"/>
      <c r="F773" s="104"/>
      <c r="G773" s="104"/>
    </row>
    <row r="774" spans="8:8" ht="41.25" customHeight="1">
      <c r="A774" s="103"/>
      <c r="B774" s="103"/>
      <c r="C774" s="103"/>
      <c r="D774" s="103"/>
      <c r="E774" s="103"/>
      <c r="F774" s="104"/>
      <c r="G774" s="104"/>
    </row>
    <row r="775" spans="8:8" ht="41.25" customHeight="1">
      <c r="A775" s="103"/>
      <c r="B775" s="103"/>
      <c r="C775" s="103"/>
      <c r="D775" s="103"/>
      <c r="E775" s="103"/>
      <c r="F775" s="104"/>
      <c r="G775" s="104"/>
    </row>
    <row r="776" spans="8:8" ht="41.25" customHeight="1">
      <c r="A776" s="103"/>
      <c r="B776" s="103"/>
      <c r="C776" s="103"/>
      <c r="D776" s="103"/>
      <c r="E776" s="103"/>
      <c r="F776" s="104"/>
      <c r="G776" s="104"/>
    </row>
    <row r="777" spans="8:8" ht="41.25" customHeight="1">
      <c r="A777" s="103"/>
      <c r="B777" s="103"/>
      <c r="C777" s="103"/>
      <c r="D777" s="103"/>
      <c r="E777" s="103"/>
      <c r="F777" s="104"/>
      <c r="G777" s="104"/>
    </row>
    <row r="778" spans="8:8" ht="41.25" customHeight="1">
      <c r="A778" s="103"/>
      <c r="B778" s="103"/>
      <c r="C778" s="103"/>
      <c r="D778" s="103"/>
      <c r="E778" s="103"/>
      <c r="F778" s="104"/>
      <c r="G778" s="104"/>
    </row>
    <row r="779" spans="8:8" ht="41.25" customHeight="1">
      <c r="A779" s="103"/>
      <c r="B779" s="103"/>
      <c r="C779" s="103"/>
      <c r="D779" s="103"/>
      <c r="E779" s="103"/>
      <c r="F779" s="104"/>
      <c r="G779" s="104"/>
    </row>
    <row r="780" spans="8:8" ht="41.25" customHeight="1">
      <c r="A780" s="103"/>
      <c r="B780" s="103"/>
      <c r="C780" s="103"/>
      <c r="D780" s="103"/>
      <c r="E780" s="103"/>
      <c r="F780" s="104"/>
      <c r="G780" s="104"/>
    </row>
    <row r="781" spans="8:8" ht="41.25" customHeight="1">
      <c r="A781" s="103"/>
      <c r="B781" s="103"/>
      <c r="C781" s="103"/>
      <c r="D781" s="103"/>
      <c r="E781" s="103"/>
      <c r="F781" s="104"/>
      <c r="G781" s="104"/>
    </row>
    <row r="782" spans="8:8" ht="41.25" customHeight="1">
      <c r="A782" s="103"/>
      <c r="B782" s="103"/>
      <c r="C782" s="103"/>
      <c r="D782" s="103"/>
      <c r="E782" s="103"/>
      <c r="F782" s="104"/>
      <c r="G782" s="104"/>
    </row>
    <row r="783" spans="8:8" ht="41.25" customHeight="1">
      <c r="A783" s="103"/>
      <c r="B783" s="103"/>
      <c r="C783" s="103"/>
      <c r="D783" s="103"/>
      <c r="E783" s="103"/>
      <c r="F783" s="104"/>
      <c r="G783" s="104"/>
    </row>
    <row r="784" spans="8:8" ht="41.25" customHeight="1">
      <c r="A784" s="103"/>
      <c r="B784" s="103"/>
      <c r="C784" s="103"/>
      <c r="D784" s="103"/>
      <c r="E784" s="103"/>
      <c r="F784" s="104"/>
      <c r="G784" s="104"/>
    </row>
    <row r="785" spans="8:8" ht="41.25" customHeight="1">
      <c r="A785" s="103"/>
      <c r="B785" s="103"/>
      <c r="C785" s="103"/>
      <c r="D785" s="103"/>
      <c r="E785" s="103"/>
      <c r="F785" s="104"/>
      <c r="G785" s="104"/>
    </row>
    <row r="786" spans="8:8" ht="41.25" customHeight="1">
      <c r="A786" s="103"/>
      <c r="B786" s="103"/>
      <c r="C786" s="103"/>
      <c r="D786" s="103"/>
      <c r="E786" s="103"/>
      <c r="F786" s="104"/>
      <c r="G786" s="104"/>
    </row>
    <row r="787" spans="8:8" ht="41.25" customHeight="1">
      <c r="A787" s="103"/>
      <c r="B787" s="103"/>
      <c r="C787" s="103"/>
      <c r="D787" s="103"/>
      <c r="E787" s="103"/>
      <c r="F787" s="104"/>
      <c r="G787" s="104"/>
    </row>
    <row r="788" spans="8:8" ht="41.25" customHeight="1">
      <c r="A788" s="103"/>
      <c r="B788" s="103"/>
      <c r="C788" s="103"/>
      <c r="D788" s="103"/>
      <c r="E788" s="103"/>
      <c r="F788" s="104"/>
      <c r="G788" s="104"/>
    </row>
    <row r="789" spans="8:8" ht="41.25" customHeight="1">
      <c r="A789" s="103"/>
      <c r="B789" s="103"/>
      <c r="C789" s="103"/>
      <c r="D789" s="103"/>
      <c r="E789" s="103"/>
      <c r="F789" s="104"/>
      <c r="G789" s="104"/>
    </row>
    <row r="790" spans="8:8" ht="41.25" customHeight="1">
      <c r="A790" s="103"/>
      <c r="B790" s="103"/>
      <c r="C790" s="103"/>
      <c r="D790" s="103"/>
      <c r="E790" s="103"/>
      <c r="F790" s="104"/>
      <c r="G790" s="104"/>
    </row>
    <row r="791" spans="8:8" ht="41.25" customHeight="1">
      <c r="A791" s="103"/>
      <c r="B791" s="103"/>
      <c r="C791" s="103"/>
      <c r="D791" s="103"/>
      <c r="E791" s="103"/>
      <c r="F791" s="104"/>
      <c r="G791" s="104"/>
    </row>
    <row r="792" spans="8:8" ht="41.25" customHeight="1">
      <c r="A792" s="103"/>
      <c r="B792" s="103"/>
      <c r="C792" s="103"/>
      <c r="D792" s="103"/>
      <c r="E792" s="103"/>
      <c r="F792" s="104"/>
      <c r="G792" s="104"/>
    </row>
    <row r="793" spans="8:8" ht="41.25" customHeight="1">
      <c r="A793" s="103"/>
      <c r="B793" s="103"/>
      <c r="C793" s="103"/>
      <c r="D793" s="103"/>
      <c r="E793" s="103"/>
      <c r="F793" s="104"/>
      <c r="G793" s="104"/>
    </row>
    <row r="794" spans="8:8" ht="41.25" customHeight="1">
      <c r="A794" s="103"/>
      <c r="B794" s="103"/>
      <c r="C794" s="103"/>
      <c r="D794" s="103"/>
      <c r="E794" s="103"/>
      <c r="F794" s="104"/>
      <c r="G794" s="104"/>
    </row>
    <row r="795" spans="8:8" ht="41.25" customHeight="1">
      <c r="A795" s="103"/>
      <c r="B795" s="103"/>
      <c r="C795" s="103"/>
      <c r="D795" s="103"/>
      <c r="E795" s="103"/>
      <c r="F795" s="104"/>
      <c r="G795" s="104"/>
    </row>
    <row r="796" spans="8:8" ht="41.25" customHeight="1">
      <c r="A796" s="103"/>
      <c r="B796" s="103"/>
      <c r="C796" s="103"/>
      <c r="D796" s="103"/>
      <c r="E796" s="103"/>
      <c r="F796" s="104"/>
      <c r="G796" s="104"/>
    </row>
    <row r="797" spans="8:8" ht="41.25" customHeight="1">
      <c r="A797" s="103"/>
      <c r="B797" s="103"/>
      <c r="C797" s="103"/>
      <c r="D797" s="103"/>
      <c r="E797" s="103"/>
      <c r="F797" s="104"/>
      <c r="G797" s="104"/>
    </row>
    <row r="798" spans="8:8" ht="41.25" customHeight="1">
      <c r="A798" s="103"/>
      <c r="B798" s="103"/>
      <c r="C798" s="103"/>
      <c r="D798" s="103"/>
      <c r="E798" s="103"/>
      <c r="F798" s="104"/>
      <c r="G798" s="104"/>
    </row>
    <row r="799" spans="8:8" ht="41.25" customHeight="1">
      <c r="A799" s="103"/>
      <c r="B799" s="103"/>
      <c r="C799" s="103"/>
      <c r="D799" s="103"/>
      <c r="E799" s="103"/>
      <c r="F799" s="104"/>
      <c r="G799" s="104"/>
    </row>
    <row r="800" spans="8:8" ht="41.25" customHeight="1">
      <c r="A800" s="103"/>
      <c r="B800" s="103"/>
      <c r="C800" s="103"/>
      <c r="D800" s="103"/>
      <c r="E800" s="103"/>
      <c r="F800" s="104"/>
      <c r="G800" s="104"/>
    </row>
    <row r="801" spans="8:8" ht="41.25" customHeight="1">
      <c r="A801" s="103"/>
      <c r="B801" s="103"/>
      <c r="C801" s="103"/>
      <c r="D801" s="103"/>
      <c r="E801" s="103"/>
      <c r="F801" s="104"/>
      <c r="G801" s="104"/>
    </row>
    <row r="802" spans="8:8" ht="41.25" customHeight="1">
      <c r="A802" s="103"/>
      <c r="B802" s="103"/>
      <c r="C802" s="103"/>
      <c r="D802" s="103"/>
      <c r="E802" s="103"/>
      <c r="F802" s="104"/>
      <c r="G802" s="104"/>
    </row>
    <row r="803" spans="8:8" ht="41.25" customHeight="1">
      <c r="A803" s="103"/>
      <c r="B803" s="103"/>
      <c r="C803" s="103"/>
      <c r="D803" s="103"/>
      <c r="E803" s="103"/>
      <c r="F803" s="104"/>
      <c r="G803" s="104"/>
    </row>
    <row r="804" spans="8:8" ht="41.25" customHeight="1">
      <c r="A804" s="103"/>
      <c r="B804" s="103"/>
      <c r="C804" s="103"/>
      <c r="D804" s="103"/>
      <c r="E804" s="103"/>
      <c r="F804" s="104"/>
      <c r="G804" s="104"/>
    </row>
    <row r="805" spans="8:8" ht="41.25" customHeight="1">
      <c r="A805" s="103"/>
      <c r="B805" s="103"/>
      <c r="C805" s="103"/>
      <c r="D805" s="103"/>
      <c r="E805" s="103"/>
      <c r="F805" s="104"/>
      <c r="G805" s="104"/>
    </row>
    <row r="806" spans="8:8" ht="41.25" customHeight="1">
      <c r="A806" s="103"/>
      <c r="B806" s="103"/>
      <c r="C806" s="103"/>
      <c r="D806" s="103"/>
      <c r="E806" s="103"/>
      <c r="F806" s="104"/>
      <c r="G806" s="104"/>
    </row>
    <row r="807" spans="8:8" ht="41.25" customHeight="1">
      <c r="A807" s="103"/>
      <c r="B807" s="103"/>
      <c r="C807" s="103"/>
      <c r="D807" s="103"/>
      <c r="E807" s="103"/>
      <c r="F807" s="104"/>
      <c r="G807" s="104"/>
    </row>
    <row r="808" spans="8:8" ht="41.25" customHeight="1">
      <c r="A808" s="103"/>
      <c r="B808" s="103"/>
      <c r="C808" s="103"/>
      <c r="D808" s="103"/>
      <c r="E808" s="103"/>
      <c r="F808" s="104"/>
      <c r="G808" s="104"/>
    </row>
    <row r="809" spans="8:8" ht="41.25" customHeight="1">
      <c r="A809" s="103"/>
      <c r="B809" s="103"/>
      <c r="C809" s="103"/>
      <c r="D809" s="103"/>
      <c r="E809" s="103"/>
      <c r="F809" s="104"/>
      <c r="G809" s="104"/>
    </row>
    <row r="810" spans="8:8" ht="41.25" customHeight="1">
      <c r="A810" s="103"/>
      <c r="B810" s="103"/>
      <c r="C810" s="103"/>
      <c r="D810" s="103"/>
      <c r="E810" s="103"/>
      <c r="F810" s="104"/>
      <c r="G810" s="104"/>
    </row>
    <row r="811" spans="8:8" ht="41.25" customHeight="1">
      <c r="A811" s="103"/>
      <c r="B811" s="103"/>
      <c r="C811" s="103"/>
      <c r="D811" s="103"/>
      <c r="E811" s="103"/>
      <c r="F811" s="104"/>
      <c r="G811" s="104"/>
    </row>
    <row r="812" spans="8:8" ht="41.25" customHeight="1">
      <c r="A812" s="103"/>
      <c r="B812" s="103"/>
      <c r="C812" s="103"/>
      <c r="D812" s="103"/>
      <c r="E812" s="103"/>
      <c r="F812" s="104"/>
      <c r="G812" s="104"/>
    </row>
    <row r="813" spans="8:8" ht="41.25" customHeight="1">
      <c r="A813" s="103"/>
      <c r="B813" s="103"/>
      <c r="C813" s="103"/>
      <c r="D813" s="103"/>
      <c r="E813" s="103"/>
      <c r="F813" s="104"/>
      <c r="G813" s="104"/>
    </row>
    <row r="814" spans="8:8" ht="41.25" customHeight="1">
      <c r="A814" s="103"/>
      <c r="B814" s="103"/>
      <c r="C814" s="103"/>
      <c r="D814" s="103"/>
      <c r="E814" s="103"/>
      <c r="F814" s="104"/>
      <c r="G814" s="104"/>
    </row>
    <row r="815" spans="8:8" ht="41.25" customHeight="1">
      <c r="A815" s="103"/>
      <c r="B815" s="103"/>
      <c r="C815" s="103"/>
      <c r="D815" s="103"/>
      <c r="E815" s="103"/>
      <c r="F815" s="104"/>
      <c r="G815" s="104"/>
    </row>
    <row r="816" spans="8:8" ht="41.25" customHeight="1">
      <c r="A816" s="103"/>
      <c r="B816" s="103"/>
      <c r="C816" s="103"/>
      <c r="D816" s="103"/>
      <c r="E816" s="103"/>
      <c r="F816" s="104"/>
      <c r="G816" s="104"/>
    </row>
    <row r="817" spans="8:8" ht="41.25" customHeight="1">
      <c r="A817" s="103"/>
      <c r="B817" s="103"/>
      <c r="C817" s="103"/>
      <c r="D817" s="103"/>
      <c r="E817" s="103"/>
      <c r="F817" s="104"/>
      <c r="G817" s="104"/>
    </row>
    <row r="818" spans="8:8" ht="41.25" customHeight="1">
      <c r="A818" s="103"/>
      <c r="B818" s="103"/>
      <c r="C818" s="103"/>
      <c r="D818" s="103"/>
      <c r="E818" s="103"/>
      <c r="F818" s="104"/>
      <c r="G818" s="104"/>
    </row>
    <row r="819" spans="8:8" ht="41.25" customHeight="1">
      <c r="A819" s="103"/>
      <c r="B819" s="103"/>
      <c r="C819" s="103"/>
      <c r="D819" s="103"/>
      <c r="E819" s="103"/>
      <c r="F819" s="104"/>
      <c r="G819" s="104"/>
    </row>
    <row r="820" spans="8:8" ht="41.25" customHeight="1">
      <c r="A820" s="103"/>
      <c r="B820" s="103"/>
      <c r="C820" s="103"/>
      <c r="D820" s="103"/>
      <c r="E820" s="103"/>
      <c r="F820" s="104"/>
      <c r="G820" s="104"/>
    </row>
    <row r="821" spans="8:8" ht="41.25" customHeight="1">
      <c r="A821" s="103"/>
      <c r="B821" s="103"/>
      <c r="C821" s="103"/>
      <c r="D821" s="103"/>
      <c r="E821" s="103"/>
      <c r="F821" s="104"/>
      <c r="G821" s="104"/>
    </row>
    <row r="822" spans="8:8" ht="41.25" customHeight="1">
      <c r="A822" s="103"/>
      <c r="B822" s="103"/>
      <c r="C822" s="103"/>
      <c r="D822" s="103"/>
      <c r="E822" s="103"/>
      <c r="F822" s="104"/>
      <c r="G822" s="104"/>
    </row>
    <row r="823" spans="8:8" ht="41.25" customHeight="1">
      <c r="A823" s="103"/>
      <c r="B823" s="103"/>
      <c r="C823" s="103"/>
      <c r="D823" s="103"/>
      <c r="E823" s="103"/>
      <c r="F823" s="104"/>
      <c r="G823" s="104"/>
    </row>
    <row r="824" spans="8:8" ht="41.25" customHeight="1">
      <c r="A824" s="103"/>
      <c r="B824" s="103"/>
      <c r="C824" s="103"/>
      <c r="D824" s="103"/>
      <c r="E824" s="103"/>
      <c r="F824" s="104"/>
      <c r="G824" s="104"/>
    </row>
    <row r="825" spans="8:8" ht="41.25" customHeight="1">
      <c r="A825" s="103"/>
      <c r="B825" s="103"/>
      <c r="C825" s="103"/>
      <c r="D825" s="103"/>
      <c r="E825" s="103"/>
      <c r="F825" s="104"/>
      <c r="G825" s="104"/>
    </row>
    <row r="826" spans="8:8" ht="41.25" customHeight="1">
      <c r="A826" s="103"/>
      <c r="B826" s="103"/>
      <c r="C826" s="103"/>
      <c r="D826" s="103"/>
      <c r="E826" s="103"/>
      <c r="F826" s="104"/>
      <c r="G826" s="104"/>
    </row>
    <row r="827" spans="8:8" ht="41.25" customHeight="1">
      <c r="A827" s="103"/>
      <c r="B827" s="103"/>
      <c r="C827" s="103"/>
      <c r="D827" s="103"/>
      <c r="E827" s="103"/>
      <c r="F827" s="104"/>
      <c r="G827" s="104"/>
    </row>
    <row r="828" spans="8:8" ht="41.25" customHeight="1">
      <c r="A828" s="103"/>
      <c r="B828" s="103"/>
      <c r="C828" s="103"/>
      <c r="D828" s="103"/>
      <c r="E828" s="103"/>
      <c r="F828" s="104"/>
      <c r="G828" s="104"/>
    </row>
    <row r="829" spans="8:8" ht="41.25" customHeight="1">
      <c r="A829" s="103"/>
      <c r="B829" s="103"/>
      <c r="C829" s="103"/>
      <c r="D829" s="103"/>
      <c r="E829" s="103"/>
      <c r="F829" s="104"/>
      <c r="G829" s="104"/>
    </row>
    <row r="830" spans="8:8" ht="41.25" customHeight="1">
      <c r="A830" s="103"/>
      <c r="B830" s="103"/>
      <c r="C830" s="103"/>
      <c r="D830" s="103"/>
      <c r="E830" s="103"/>
      <c r="F830" s="104"/>
      <c r="G830" s="104"/>
    </row>
    <row r="831" spans="8:8" ht="41.25" customHeight="1">
      <c r="A831" s="103"/>
      <c r="B831" s="103"/>
      <c r="C831" s="103"/>
      <c r="D831" s="103"/>
      <c r="E831" s="103"/>
      <c r="F831" s="104"/>
      <c r="G831" s="104"/>
    </row>
    <row r="832" spans="8:8" ht="41.25" customHeight="1">
      <c r="A832" s="103"/>
      <c r="B832" s="103"/>
      <c r="C832" s="103"/>
      <c r="D832" s="103"/>
      <c r="E832" s="103"/>
      <c r="F832" s="104"/>
      <c r="G832" s="104"/>
    </row>
    <row r="833" spans="8:8" ht="41.25" customHeight="1">
      <c r="A833" s="103"/>
      <c r="B833" s="103"/>
      <c r="C833" s="103"/>
      <c r="D833" s="103"/>
      <c r="E833" s="103"/>
      <c r="F833" s="104"/>
      <c r="G833" s="104"/>
    </row>
    <row r="834" spans="8:8" ht="41.25" customHeight="1">
      <c r="A834" s="103"/>
      <c r="B834" s="103"/>
      <c r="C834" s="103"/>
      <c r="D834" s="103"/>
      <c r="E834" s="103"/>
      <c r="F834" s="104"/>
      <c r="G834" s="104"/>
    </row>
    <row r="835" spans="8:8" ht="41.25" customHeight="1">
      <c r="A835" s="103"/>
      <c r="B835" s="103"/>
      <c r="C835" s="103"/>
      <c r="D835" s="103"/>
      <c r="E835" s="103"/>
      <c r="F835" s="104"/>
      <c r="G835" s="104"/>
    </row>
    <row r="836" spans="8:8" ht="41.25" customHeight="1">
      <c r="A836" s="103"/>
      <c r="B836" s="103"/>
      <c r="C836" s="103"/>
      <c r="D836" s="103"/>
      <c r="E836" s="103"/>
      <c r="F836" s="104"/>
      <c r="G836" s="104"/>
    </row>
    <row r="837" spans="8:8" ht="41.25" customHeight="1">
      <c r="A837" s="103"/>
      <c r="B837" s="103"/>
      <c r="C837" s="103"/>
      <c r="D837" s="103"/>
      <c r="E837" s="103"/>
      <c r="F837" s="104"/>
      <c r="G837" s="104"/>
    </row>
    <row r="838" spans="8:8" ht="41.25" customHeight="1">
      <c r="A838" s="103"/>
      <c r="B838" s="103"/>
      <c r="C838" s="103"/>
      <c r="D838" s="103"/>
      <c r="E838" s="103"/>
      <c r="F838" s="104"/>
      <c r="G838" s="104"/>
    </row>
    <row r="839" spans="8:8" ht="41.25" customHeight="1">
      <c r="A839" s="103"/>
      <c r="B839" s="103"/>
      <c r="C839" s="103"/>
      <c r="D839" s="103"/>
      <c r="E839" s="103"/>
      <c r="F839" s="104"/>
      <c r="G839" s="104"/>
    </row>
    <row r="840" spans="8:8" ht="41.25" customHeight="1">
      <c r="A840" s="103"/>
      <c r="B840" s="103"/>
      <c r="C840" s="103"/>
      <c r="D840" s="103"/>
      <c r="E840" s="103"/>
      <c r="F840" s="104"/>
      <c r="G840" s="104"/>
    </row>
    <row r="841" spans="8:8" ht="41.25" customHeight="1">
      <c r="A841" s="103"/>
      <c r="B841" s="103"/>
      <c r="C841" s="103"/>
      <c r="D841" s="103"/>
      <c r="E841" s="103"/>
      <c r="F841" s="104"/>
      <c r="G841" s="104"/>
    </row>
    <row r="842" spans="8:8" ht="41.25" customHeight="1">
      <c r="A842" s="103"/>
      <c r="B842" s="103"/>
      <c r="C842" s="103"/>
      <c r="D842" s="103"/>
      <c r="E842" s="103"/>
      <c r="F842" s="104"/>
      <c r="G842" s="104"/>
    </row>
    <row r="843" spans="8:8" ht="41.25" customHeight="1">
      <c r="A843" s="103"/>
      <c r="B843" s="103"/>
      <c r="C843" s="103"/>
      <c r="D843" s="103"/>
      <c r="E843" s="103"/>
      <c r="F843" s="104"/>
      <c r="G843" s="104"/>
    </row>
    <row r="844" spans="8:8" ht="41.25" customHeight="1">
      <c r="A844" s="103"/>
      <c r="B844" s="103"/>
      <c r="C844" s="103"/>
      <c r="D844" s="103"/>
      <c r="E844" s="103"/>
      <c r="F844" s="104"/>
      <c r="G844" s="104"/>
    </row>
    <row r="845" spans="8:8" ht="41.25" customHeight="1">
      <c r="A845" s="103"/>
      <c r="B845" s="103"/>
      <c r="C845" s="103"/>
      <c r="D845" s="103"/>
      <c r="E845" s="103"/>
      <c r="F845" s="104"/>
      <c r="G845" s="104"/>
    </row>
    <row r="846" spans="8:8" ht="41.25" customHeight="1">
      <c r="A846" s="103"/>
      <c r="B846" s="103"/>
      <c r="C846" s="103"/>
      <c r="D846" s="103"/>
      <c r="E846" s="103"/>
      <c r="F846" s="104"/>
      <c r="G846" s="104"/>
    </row>
    <row r="847" spans="8:8" ht="41.25" customHeight="1">
      <c r="A847" s="103"/>
      <c r="B847" s="103"/>
      <c r="C847" s="103"/>
      <c r="D847" s="103"/>
      <c r="E847" s="103"/>
      <c r="F847" s="104"/>
      <c r="G847" s="104"/>
    </row>
    <row r="848" spans="8:8" ht="41.25" customHeight="1">
      <c r="A848" s="103"/>
      <c r="B848" s="103"/>
      <c r="C848" s="103"/>
      <c r="D848" s="103"/>
      <c r="E848" s="103"/>
      <c r="F848" s="104"/>
      <c r="G848" s="104"/>
    </row>
    <row r="849" spans="8:8" ht="41.25" customHeight="1">
      <c r="A849" s="103"/>
      <c r="B849" s="103"/>
      <c r="C849" s="103"/>
      <c r="D849" s="103"/>
      <c r="E849" s="103"/>
      <c r="F849" s="104"/>
      <c r="G849" s="104"/>
    </row>
    <row r="850" spans="8:8" ht="41.25" customHeight="1">
      <c r="A850" s="103"/>
      <c r="B850" s="103"/>
      <c r="C850" s="103"/>
      <c r="D850" s="103"/>
      <c r="E850" s="103"/>
      <c r="F850" s="104"/>
      <c r="G850" s="104"/>
    </row>
    <row r="851" spans="8:8" ht="41.25" customHeight="1">
      <c r="A851" s="103"/>
      <c r="B851" s="103"/>
      <c r="C851" s="103"/>
      <c r="D851" s="103"/>
      <c r="E851" s="103"/>
      <c r="F851" s="104"/>
      <c r="G851" s="104"/>
    </row>
    <row r="852" spans="8:8" ht="41.25" customHeight="1">
      <c r="A852" s="103"/>
      <c r="B852" s="103"/>
      <c r="C852" s="103"/>
      <c r="D852" s="103"/>
      <c r="E852" s="103"/>
      <c r="F852" s="104"/>
      <c r="G852" s="104"/>
    </row>
    <row r="853" spans="8:8" ht="41.25" customHeight="1">
      <c r="A853" s="103"/>
      <c r="B853" s="103"/>
      <c r="C853" s="103"/>
      <c r="D853" s="103"/>
      <c r="E853" s="103"/>
      <c r="F853" s="104"/>
      <c r="G853" s="104"/>
    </row>
    <row r="854" spans="8:8" ht="41.25" customHeight="1">
      <c r="A854" s="103"/>
      <c r="B854" s="103"/>
      <c r="C854" s="103"/>
      <c r="D854" s="103"/>
      <c r="E854" s="103"/>
      <c r="F854" s="104"/>
      <c r="G854" s="104"/>
    </row>
    <row r="855" spans="8:8" ht="41.25" customHeight="1">
      <c r="A855" s="103"/>
      <c r="B855" s="103"/>
      <c r="C855" s="103"/>
      <c r="D855" s="103"/>
      <c r="E855" s="103"/>
      <c r="F855" s="104"/>
      <c r="G855" s="104"/>
    </row>
    <row r="856" spans="8:8" ht="41.25" customHeight="1">
      <c r="A856" s="103"/>
      <c r="B856" s="103"/>
      <c r="C856" s="103"/>
      <c r="D856" s="103"/>
      <c r="E856" s="103"/>
      <c r="F856" s="104"/>
      <c r="G856" s="104"/>
    </row>
    <row r="857" spans="8:8" ht="41.25" customHeight="1">
      <c r="A857" s="103"/>
      <c r="B857" s="103"/>
      <c r="C857" s="103"/>
      <c r="D857" s="103"/>
      <c r="E857" s="103"/>
      <c r="F857" s="104"/>
      <c r="G857" s="104"/>
    </row>
    <row r="858" spans="8:8" ht="41.25" customHeight="1">
      <c r="A858" s="103"/>
      <c r="B858" s="103"/>
      <c r="C858" s="103"/>
      <c r="D858" s="103"/>
      <c r="E858" s="103"/>
      <c r="F858" s="104"/>
      <c r="G858" s="104"/>
    </row>
    <row r="859" spans="8:8" ht="41.25" customHeight="1">
      <c r="A859" s="103"/>
      <c r="B859" s="103"/>
      <c r="C859" s="103"/>
      <c r="D859" s="103"/>
      <c r="E859" s="103"/>
      <c r="F859" s="104"/>
      <c r="G859" s="104"/>
    </row>
    <row r="860" spans="8:8" ht="41.25" customHeight="1">
      <c r="A860" s="103"/>
      <c r="B860" s="103"/>
      <c r="C860" s="103"/>
      <c r="D860" s="103"/>
      <c r="E860" s="103"/>
      <c r="F860" s="104"/>
      <c r="G860" s="104"/>
    </row>
    <row r="861" spans="8:8" ht="41.25" customHeight="1">
      <c r="A861" s="103"/>
      <c r="B861" s="103"/>
      <c r="C861" s="103"/>
      <c r="D861" s="103"/>
      <c r="E861" s="103"/>
      <c r="F861" s="104"/>
      <c r="G861" s="104"/>
    </row>
    <row r="862" spans="8:8" ht="41.25" customHeight="1">
      <c r="A862" s="103"/>
      <c r="B862" s="103"/>
      <c r="C862" s="103"/>
      <c r="D862" s="103"/>
      <c r="E862" s="103"/>
      <c r="F862" s="104"/>
      <c r="G862" s="104"/>
    </row>
    <row r="863" spans="8:8" ht="41.25" customHeight="1">
      <c r="A863" s="103"/>
      <c r="B863" s="103"/>
      <c r="C863" s="103"/>
      <c r="D863" s="103"/>
      <c r="E863" s="103"/>
      <c r="F863" s="104"/>
      <c r="G863" s="104"/>
    </row>
    <row r="864" spans="8:8" ht="41.25" customHeight="1">
      <c r="A864" s="103"/>
      <c r="B864" s="103"/>
      <c r="C864" s="103"/>
      <c r="D864" s="103"/>
      <c r="E864" s="103"/>
      <c r="F864" s="104"/>
      <c r="G864" s="104"/>
    </row>
    <row r="865" spans="8:8" ht="41.25" customHeight="1">
      <c r="A865" s="103"/>
      <c r="B865" s="103"/>
      <c r="C865" s="103"/>
      <c r="D865" s="103"/>
      <c r="E865" s="103"/>
      <c r="F865" s="104"/>
      <c r="G865" s="104"/>
    </row>
    <row r="866" spans="8:8" ht="41.25" customHeight="1">
      <c r="A866" s="103"/>
      <c r="B866" s="103"/>
      <c r="C866" s="103"/>
      <c r="D866" s="103"/>
      <c r="E866" s="103"/>
      <c r="F866" s="104"/>
      <c r="G866" s="104"/>
    </row>
    <row r="867" spans="8:8" ht="41.25" customHeight="1">
      <c r="A867" s="103"/>
      <c r="B867" s="103"/>
      <c r="C867" s="103"/>
      <c r="D867" s="103"/>
      <c r="E867" s="103"/>
      <c r="F867" s="104"/>
      <c r="G867" s="104"/>
    </row>
    <row r="868" spans="8:8" ht="41.25" customHeight="1">
      <c r="A868" s="103"/>
      <c r="B868" s="103"/>
      <c r="C868" s="103"/>
      <c r="D868" s="103"/>
      <c r="E868" s="103"/>
      <c r="F868" s="104"/>
      <c r="G868" s="104"/>
    </row>
    <row r="869" spans="8:8" ht="41.25" customHeight="1">
      <c r="A869" s="103"/>
      <c r="B869" s="103"/>
      <c r="C869" s="103"/>
      <c r="D869" s="103"/>
      <c r="E869" s="103"/>
      <c r="F869" s="104"/>
      <c r="G869" s="104"/>
    </row>
    <row r="870" spans="8:8" ht="41.25" customHeight="1">
      <c r="A870" s="103"/>
      <c r="B870" s="103"/>
      <c r="C870" s="103"/>
      <c r="D870" s="103"/>
      <c r="E870" s="103"/>
      <c r="F870" s="104"/>
      <c r="G870" s="104"/>
    </row>
    <row r="871" spans="8:8" ht="41.25" customHeight="1">
      <c r="A871" s="103"/>
      <c r="B871" s="103"/>
      <c r="C871" s="103"/>
      <c r="D871" s="103"/>
      <c r="E871" s="103"/>
      <c r="F871" s="104"/>
      <c r="G871" s="104"/>
    </row>
    <row r="872" spans="8:8" ht="41.25" customHeight="1">
      <c r="A872" s="103"/>
      <c r="B872" s="103"/>
      <c r="C872" s="103"/>
      <c r="D872" s="103"/>
      <c r="E872" s="103"/>
      <c r="F872" s="104"/>
      <c r="G872" s="104"/>
    </row>
    <row r="873" spans="8:8" ht="41.25" customHeight="1">
      <c r="A873" s="103"/>
      <c r="B873" s="103"/>
      <c r="C873" s="103"/>
      <c r="D873" s="103"/>
      <c r="E873" s="103"/>
      <c r="F873" s="104"/>
      <c r="G873" s="104"/>
    </row>
    <row r="874" spans="8:8" ht="41.25" customHeight="1">
      <c r="A874" s="103"/>
      <c r="B874" s="103"/>
      <c r="C874" s="103"/>
      <c r="D874" s="103"/>
      <c r="E874" s="103"/>
      <c r="F874" s="104"/>
      <c r="G874" s="104"/>
    </row>
    <row r="875" spans="8:8" ht="41.25" customHeight="1">
      <c r="A875" s="103"/>
      <c r="B875" s="103"/>
      <c r="C875" s="103"/>
      <c r="D875" s="103"/>
      <c r="E875" s="103"/>
      <c r="F875" s="104"/>
      <c r="G875" s="104"/>
    </row>
    <row r="876" spans="8:8" ht="41.25" customHeight="1">
      <c r="A876" s="103"/>
      <c r="B876" s="103"/>
      <c r="C876" s="103"/>
      <c r="D876" s="103"/>
      <c r="E876" s="103"/>
      <c r="F876" s="104"/>
      <c r="G876" s="104"/>
    </row>
    <row r="877" spans="8:8" ht="41.25" customHeight="1">
      <c r="A877" s="103"/>
      <c r="B877" s="103"/>
      <c r="C877" s="103"/>
      <c r="D877" s="103"/>
      <c r="E877" s="103"/>
      <c r="F877" s="104"/>
      <c r="G877" s="104"/>
    </row>
    <row r="878" spans="8:8" ht="41.25" customHeight="1">
      <c r="A878" s="103"/>
      <c r="B878" s="103"/>
      <c r="C878" s="103"/>
      <c r="D878" s="103"/>
      <c r="E878" s="103"/>
      <c r="F878" s="104"/>
      <c r="G878" s="104"/>
    </row>
    <row r="879" spans="8:8" ht="41.25" customHeight="1">
      <c r="A879" s="103"/>
      <c r="B879" s="103"/>
      <c r="C879" s="103"/>
      <c r="D879" s="103"/>
      <c r="E879" s="103"/>
      <c r="F879" s="104"/>
      <c r="G879" s="104"/>
    </row>
    <row r="880" spans="8:8" ht="41.25" customHeight="1">
      <c r="A880" s="103"/>
      <c r="B880" s="103"/>
      <c r="C880" s="103"/>
      <c r="D880" s="103"/>
      <c r="E880" s="103"/>
      <c r="F880" s="104"/>
      <c r="G880" s="104"/>
    </row>
    <row r="881" spans="8:8" ht="41.25" customHeight="1">
      <c r="A881" s="103"/>
      <c r="B881" s="103"/>
      <c r="C881" s="103"/>
      <c r="D881" s="103"/>
      <c r="E881" s="103"/>
      <c r="F881" s="104"/>
      <c r="G881" s="104"/>
    </row>
    <row r="882" spans="8:8" ht="41.25" customHeight="1">
      <c r="A882" s="103"/>
      <c r="B882" s="103"/>
      <c r="C882" s="103"/>
      <c r="D882" s="103"/>
      <c r="E882" s="103"/>
      <c r="F882" s="104"/>
      <c r="G882" s="104"/>
    </row>
    <row r="883" spans="8:8" ht="41.25" customHeight="1">
      <c r="A883" s="103"/>
      <c r="B883" s="103"/>
      <c r="C883" s="103"/>
      <c r="D883" s="103"/>
      <c r="E883" s="103"/>
      <c r="F883" s="104"/>
      <c r="G883" s="104"/>
    </row>
    <row r="884" spans="8:8" ht="41.25" customHeight="1">
      <c r="A884" s="103"/>
      <c r="B884" s="103"/>
      <c r="C884" s="103"/>
      <c r="D884" s="103"/>
      <c r="E884" s="103"/>
      <c r="F884" s="104"/>
      <c r="G884" s="104"/>
    </row>
    <row r="885" spans="8:8" ht="41.25" customHeight="1">
      <c r="A885" s="103"/>
      <c r="B885" s="103"/>
      <c r="C885" s="103"/>
      <c r="D885" s="103"/>
      <c r="E885" s="103"/>
      <c r="F885" s="104"/>
      <c r="G885" s="104"/>
    </row>
    <row r="886" spans="8:8" ht="41.25" customHeight="1">
      <c r="A886" s="103"/>
      <c r="B886" s="103"/>
      <c r="C886" s="103"/>
      <c r="D886" s="103"/>
      <c r="E886" s="103"/>
      <c r="F886" s="104"/>
      <c r="G886" s="104"/>
    </row>
    <row r="887" spans="8:8" ht="41.25" customHeight="1">
      <c r="A887" s="103"/>
      <c r="B887" s="103"/>
      <c r="C887" s="103"/>
      <c r="D887" s="103"/>
      <c r="E887" s="103"/>
      <c r="F887" s="104"/>
      <c r="G887" s="104"/>
    </row>
    <row r="888" spans="8:8" ht="41.25" customHeight="1">
      <c r="A888" s="103"/>
      <c r="B888" s="103"/>
      <c r="C888" s="103"/>
      <c r="D888" s="103"/>
      <c r="E888" s="103"/>
      <c r="F888" s="104"/>
      <c r="G888" s="104"/>
    </row>
    <row r="889" spans="8:8" ht="41.25" customHeight="1">
      <c r="A889" s="103"/>
      <c r="B889" s="103"/>
      <c r="C889" s="103"/>
      <c r="D889" s="103"/>
      <c r="E889" s="103"/>
      <c r="F889" s="104"/>
      <c r="G889" s="104"/>
    </row>
    <row r="890" spans="8:8" ht="41.25" customHeight="1">
      <c r="A890" s="103"/>
      <c r="B890" s="103"/>
      <c r="C890" s="103"/>
      <c r="D890" s="103"/>
      <c r="E890" s="103"/>
      <c r="F890" s="104"/>
      <c r="G890" s="104"/>
    </row>
    <row r="891" spans="8:8" ht="41.25" customHeight="1">
      <c r="A891" s="103"/>
      <c r="B891" s="103"/>
      <c r="C891" s="103"/>
      <c r="D891" s="103"/>
      <c r="E891" s="103"/>
      <c r="F891" s="104"/>
      <c r="G891" s="104"/>
    </row>
    <row r="892" spans="8:8" ht="41.25" customHeight="1">
      <c r="A892" s="103"/>
      <c r="B892" s="103"/>
      <c r="C892" s="103"/>
      <c r="D892" s="103"/>
      <c r="E892" s="103"/>
      <c r="F892" s="104"/>
      <c r="G892" s="104"/>
    </row>
    <row r="893" spans="8:8" ht="41.25" customHeight="1">
      <c r="A893" s="103"/>
      <c r="B893" s="103"/>
      <c r="C893" s="103"/>
      <c r="D893" s="103"/>
      <c r="E893" s="103"/>
      <c r="F893" s="104"/>
      <c r="G893" s="104"/>
    </row>
    <row r="894" spans="8:8" ht="41.25" customHeight="1">
      <c r="A894" s="103"/>
      <c r="B894" s="103"/>
      <c r="C894" s="103"/>
      <c r="D894" s="103"/>
      <c r="E894" s="103"/>
      <c r="F894" s="104"/>
      <c r="G894" s="104"/>
    </row>
    <row r="895" spans="8:8" ht="41.25" customHeight="1">
      <c r="A895" s="103"/>
      <c r="B895" s="103"/>
      <c r="C895" s="103"/>
      <c r="D895" s="103"/>
      <c r="E895" s="103"/>
      <c r="F895" s="104"/>
      <c r="G895" s="104"/>
    </row>
    <row r="896" spans="8:8" ht="41.25" customHeight="1">
      <c r="A896" s="103"/>
      <c r="B896" s="103"/>
      <c r="C896" s="103"/>
      <c r="D896" s="103"/>
      <c r="E896" s="103"/>
      <c r="F896" s="104"/>
      <c r="G896" s="104"/>
    </row>
    <row r="897" spans="8:8" ht="41.25" customHeight="1">
      <c r="A897" s="103"/>
      <c r="B897" s="103"/>
      <c r="C897" s="103"/>
      <c r="D897" s="103"/>
      <c r="E897" s="103"/>
      <c r="F897" s="104"/>
      <c r="G897" s="104"/>
    </row>
    <row r="898" spans="8:8" ht="41.25" customHeight="1">
      <c r="A898" s="103"/>
      <c r="B898" s="103"/>
      <c r="C898" s="103"/>
      <c r="D898" s="103"/>
      <c r="E898" s="103"/>
      <c r="F898" s="104"/>
      <c r="G898" s="104"/>
    </row>
    <row r="899" spans="8:8" ht="41.25" customHeight="1">
      <c r="A899" s="103"/>
      <c r="B899" s="103"/>
      <c r="C899" s="103"/>
      <c r="D899" s="103"/>
      <c r="E899" s="103"/>
      <c r="F899" s="104"/>
      <c r="G899" s="104"/>
    </row>
    <row r="900" spans="8:8" ht="41.25" customHeight="1">
      <c r="A900" s="103"/>
      <c r="B900" s="103"/>
      <c r="C900" s="103"/>
      <c r="D900" s="103"/>
      <c r="E900" s="103"/>
      <c r="F900" s="104"/>
      <c r="G900" s="104"/>
    </row>
    <row r="901" spans="8:8" ht="41.25" customHeight="1">
      <c r="A901" s="103"/>
      <c r="B901" s="103"/>
      <c r="C901" s="103"/>
      <c r="D901" s="103"/>
      <c r="E901" s="103"/>
      <c r="F901" s="104"/>
      <c r="G901" s="104"/>
    </row>
    <row r="902" spans="8:8" ht="41.25" customHeight="1">
      <c r="A902" s="103"/>
      <c r="B902" s="103"/>
      <c r="C902" s="103"/>
      <c r="D902" s="103"/>
      <c r="E902" s="103"/>
      <c r="F902" s="104"/>
      <c r="G902" s="104"/>
    </row>
    <row r="903" spans="8:8" ht="41.25" customHeight="1">
      <c r="A903" s="103"/>
      <c r="B903" s="103"/>
      <c r="C903" s="103"/>
      <c r="D903" s="103"/>
      <c r="E903" s="103"/>
      <c r="F903" s="104"/>
      <c r="G903" s="104"/>
    </row>
    <row r="904" spans="8:8" ht="41.25" customHeight="1">
      <c r="A904" s="103"/>
      <c r="B904" s="103"/>
      <c r="C904" s="103"/>
      <c r="D904" s="103"/>
      <c r="E904" s="103"/>
      <c r="F904" s="104"/>
      <c r="G904" s="104"/>
    </row>
    <row r="905" spans="8:8" ht="41.25" customHeight="1">
      <c r="A905" s="103"/>
      <c r="B905" s="103"/>
      <c r="C905" s="103"/>
      <c r="D905" s="103"/>
      <c r="E905" s="103"/>
      <c r="F905" s="104"/>
      <c r="G905" s="104"/>
    </row>
    <row r="906" spans="8:8" ht="41.25" customHeight="1">
      <c r="A906" s="103"/>
      <c r="B906" s="103"/>
      <c r="C906" s="103"/>
      <c r="D906" s="103"/>
      <c r="E906" s="103"/>
      <c r="F906" s="104"/>
      <c r="G906" s="104"/>
    </row>
    <row r="907" spans="8:8" ht="41.25" customHeight="1">
      <c r="A907" s="103"/>
      <c r="B907" s="103"/>
      <c r="C907" s="103"/>
      <c r="D907" s="103"/>
      <c r="E907" s="103"/>
      <c r="F907" s="104"/>
      <c r="G907" s="104"/>
    </row>
    <row r="908" spans="8:8" ht="41.25" customHeight="1">
      <c r="A908" s="103"/>
      <c r="B908" s="103"/>
      <c r="C908" s="103"/>
      <c r="D908" s="103"/>
      <c r="E908" s="103"/>
      <c r="F908" s="104"/>
      <c r="G908" s="104"/>
    </row>
    <row r="909" spans="8:8" ht="41.25" customHeight="1">
      <c r="A909" s="103"/>
      <c r="B909" s="103"/>
      <c r="C909" s="103"/>
      <c r="D909" s="103"/>
      <c r="E909" s="103"/>
      <c r="F909" s="104"/>
      <c r="G909" s="104"/>
    </row>
    <row r="910" spans="8:8" ht="41.25" customHeight="1">
      <c r="A910" s="103"/>
      <c r="B910" s="103"/>
      <c r="C910" s="103"/>
      <c r="D910" s="103"/>
      <c r="E910" s="103"/>
      <c r="F910" s="104"/>
      <c r="G910" s="104"/>
    </row>
    <row r="911" spans="8:8" ht="41.25" customHeight="1">
      <c r="A911" s="103"/>
      <c r="B911" s="103"/>
      <c r="C911" s="103"/>
      <c r="D911" s="103"/>
      <c r="E911" s="103"/>
      <c r="F911" s="104"/>
      <c r="G911" s="104"/>
    </row>
    <row r="912" spans="8:8" ht="41.25" customHeight="1">
      <c r="A912" s="103"/>
      <c r="B912" s="103"/>
      <c r="C912" s="103"/>
      <c r="D912" s="103"/>
      <c r="E912" s="103"/>
      <c r="F912" s="104"/>
      <c r="G912" s="104"/>
    </row>
    <row r="913" spans="8:8" ht="41.25" customHeight="1">
      <c r="A913" s="103"/>
      <c r="B913" s="103"/>
      <c r="C913" s="103"/>
      <c r="D913" s="103"/>
      <c r="E913" s="103"/>
      <c r="F913" s="104"/>
      <c r="G913" s="104"/>
    </row>
    <row r="914" spans="8:8" ht="41.25" customHeight="1">
      <c r="A914" s="103"/>
      <c r="B914" s="103"/>
      <c r="C914" s="103"/>
      <c r="D914" s="103"/>
      <c r="E914" s="103"/>
      <c r="F914" s="104"/>
      <c r="G914" s="104"/>
    </row>
    <row r="915" spans="8:8" ht="41.25" customHeight="1">
      <c r="A915" s="103"/>
      <c r="B915" s="103"/>
      <c r="C915" s="103"/>
      <c r="D915" s="103"/>
      <c r="E915" s="103"/>
      <c r="F915" s="104"/>
      <c r="G915" s="104"/>
    </row>
    <row r="916" spans="8:8" ht="41.25" customHeight="1">
      <c r="A916" s="103"/>
      <c r="B916" s="103"/>
      <c r="C916" s="103"/>
      <c r="D916" s="103"/>
      <c r="E916" s="103"/>
      <c r="F916" s="104"/>
      <c r="G916" s="104"/>
    </row>
    <row r="917" spans="8:8" ht="41.25" customHeight="1">
      <c r="A917" s="103"/>
      <c r="B917" s="103"/>
      <c r="C917" s="103"/>
      <c r="D917" s="103"/>
      <c r="E917" s="103"/>
      <c r="F917" s="104"/>
      <c r="G917" s="104"/>
    </row>
    <row r="918" spans="8:8" ht="41.25" customHeight="1">
      <c r="A918" s="103"/>
      <c r="B918" s="103"/>
      <c r="C918" s="103"/>
      <c r="D918" s="103"/>
      <c r="E918" s="103"/>
      <c r="F918" s="104"/>
      <c r="G918" s="104"/>
    </row>
    <row r="919" spans="8:8" ht="41.25" customHeight="1">
      <c r="A919" s="103"/>
      <c r="B919" s="103"/>
      <c r="C919" s="103"/>
      <c r="D919" s="103"/>
      <c r="E919" s="103"/>
      <c r="F919" s="104"/>
      <c r="G919" s="104"/>
    </row>
    <row r="920" spans="8:8" ht="41.25" customHeight="1">
      <c r="A920" s="103"/>
      <c r="B920" s="103"/>
      <c r="C920" s="103"/>
      <c r="D920" s="103"/>
      <c r="E920" s="103"/>
      <c r="F920" s="104"/>
      <c r="G920" s="104"/>
    </row>
    <row r="921" spans="8:8" ht="41.25" customHeight="1">
      <c r="A921" s="103"/>
      <c r="B921" s="103"/>
      <c r="C921" s="103"/>
      <c r="D921" s="103"/>
      <c r="E921" s="103"/>
      <c r="F921" s="104"/>
      <c r="G921" s="104"/>
    </row>
    <row r="922" spans="8:8" ht="41.25" customHeight="1">
      <c r="A922" s="103"/>
      <c r="B922" s="103"/>
      <c r="C922" s="103"/>
      <c r="D922" s="103"/>
      <c r="E922" s="103"/>
      <c r="F922" s="104"/>
      <c r="G922" s="104"/>
    </row>
    <row r="923" spans="8:8" ht="41.25" customHeight="1">
      <c r="A923" s="103"/>
      <c r="B923" s="103"/>
      <c r="C923" s="103"/>
      <c r="D923" s="103"/>
      <c r="E923" s="103"/>
      <c r="F923" s="104"/>
      <c r="G923" s="104"/>
    </row>
    <row r="924" spans="8:8" ht="41.25" customHeight="1">
      <c r="A924" s="103"/>
      <c r="B924" s="103"/>
      <c r="C924" s="103"/>
      <c r="D924" s="103"/>
      <c r="E924" s="103"/>
      <c r="F924" s="104"/>
      <c r="G924" s="104"/>
    </row>
    <row r="925" spans="8:8" ht="41.25" customHeight="1">
      <c r="A925" s="103"/>
      <c r="B925" s="103"/>
      <c r="C925" s="103"/>
      <c r="D925" s="103"/>
      <c r="E925" s="103"/>
      <c r="F925" s="104"/>
      <c r="G925" s="104"/>
    </row>
    <row r="926" spans="8:8" ht="41.25" customHeight="1">
      <c r="A926" s="103"/>
      <c r="B926" s="103"/>
      <c r="C926" s="103"/>
      <c r="D926" s="103"/>
      <c r="E926" s="103"/>
      <c r="F926" s="104"/>
      <c r="G926" s="104"/>
    </row>
    <row r="927" spans="8:8" ht="41.25" customHeight="1">
      <c r="A927" s="103"/>
      <c r="B927" s="103"/>
      <c r="C927" s="103"/>
      <c r="D927" s="103"/>
      <c r="E927" s="103"/>
      <c r="F927" s="104"/>
      <c r="G927" s="104"/>
    </row>
    <row r="928" spans="8:8" ht="41.25" customHeight="1">
      <c r="A928" s="103"/>
      <c r="B928" s="103"/>
      <c r="C928" s="103"/>
      <c r="D928" s="103"/>
      <c r="E928" s="103"/>
      <c r="F928" s="104"/>
      <c r="G928" s="104"/>
    </row>
    <row r="929" spans="8:8" ht="41.25" customHeight="1">
      <c r="A929" s="103"/>
      <c r="B929" s="103"/>
      <c r="C929" s="103"/>
      <c r="D929" s="103"/>
      <c r="E929" s="103"/>
      <c r="F929" s="104"/>
      <c r="G929" s="104"/>
    </row>
    <row r="930" spans="8:8" ht="41.25" customHeight="1">
      <c r="A930" s="103"/>
      <c r="B930" s="103"/>
      <c r="C930" s="103"/>
      <c r="D930" s="103"/>
      <c r="E930" s="103"/>
      <c r="F930" s="104"/>
      <c r="G930" s="104"/>
    </row>
    <row r="931" spans="8:8" ht="41.25" customHeight="1">
      <c r="A931" s="103"/>
      <c r="B931" s="103"/>
      <c r="C931" s="103"/>
      <c r="D931" s="103"/>
      <c r="E931" s="103"/>
      <c r="F931" s="104"/>
      <c r="G931" s="104"/>
    </row>
    <row r="932" spans="8:8" ht="41.25" customHeight="1">
      <c r="A932" s="103"/>
      <c r="B932" s="103"/>
      <c r="C932" s="103"/>
      <c r="D932" s="103"/>
      <c r="E932" s="103"/>
      <c r="F932" s="104"/>
      <c r="G932" s="104"/>
    </row>
    <row r="933" spans="8:8" ht="41.25" customHeight="1">
      <c r="A933" s="103"/>
      <c r="B933" s="103"/>
      <c r="C933" s="103"/>
      <c r="D933" s="103"/>
      <c r="E933" s="103"/>
      <c r="F933" s="104"/>
      <c r="G933" s="104"/>
    </row>
    <row r="934" spans="8:8" ht="41.25" customHeight="1">
      <c r="A934" s="103"/>
      <c r="B934" s="103"/>
      <c r="C934" s="103"/>
      <c r="D934" s="103"/>
      <c r="E934" s="103"/>
      <c r="F934" s="104"/>
      <c r="G934" s="104"/>
    </row>
    <row r="935" spans="8:8" ht="41.25" customHeight="1">
      <c r="A935" s="103"/>
      <c r="B935" s="103"/>
      <c r="C935" s="103"/>
      <c r="D935" s="103"/>
      <c r="E935" s="103"/>
      <c r="F935" s="104"/>
      <c r="G935" s="104"/>
    </row>
    <row r="936" spans="8:8" ht="41.25" customHeight="1">
      <c r="A936" s="103"/>
      <c r="B936" s="103"/>
      <c r="C936" s="103"/>
      <c r="D936" s="103"/>
      <c r="E936" s="103"/>
      <c r="F936" s="104"/>
      <c r="G936" s="104"/>
    </row>
    <row r="937" spans="8:8" ht="41.25" customHeight="1">
      <c r="A937" s="103"/>
      <c r="B937" s="103"/>
      <c r="C937" s="103"/>
      <c r="D937" s="103"/>
      <c r="E937" s="103"/>
      <c r="F937" s="104"/>
      <c r="G937" s="104"/>
    </row>
    <row r="938" spans="8:8" ht="41.25" customHeight="1">
      <c r="A938" s="103"/>
      <c r="B938" s="103"/>
      <c r="C938" s="103"/>
      <c r="D938" s="103"/>
      <c r="E938" s="103"/>
      <c r="F938" s="104"/>
      <c r="G938" s="104"/>
    </row>
    <row r="939" spans="8:8" ht="41.25" customHeight="1">
      <c r="A939" s="103"/>
      <c r="B939" s="103"/>
      <c r="C939" s="103"/>
      <c r="D939" s="103"/>
      <c r="E939" s="103"/>
      <c r="F939" s="104"/>
      <c r="G939" s="104"/>
    </row>
    <row r="940" spans="8:8" ht="41.25" customHeight="1">
      <c r="A940" s="103"/>
      <c r="B940" s="103"/>
      <c r="C940" s="103"/>
      <c r="D940" s="103"/>
      <c r="E940" s="103"/>
      <c r="F940" s="104"/>
      <c r="G940" s="104"/>
    </row>
    <row r="941" spans="8:8" ht="41.25" customHeight="1">
      <c r="A941" s="103"/>
      <c r="B941" s="103"/>
      <c r="C941" s="103"/>
      <c r="D941" s="103"/>
      <c r="E941" s="103"/>
      <c r="F941" s="104"/>
      <c r="G941" s="104"/>
    </row>
    <row r="942" spans="8:8" ht="41.25" customHeight="1">
      <c r="A942" s="103"/>
      <c r="B942" s="103"/>
      <c r="C942" s="103"/>
      <c r="D942" s="103"/>
      <c r="E942" s="103"/>
      <c r="F942" s="104"/>
      <c r="G942" s="104"/>
    </row>
    <row r="943" spans="8:8" ht="41.25" customHeight="1">
      <c r="A943" s="103"/>
      <c r="B943" s="103"/>
      <c r="C943" s="103"/>
      <c r="D943" s="103"/>
      <c r="E943" s="103"/>
      <c r="F943" s="104"/>
      <c r="G943" s="104"/>
    </row>
    <row r="944" spans="8:8" ht="41.25" customHeight="1">
      <c r="A944" s="103"/>
      <c r="B944" s="103"/>
      <c r="C944" s="103"/>
      <c r="D944" s="103"/>
      <c r="E944" s="103"/>
      <c r="F944" s="104"/>
      <c r="G944" s="104"/>
    </row>
    <row r="945" spans="8:8" ht="41.25" customHeight="1">
      <c r="A945" s="103"/>
      <c r="B945" s="103"/>
      <c r="C945" s="103"/>
      <c r="D945" s="103"/>
      <c r="E945" s="103"/>
      <c r="F945" s="104"/>
      <c r="G945" s="104"/>
    </row>
    <row r="946" spans="8:8" ht="41.25" customHeight="1">
      <c r="A946" s="103"/>
      <c r="B946" s="103"/>
      <c r="C946" s="103"/>
      <c r="D946" s="103"/>
      <c r="E946" s="103"/>
      <c r="F946" s="104"/>
      <c r="G946" s="104"/>
    </row>
    <row r="947" spans="8:8" ht="41.25" customHeight="1">
      <c r="A947" s="103"/>
      <c r="B947" s="103"/>
      <c r="C947" s="103"/>
      <c r="D947" s="103"/>
      <c r="E947" s="103"/>
      <c r="F947" s="104"/>
      <c r="G947" s="104"/>
    </row>
    <row r="948" spans="8:8" ht="41.25" customHeight="1">
      <c r="A948" s="103"/>
      <c r="B948" s="103"/>
      <c r="C948" s="103"/>
      <c r="D948" s="103"/>
      <c r="E948" s="103"/>
      <c r="F948" s="104"/>
      <c r="G948" s="104"/>
    </row>
    <row r="949" spans="8:8" ht="41.25" customHeight="1">
      <c r="A949" s="103"/>
      <c r="B949" s="103"/>
      <c r="C949" s="103"/>
      <c r="D949" s="103"/>
      <c r="E949" s="103"/>
      <c r="F949" s="104"/>
      <c r="G949" s="104"/>
    </row>
    <row r="950" spans="8:8" ht="41.25" customHeight="1">
      <c r="A950" s="103"/>
      <c r="B950" s="103"/>
      <c r="C950" s="103"/>
      <c r="D950" s="103"/>
      <c r="E950" s="103"/>
      <c r="F950" s="104"/>
      <c r="G950" s="104"/>
    </row>
    <row r="951" spans="8:8" ht="41.25" customHeight="1">
      <c r="A951" s="103"/>
      <c r="B951" s="103"/>
      <c r="C951" s="103"/>
      <c r="D951" s="103"/>
      <c r="E951" s="103"/>
      <c r="F951" s="104"/>
      <c r="G951" s="104"/>
    </row>
    <row r="952" spans="8:8" ht="41.25" customHeight="1">
      <c r="A952" s="103"/>
      <c r="B952" s="103"/>
      <c r="C952" s="103"/>
      <c r="D952" s="103"/>
      <c r="E952" s="103"/>
      <c r="F952" s="104"/>
      <c r="G952" s="104"/>
    </row>
    <row r="953" spans="8:8" ht="41.25" customHeight="1">
      <c r="A953" s="103"/>
      <c r="B953" s="103"/>
      <c r="C953" s="103"/>
      <c r="D953" s="103"/>
      <c r="E953" s="103"/>
      <c r="F953" s="104"/>
      <c r="G953" s="104"/>
    </row>
    <row r="954" spans="8:8" ht="41.25" customHeight="1">
      <c r="A954" s="103"/>
      <c r="B954" s="103"/>
      <c r="C954" s="103"/>
      <c r="D954" s="103"/>
      <c r="E954" s="103"/>
      <c r="F954" s="104"/>
      <c r="G954" s="104"/>
    </row>
    <row r="955" spans="8:8" ht="41.25" customHeight="1">
      <c r="A955" s="103"/>
      <c r="B955" s="103"/>
      <c r="C955" s="103"/>
      <c r="D955" s="103"/>
      <c r="E955" s="103"/>
      <c r="F955" s="104"/>
      <c r="G955" s="104"/>
    </row>
    <row r="956" spans="8:8" ht="41.25" customHeight="1">
      <c r="A956" s="103"/>
      <c r="B956" s="103"/>
      <c r="C956" s="103"/>
      <c r="D956" s="103"/>
      <c r="E956" s="103"/>
      <c r="F956" s="104"/>
      <c r="G956" s="104"/>
    </row>
    <row r="957" spans="8:8" ht="41.25" customHeight="1">
      <c r="A957" s="103"/>
      <c r="B957" s="103"/>
      <c r="C957" s="103"/>
      <c r="D957" s="103"/>
      <c r="E957" s="103"/>
      <c r="F957" s="104"/>
      <c r="G957" s="104"/>
    </row>
    <row r="958" spans="8:8" ht="41.25" customHeight="1">
      <c r="A958" s="103"/>
      <c r="B958" s="103"/>
      <c r="C958" s="103"/>
      <c r="D958" s="103"/>
      <c r="E958" s="103"/>
      <c r="F958" s="104"/>
      <c r="G958" s="104"/>
    </row>
    <row r="959" spans="8:8" ht="41.25" customHeight="1">
      <c r="A959" s="103"/>
      <c r="B959" s="103"/>
      <c r="C959" s="103"/>
      <c r="D959" s="103"/>
      <c r="E959" s="103"/>
      <c r="F959" s="104"/>
      <c r="G959" s="104"/>
    </row>
    <row r="960" spans="8:8" ht="41.25" customHeight="1">
      <c r="A960" s="103"/>
      <c r="B960" s="103"/>
      <c r="C960" s="103"/>
      <c r="D960" s="103"/>
      <c r="E960" s="103"/>
      <c r="F960" s="104"/>
      <c r="G960" s="104"/>
    </row>
    <row r="961" spans="8:8" ht="41.25" customHeight="1">
      <c r="A961" s="103"/>
      <c r="B961" s="103"/>
      <c r="C961" s="103"/>
      <c r="D961" s="103"/>
      <c r="E961" s="103"/>
      <c r="F961" s="104"/>
      <c r="G961" s="104"/>
    </row>
    <row r="962" spans="8:8" ht="41.25" customHeight="1">
      <c r="A962" s="103"/>
      <c r="B962" s="103"/>
      <c r="C962" s="103"/>
      <c r="D962" s="103"/>
      <c r="E962" s="103"/>
      <c r="F962" s="104"/>
      <c r="G962" s="104"/>
    </row>
    <row r="963" spans="8:8" ht="41.25" customHeight="1">
      <c r="A963" s="103"/>
      <c r="B963" s="103"/>
      <c r="C963" s="103"/>
      <c r="D963" s="103"/>
      <c r="E963" s="103"/>
      <c r="F963" s="104"/>
      <c r="G963" s="104"/>
    </row>
    <row r="964" spans="8:8" ht="41.25" customHeight="1">
      <c r="A964" s="103"/>
      <c r="B964" s="103"/>
      <c r="C964" s="103"/>
      <c r="D964" s="103"/>
      <c r="E964" s="103"/>
      <c r="F964" s="104"/>
      <c r="G964" s="104"/>
    </row>
    <row r="965" spans="8:8" ht="41.25" customHeight="1">
      <c r="A965" s="103"/>
      <c r="B965" s="103"/>
      <c r="C965" s="103"/>
      <c r="D965" s="103"/>
      <c r="E965" s="103"/>
      <c r="F965" s="104"/>
      <c r="G965" s="104"/>
    </row>
    <row r="966" spans="8:8" ht="41.25" customHeight="1">
      <c r="A966" s="103"/>
      <c r="B966" s="103"/>
      <c r="C966" s="103"/>
      <c r="D966" s="103"/>
      <c r="E966" s="103"/>
      <c r="F966" s="104"/>
      <c r="G966" s="104"/>
    </row>
    <row r="967" spans="8:8" ht="41.25" customHeight="1">
      <c r="A967" s="103"/>
      <c r="B967" s="103"/>
      <c r="C967" s="103"/>
      <c r="D967" s="103"/>
      <c r="E967" s="103"/>
      <c r="F967" s="104"/>
      <c r="G967" s="104"/>
    </row>
    <row r="968" spans="8:8" ht="41.25" customHeight="1">
      <c r="A968" s="103"/>
      <c r="B968" s="103"/>
      <c r="C968" s="103"/>
      <c r="D968" s="103"/>
      <c r="E968" s="103"/>
      <c r="F968" s="104"/>
      <c r="G968" s="104"/>
    </row>
    <row r="969" spans="8:8" ht="41.25" customHeight="1">
      <c r="A969" s="103"/>
      <c r="B969" s="103"/>
      <c r="C969" s="103"/>
      <c r="D969" s="103"/>
      <c r="E969" s="103"/>
      <c r="F969" s="104"/>
      <c r="G969" s="104"/>
    </row>
    <row r="970" spans="8:8" ht="41.25" customHeight="1">
      <c r="A970" s="103"/>
      <c r="B970" s="103"/>
      <c r="C970" s="103"/>
      <c r="D970" s="103"/>
      <c r="E970" s="103"/>
      <c r="F970" s="104"/>
      <c r="G970" s="104"/>
    </row>
    <row r="971" spans="8:8" ht="41.25" customHeight="1">
      <c r="A971" s="103"/>
      <c r="B971" s="103"/>
      <c r="C971" s="103"/>
      <c r="D971" s="103"/>
      <c r="E971" s="103"/>
      <c r="F971" s="104"/>
      <c r="G971" s="104"/>
    </row>
    <row r="972" spans="8:8" ht="41.25" customHeight="1">
      <c r="A972" s="103"/>
      <c r="B972" s="103"/>
      <c r="C972" s="103"/>
      <c r="D972" s="103"/>
      <c r="E972" s="103"/>
      <c r="F972" s="104"/>
      <c r="G972" s="104"/>
    </row>
    <row r="973" spans="8:8" ht="41.25" customHeight="1">
      <c r="A973" s="103"/>
      <c r="B973" s="103"/>
      <c r="C973" s="103"/>
      <c r="D973" s="103"/>
      <c r="E973" s="103"/>
      <c r="F973" s="104"/>
      <c r="G973" s="104"/>
    </row>
    <row r="974" spans="8:8" ht="41.25" customHeight="1">
      <c r="A974" s="103"/>
      <c r="B974" s="103"/>
      <c r="C974" s="103"/>
      <c r="D974" s="103"/>
      <c r="E974" s="103"/>
      <c r="F974" s="104"/>
      <c r="G974" s="104"/>
    </row>
    <row r="975" spans="8:8" ht="41.25" customHeight="1">
      <c r="A975" s="103"/>
      <c r="B975" s="103"/>
      <c r="C975" s="103"/>
      <c r="D975" s="103"/>
      <c r="E975" s="103"/>
      <c r="F975" s="104"/>
      <c r="G975" s="104"/>
    </row>
    <row r="976" spans="8:8" ht="41.25" customHeight="1">
      <c r="A976" s="103"/>
      <c r="B976" s="103"/>
      <c r="C976" s="103"/>
      <c r="D976" s="103"/>
      <c r="E976" s="103"/>
      <c r="F976" s="104"/>
      <c r="G976" s="104"/>
    </row>
    <row r="977" spans="8:8" ht="41.25" customHeight="1">
      <c r="A977" s="103"/>
      <c r="B977" s="103"/>
      <c r="C977" s="103"/>
      <c r="D977" s="103"/>
      <c r="E977" s="103"/>
      <c r="F977" s="104"/>
      <c r="G977" s="104"/>
    </row>
    <row r="978" spans="8:8" ht="41.25" customHeight="1">
      <c r="A978" s="103"/>
      <c r="B978" s="103"/>
      <c r="C978" s="103"/>
      <c r="D978" s="103"/>
      <c r="E978" s="103"/>
      <c r="F978" s="104"/>
      <c r="G978" s="104"/>
    </row>
    <row r="979" spans="8:8" ht="41.25" customHeight="1">
      <c r="A979" s="103"/>
      <c r="B979" s="103"/>
      <c r="C979" s="103"/>
      <c r="D979" s="103"/>
      <c r="E979" s="103"/>
      <c r="F979" s="104"/>
      <c r="G979" s="104"/>
    </row>
    <row r="980" spans="8:8" ht="41.25" customHeight="1">
      <c r="A980" s="103"/>
      <c r="B980" s="103"/>
      <c r="C980" s="103"/>
      <c r="D980" s="103"/>
      <c r="E980" s="103"/>
      <c r="F980" s="104"/>
      <c r="G980" s="104"/>
    </row>
    <row r="981" spans="8:8" ht="41.25" customHeight="1">
      <c r="A981" s="103"/>
      <c r="B981" s="103"/>
      <c r="C981" s="103"/>
      <c r="D981" s="103"/>
      <c r="E981" s="103"/>
      <c r="F981" s="104"/>
      <c r="G981" s="104"/>
    </row>
    <row r="982" spans="8:8" ht="41.25" customHeight="1">
      <c r="A982" s="103"/>
      <c r="B982" s="103"/>
      <c r="C982" s="103"/>
      <c r="D982" s="103"/>
      <c r="E982" s="103"/>
      <c r="F982" s="104"/>
      <c r="G982" s="104"/>
    </row>
    <row r="983" spans="8:8" ht="41.25" customHeight="1">
      <c r="A983" s="103"/>
      <c r="B983" s="103"/>
      <c r="C983" s="103"/>
      <c r="D983" s="103"/>
      <c r="E983" s="103"/>
      <c r="F983" s="104"/>
      <c r="G983" s="104"/>
    </row>
    <row r="984" spans="8:8" ht="41.25" customHeight="1">
      <c r="A984" s="103"/>
      <c r="B984" s="103"/>
      <c r="C984" s="103"/>
      <c r="D984" s="103"/>
      <c r="E984" s="103"/>
      <c r="F984" s="104"/>
      <c r="G984" s="104"/>
    </row>
    <row r="985" spans="8:8" ht="41.25" customHeight="1">
      <c r="A985" s="103"/>
      <c r="B985" s="103"/>
      <c r="C985" s="103"/>
      <c r="D985" s="103"/>
      <c r="E985" s="103"/>
      <c r="F985" s="104"/>
      <c r="G985" s="104"/>
    </row>
    <row r="986" spans="8:8" ht="41.25" customHeight="1">
      <c r="A986" s="103"/>
      <c r="B986" s="103"/>
      <c r="C986" s="103"/>
      <c r="D986" s="103"/>
      <c r="E986" s="103"/>
      <c r="F986" s="104"/>
      <c r="G986" s="104"/>
    </row>
    <row r="987" spans="8:8" ht="41.25" customHeight="1">
      <c r="A987" s="103"/>
      <c r="B987" s="103"/>
      <c r="C987" s="103"/>
      <c r="D987" s="103"/>
      <c r="E987" s="103"/>
      <c r="F987" s="104"/>
      <c r="G987" s="104"/>
    </row>
    <row r="988" spans="8:8" ht="41.25" customHeight="1">
      <c r="A988" s="103"/>
      <c r="B988" s="103"/>
      <c r="C988" s="103"/>
      <c r="D988" s="103"/>
      <c r="E988" s="103"/>
      <c r="F988" s="104"/>
      <c r="G988" s="104"/>
    </row>
    <row r="989" spans="8:8" ht="41.25" customHeight="1">
      <c r="A989" s="103"/>
      <c r="B989" s="103"/>
      <c r="C989" s="103"/>
      <c r="D989" s="103"/>
      <c r="E989" s="103"/>
      <c r="F989" s="104"/>
      <c r="G989" s="104"/>
    </row>
    <row r="990" spans="8:8" ht="41.25" customHeight="1">
      <c r="A990" s="103"/>
      <c r="B990" s="103"/>
      <c r="C990" s="103"/>
      <c r="D990" s="103"/>
      <c r="E990" s="103"/>
      <c r="F990" s="104"/>
      <c r="G990" s="104"/>
    </row>
    <row r="991" spans="8:8" ht="41.25" customHeight="1">
      <c r="A991" s="103"/>
      <c r="B991" s="103"/>
      <c r="C991" s="103"/>
      <c r="D991" s="103"/>
      <c r="E991" s="103"/>
      <c r="F991" s="104"/>
      <c r="G991" s="104"/>
    </row>
    <row r="992" spans="8:8" ht="41.25" customHeight="1">
      <c r="A992" s="103"/>
      <c r="B992" s="103"/>
      <c r="C992" s="103"/>
      <c r="D992" s="103"/>
      <c r="E992" s="103"/>
      <c r="F992" s="104"/>
      <c r="G992" s="104"/>
    </row>
    <row r="993" spans="8:8" ht="41.25" customHeight="1">
      <c r="A993" s="103"/>
      <c r="B993" s="103"/>
      <c r="C993" s="103"/>
      <c r="D993" s="103"/>
      <c r="E993" s="103"/>
      <c r="F993" s="104"/>
      <c r="G993" s="104"/>
    </row>
    <row r="994" spans="8:8" ht="41.25" customHeight="1">
      <c r="A994" s="103"/>
      <c r="B994" s="103"/>
      <c r="C994" s="103"/>
      <c r="D994" s="103"/>
      <c r="E994" s="103"/>
      <c r="F994" s="104"/>
      <c r="G994" s="104"/>
    </row>
    <row r="995" spans="8:8" ht="41.25" customHeight="1">
      <c r="A995" s="103"/>
      <c r="B995" s="103"/>
      <c r="C995" s="103"/>
      <c r="D995" s="103"/>
      <c r="E995" s="103"/>
      <c r="F995" s="104"/>
      <c r="G995" s="104"/>
    </row>
    <row r="996" spans="8:8" ht="41.25" customHeight="1">
      <c r="A996" s="103"/>
      <c r="B996" s="103"/>
      <c r="C996" s="103"/>
      <c r="D996" s="103"/>
      <c r="E996" s="103"/>
      <c r="F996" s="104"/>
      <c r="G996" s="104"/>
    </row>
  </sheetData>
  <mergeCells count="1">
    <mergeCell ref="A1:G1"/>
  </mergeCells>
  <conditionalFormatting sqref="C2:C501 C503:C504">
    <cfRule type="expression" priority="1" dxfId="65">
      <formula>COUNTIF(#REF!,C2)&gt;0</formula>
    </cfRule>
  </conditionalFormatting>
  <printOptions horizontalCentered="1" gridLines="1"/>
  <pageMargins left="0.7" right="0.7" top="0.75" bottom="0.75" header="0.0" footer="0.0"/>
  <pageSetup paperSize="9" fitToHeight="0" pageOrder="overThenDown" orientation="landscape" cellComments="atEnd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93C47D"/>
    <pageSetUpPr fitToPage="1"/>
  </sheetPr>
  <dimension ref="A1:I1325"/>
  <sheetViews>
    <sheetView workbookViewId="0">
      <selection activeCell="A1" sqref="A1:G1"/>
    </sheetView>
  </sheetViews>
  <sheetFormatPr defaultRowHeight="15.0" customHeight="1" defaultColWidth="12"/>
  <cols>
    <col min="1" max="1" customWidth="1" width="13.378906" style="0"/>
    <col min="2" max="2" customWidth="1" width="47.378906" style="0"/>
    <col min="3" max="3" customWidth="1" width="15.628906" style="0"/>
    <col min="4" max="4" customWidth="1" width="46.75" style="0"/>
    <col min="5" max="5" customWidth="1" width="15.0" style="0"/>
    <col min="6" max="6" customWidth="1" width="16.5" style="0"/>
    <col min="7" max="7" customWidth="1" width="36.878906" style="0"/>
  </cols>
  <sheetData>
    <row r="1" spans="8:8" ht="34.5" customHeight="1">
      <c r="A1" s="6" t="s">
        <v>3448</v>
      </c>
      <c r="B1" s="7"/>
      <c r="C1" s="7"/>
      <c r="D1" s="7"/>
      <c r="E1" s="7"/>
      <c r="F1" s="7"/>
      <c r="G1" s="7"/>
    </row>
    <row r="2" spans="8:8" ht="34.5" customHeight="1">
      <c r="A2" s="8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</row>
    <row r="3" spans="8:8" ht="34.5" customHeight="1">
      <c r="A3" s="8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3449</v>
      </c>
    </row>
    <row r="4" spans="8:8" ht="34.5" customHeight="1">
      <c r="A4" s="11">
        <v>1.0</v>
      </c>
      <c r="B4" s="21" t="s">
        <v>3450</v>
      </c>
      <c r="C4" s="22">
        <v>250362.0</v>
      </c>
      <c r="D4" s="107" t="s">
        <v>1868</v>
      </c>
      <c r="E4" s="22" t="s">
        <v>28</v>
      </c>
      <c r="F4" s="108">
        <v>0.4166666666666667</v>
      </c>
      <c r="G4" s="13"/>
    </row>
    <row r="5" spans="8:8" ht="34.5" customHeight="1">
      <c r="A5" s="11">
        <v>2.0</v>
      </c>
      <c r="B5" s="21" t="s">
        <v>3451</v>
      </c>
      <c r="C5" s="22">
        <v>251240.0</v>
      </c>
      <c r="D5" s="107" t="s">
        <v>1868</v>
      </c>
      <c r="E5" s="22" t="s">
        <v>28</v>
      </c>
      <c r="F5" s="108">
        <v>0.4166666666666667</v>
      </c>
      <c r="G5" s="22"/>
    </row>
    <row r="6" spans="8:8" ht="34.5" customHeight="1">
      <c r="A6" s="11">
        <v>3.0</v>
      </c>
      <c r="B6" s="21" t="s">
        <v>3452</v>
      </c>
      <c r="C6" s="22">
        <v>251244.0</v>
      </c>
      <c r="D6" s="107" t="s">
        <v>1868</v>
      </c>
      <c r="E6" s="22" t="s">
        <v>28</v>
      </c>
      <c r="F6" s="108">
        <v>0.4166666666666667</v>
      </c>
      <c r="G6" s="22"/>
    </row>
    <row r="7" spans="8:8" ht="34.5" customHeight="1">
      <c r="A7" s="11">
        <v>4.0</v>
      </c>
      <c r="B7" s="21" t="s">
        <v>3453</v>
      </c>
      <c r="C7" s="22">
        <v>251245.0</v>
      </c>
      <c r="D7" s="107" t="s">
        <v>1868</v>
      </c>
      <c r="E7" s="22" t="s">
        <v>28</v>
      </c>
      <c r="F7" s="108">
        <v>0.4166666666666667</v>
      </c>
      <c r="G7" s="22"/>
    </row>
    <row r="8" spans="8:8" ht="34.5" customHeight="1">
      <c r="A8" s="11">
        <v>5.0</v>
      </c>
      <c r="B8" s="21" t="s">
        <v>3454</v>
      </c>
      <c r="C8" s="22">
        <v>251248.0</v>
      </c>
      <c r="D8" s="107" t="s">
        <v>1868</v>
      </c>
      <c r="E8" s="22" t="s">
        <v>28</v>
      </c>
      <c r="F8" s="108">
        <v>0.4166666666666667</v>
      </c>
      <c r="G8" s="22"/>
    </row>
    <row r="9" spans="8:8" ht="34.5" customHeight="1">
      <c r="A9" s="11">
        <v>6.0</v>
      </c>
      <c r="B9" s="21" t="s">
        <v>3455</v>
      </c>
      <c r="C9" s="22">
        <v>251249.0</v>
      </c>
      <c r="D9" s="107" t="s">
        <v>1868</v>
      </c>
      <c r="E9" s="22" t="s">
        <v>28</v>
      </c>
      <c r="F9" s="108">
        <v>0.4166666666666667</v>
      </c>
      <c r="G9" s="22"/>
    </row>
    <row r="10" spans="8:8" ht="34.5" customHeight="1">
      <c r="A10" s="11">
        <v>7.0</v>
      </c>
      <c r="B10" s="21" t="s">
        <v>3456</v>
      </c>
      <c r="C10" s="22">
        <v>251250.0</v>
      </c>
      <c r="D10" s="107" t="s">
        <v>1868</v>
      </c>
      <c r="E10" s="22" t="s">
        <v>28</v>
      </c>
      <c r="F10" s="108">
        <v>0.4166666666666667</v>
      </c>
      <c r="G10" s="22"/>
    </row>
    <row r="11" spans="8:8" ht="34.5" customHeight="1">
      <c r="A11" s="11">
        <v>8.0</v>
      </c>
      <c r="B11" s="21" t="s">
        <v>3457</v>
      </c>
      <c r="C11" s="22">
        <v>251254.0</v>
      </c>
      <c r="D11" s="107" t="s">
        <v>1868</v>
      </c>
      <c r="E11" s="22" t="s">
        <v>28</v>
      </c>
      <c r="F11" s="108">
        <v>0.4166666666666667</v>
      </c>
      <c r="G11" s="22"/>
    </row>
    <row r="12" spans="8:8" ht="34.5" customHeight="1">
      <c r="A12" s="11">
        <v>9.0</v>
      </c>
      <c r="B12" s="21" t="s">
        <v>3458</v>
      </c>
      <c r="C12" s="22">
        <v>251255.0</v>
      </c>
      <c r="D12" s="107" t="s">
        <v>1868</v>
      </c>
      <c r="E12" s="22" t="s">
        <v>28</v>
      </c>
      <c r="F12" s="108">
        <v>0.4166666666666667</v>
      </c>
      <c r="G12" s="22"/>
    </row>
    <row r="13" spans="8:8" ht="34.5" customHeight="1">
      <c r="A13" s="11">
        <v>10.0</v>
      </c>
      <c r="B13" s="21" t="s">
        <v>3459</v>
      </c>
      <c r="C13" s="22">
        <v>251256.0</v>
      </c>
      <c r="D13" s="107" t="s">
        <v>1868</v>
      </c>
      <c r="E13" s="22" t="s">
        <v>28</v>
      </c>
      <c r="F13" s="108">
        <v>0.4166666666666667</v>
      </c>
      <c r="G13" s="22"/>
    </row>
    <row r="14" spans="8:8" ht="34.5" customHeight="1">
      <c r="A14" s="11">
        <v>11.0</v>
      </c>
      <c r="B14" s="21" t="s">
        <v>3460</v>
      </c>
      <c r="C14" s="22">
        <v>251258.0</v>
      </c>
      <c r="D14" s="107" t="s">
        <v>1868</v>
      </c>
      <c r="E14" s="22" t="s">
        <v>28</v>
      </c>
      <c r="F14" s="108">
        <v>0.4166666666666667</v>
      </c>
      <c r="G14" s="22"/>
    </row>
    <row r="15" spans="8:8" ht="34.5" customHeight="1">
      <c r="A15" s="11">
        <v>12.0</v>
      </c>
      <c r="B15" s="21" t="s">
        <v>3461</v>
      </c>
      <c r="C15" s="22">
        <v>251261.0</v>
      </c>
      <c r="D15" s="107" t="s">
        <v>1868</v>
      </c>
      <c r="E15" s="22" t="s">
        <v>28</v>
      </c>
      <c r="F15" s="108">
        <v>0.4166666666666667</v>
      </c>
      <c r="G15" s="22"/>
    </row>
    <row r="16" spans="8:8" ht="34.5" customHeight="1">
      <c r="A16" s="11">
        <v>13.0</v>
      </c>
      <c r="B16" s="21" t="s">
        <v>3462</v>
      </c>
      <c r="C16" s="22">
        <v>251264.0</v>
      </c>
      <c r="D16" s="107" t="s">
        <v>1868</v>
      </c>
      <c r="E16" s="22" t="s">
        <v>28</v>
      </c>
      <c r="F16" s="108">
        <v>0.4166666666666667</v>
      </c>
      <c r="G16" s="22"/>
    </row>
    <row r="17" spans="8:8" ht="34.5" customHeight="1">
      <c r="A17" s="11">
        <v>14.0</v>
      </c>
      <c r="B17" s="21" t="s">
        <v>3463</v>
      </c>
      <c r="C17" s="22">
        <v>251265.0</v>
      </c>
      <c r="D17" s="107" t="s">
        <v>1868</v>
      </c>
      <c r="E17" s="22" t="s">
        <v>28</v>
      </c>
      <c r="F17" s="108">
        <v>0.4166666666666667</v>
      </c>
      <c r="G17" s="22"/>
    </row>
    <row r="18" spans="8:8" ht="34.5" customHeight="1">
      <c r="A18" s="11">
        <v>15.0</v>
      </c>
      <c r="B18" s="21" t="s">
        <v>3464</v>
      </c>
      <c r="C18" s="22">
        <v>251268.0</v>
      </c>
      <c r="D18" s="107" t="s">
        <v>1868</v>
      </c>
      <c r="E18" s="22" t="s">
        <v>28</v>
      </c>
      <c r="F18" s="108">
        <v>0.4166666666666667</v>
      </c>
      <c r="G18" s="22"/>
    </row>
    <row r="19" spans="8:8" ht="34.5" customHeight="1">
      <c r="A19" s="11">
        <v>16.0</v>
      </c>
      <c r="B19" s="21" t="s">
        <v>3465</v>
      </c>
      <c r="C19" s="22">
        <v>251269.0</v>
      </c>
      <c r="D19" s="107" t="s">
        <v>1868</v>
      </c>
      <c r="E19" s="22" t="s">
        <v>28</v>
      </c>
      <c r="F19" s="108">
        <v>0.4166666666666667</v>
      </c>
      <c r="G19" s="22"/>
    </row>
    <row r="20" spans="8:8" ht="34.5" customHeight="1">
      <c r="A20" s="11">
        <v>17.0</v>
      </c>
      <c r="B20" s="21" t="s">
        <v>3466</v>
      </c>
      <c r="C20" s="22">
        <v>251272.0</v>
      </c>
      <c r="D20" s="107" t="s">
        <v>1868</v>
      </c>
      <c r="E20" s="22" t="s">
        <v>28</v>
      </c>
      <c r="F20" s="108">
        <v>0.4166666666666667</v>
      </c>
      <c r="G20" s="22"/>
    </row>
    <row r="21" spans="8:8" ht="34.5" customHeight="1">
      <c r="A21" s="11">
        <v>18.0</v>
      </c>
      <c r="B21" s="21" t="s">
        <v>3467</v>
      </c>
      <c r="C21" s="22">
        <v>251278.0</v>
      </c>
      <c r="D21" s="107" t="s">
        <v>1868</v>
      </c>
      <c r="E21" s="22" t="s">
        <v>28</v>
      </c>
      <c r="F21" s="108">
        <v>0.4166666666666667</v>
      </c>
      <c r="G21" s="22"/>
    </row>
    <row r="22" spans="8:8" ht="34.5" customHeight="1">
      <c r="A22" s="11">
        <v>19.0</v>
      </c>
      <c r="B22" s="21" t="s">
        <v>3468</v>
      </c>
      <c r="C22" s="22">
        <v>251280.0</v>
      </c>
      <c r="D22" s="107" t="s">
        <v>1868</v>
      </c>
      <c r="E22" s="22" t="s">
        <v>28</v>
      </c>
      <c r="F22" s="108">
        <v>0.4166666666666667</v>
      </c>
      <c r="G22" s="22"/>
    </row>
    <row r="23" spans="8:8" ht="34.5" customHeight="1">
      <c r="A23" s="11">
        <v>20.0</v>
      </c>
      <c r="B23" s="21" t="s">
        <v>3469</v>
      </c>
      <c r="C23" s="22">
        <v>251630.0</v>
      </c>
      <c r="D23" s="107" t="s">
        <v>1868</v>
      </c>
      <c r="E23" s="22" t="s">
        <v>28</v>
      </c>
      <c r="F23" s="108">
        <v>0.4166666666666667</v>
      </c>
      <c r="G23" s="22"/>
    </row>
    <row r="24" spans="8:8" ht="34.5" customHeight="1">
      <c r="A24" s="11">
        <v>21.0</v>
      </c>
      <c r="B24" s="21" t="s">
        <v>3470</v>
      </c>
      <c r="C24" s="22">
        <v>251633.0</v>
      </c>
      <c r="D24" s="107" t="s">
        <v>1868</v>
      </c>
      <c r="E24" s="22" t="s">
        <v>28</v>
      </c>
      <c r="F24" s="108">
        <v>0.4166666666666667</v>
      </c>
      <c r="G24" s="22"/>
    </row>
    <row r="25" spans="8:8" ht="34.5" customHeight="1">
      <c r="A25" s="11">
        <v>22.0</v>
      </c>
      <c r="B25" s="21" t="s">
        <v>3471</v>
      </c>
      <c r="C25" s="22">
        <v>251631.0</v>
      </c>
      <c r="D25" s="107" t="s">
        <v>1868</v>
      </c>
      <c r="E25" s="22" t="s">
        <v>28</v>
      </c>
      <c r="F25" s="108">
        <v>0.4166666666666667</v>
      </c>
      <c r="G25" s="22"/>
    </row>
    <row r="26" spans="8:8" ht="34.5" customHeight="1">
      <c r="A26" s="11">
        <v>23.0</v>
      </c>
      <c r="B26" s="21" t="s">
        <v>3472</v>
      </c>
      <c r="C26" s="22">
        <v>251645.0</v>
      </c>
      <c r="D26" s="107" t="s">
        <v>1868</v>
      </c>
      <c r="E26" s="22" t="s">
        <v>28</v>
      </c>
      <c r="F26" s="108">
        <v>0.4166666666666667</v>
      </c>
      <c r="G26" s="22"/>
    </row>
    <row r="27" spans="8:8" ht="34.5" customHeight="1">
      <c r="A27" s="8" t="s">
        <v>18</v>
      </c>
      <c r="B27" s="9" t="s">
        <v>19</v>
      </c>
      <c r="C27" s="9" t="s">
        <v>20</v>
      </c>
      <c r="D27" s="9" t="s">
        <v>21</v>
      </c>
      <c r="E27" s="9" t="s">
        <v>22</v>
      </c>
      <c r="F27" s="9" t="s">
        <v>23</v>
      </c>
      <c r="G27" s="9" t="s">
        <v>53</v>
      </c>
    </row>
    <row r="28" spans="8:8" ht="34.5" customHeight="1">
      <c r="A28" s="11">
        <v>1.0</v>
      </c>
      <c r="B28" s="21" t="s">
        <v>3473</v>
      </c>
      <c r="C28" s="22">
        <v>251625.0</v>
      </c>
      <c r="D28" s="107" t="s">
        <v>1868</v>
      </c>
      <c r="E28" s="22" t="s">
        <v>28</v>
      </c>
      <c r="F28" s="108">
        <v>0.4166666666666667</v>
      </c>
      <c r="G28" s="13"/>
    </row>
    <row r="29" spans="8:8" ht="34.5" customHeight="1">
      <c r="A29" s="11">
        <v>2.0</v>
      </c>
      <c r="B29" s="21" t="s">
        <v>3474</v>
      </c>
      <c r="C29" s="22">
        <v>251632.0</v>
      </c>
      <c r="D29" s="107" t="s">
        <v>1868</v>
      </c>
      <c r="E29" s="22" t="s">
        <v>28</v>
      </c>
      <c r="F29" s="108">
        <v>0.4166666666666667</v>
      </c>
      <c r="G29" s="22"/>
    </row>
    <row r="30" spans="8:8" ht="34.5" customHeight="1">
      <c r="A30" s="11">
        <v>3.0</v>
      </c>
      <c r="B30" s="21" t="s">
        <v>3475</v>
      </c>
      <c r="C30" s="22">
        <v>251505.0</v>
      </c>
      <c r="D30" s="107" t="s">
        <v>1868</v>
      </c>
      <c r="E30" s="22" t="s">
        <v>28</v>
      </c>
      <c r="F30" s="108">
        <v>0.4166666666666667</v>
      </c>
      <c r="G30" s="22"/>
    </row>
    <row r="31" spans="8:8" ht="34.5" customHeight="1">
      <c r="A31" s="11">
        <v>4.0</v>
      </c>
      <c r="B31" s="21" t="s">
        <v>3476</v>
      </c>
      <c r="C31" s="22">
        <v>251521.0</v>
      </c>
      <c r="D31" s="107" t="s">
        <v>1868</v>
      </c>
      <c r="E31" s="22" t="s">
        <v>28</v>
      </c>
      <c r="F31" s="108">
        <v>0.4166666666666667</v>
      </c>
      <c r="G31" s="22"/>
    </row>
    <row r="32" spans="8:8" ht="34.5" customHeight="1">
      <c r="A32" s="11">
        <v>5.0</v>
      </c>
      <c r="B32" s="21" t="s">
        <v>3477</v>
      </c>
      <c r="C32" s="22">
        <v>251637.0</v>
      </c>
      <c r="D32" s="107" t="s">
        <v>1868</v>
      </c>
      <c r="E32" s="22" t="s">
        <v>28</v>
      </c>
      <c r="F32" s="108">
        <v>0.4166666666666667</v>
      </c>
      <c r="G32" s="22"/>
    </row>
    <row r="33" spans="8:8" ht="34.5" customHeight="1">
      <c r="A33" s="11">
        <v>6.0</v>
      </c>
      <c r="B33" s="21" t="s">
        <v>3478</v>
      </c>
      <c r="C33" s="22">
        <v>251626.0</v>
      </c>
      <c r="D33" s="107" t="s">
        <v>1868</v>
      </c>
      <c r="E33" s="22" t="s">
        <v>28</v>
      </c>
      <c r="F33" s="108">
        <v>0.4166666666666667</v>
      </c>
      <c r="G33" s="22"/>
    </row>
    <row r="34" spans="8:8" ht="34.5" customHeight="1">
      <c r="A34" s="11">
        <v>7.0</v>
      </c>
      <c r="B34" s="21" t="s">
        <v>3479</v>
      </c>
      <c r="C34" s="22">
        <v>251652.0</v>
      </c>
      <c r="D34" s="107" t="s">
        <v>1868</v>
      </c>
      <c r="E34" s="22" t="s">
        <v>28</v>
      </c>
      <c r="F34" s="108">
        <v>0.4166666666666667</v>
      </c>
      <c r="G34" s="22"/>
    </row>
    <row r="35" spans="8:8" ht="34.5" customHeight="1">
      <c r="A35" s="11">
        <v>8.0</v>
      </c>
      <c r="B35" s="21" t="s">
        <v>3480</v>
      </c>
      <c r="C35" s="22">
        <v>251246.0</v>
      </c>
      <c r="D35" s="107" t="s">
        <v>1868</v>
      </c>
      <c r="E35" s="22" t="s">
        <v>28</v>
      </c>
      <c r="F35" s="108">
        <v>0.4166666666666667</v>
      </c>
      <c r="G35" s="22"/>
    </row>
    <row r="36" spans="8:8" ht="34.5" customHeight="1">
      <c r="A36" s="11">
        <v>9.0</v>
      </c>
      <c r="B36" s="21" t="s">
        <v>3481</v>
      </c>
      <c r="C36" s="22">
        <v>251285.0</v>
      </c>
      <c r="D36" s="107" t="s">
        <v>1868</v>
      </c>
      <c r="E36" s="13" t="s">
        <v>28</v>
      </c>
      <c r="F36" s="108">
        <v>0.4166666666666667</v>
      </c>
      <c r="G36" s="13"/>
    </row>
    <row r="37" spans="8:8" ht="34.5" customHeight="1">
      <c r="A37" s="11">
        <v>10.0</v>
      </c>
      <c r="B37" s="21" t="s">
        <v>3482</v>
      </c>
      <c r="C37" s="22">
        <v>251286.0</v>
      </c>
      <c r="D37" s="107" t="s">
        <v>1868</v>
      </c>
      <c r="E37" s="13" t="s">
        <v>28</v>
      </c>
      <c r="F37" s="108">
        <v>0.4166666666666667</v>
      </c>
      <c r="G37" s="13"/>
    </row>
    <row r="38" spans="8:8" ht="34.5" customHeight="1">
      <c r="A38" s="11">
        <v>11.0</v>
      </c>
      <c r="B38" s="21" t="s">
        <v>3483</v>
      </c>
      <c r="C38" s="22">
        <v>251292.0</v>
      </c>
      <c r="D38" s="107" t="s">
        <v>1868</v>
      </c>
      <c r="E38" s="13" t="s">
        <v>28</v>
      </c>
      <c r="F38" s="108">
        <v>0.4166666666666667</v>
      </c>
      <c r="G38" s="13"/>
    </row>
    <row r="39" spans="8:8" ht="34.5" customHeight="1">
      <c r="A39" s="11">
        <v>12.0</v>
      </c>
      <c r="B39" s="21" t="s">
        <v>3484</v>
      </c>
      <c r="C39" s="22">
        <v>251296.0</v>
      </c>
      <c r="D39" s="107" t="s">
        <v>1868</v>
      </c>
      <c r="E39" s="13" t="s">
        <v>28</v>
      </c>
      <c r="F39" s="108">
        <v>0.4166666666666667</v>
      </c>
      <c r="G39" s="13"/>
    </row>
    <row r="40" spans="8:8" ht="34.5" customHeight="1">
      <c r="A40" s="11">
        <v>13.0</v>
      </c>
      <c r="B40" s="21" t="s">
        <v>3485</v>
      </c>
      <c r="C40" s="22">
        <v>251300.0</v>
      </c>
      <c r="D40" s="107" t="s">
        <v>1868</v>
      </c>
      <c r="E40" s="13" t="s">
        <v>28</v>
      </c>
      <c r="F40" s="108">
        <v>0.4166666666666667</v>
      </c>
      <c r="G40" s="13"/>
    </row>
    <row r="41" spans="8:8" ht="34.5" customHeight="1">
      <c r="A41" s="11">
        <v>14.0</v>
      </c>
      <c r="B41" s="21" t="s">
        <v>3486</v>
      </c>
      <c r="C41" s="22">
        <v>251304.0</v>
      </c>
      <c r="D41" s="107" t="s">
        <v>1868</v>
      </c>
      <c r="E41" s="13" t="s">
        <v>28</v>
      </c>
      <c r="F41" s="108">
        <v>0.4166666666666667</v>
      </c>
      <c r="G41" s="13"/>
    </row>
    <row r="42" spans="8:8" ht="34.5" customHeight="1">
      <c r="A42" s="11">
        <v>15.0</v>
      </c>
      <c r="B42" s="21" t="s">
        <v>3487</v>
      </c>
      <c r="C42" s="22">
        <v>251310.0</v>
      </c>
      <c r="D42" s="107" t="s">
        <v>1868</v>
      </c>
      <c r="E42" s="13" t="s">
        <v>28</v>
      </c>
      <c r="F42" s="108">
        <v>0.4166666666666667</v>
      </c>
      <c r="G42" s="13"/>
    </row>
    <row r="43" spans="8:8" ht="34.5" customHeight="1">
      <c r="A43" s="11">
        <v>16.0</v>
      </c>
      <c r="B43" s="21" t="s">
        <v>3488</v>
      </c>
      <c r="C43" s="22">
        <v>251311.0</v>
      </c>
      <c r="D43" s="107" t="s">
        <v>1868</v>
      </c>
      <c r="E43" s="13" t="s">
        <v>28</v>
      </c>
      <c r="F43" s="108">
        <v>0.4166666666666667</v>
      </c>
      <c r="G43" s="13"/>
    </row>
    <row r="44" spans="8:8" ht="34.5" customHeight="1">
      <c r="A44" s="11">
        <v>17.0</v>
      </c>
      <c r="B44" s="21" t="s">
        <v>3489</v>
      </c>
      <c r="C44" s="22">
        <v>251319.0</v>
      </c>
      <c r="D44" s="107" t="s">
        <v>1868</v>
      </c>
      <c r="E44" s="13" t="s">
        <v>28</v>
      </c>
      <c r="F44" s="108">
        <v>0.4166666666666667</v>
      </c>
      <c r="G44" s="13"/>
    </row>
    <row r="45" spans="8:8" ht="34.5" customHeight="1">
      <c r="A45" s="11">
        <v>18.0</v>
      </c>
      <c r="B45" s="21" t="s">
        <v>3490</v>
      </c>
      <c r="C45" s="22">
        <v>251322.0</v>
      </c>
      <c r="D45" s="107" t="s">
        <v>1868</v>
      </c>
      <c r="E45" s="13" t="s">
        <v>28</v>
      </c>
      <c r="F45" s="108">
        <v>0.4166666666666667</v>
      </c>
      <c r="G45" s="13"/>
    </row>
    <row r="46" spans="8:8" ht="34.5" customHeight="1">
      <c r="A46" s="11">
        <v>19.0</v>
      </c>
      <c r="B46" s="21" t="s">
        <v>3491</v>
      </c>
      <c r="C46" s="22">
        <v>251330.0</v>
      </c>
      <c r="D46" s="107" t="s">
        <v>1868</v>
      </c>
      <c r="E46" s="13" t="s">
        <v>28</v>
      </c>
      <c r="F46" s="108">
        <v>0.4166666666666667</v>
      </c>
      <c r="G46" s="13"/>
    </row>
    <row r="47" spans="8:8" ht="34.5" customHeight="1">
      <c r="A47" s="11">
        <v>20.0</v>
      </c>
      <c r="B47" s="21" t="s">
        <v>3492</v>
      </c>
      <c r="C47" s="22">
        <v>251618.0</v>
      </c>
      <c r="D47" s="107" t="s">
        <v>1868</v>
      </c>
      <c r="E47" s="13" t="s">
        <v>28</v>
      </c>
      <c r="F47" s="108">
        <v>0.4166666666666667</v>
      </c>
      <c r="G47" s="13"/>
    </row>
    <row r="48" spans="8:8" ht="34.5" customHeight="1">
      <c r="A48" s="11">
        <v>21.0</v>
      </c>
      <c r="B48" s="21" t="s">
        <v>3493</v>
      </c>
      <c r="C48" s="22">
        <v>251931.0</v>
      </c>
      <c r="D48" s="21" t="s">
        <v>104</v>
      </c>
      <c r="E48" s="13" t="s">
        <v>28</v>
      </c>
      <c r="F48" s="108">
        <v>0.4166666666666667</v>
      </c>
      <c r="G48" s="13"/>
    </row>
    <row r="49" spans="8:8" ht="34.5" customHeight="1">
      <c r="A49" s="11">
        <v>22.0</v>
      </c>
      <c r="B49" s="21" t="s">
        <v>3494</v>
      </c>
      <c r="C49" s="22">
        <v>251743.0</v>
      </c>
      <c r="D49" s="107" t="s">
        <v>1868</v>
      </c>
      <c r="E49" s="13" t="s">
        <v>28</v>
      </c>
      <c r="F49" s="108">
        <v>0.4166666666666667</v>
      </c>
      <c r="G49" s="13"/>
    </row>
    <row r="50" spans="8:8" ht="34.5" customHeight="1">
      <c r="A50" s="11">
        <v>23.0</v>
      </c>
      <c r="B50" s="12" t="s">
        <v>3495</v>
      </c>
      <c r="C50" s="13">
        <v>250575.0</v>
      </c>
      <c r="D50" s="12" t="s">
        <v>94</v>
      </c>
      <c r="E50" s="13" t="s">
        <v>28</v>
      </c>
      <c r="F50" s="108">
        <v>0.4166666666666667</v>
      </c>
      <c r="G50" s="13"/>
    </row>
    <row r="51" spans="8:8" ht="34.5" customHeight="1">
      <c r="A51" s="11">
        <v>24.0</v>
      </c>
      <c r="B51" s="21" t="s">
        <v>3496</v>
      </c>
      <c r="C51" s="22">
        <v>251787.0</v>
      </c>
      <c r="D51" s="107" t="s">
        <v>1868</v>
      </c>
      <c r="E51" s="13" t="s">
        <v>28</v>
      </c>
      <c r="F51" s="108">
        <v>0.4166666666666667</v>
      </c>
      <c r="G51" s="13"/>
    </row>
    <row r="52" spans="8:8" ht="34.5" customHeight="1">
      <c r="A52" s="11">
        <v>25.0</v>
      </c>
      <c r="B52" s="21" t="s">
        <v>3497</v>
      </c>
      <c r="C52" s="22">
        <v>252101.0</v>
      </c>
      <c r="D52" s="107" t="s">
        <v>1868</v>
      </c>
      <c r="E52" s="13" t="s">
        <v>28</v>
      </c>
      <c r="F52" s="108">
        <v>0.4166666666666667</v>
      </c>
      <c r="G52" s="13"/>
    </row>
    <row r="53" spans="8:8" ht="34.5" customHeight="1">
      <c r="A53" s="8" t="s">
        <v>18</v>
      </c>
      <c r="B53" s="9" t="s">
        <v>19</v>
      </c>
      <c r="C53" s="9" t="s">
        <v>20</v>
      </c>
      <c r="D53" s="9" t="s">
        <v>21</v>
      </c>
      <c r="E53" s="9" t="s">
        <v>22</v>
      </c>
      <c r="F53" s="9" t="s">
        <v>23</v>
      </c>
      <c r="G53" s="9" t="s">
        <v>80</v>
      </c>
    </row>
    <row r="54" spans="8:8" ht="34.5" customHeight="1">
      <c r="A54" s="11">
        <v>1.0</v>
      </c>
      <c r="B54" s="21" t="s">
        <v>3498</v>
      </c>
      <c r="C54" s="22">
        <v>251627.0</v>
      </c>
      <c r="D54" s="107" t="s">
        <v>1868</v>
      </c>
      <c r="E54" s="13" t="s">
        <v>28</v>
      </c>
      <c r="F54" s="108">
        <v>0.4166666666666667</v>
      </c>
      <c r="G54" s="13"/>
    </row>
    <row r="55" spans="8:8" ht="34.5" customHeight="1">
      <c r="A55" s="11">
        <v>2.0</v>
      </c>
      <c r="B55" s="21" t="s">
        <v>3499</v>
      </c>
      <c r="C55" s="22">
        <v>251724.0</v>
      </c>
      <c r="D55" s="107" t="s">
        <v>1868</v>
      </c>
      <c r="E55" s="13" t="s">
        <v>28</v>
      </c>
      <c r="F55" s="108">
        <v>0.4166666666666667</v>
      </c>
      <c r="G55" s="13"/>
    </row>
    <row r="56" spans="8:8" ht="34.5" customHeight="1">
      <c r="A56" s="11">
        <v>3.0</v>
      </c>
      <c r="B56" s="21" t="s">
        <v>3500</v>
      </c>
      <c r="C56" s="22">
        <v>251732.0</v>
      </c>
      <c r="D56" s="107" t="s">
        <v>1868</v>
      </c>
      <c r="E56" s="13" t="s">
        <v>28</v>
      </c>
      <c r="F56" s="108">
        <v>0.4166666666666667</v>
      </c>
      <c r="G56" s="13"/>
    </row>
    <row r="57" spans="8:8" ht="34.5" customHeight="1">
      <c r="A57" s="11">
        <v>4.0</v>
      </c>
      <c r="B57" s="21" t="s">
        <v>3501</v>
      </c>
      <c r="C57" s="22">
        <v>251713.0</v>
      </c>
      <c r="D57" s="107" t="s">
        <v>1868</v>
      </c>
      <c r="E57" s="13" t="s">
        <v>28</v>
      </c>
      <c r="F57" s="108">
        <v>0.4166666666666667</v>
      </c>
      <c r="G57" s="13"/>
    </row>
    <row r="58" spans="8:8" ht="34.5" customHeight="1">
      <c r="A58" s="11">
        <v>5.0</v>
      </c>
      <c r="B58" s="21" t="s">
        <v>3502</v>
      </c>
      <c r="C58" s="22">
        <v>251736.0</v>
      </c>
      <c r="D58" s="107" t="s">
        <v>1868</v>
      </c>
      <c r="E58" s="13" t="s">
        <v>28</v>
      </c>
      <c r="F58" s="108">
        <v>0.4166666666666667</v>
      </c>
      <c r="G58" s="13"/>
    </row>
    <row r="59" spans="8:8" ht="34.5" customHeight="1">
      <c r="A59" s="11">
        <v>6.0</v>
      </c>
      <c r="B59" s="21" t="s">
        <v>3503</v>
      </c>
      <c r="C59" s="22">
        <v>251746.0</v>
      </c>
      <c r="D59" s="107" t="s">
        <v>1868</v>
      </c>
      <c r="E59" s="13" t="s">
        <v>28</v>
      </c>
      <c r="F59" s="108">
        <v>0.4166666666666667</v>
      </c>
      <c r="G59" s="13"/>
    </row>
    <row r="60" spans="8:8" ht="34.5" customHeight="1">
      <c r="A60" s="11">
        <v>7.0</v>
      </c>
      <c r="B60" s="21" t="s">
        <v>3504</v>
      </c>
      <c r="C60" s="22">
        <v>251624.0</v>
      </c>
      <c r="D60" s="107" t="s">
        <v>1868</v>
      </c>
      <c r="E60" s="13" t="s">
        <v>28</v>
      </c>
      <c r="F60" s="108">
        <v>0.4166666666666667</v>
      </c>
      <c r="G60" s="13"/>
    </row>
    <row r="61" spans="8:8" ht="34.5" customHeight="1">
      <c r="A61" s="11">
        <v>8.0</v>
      </c>
      <c r="B61" s="21" t="s">
        <v>3505</v>
      </c>
      <c r="C61" s="22">
        <v>251730.0</v>
      </c>
      <c r="D61" s="107" t="s">
        <v>1868</v>
      </c>
      <c r="E61" s="13" t="s">
        <v>28</v>
      </c>
      <c r="F61" s="108">
        <v>0.4166666666666667</v>
      </c>
      <c r="G61" s="13"/>
    </row>
    <row r="62" spans="8:8" ht="34.5" customHeight="1">
      <c r="A62" s="11">
        <v>9.0</v>
      </c>
      <c r="B62" s="21" t="s">
        <v>3506</v>
      </c>
      <c r="C62" s="22">
        <v>251715.0</v>
      </c>
      <c r="D62" s="107" t="s">
        <v>1868</v>
      </c>
      <c r="E62" s="13" t="s">
        <v>28</v>
      </c>
      <c r="F62" s="108">
        <v>0.4166666666666667</v>
      </c>
      <c r="G62" s="13"/>
    </row>
    <row r="63" spans="8:8" ht="34.5" customHeight="1">
      <c r="A63" s="11">
        <v>10.0</v>
      </c>
      <c r="B63" s="21" t="s">
        <v>3507</v>
      </c>
      <c r="C63" s="22">
        <v>251723.0</v>
      </c>
      <c r="D63" s="107" t="s">
        <v>1868</v>
      </c>
      <c r="E63" s="13" t="s">
        <v>28</v>
      </c>
      <c r="F63" s="108">
        <v>0.4166666666666667</v>
      </c>
      <c r="G63" s="13"/>
    </row>
    <row r="64" spans="8:8" ht="34.5" customHeight="1">
      <c r="A64" s="11">
        <v>11.0</v>
      </c>
      <c r="B64" s="21" t="s">
        <v>3508</v>
      </c>
      <c r="C64" s="22">
        <v>251720.0</v>
      </c>
      <c r="D64" s="107" t="s">
        <v>1868</v>
      </c>
      <c r="E64" s="13" t="s">
        <v>28</v>
      </c>
      <c r="F64" s="108">
        <v>0.4166666666666667</v>
      </c>
      <c r="G64" s="13"/>
    </row>
    <row r="65" spans="8:8" ht="34.5" customHeight="1">
      <c r="A65" s="11">
        <v>12.0</v>
      </c>
      <c r="B65" s="21" t="s">
        <v>3509</v>
      </c>
      <c r="C65" s="22">
        <v>251675.0</v>
      </c>
      <c r="D65" s="107" t="s">
        <v>1868</v>
      </c>
      <c r="E65" s="13" t="s">
        <v>28</v>
      </c>
      <c r="F65" s="108">
        <v>0.4166666666666667</v>
      </c>
      <c r="G65" s="13"/>
    </row>
    <row r="66" spans="8:8" ht="34.5" customHeight="1">
      <c r="A66" s="11">
        <v>13.0</v>
      </c>
      <c r="B66" s="12" t="s">
        <v>3510</v>
      </c>
      <c r="C66" s="13">
        <v>253037.0</v>
      </c>
      <c r="D66" s="107" t="s">
        <v>1868</v>
      </c>
      <c r="E66" s="13" t="s">
        <v>28</v>
      </c>
      <c r="F66" s="108">
        <v>0.4166666666666667</v>
      </c>
      <c r="G66" s="13"/>
    </row>
    <row r="67" spans="8:8" ht="34.5" customHeight="1">
      <c r="A67" s="11">
        <v>14.0</v>
      </c>
      <c r="B67" s="21" t="s">
        <v>3511</v>
      </c>
      <c r="C67" s="22">
        <v>251711.0</v>
      </c>
      <c r="D67" s="107" t="s">
        <v>1868</v>
      </c>
      <c r="E67" s="13" t="s">
        <v>28</v>
      </c>
      <c r="F67" s="108">
        <v>0.4166666666666667</v>
      </c>
      <c r="G67" s="13"/>
    </row>
    <row r="68" spans="8:8" ht="34.5" customHeight="1">
      <c r="A68" s="11">
        <v>15.0</v>
      </c>
      <c r="B68" s="21" t="s">
        <v>3512</v>
      </c>
      <c r="C68" s="22">
        <v>251648.0</v>
      </c>
      <c r="D68" s="107" t="s">
        <v>1868</v>
      </c>
      <c r="E68" s="22" t="s">
        <v>28</v>
      </c>
      <c r="F68" s="108">
        <v>0.4166666666666667</v>
      </c>
      <c r="G68" s="22"/>
    </row>
    <row r="69" spans="8:8" ht="34.5" customHeight="1">
      <c r="A69" s="11">
        <v>16.0</v>
      </c>
      <c r="B69" s="21" t="s">
        <v>3513</v>
      </c>
      <c r="C69" s="22">
        <v>252214.0</v>
      </c>
      <c r="D69" s="21" t="s">
        <v>104</v>
      </c>
      <c r="E69" s="13" t="s">
        <v>28</v>
      </c>
      <c r="F69" s="108">
        <v>0.4166666666666667</v>
      </c>
      <c r="G69" s="13"/>
    </row>
    <row r="70" spans="8:8" ht="34.5" customHeight="1">
      <c r="A70" s="11">
        <v>17.0</v>
      </c>
      <c r="B70" s="21" t="s">
        <v>3514</v>
      </c>
      <c r="C70" s="22">
        <v>251336.0</v>
      </c>
      <c r="D70" s="107" t="s">
        <v>1868</v>
      </c>
      <c r="E70" s="22" t="s">
        <v>28</v>
      </c>
      <c r="F70" s="108">
        <v>0.4166666666666667</v>
      </c>
      <c r="G70" s="22"/>
    </row>
    <row r="71" spans="8:8" ht="34.5" customHeight="1">
      <c r="A71" s="11">
        <v>18.0</v>
      </c>
      <c r="B71" s="21" t="s">
        <v>3515</v>
      </c>
      <c r="C71" s="22">
        <v>251338.0</v>
      </c>
      <c r="D71" s="107" t="s">
        <v>1868</v>
      </c>
      <c r="E71" s="22" t="s">
        <v>28</v>
      </c>
      <c r="F71" s="108">
        <v>0.4166666666666667</v>
      </c>
      <c r="G71" s="22"/>
    </row>
    <row r="72" spans="8:8" ht="34.5" customHeight="1">
      <c r="A72" s="11">
        <v>19.0</v>
      </c>
      <c r="B72" s="21" t="s">
        <v>3516</v>
      </c>
      <c r="C72" s="22">
        <v>251343.0</v>
      </c>
      <c r="D72" s="107" t="s">
        <v>1868</v>
      </c>
      <c r="E72" s="22" t="s">
        <v>28</v>
      </c>
      <c r="F72" s="108">
        <v>0.4166666666666667</v>
      </c>
      <c r="G72" s="22"/>
    </row>
    <row r="73" spans="8:8" ht="34.5" customHeight="1">
      <c r="A73" s="11">
        <v>20.0</v>
      </c>
      <c r="B73" s="21" t="s">
        <v>3517</v>
      </c>
      <c r="C73" s="22">
        <v>251622.0</v>
      </c>
      <c r="D73" s="107" t="s">
        <v>1868</v>
      </c>
      <c r="E73" s="22" t="s">
        <v>28</v>
      </c>
      <c r="F73" s="108">
        <v>0.4166666666666667</v>
      </c>
      <c r="G73" s="22"/>
    </row>
    <row r="74" spans="8:8" ht="34.5" customHeight="1">
      <c r="A74" s="11">
        <v>21.0</v>
      </c>
      <c r="B74" s="21" t="s">
        <v>3518</v>
      </c>
      <c r="C74" s="22">
        <v>251344.0</v>
      </c>
      <c r="D74" s="107" t="s">
        <v>1868</v>
      </c>
      <c r="E74" s="22" t="s">
        <v>28</v>
      </c>
      <c r="F74" s="108">
        <v>0.4166666666666667</v>
      </c>
      <c r="G74" s="22"/>
    </row>
    <row r="75" spans="8:8" ht="34.5" customHeight="1">
      <c r="A75" s="11">
        <v>22.0</v>
      </c>
      <c r="B75" s="21" t="s">
        <v>3519</v>
      </c>
      <c r="C75" s="22">
        <v>251349.0</v>
      </c>
      <c r="D75" s="107" t="s">
        <v>1868</v>
      </c>
      <c r="E75" s="22" t="s">
        <v>28</v>
      </c>
      <c r="F75" s="108">
        <v>0.4166666666666667</v>
      </c>
      <c r="G75" s="22"/>
    </row>
    <row r="76" spans="8:8" ht="34.5" customHeight="1">
      <c r="A76" s="11">
        <v>23.0</v>
      </c>
      <c r="B76" s="21" t="s">
        <v>3520</v>
      </c>
      <c r="C76" s="22">
        <v>251353.0</v>
      </c>
      <c r="D76" s="107" t="s">
        <v>1868</v>
      </c>
      <c r="E76" s="22" t="s">
        <v>28</v>
      </c>
      <c r="F76" s="108">
        <v>0.4166666666666667</v>
      </c>
      <c r="G76" s="22"/>
    </row>
    <row r="77" spans="8:8" ht="34.5" customHeight="1">
      <c r="A77" s="11">
        <v>24.0</v>
      </c>
      <c r="B77" s="21" t="s">
        <v>3521</v>
      </c>
      <c r="C77" s="22">
        <v>251355.0</v>
      </c>
      <c r="D77" s="107" t="s">
        <v>1868</v>
      </c>
      <c r="E77" s="22" t="s">
        <v>28</v>
      </c>
      <c r="F77" s="108">
        <v>0.4166666666666667</v>
      </c>
      <c r="G77" s="22"/>
    </row>
    <row r="78" spans="8:8" ht="34.5" customHeight="1">
      <c r="A78" s="11">
        <v>25.0</v>
      </c>
      <c r="B78" s="21" t="s">
        <v>3522</v>
      </c>
      <c r="C78" s="22">
        <v>251358.0</v>
      </c>
      <c r="D78" s="107" t="s">
        <v>1868</v>
      </c>
      <c r="E78" s="22" t="s">
        <v>28</v>
      </c>
      <c r="F78" s="108">
        <v>0.4166666666666667</v>
      </c>
      <c r="G78" s="22"/>
    </row>
    <row r="79" spans="8:8" ht="34.5" customHeight="1">
      <c r="A79" s="8" t="s">
        <v>18</v>
      </c>
      <c r="B79" s="9" t="s">
        <v>19</v>
      </c>
      <c r="C79" s="9" t="s">
        <v>20</v>
      </c>
      <c r="D79" s="9" t="s">
        <v>21</v>
      </c>
      <c r="E79" s="9" t="s">
        <v>22</v>
      </c>
      <c r="F79" s="9" t="s">
        <v>23</v>
      </c>
      <c r="G79" s="9" t="s">
        <v>109</v>
      </c>
    </row>
    <row r="80" spans="8:8" ht="34.5" customHeight="1">
      <c r="A80" s="11">
        <v>1.0</v>
      </c>
      <c r="B80" s="21" t="s">
        <v>3523</v>
      </c>
      <c r="C80" s="22">
        <v>251359.0</v>
      </c>
      <c r="D80" s="107" t="s">
        <v>1868</v>
      </c>
      <c r="E80" s="22" t="s">
        <v>28</v>
      </c>
      <c r="F80" s="108">
        <v>0.4166666666666667</v>
      </c>
      <c r="G80" s="13"/>
    </row>
    <row r="81" spans="8:8" ht="34.5" customHeight="1">
      <c r="A81" s="11">
        <v>2.0</v>
      </c>
      <c r="B81" s="21" t="s">
        <v>3524</v>
      </c>
      <c r="C81" s="22">
        <v>251364.0</v>
      </c>
      <c r="D81" s="107" t="s">
        <v>1868</v>
      </c>
      <c r="E81" s="22" t="s">
        <v>28</v>
      </c>
      <c r="F81" s="108">
        <v>0.4166666666666667</v>
      </c>
      <c r="G81" s="22"/>
    </row>
    <row r="82" spans="8:8" ht="34.5" customHeight="1">
      <c r="A82" s="11">
        <v>3.0</v>
      </c>
      <c r="B82" s="21" t="s">
        <v>3525</v>
      </c>
      <c r="C82" s="22">
        <v>251365.0</v>
      </c>
      <c r="D82" s="107" t="s">
        <v>1868</v>
      </c>
      <c r="E82" s="22" t="s">
        <v>28</v>
      </c>
      <c r="F82" s="108">
        <v>0.4166666666666667</v>
      </c>
      <c r="G82" s="22"/>
    </row>
    <row r="83" spans="8:8" ht="34.5" customHeight="1">
      <c r="A83" s="11">
        <v>4.0</v>
      </c>
      <c r="B83" s="21" t="s">
        <v>3526</v>
      </c>
      <c r="C83" s="22">
        <v>251366.0</v>
      </c>
      <c r="D83" s="107" t="s">
        <v>1868</v>
      </c>
      <c r="E83" s="22" t="s">
        <v>28</v>
      </c>
      <c r="F83" s="108">
        <v>0.4166666666666667</v>
      </c>
      <c r="G83" s="22"/>
    </row>
    <row r="84" spans="8:8" ht="34.5" customHeight="1">
      <c r="A84" s="11">
        <v>5.0</v>
      </c>
      <c r="B84" s="21" t="s">
        <v>3527</v>
      </c>
      <c r="C84" s="22">
        <v>251368.0</v>
      </c>
      <c r="D84" s="107" t="s">
        <v>1868</v>
      </c>
      <c r="E84" s="22" t="s">
        <v>28</v>
      </c>
      <c r="F84" s="108">
        <v>0.4166666666666667</v>
      </c>
      <c r="G84" s="22"/>
    </row>
    <row r="85" spans="8:8" ht="34.5" customHeight="1">
      <c r="A85" s="11">
        <v>6.0</v>
      </c>
      <c r="B85" s="21" t="s">
        <v>3528</v>
      </c>
      <c r="C85" s="22">
        <v>251372.0</v>
      </c>
      <c r="D85" s="107" t="s">
        <v>1868</v>
      </c>
      <c r="E85" s="22" t="s">
        <v>28</v>
      </c>
      <c r="F85" s="108">
        <v>0.4166666666666667</v>
      </c>
      <c r="G85" s="22"/>
    </row>
    <row r="86" spans="8:8" ht="34.5" customHeight="1">
      <c r="A86" s="11">
        <v>7.0</v>
      </c>
      <c r="B86" s="21" t="s">
        <v>3529</v>
      </c>
      <c r="C86" s="22">
        <v>251373.0</v>
      </c>
      <c r="D86" s="107" t="s">
        <v>1868</v>
      </c>
      <c r="E86" s="22" t="s">
        <v>28</v>
      </c>
      <c r="F86" s="108">
        <v>0.4166666666666667</v>
      </c>
      <c r="G86" s="22"/>
    </row>
    <row r="87" spans="8:8" ht="34.5" customHeight="1">
      <c r="A87" s="11">
        <v>8.0</v>
      </c>
      <c r="B87" s="21" t="s">
        <v>3530</v>
      </c>
      <c r="C87" s="22">
        <v>251379.0</v>
      </c>
      <c r="D87" s="107" t="s">
        <v>1868</v>
      </c>
      <c r="E87" s="22" t="s">
        <v>28</v>
      </c>
      <c r="F87" s="108">
        <v>0.4166666666666667</v>
      </c>
      <c r="G87" s="22"/>
    </row>
    <row r="88" spans="8:8" ht="34.5" customHeight="1">
      <c r="A88" s="11">
        <v>9.0</v>
      </c>
      <c r="B88" s="21" t="s">
        <v>3531</v>
      </c>
      <c r="C88" s="22">
        <v>251619.0</v>
      </c>
      <c r="D88" s="107" t="s">
        <v>1868</v>
      </c>
      <c r="E88" s="22" t="s">
        <v>28</v>
      </c>
      <c r="F88" s="108">
        <v>0.4166666666666667</v>
      </c>
      <c r="G88" s="22"/>
    </row>
    <row r="89" spans="8:8" ht="34.5" customHeight="1">
      <c r="A89" s="11">
        <v>10.0</v>
      </c>
      <c r="B89" s="21" t="s">
        <v>3532</v>
      </c>
      <c r="C89" s="22">
        <v>251260.0</v>
      </c>
      <c r="D89" s="107" t="s">
        <v>1868</v>
      </c>
      <c r="E89" s="22" t="s">
        <v>28</v>
      </c>
      <c r="F89" s="108">
        <v>0.4166666666666667</v>
      </c>
      <c r="G89" s="22"/>
    </row>
    <row r="90" spans="8:8" ht="34.5" customHeight="1">
      <c r="A90" s="11">
        <v>11.0</v>
      </c>
      <c r="B90" s="12" t="s">
        <v>3533</v>
      </c>
      <c r="C90" s="13">
        <v>251558.0</v>
      </c>
      <c r="D90" s="107" t="s">
        <v>1868</v>
      </c>
      <c r="E90" s="13" t="s">
        <v>28</v>
      </c>
      <c r="F90" s="108">
        <v>0.4166666666666667</v>
      </c>
      <c r="G90" s="13"/>
    </row>
    <row r="91" spans="8:8" ht="34.5" customHeight="1">
      <c r="A91" s="11">
        <v>12.0</v>
      </c>
      <c r="B91" s="21" t="s">
        <v>3534</v>
      </c>
      <c r="C91" s="22">
        <v>251768.0</v>
      </c>
      <c r="D91" s="107" t="s">
        <v>1868</v>
      </c>
      <c r="E91" s="22" t="s">
        <v>28</v>
      </c>
      <c r="F91" s="108">
        <v>0.4166666666666667</v>
      </c>
      <c r="G91" s="22"/>
    </row>
    <row r="92" spans="8:8" ht="34.5" customHeight="1">
      <c r="A92" s="11">
        <v>13.0</v>
      </c>
      <c r="B92" s="21" t="s">
        <v>3535</v>
      </c>
      <c r="C92" s="22">
        <v>251761.0</v>
      </c>
      <c r="D92" s="107" t="s">
        <v>1868</v>
      </c>
      <c r="E92" s="22" t="s">
        <v>28</v>
      </c>
      <c r="F92" s="108">
        <v>0.4166666666666667</v>
      </c>
      <c r="G92" s="22"/>
    </row>
    <row r="93" spans="8:8" ht="34.5" customHeight="1">
      <c r="A93" s="11">
        <v>14.0</v>
      </c>
      <c r="B93" s="21" t="s">
        <v>3536</v>
      </c>
      <c r="C93" s="22">
        <v>251784.0</v>
      </c>
      <c r="D93" s="107" t="s">
        <v>1868</v>
      </c>
      <c r="E93" s="22" t="s">
        <v>28</v>
      </c>
      <c r="F93" s="108">
        <v>0.4166666666666667</v>
      </c>
      <c r="G93" s="22"/>
    </row>
    <row r="94" spans="8:8" ht="34.5" customHeight="1">
      <c r="A94" s="11">
        <v>15.0</v>
      </c>
      <c r="B94" s="21" t="s">
        <v>3537</v>
      </c>
      <c r="C94" s="22">
        <v>251432.0</v>
      </c>
      <c r="D94" s="107" t="s">
        <v>1868</v>
      </c>
      <c r="E94" s="22" t="s">
        <v>28</v>
      </c>
      <c r="F94" s="108">
        <v>0.4166666666666667</v>
      </c>
      <c r="G94" s="22"/>
    </row>
    <row r="95" spans="8:8" ht="34.5" customHeight="1">
      <c r="A95" s="11">
        <v>16.0</v>
      </c>
      <c r="B95" s="21" t="s">
        <v>3538</v>
      </c>
      <c r="C95" s="22">
        <v>251773.0</v>
      </c>
      <c r="D95" s="107" t="s">
        <v>1868</v>
      </c>
      <c r="E95" s="22" t="s">
        <v>28</v>
      </c>
      <c r="F95" s="108">
        <v>0.4166666666666667</v>
      </c>
      <c r="G95" s="22"/>
    </row>
    <row r="96" spans="8:8" ht="34.5" customHeight="1">
      <c r="A96" s="11">
        <v>17.0</v>
      </c>
      <c r="B96" s="21" t="s">
        <v>3539</v>
      </c>
      <c r="C96" s="22">
        <v>251443.0</v>
      </c>
      <c r="D96" s="107" t="s">
        <v>1868</v>
      </c>
      <c r="E96" s="22" t="s">
        <v>28</v>
      </c>
      <c r="F96" s="108">
        <v>0.4166666666666667</v>
      </c>
      <c r="G96" s="22"/>
    </row>
    <row r="97" spans="8:8" ht="34.5" customHeight="1">
      <c r="A97" s="11">
        <v>18.0</v>
      </c>
      <c r="B97" s="21" t="s">
        <v>3540</v>
      </c>
      <c r="C97" s="22">
        <v>251449.0</v>
      </c>
      <c r="D97" s="107" t="s">
        <v>1868</v>
      </c>
      <c r="E97" s="22" t="s">
        <v>28</v>
      </c>
      <c r="F97" s="108">
        <v>0.4166666666666667</v>
      </c>
      <c r="G97" s="22"/>
    </row>
    <row r="98" spans="8:8" ht="34.5" customHeight="1">
      <c r="A98" s="11">
        <v>19.0</v>
      </c>
      <c r="B98" s="21" t="s">
        <v>3541</v>
      </c>
      <c r="C98" s="22">
        <v>251441.0</v>
      </c>
      <c r="D98" s="107" t="s">
        <v>1868</v>
      </c>
      <c r="E98" s="22" t="s">
        <v>28</v>
      </c>
      <c r="F98" s="108">
        <v>0.4166666666666667</v>
      </c>
      <c r="G98" s="22"/>
    </row>
    <row r="99" spans="8:8" ht="34.5" customHeight="1">
      <c r="A99" s="11">
        <v>20.0</v>
      </c>
      <c r="B99" s="21" t="s">
        <v>3542</v>
      </c>
      <c r="C99" s="22">
        <v>251448.0</v>
      </c>
      <c r="D99" s="107" t="s">
        <v>1868</v>
      </c>
      <c r="E99" s="22" t="s">
        <v>28</v>
      </c>
      <c r="F99" s="108">
        <v>0.4166666666666667</v>
      </c>
      <c r="G99" s="22"/>
    </row>
    <row r="100" spans="8:8" ht="34.5" customHeight="1">
      <c r="A100" s="11">
        <v>21.0</v>
      </c>
      <c r="B100" s="12" t="s">
        <v>3543</v>
      </c>
      <c r="C100" s="13">
        <v>250078.0</v>
      </c>
      <c r="D100" s="12" t="s">
        <v>27</v>
      </c>
      <c r="E100" s="13" t="s">
        <v>28</v>
      </c>
      <c r="F100" s="108">
        <v>0.4166666666666667</v>
      </c>
      <c r="G100" s="13"/>
    </row>
    <row r="101" spans="8:8" ht="34.5" customHeight="1">
      <c r="A101" s="11">
        <v>22.0</v>
      </c>
      <c r="B101" s="19" t="s">
        <v>3544</v>
      </c>
      <c r="C101" s="20">
        <v>251756.0</v>
      </c>
      <c r="D101" s="107" t="s">
        <v>1868</v>
      </c>
      <c r="E101" s="20" t="s">
        <v>28</v>
      </c>
      <c r="F101" s="108">
        <v>0.4166666666666667</v>
      </c>
      <c r="G101" s="20"/>
    </row>
    <row r="102" spans="8:8" ht="34.5" customHeight="1">
      <c r="A102" s="11">
        <v>23.0</v>
      </c>
      <c r="B102" s="21" t="s">
        <v>3545</v>
      </c>
      <c r="C102" s="22">
        <v>251384.0</v>
      </c>
      <c r="D102" s="107" t="s">
        <v>1868</v>
      </c>
      <c r="E102" s="22" t="s">
        <v>28</v>
      </c>
      <c r="F102" s="108">
        <v>0.4166666666666667</v>
      </c>
      <c r="G102" s="22"/>
    </row>
    <row r="103" spans="8:8" ht="34.5" customHeight="1">
      <c r="A103" s="11">
        <v>24.0</v>
      </c>
      <c r="B103" s="21" t="s">
        <v>3546</v>
      </c>
      <c r="C103" s="22">
        <v>251386.0</v>
      </c>
      <c r="D103" s="107" t="s">
        <v>1868</v>
      </c>
      <c r="E103" s="22" t="s">
        <v>28</v>
      </c>
      <c r="F103" s="108">
        <v>0.4166666666666667</v>
      </c>
      <c r="G103" s="22"/>
    </row>
    <row r="104" spans="8:8" ht="34.5" customHeight="1">
      <c r="A104" s="11">
        <v>25.0</v>
      </c>
      <c r="B104" s="21" t="s">
        <v>3547</v>
      </c>
      <c r="C104" s="22">
        <v>251388.0</v>
      </c>
      <c r="D104" s="107" t="s">
        <v>1868</v>
      </c>
      <c r="E104" s="22" t="s">
        <v>28</v>
      </c>
      <c r="F104" s="108">
        <v>0.4166666666666667</v>
      </c>
      <c r="G104" s="22"/>
    </row>
    <row r="105" spans="8:8" ht="34.5" customHeight="1">
      <c r="A105" s="8" t="s">
        <v>18</v>
      </c>
      <c r="B105" s="9" t="s">
        <v>19</v>
      </c>
      <c r="C105" s="9" t="s">
        <v>20</v>
      </c>
      <c r="D105" s="9" t="s">
        <v>21</v>
      </c>
      <c r="E105" s="9" t="s">
        <v>22</v>
      </c>
      <c r="F105" s="9" t="s">
        <v>23</v>
      </c>
      <c r="G105" s="9" t="s">
        <v>136</v>
      </c>
    </row>
    <row r="106" spans="8:8" ht="34.5" customHeight="1">
      <c r="A106" s="11">
        <v>1.0</v>
      </c>
      <c r="B106" s="21" t="s">
        <v>3548</v>
      </c>
      <c r="C106" s="22">
        <v>251389.0</v>
      </c>
      <c r="D106" s="107" t="s">
        <v>1868</v>
      </c>
      <c r="E106" s="22" t="s">
        <v>28</v>
      </c>
      <c r="F106" s="108">
        <v>0.4166666666666667</v>
      </c>
      <c r="G106" s="13"/>
    </row>
    <row r="107" spans="8:8" ht="34.5" customHeight="1">
      <c r="A107" s="11">
        <v>2.0</v>
      </c>
      <c r="B107" s="21" t="s">
        <v>3549</v>
      </c>
      <c r="C107" s="22">
        <v>251393.0</v>
      </c>
      <c r="D107" s="107" t="s">
        <v>1868</v>
      </c>
      <c r="E107" s="22" t="s">
        <v>28</v>
      </c>
      <c r="F107" s="108">
        <v>0.4166666666666667</v>
      </c>
      <c r="G107" s="22"/>
    </row>
    <row r="108" spans="8:8" ht="34.5" customHeight="1">
      <c r="A108" s="11">
        <v>3.0</v>
      </c>
      <c r="B108" s="21" t="s">
        <v>3550</v>
      </c>
      <c r="C108" s="22">
        <v>251395.0</v>
      </c>
      <c r="D108" s="107" t="s">
        <v>1868</v>
      </c>
      <c r="E108" s="22" t="s">
        <v>28</v>
      </c>
      <c r="F108" s="108">
        <v>0.4166666666666667</v>
      </c>
      <c r="G108" s="22"/>
    </row>
    <row r="109" spans="8:8" ht="34.5" customHeight="1">
      <c r="A109" s="11">
        <v>4.0</v>
      </c>
      <c r="B109" s="21" t="s">
        <v>3551</v>
      </c>
      <c r="C109" s="22">
        <v>251406.0</v>
      </c>
      <c r="D109" s="107" t="s">
        <v>1868</v>
      </c>
      <c r="E109" s="22" t="s">
        <v>28</v>
      </c>
      <c r="F109" s="108">
        <v>0.4166666666666667</v>
      </c>
      <c r="G109" s="22"/>
    </row>
    <row r="110" spans="8:8" ht="34.5" customHeight="1">
      <c r="A110" s="11">
        <v>5.0</v>
      </c>
      <c r="B110" s="21" t="s">
        <v>3552</v>
      </c>
      <c r="C110" s="22">
        <v>251408.0</v>
      </c>
      <c r="D110" s="107" t="s">
        <v>1868</v>
      </c>
      <c r="E110" s="22" t="s">
        <v>28</v>
      </c>
      <c r="F110" s="108">
        <v>0.4166666666666667</v>
      </c>
      <c r="G110" s="22"/>
    </row>
    <row r="111" spans="8:8" ht="34.5" customHeight="1">
      <c r="A111" s="11">
        <v>6.0</v>
      </c>
      <c r="B111" s="21" t="s">
        <v>3553</v>
      </c>
      <c r="C111" s="22">
        <v>251409.0</v>
      </c>
      <c r="D111" s="107" t="s">
        <v>1868</v>
      </c>
      <c r="E111" s="22" t="s">
        <v>28</v>
      </c>
      <c r="F111" s="108">
        <v>0.4166666666666667</v>
      </c>
      <c r="G111" s="22"/>
    </row>
    <row r="112" spans="8:8" ht="34.5" customHeight="1">
      <c r="A112" s="11">
        <v>7.0</v>
      </c>
      <c r="B112" s="21" t="s">
        <v>3554</v>
      </c>
      <c r="C112" s="22">
        <v>251413.0</v>
      </c>
      <c r="D112" s="107" t="s">
        <v>1868</v>
      </c>
      <c r="E112" s="22" t="s">
        <v>28</v>
      </c>
      <c r="F112" s="108">
        <v>0.4166666666666667</v>
      </c>
      <c r="G112" s="22"/>
    </row>
    <row r="113" spans="8:8" ht="34.5" customHeight="1">
      <c r="A113" s="11">
        <v>8.0</v>
      </c>
      <c r="B113" s="21" t="s">
        <v>3555</v>
      </c>
      <c r="C113" s="22">
        <v>251414.0</v>
      </c>
      <c r="D113" s="107" t="s">
        <v>1868</v>
      </c>
      <c r="E113" s="22" t="s">
        <v>28</v>
      </c>
      <c r="F113" s="108">
        <v>0.4166666666666667</v>
      </c>
      <c r="G113" s="22"/>
    </row>
    <row r="114" spans="8:8" ht="34.5" customHeight="1">
      <c r="A114" s="11">
        <v>9.0</v>
      </c>
      <c r="B114" s="21" t="s">
        <v>3556</v>
      </c>
      <c r="C114" s="22">
        <v>251415.0</v>
      </c>
      <c r="D114" s="107" t="s">
        <v>1868</v>
      </c>
      <c r="E114" s="22" t="s">
        <v>28</v>
      </c>
      <c r="F114" s="108">
        <v>0.4166666666666667</v>
      </c>
      <c r="G114" s="22"/>
    </row>
    <row r="115" spans="8:8" ht="34.5" customHeight="1">
      <c r="A115" s="11">
        <v>10.0</v>
      </c>
      <c r="B115" s="21" t="s">
        <v>3557</v>
      </c>
      <c r="C115" s="22">
        <v>251416.0</v>
      </c>
      <c r="D115" s="107" t="s">
        <v>1868</v>
      </c>
      <c r="E115" s="22" t="s">
        <v>28</v>
      </c>
      <c r="F115" s="108">
        <v>0.4166666666666667</v>
      </c>
      <c r="G115" s="22"/>
    </row>
    <row r="116" spans="8:8" ht="34.5" customHeight="1">
      <c r="A116" s="11">
        <v>11.0</v>
      </c>
      <c r="B116" s="21" t="s">
        <v>3558</v>
      </c>
      <c r="C116" s="22">
        <v>251417.0</v>
      </c>
      <c r="D116" s="107" t="s">
        <v>1868</v>
      </c>
      <c r="E116" s="22" t="s">
        <v>28</v>
      </c>
      <c r="F116" s="108">
        <v>0.4166666666666667</v>
      </c>
      <c r="G116" s="22"/>
    </row>
    <row r="117" spans="8:8" ht="34.5" customHeight="1">
      <c r="A117" s="11">
        <v>12.0</v>
      </c>
      <c r="B117" s="21" t="s">
        <v>3559</v>
      </c>
      <c r="C117" s="22">
        <v>251419.0</v>
      </c>
      <c r="D117" s="107" t="s">
        <v>1868</v>
      </c>
      <c r="E117" s="22" t="s">
        <v>28</v>
      </c>
      <c r="F117" s="108">
        <v>0.4166666666666667</v>
      </c>
      <c r="G117" s="22"/>
    </row>
    <row r="118" spans="8:8" ht="34.5" customHeight="1">
      <c r="A118" s="11">
        <v>13.0</v>
      </c>
      <c r="B118" s="21" t="s">
        <v>3560</v>
      </c>
      <c r="C118" s="22">
        <v>251422.0</v>
      </c>
      <c r="D118" s="107" t="s">
        <v>1868</v>
      </c>
      <c r="E118" s="22" t="s">
        <v>28</v>
      </c>
      <c r="F118" s="108">
        <v>0.4166666666666667</v>
      </c>
      <c r="G118" s="22"/>
    </row>
    <row r="119" spans="8:8" ht="34.5" customHeight="1">
      <c r="A119" s="11">
        <v>14.0</v>
      </c>
      <c r="B119" s="12" t="s">
        <v>3561</v>
      </c>
      <c r="C119" s="13">
        <v>253122.0</v>
      </c>
      <c r="D119" s="107" t="s">
        <v>1868</v>
      </c>
      <c r="E119" s="22" t="s">
        <v>28</v>
      </c>
      <c r="F119" s="108">
        <v>0.4166666666666667</v>
      </c>
      <c r="G119" s="22"/>
    </row>
    <row r="120" spans="8:8" ht="34.5" customHeight="1">
      <c r="A120" s="11">
        <v>15.0</v>
      </c>
      <c r="B120" s="12" t="s">
        <v>3562</v>
      </c>
      <c r="C120" s="13">
        <v>251328.0</v>
      </c>
      <c r="D120" s="107" t="s">
        <v>1868</v>
      </c>
      <c r="E120" s="13" t="s">
        <v>28</v>
      </c>
      <c r="F120" s="108">
        <v>0.4166666666666667</v>
      </c>
      <c r="G120" s="13"/>
    </row>
    <row r="121" spans="8:8" ht="34.5" customHeight="1">
      <c r="A121" s="11">
        <v>16.0</v>
      </c>
      <c r="B121" s="21" t="s">
        <v>3563</v>
      </c>
      <c r="C121" s="22">
        <v>251503.0</v>
      </c>
      <c r="D121" s="107" t="s">
        <v>1868</v>
      </c>
      <c r="E121" s="13" t="s">
        <v>28</v>
      </c>
      <c r="F121" s="108">
        <v>0.4166666666666667</v>
      </c>
      <c r="G121" s="13"/>
    </row>
    <row r="122" spans="8:8" ht="34.5" customHeight="1">
      <c r="A122" s="11">
        <v>17.0</v>
      </c>
      <c r="B122" s="21" t="s">
        <v>3564</v>
      </c>
      <c r="C122" s="22">
        <v>251454.0</v>
      </c>
      <c r="D122" s="107" t="s">
        <v>1868</v>
      </c>
      <c r="E122" s="22" t="s">
        <v>28</v>
      </c>
      <c r="F122" s="108">
        <v>0.4166666666666667</v>
      </c>
      <c r="G122" s="22"/>
    </row>
    <row r="123" spans="8:8" ht="34.5" customHeight="1">
      <c r="A123" s="11">
        <v>18.0</v>
      </c>
      <c r="B123" s="21" t="s">
        <v>3565</v>
      </c>
      <c r="C123" s="22">
        <v>251451.0</v>
      </c>
      <c r="D123" s="107" t="s">
        <v>1868</v>
      </c>
      <c r="E123" s="22" t="s">
        <v>28</v>
      </c>
      <c r="F123" s="108">
        <v>0.4166666666666667</v>
      </c>
      <c r="G123" s="22"/>
    </row>
    <row r="124" spans="8:8" ht="34.5" customHeight="1">
      <c r="A124" s="11">
        <v>19.0</v>
      </c>
      <c r="B124" s="21" t="s">
        <v>3566</v>
      </c>
      <c r="C124" s="22">
        <v>251515.0</v>
      </c>
      <c r="D124" s="107" t="s">
        <v>1868</v>
      </c>
      <c r="E124" s="22" t="s">
        <v>28</v>
      </c>
      <c r="F124" s="108">
        <v>0.4166666666666667</v>
      </c>
      <c r="G124" s="22"/>
    </row>
    <row r="125" spans="8:8" ht="34.5" customHeight="1">
      <c r="A125" s="11">
        <v>20.0</v>
      </c>
      <c r="B125" s="21" t="s">
        <v>3567</v>
      </c>
      <c r="C125" s="22">
        <v>251473.0</v>
      </c>
      <c r="D125" s="107" t="s">
        <v>1868</v>
      </c>
      <c r="E125" s="22" t="s">
        <v>28</v>
      </c>
      <c r="F125" s="108">
        <v>0.4166666666666667</v>
      </c>
      <c r="G125" s="22"/>
    </row>
    <row r="126" spans="8:8" ht="34.5" customHeight="1">
      <c r="A126" s="11">
        <v>21.0</v>
      </c>
      <c r="B126" s="21" t="s">
        <v>3568</v>
      </c>
      <c r="C126" s="22">
        <v>251468.0</v>
      </c>
      <c r="D126" s="107" t="s">
        <v>1868</v>
      </c>
      <c r="E126" s="22" t="s">
        <v>28</v>
      </c>
      <c r="F126" s="108">
        <v>0.4166666666666667</v>
      </c>
      <c r="G126" s="22"/>
    </row>
    <row r="127" spans="8:8" ht="34.5" customHeight="1">
      <c r="A127" s="11">
        <v>22.0</v>
      </c>
      <c r="B127" s="21" t="s">
        <v>3569</v>
      </c>
      <c r="C127" s="22">
        <v>251472.0</v>
      </c>
      <c r="D127" s="107" t="s">
        <v>1868</v>
      </c>
      <c r="E127" s="22" t="s">
        <v>28</v>
      </c>
      <c r="F127" s="108">
        <v>0.4166666666666667</v>
      </c>
      <c r="G127" s="22"/>
    </row>
    <row r="128" spans="8:8" ht="34.5" customHeight="1">
      <c r="A128" s="11">
        <v>23.0</v>
      </c>
      <c r="B128" s="21" t="s">
        <v>3570</v>
      </c>
      <c r="C128" s="22">
        <v>251462.0</v>
      </c>
      <c r="D128" s="107" t="s">
        <v>1868</v>
      </c>
      <c r="E128" s="22" t="s">
        <v>28</v>
      </c>
      <c r="F128" s="108">
        <v>0.4166666666666667</v>
      </c>
      <c r="G128" s="22"/>
    </row>
    <row r="129" spans="8:8" ht="34.5" customHeight="1">
      <c r="A129" s="11">
        <v>24.0</v>
      </c>
      <c r="B129" s="21" t="s">
        <v>3571</v>
      </c>
      <c r="C129" s="22">
        <v>251457.0</v>
      </c>
      <c r="D129" s="107" t="s">
        <v>1868</v>
      </c>
      <c r="E129" s="22" t="s">
        <v>28</v>
      </c>
      <c r="F129" s="108">
        <v>0.4166666666666667</v>
      </c>
      <c r="G129" s="22"/>
    </row>
    <row r="130" spans="8:8" ht="34.5" customHeight="1">
      <c r="A130" s="11">
        <v>25.0</v>
      </c>
      <c r="B130" s="21" t="s">
        <v>3572</v>
      </c>
      <c r="C130" s="22">
        <v>251482.0</v>
      </c>
      <c r="D130" s="107" t="s">
        <v>1868</v>
      </c>
      <c r="E130" s="22" t="s">
        <v>28</v>
      </c>
      <c r="F130" s="108">
        <v>0.4166666666666667</v>
      </c>
      <c r="G130" s="22"/>
    </row>
    <row r="131" spans="8:8" ht="34.5" customHeight="1">
      <c r="A131" s="8" t="s">
        <v>18</v>
      </c>
      <c r="B131" s="9" t="s">
        <v>19</v>
      </c>
      <c r="C131" s="9" t="s">
        <v>20</v>
      </c>
      <c r="D131" s="9" t="s">
        <v>21</v>
      </c>
      <c r="E131" s="9" t="s">
        <v>22</v>
      </c>
      <c r="F131" s="9" t="s">
        <v>23</v>
      </c>
      <c r="G131" s="9" t="s">
        <v>162</v>
      </c>
    </row>
    <row r="132" spans="8:8" ht="34.5" customHeight="1">
      <c r="A132" s="11">
        <v>1.0</v>
      </c>
      <c r="B132" s="21" t="s">
        <v>3573</v>
      </c>
      <c r="C132" s="22">
        <v>251466.0</v>
      </c>
      <c r="D132" s="107" t="s">
        <v>1868</v>
      </c>
      <c r="E132" s="22" t="s">
        <v>28</v>
      </c>
      <c r="F132" s="108">
        <v>0.4166666666666667</v>
      </c>
      <c r="G132" s="13"/>
    </row>
    <row r="133" spans="8:8" ht="34.5" customHeight="1">
      <c r="A133" s="11">
        <v>2.0</v>
      </c>
      <c r="B133" s="21" t="s">
        <v>3574</v>
      </c>
      <c r="C133" s="22">
        <v>251480.0</v>
      </c>
      <c r="D133" s="107" t="s">
        <v>1868</v>
      </c>
      <c r="E133" s="22" t="s">
        <v>28</v>
      </c>
      <c r="F133" s="108">
        <v>0.4166666666666667</v>
      </c>
      <c r="G133" s="22"/>
    </row>
    <row r="134" spans="8:8" ht="34.5" customHeight="1">
      <c r="A134" s="11">
        <v>3.0</v>
      </c>
      <c r="B134" s="21" t="s">
        <v>3575</v>
      </c>
      <c r="C134" s="22">
        <v>251478.0</v>
      </c>
      <c r="D134" s="107" t="s">
        <v>1868</v>
      </c>
      <c r="E134" s="22" t="s">
        <v>28</v>
      </c>
      <c r="F134" s="108">
        <v>0.4166666666666667</v>
      </c>
      <c r="G134" s="22"/>
    </row>
    <row r="135" spans="8:8" ht="34.5" customHeight="1">
      <c r="A135" s="11">
        <v>4.0</v>
      </c>
      <c r="B135" s="21" t="s">
        <v>3576</v>
      </c>
      <c r="C135" s="22">
        <v>251463.0</v>
      </c>
      <c r="D135" s="107" t="s">
        <v>1868</v>
      </c>
      <c r="E135" s="22" t="s">
        <v>28</v>
      </c>
      <c r="F135" s="108">
        <v>0.4166666666666667</v>
      </c>
      <c r="G135" s="22"/>
    </row>
    <row r="136" spans="8:8" ht="34.5" customHeight="1">
      <c r="A136" s="11">
        <v>5.0</v>
      </c>
      <c r="B136" s="21" t="s">
        <v>3577</v>
      </c>
      <c r="C136" s="22">
        <v>251467.0</v>
      </c>
      <c r="D136" s="107" t="s">
        <v>1868</v>
      </c>
      <c r="E136" s="22" t="s">
        <v>28</v>
      </c>
      <c r="F136" s="108">
        <v>0.4166666666666667</v>
      </c>
      <c r="G136" s="22"/>
    </row>
    <row r="137" spans="8:8" ht="34.5" customHeight="1">
      <c r="A137" s="11">
        <v>6.0</v>
      </c>
      <c r="B137" s="21" t="s">
        <v>3578</v>
      </c>
      <c r="C137" s="22">
        <v>251461.0</v>
      </c>
      <c r="D137" s="107" t="s">
        <v>1868</v>
      </c>
      <c r="E137" s="22" t="s">
        <v>28</v>
      </c>
      <c r="F137" s="108">
        <v>0.4166666666666667</v>
      </c>
      <c r="G137" s="22"/>
    </row>
    <row r="138" spans="8:8" ht="34.5" customHeight="1">
      <c r="A138" s="11">
        <v>7.0</v>
      </c>
      <c r="B138" s="21" t="s">
        <v>3579</v>
      </c>
      <c r="C138" s="22">
        <v>251423.0</v>
      </c>
      <c r="D138" s="107" t="s">
        <v>1868</v>
      </c>
      <c r="E138" s="22" t="s">
        <v>28</v>
      </c>
      <c r="F138" s="108">
        <v>0.4166666666666667</v>
      </c>
      <c r="G138" s="22"/>
    </row>
    <row r="139" spans="8:8" ht="34.5" customHeight="1">
      <c r="A139" s="11">
        <v>8.0</v>
      </c>
      <c r="B139" s="21" t="s">
        <v>3580</v>
      </c>
      <c r="C139" s="22">
        <v>251424.0</v>
      </c>
      <c r="D139" s="107" t="s">
        <v>1868</v>
      </c>
      <c r="E139" s="22" t="s">
        <v>28</v>
      </c>
      <c r="F139" s="108">
        <v>0.4166666666666667</v>
      </c>
      <c r="G139" s="22"/>
    </row>
    <row r="140" spans="8:8" ht="34.5" customHeight="1">
      <c r="A140" s="11">
        <v>9.0</v>
      </c>
      <c r="B140" s="21" t="s">
        <v>3581</v>
      </c>
      <c r="C140" s="22">
        <v>251425.0</v>
      </c>
      <c r="D140" s="107" t="s">
        <v>1868</v>
      </c>
      <c r="E140" s="22" t="s">
        <v>28</v>
      </c>
      <c r="F140" s="108">
        <v>0.4166666666666667</v>
      </c>
      <c r="G140" s="22"/>
    </row>
    <row r="141" spans="8:8" ht="34.5" customHeight="1">
      <c r="A141" s="11">
        <v>10.0</v>
      </c>
      <c r="B141" s="21" t="s">
        <v>3582</v>
      </c>
      <c r="C141" s="22">
        <v>251426.0</v>
      </c>
      <c r="D141" s="107" t="s">
        <v>1868</v>
      </c>
      <c r="E141" s="22" t="s">
        <v>28</v>
      </c>
      <c r="F141" s="108">
        <v>0.4166666666666667</v>
      </c>
      <c r="G141" s="22"/>
    </row>
    <row r="142" spans="8:8" ht="34.5" customHeight="1">
      <c r="A142" s="11">
        <v>11.0</v>
      </c>
      <c r="B142" s="21" t="s">
        <v>3583</v>
      </c>
      <c r="C142" s="22">
        <v>251427.0</v>
      </c>
      <c r="D142" s="107" t="s">
        <v>1868</v>
      </c>
      <c r="E142" s="22" t="s">
        <v>28</v>
      </c>
      <c r="F142" s="108">
        <v>0.4166666666666667</v>
      </c>
      <c r="G142" s="22"/>
    </row>
    <row r="143" spans="8:8" ht="34.5" customHeight="1">
      <c r="A143" s="11">
        <v>12.0</v>
      </c>
      <c r="B143" s="21" t="s">
        <v>3584</v>
      </c>
      <c r="C143" s="22">
        <v>251428.0</v>
      </c>
      <c r="D143" s="107" t="s">
        <v>1868</v>
      </c>
      <c r="E143" s="22" t="s">
        <v>28</v>
      </c>
      <c r="F143" s="108">
        <v>0.4166666666666667</v>
      </c>
      <c r="G143" s="22"/>
    </row>
    <row r="144" spans="8:8" ht="34.5" customHeight="1">
      <c r="A144" s="11">
        <v>13.0</v>
      </c>
      <c r="B144" s="21" t="s">
        <v>3585</v>
      </c>
      <c r="C144" s="22">
        <v>251429.0</v>
      </c>
      <c r="D144" s="107" t="s">
        <v>1868</v>
      </c>
      <c r="E144" s="22" t="s">
        <v>28</v>
      </c>
      <c r="F144" s="108">
        <v>0.4166666666666667</v>
      </c>
      <c r="G144" s="22"/>
    </row>
    <row r="145" spans="8:8" ht="34.5" customHeight="1">
      <c r="A145" s="11">
        <v>14.0</v>
      </c>
      <c r="B145" s="21" t="s">
        <v>3586</v>
      </c>
      <c r="C145" s="22">
        <v>252972.0</v>
      </c>
      <c r="D145" s="107" t="s">
        <v>1868</v>
      </c>
      <c r="E145" s="22" t="s">
        <v>28</v>
      </c>
      <c r="F145" s="108">
        <v>0.4166666666666667</v>
      </c>
      <c r="G145" s="22"/>
    </row>
    <row r="146" spans="8:8" ht="34.5" customHeight="1">
      <c r="A146" s="11">
        <v>15.0</v>
      </c>
      <c r="B146" s="21" t="s">
        <v>3587</v>
      </c>
      <c r="C146" s="22">
        <v>251532.0</v>
      </c>
      <c r="D146" s="107" t="s">
        <v>1868</v>
      </c>
      <c r="E146" s="22" t="s">
        <v>28</v>
      </c>
      <c r="F146" s="108">
        <v>0.4166666666666667</v>
      </c>
      <c r="G146" s="22"/>
    </row>
    <row r="147" spans="8:8" ht="34.5" customHeight="1">
      <c r="A147" s="11">
        <v>16.0</v>
      </c>
      <c r="B147" s="21" t="s">
        <v>3588</v>
      </c>
      <c r="C147" s="22">
        <v>251533.0</v>
      </c>
      <c r="D147" s="107" t="s">
        <v>1868</v>
      </c>
      <c r="E147" s="22" t="s">
        <v>28</v>
      </c>
      <c r="F147" s="108">
        <v>0.4166666666666667</v>
      </c>
      <c r="G147" s="22"/>
    </row>
    <row r="148" spans="8:8" ht="34.5" customHeight="1">
      <c r="A148" s="11">
        <v>17.0</v>
      </c>
      <c r="B148" s="21" t="s">
        <v>3589</v>
      </c>
      <c r="C148" s="22">
        <v>251536.0</v>
      </c>
      <c r="D148" s="107" t="s">
        <v>1868</v>
      </c>
      <c r="E148" s="22" t="s">
        <v>28</v>
      </c>
      <c r="F148" s="108">
        <v>0.4166666666666667</v>
      </c>
      <c r="G148" s="22"/>
    </row>
    <row r="149" spans="8:8" ht="34.5" customHeight="1">
      <c r="A149" s="11">
        <v>18.0</v>
      </c>
      <c r="B149" s="21" t="s">
        <v>3590</v>
      </c>
      <c r="C149" s="22">
        <v>251537.0</v>
      </c>
      <c r="D149" s="107" t="s">
        <v>1868</v>
      </c>
      <c r="E149" s="22" t="s">
        <v>28</v>
      </c>
      <c r="F149" s="108">
        <v>0.4166666666666667</v>
      </c>
      <c r="G149" s="22"/>
    </row>
    <row r="150" spans="8:8" ht="34.5" customHeight="1">
      <c r="A150" s="11">
        <v>19.0</v>
      </c>
      <c r="B150" s="21" t="s">
        <v>3591</v>
      </c>
      <c r="C150" s="22">
        <v>251620.0</v>
      </c>
      <c r="D150" s="107" t="s">
        <v>1868</v>
      </c>
      <c r="E150" s="22" t="s">
        <v>28</v>
      </c>
      <c r="F150" s="108">
        <v>0.4166666666666667</v>
      </c>
      <c r="G150" s="22"/>
    </row>
    <row r="151" spans="8:8" ht="34.5" customHeight="1">
      <c r="A151" s="11">
        <v>20.0</v>
      </c>
      <c r="B151" s="21" t="s">
        <v>3592</v>
      </c>
      <c r="C151" s="22">
        <v>251543.0</v>
      </c>
      <c r="D151" s="107" t="s">
        <v>1868</v>
      </c>
      <c r="E151" s="22" t="s">
        <v>28</v>
      </c>
      <c r="F151" s="108">
        <v>0.4166666666666667</v>
      </c>
      <c r="G151" s="22"/>
    </row>
    <row r="152" spans="8:8" ht="34.5" customHeight="1">
      <c r="A152" s="11">
        <v>21.0</v>
      </c>
      <c r="B152" s="21" t="s">
        <v>3593</v>
      </c>
      <c r="C152" s="22">
        <v>251553.0</v>
      </c>
      <c r="D152" s="107" t="s">
        <v>1868</v>
      </c>
      <c r="E152" s="22" t="s">
        <v>28</v>
      </c>
      <c r="F152" s="108">
        <v>0.4166666666666667</v>
      </c>
      <c r="G152" s="22"/>
    </row>
    <row r="153" spans="8:8" ht="34.5" customHeight="1">
      <c r="A153" s="11">
        <v>22.0</v>
      </c>
      <c r="B153" s="21" t="s">
        <v>3594</v>
      </c>
      <c r="C153" s="22">
        <v>253158.0</v>
      </c>
      <c r="D153" s="21" t="s">
        <v>104</v>
      </c>
      <c r="E153" s="22" t="s">
        <v>28</v>
      </c>
      <c r="F153" s="108">
        <v>0.4166666666666667</v>
      </c>
      <c r="G153" s="22"/>
    </row>
    <row r="154" spans="8:8" ht="34.5" customHeight="1">
      <c r="A154" s="11">
        <v>23.0</v>
      </c>
      <c r="B154" s="21" t="s">
        <v>3595</v>
      </c>
      <c r="C154" s="22">
        <v>253093.0</v>
      </c>
      <c r="D154" s="21" t="s">
        <v>90</v>
      </c>
      <c r="E154" s="13" t="s">
        <v>28</v>
      </c>
      <c r="F154" s="108">
        <v>0.4166666666666667</v>
      </c>
      <c r="G154" s="13"/>
    </row>
    <row r="155" spans="8:8" ht="34.5" customHeight="1">
      <c r="A155" s="11">
        <v>24.0</v>
      </c>
      <c r="B155" s="21" t="s">
        <v>3596</v>
      </c>
      <c r="C155" s="22">
        <v>251673.0</v>
      </c>
      <c r="D155" s="107" t="s">
        <v>1868</v>
      </c>
      <c r="E155" s="22" t="s">
        <v>28</v>
      </c>
      <c r="F155" s="108">
        <v>0.4166666666666667</v>
      </c>
      <c r="G155" s="22"/>
    </row>
    <row r="156" spans="8:8" ht="34.5" customHeight="1">
      <c r="A156" s="11">
        <v>25.0</v>
      </c>
      <c r="B156" s="21" t="s">
        <v>3597</v>
      </c>
      <c r="C156" s="22">
        <v>251527.0</v>
      </c>
      <c r="D156" s="107" t="s">
        <v>1868</v>
      </c>
      <c r="E156" s="22" t="s">
        <v>28</v>
      </c>
      <c r="F156" s="108">
        <v>0.4166666666666667</v>
      </c>
      <c r="G156" s="22"/>
    </row>
    <row r="157" spans="8:8" ht="34.5" customHeight="1">
      <c r="A157" s="8" t="s">
        <v>18</v>
      </c>
      <c r="B157" s="9" t="s">
        <v>19</v>
      </c>
      <c r="C157" s="9" t="s">
        <v>20</v>
      </c>
      <c r="D157" s="9" t="s">
        <v>21</v>
      </c>
      <c r="E157" s="9" t="s">
        <v>22</v>
      </c>
      <c r="F157" s="9" t="s">
        <v>23</v>
      </c>
      <c r="G157" s="9" t="s">
        <v>3598</v>
      </c>
    </row>
    <row r="158" spans="8:8" ht="34.5" customHeight="1">
      <c r="A158" s="11">
        <v>1.0</v>
      </c>
      <c r="B158" s="12" t="s">
        <v>3599</v>
      </c>
      <c r="C158" s="13">
        <v>253014.0</v>
      </c>
      <c r="D158" s="107" t="s">
        <v>1868</v>
      </c>
      <c r="E158" s="22" t="s">
        <v>28</v>
      </c>
      <c r="F158" s="108">
        <v>0.4166666666666667</v>
      </c>
      <c r="G158" s="13"/>
    </row>
    <row r="159" spans="8:8" ht="34.5" customHeight="1">
      <c r="A159" s="11">
        <v>2.0</v>
      </c>
      <c r="B159" s="21" t="s">
        <v>3600</v>
      </c>
      <c r="C159" s="22">
        <v>251706.0</v>
      </c>
      <c r="D159" s="107" t="s">
        <v>1868</v>
      </c>
      <c r="E159" s="22" t="s">
        <v>28</v>
      </c>
      <c r="F159" s="108">
        <v>0.4166666666666667</v>
      </c>
      <c r="G159" s="22"/>
    </row>
    <row r="160" spans="8:8" ht="34.5" customHeight="1">
      <c r="A160" s="11">
        <v>3.0</v>
      </c>
      <c r="B160" s="21" t="s">
        <v>3601</v>
      </c>
      <c r="C160" s="22">
        <v>251487.0</v>
      </c>
      <c r="D160" s="107" t="s">
        <v>1868</v>
      </c>
      <c r="E160" s="22" t="s">
        <v>28</v>
      </c>
      <c r="F160" s="108">
        <v>0.4166666666666667</v>
      </c>
      <c r="G160" s="22"/>
    </row>
    <row r="161" spans="8:8" ht="34.5" customHeight="1">
      <c r="A161" s="11">
        <v>4.0</v>
      </c>
      <c r="B161" s="21" t="s">
        <v>3602</v>
      </c>
      <c r="C161" s="22">
        <v>251496.0</v>
      </c>
      <c r="D161" s="107" t="s">
        <v>1868</v>
      </c>
      <c r="E161" s="22" t="s">
        <v>28</v>
      </c>
      <c r="F161" s="108">
        <v>0.4166666666666667</v>
      </c>
      <c r="G161" s="22"/>
    </row>
    <row r="162" spans="8:8" ht="34.5" customHeight="1">
      <c r="A162" s="11">
        <v>5.0</v>
      </c>
      <c r="B162" s="12" t="s">
        <v>3603</v>
      </c>
      <c r="C162" s="13">
        <v>253044.0</v>
      </c>
      <c r="D162" s="107" t="s">
        <v>1868</v>
      </c>
      <c r="E162" s="22" t="s">
        <v>28</v>
      </c>
      <c r="F162" s="108">
        <v>0.4166666666666667</v>
      </c>
      <c r="G162" s="22"/>
    </row>
    <row r="163" spans="8:8" ht="34.5" customHeight="1">
      <c r="A163" s="11">
        <v>6.0</v>
      </c>
      <c r="B163" s="21" t="s">
        <v>3604</v>
      </c>
      <c r="C163" s="22">
        <v>251483.0</v>
      </c>
      <c r="D163" s="107" t="s">
        <v>1868</v>
      </c>
      <c r="E163" s="22" t="s">
        <v>28</v>
      </c>
      <c r="F163" s="108">
        <v>0.4166666666666667</v>
      </c>
      <c r="G163" s="22"/>
    </row>
    <row r="164" spans="8:8" ht="34.5" customHeight="1">
      <c r="A164" s="11">
        <v>7.0</v>
      </c>
      <c r="B164" s="12" t="s">
        <v>3605</v>
      </c>
      <c r="C164" s="13">
        <v>253080.0</v>
      </c>
      <c r="D164" s="107" t="s">
        <v>1868</v>
      </c>
      <c r="E164" s="22" t="s">
        <v>28</v>
      </c>
      <c r="F164" s="108">
        <v>0.4166666666666667</v>
      </c>
      <c r="G164" s="22"/>
    </row>
    <row r="165" spans="8:8" ht="34.5" customHeight="1">
      <c r="A165" s="11">
        <v>8.0</v>
      </c>
      <c r="B165" s="21" t="s">
        <v>3606</v>
      </c>
      <c r="C165" s="22">
        <v>251679.0</v>
      </c>
      <c r="D165" s="107" t="s">
        <v>1868</v>
      </c>
      <c r="E165" s="22" t="s">
        <v>28</v>
      </c>
      <c r="F165" s="108">
        <v>0.4166666666666667</v>
      </c>
      <c r="G165" s="22"/>
    </row>
    <row r="166" spans="8:8" ht="34.5" customHeight="1">
      <c r="A166" s="11">
        <v>9.0</v>
      </c>
      <c r="B166" s="21" t="s">
        <v>3607</v>
      </c>
      <c r="C166" s="22">
        <v>251528.0</v>
      </c>
      <c r="D166" s="107" t="s">
        <v>1868</v>
      </c>
      <c r="E166" s="22" t="s">
        <v>28</v>
      </c>
      <c r="F166" s="108">
        <v>0.4166666666666667</v>
      </c>
      <c r="G166" s="22"/>
    </row>
    <row r="167" spans="8:8" ht="34.5" customHeight="1">
      <c r="A167" s="11">
        <v>10.0</v>
      </c>
      <c r="B167" s="21" t="s">
        <v>3608</v>
      </c>
      <c r="C167" s="22">
        <v>251530.0</v>
      </c>
      <c r="D167" s="107" t="s">
        <v>1868</v>
      </c>
      <c r="E167" s="22" t="s">
        <v>28</v>
      </c>
      <c r="F167" s="108">
        <v>0.4166666666666667</v>
      </c>
      <c r="G167" s="22"/>
    </row>
    <row r="168" spans="8:8" ht="34.5" customHeight="1">
      <c r="A168" s="11">
        <v>11.0</v>
      </c>
      <c r="B168" s="21" t="s">
        <v>3609</v>
      </c>
      <c r="C168" s="22">
        <v>251654.0</v>
      </c>
      <c r="D168" s="107" t="s">
        <v>1868</v>
      </c>
      <c r="E168" s="22" t="s">
        <v>28</v>
      </c>
      <c r="F168" s="108">
        <v>0.4166666666666667</v>
      </c>
      <c r="G168" s="22"/>
    </row>
    <row r="169" spans="8:8" ht="34.5" customHeight="1">
      <c r="A169" s="11">
        <v>12.0</v>
      </c>
      <c r="B169" s="21" t="s">
        <v>3610</v>
      </c>
      <c r="C169" s="22">
        <v>251555.0</v>
      </c>
      <c r="D169" s="107" t="s">
        <v>1868</v>
      </c>
      <c r="E169" s="22" t="s">
        <v>28</v>
      </c>
      <c r="F169" s="108">
        <v>0.4166666666666667</v>
      </c>
      <c r="G169" s="22"/>
    </row>
    <row r="170" spans="8:8" ht="34.5" customHeight="1">
      <c r="A170" s="11">
        <v>13.0</v>
      </c>
      <c r="B170" s="21" t="s">
        <v>3611</v>
      </c>
      <c r="C170" s="22">
        <v>251557.0</v>
      </c>
      <c r="D170" s="107" t="s">
        <v>1868</v>
      </c>
      <c r="E170" s="22" t="s">
        <v>28</v>
      </c>
      <c r="F170" s="108">
        <v>0.4166666666666667</v>
      </c>
      <c r="G170" s="22"/>
    </row>
    <row r="171" spans="8:8" ht="34.5" customHeight="1">
      <c r="A171" s="11">
        <v>14.0</v>
      </c>
      <c r="B171" s="21" t="s">
        <v>3612</v>
      </c>
      <c r="C171" s="22">
        <v>251565.0</v>
      </c>
      <c r="D171" s="107" t="s">
        <v>1868</v>
      </c>
      <c r="E171" s="22" t="s">
        <v>28</v>
      </c>
      <c r="F171" s="108">
        <v>0.4166666666666667</v>
      </c>
      <c r="G171" s="22"/>
    </row>
    <row r="172" spans="8:8" ht="34.5" customHeight="1">
      <c r="A172" s="11">
        <v>15.0</v>
      </c>
      <c r="B172" s="21" t="s">
        <v>3613</v>
      </c>
      <c r="C172" s="22">
        <v>251566.0</v>
      </c>
      <c r="D172" s="107" t="s">
        <v>1868</v>
      </c>
      <c r="E172" s="22" t="s">
        <v>28</v>
      </c>
      <c r="F172" s="108">
        <v>0.4166666666666667</v>
      </c>
      <c r="G172" s="22"/>
    </row>
    <row r="173" spans="8:8" ht="34.5" customHeight="1">
      <c r="A173" s="11">
        <v>16.0</v>
      </c>
      <c r="B173" s="21" t="s">
        <v>3614</v>
      </c>
      <c r="C173" s="22">
        <v>251567.0</v>
      </c>
      <c r="D173" s="107" t="s">
        <v>1868</v>
      </c>
      <c r="E173" s="22" t="s">
        <v>28</v>
      </c>
      <c r="F173" s="108">
        <v>0.4166666666666667</v>
      </c>
      <c r="G173" s="22"/>
    </row>
    <row r="174" spans="8:8" ht="34.5" customHeight="1">
      <c r="A174" s="11">
        <v>17.0</v>
      </c>
      <c r="B174" s="21" t="s">
        <v>3615</v>
      </c>
      <c r="C174" s="22">
        <v>251568.0</v>
      </c>
      <c r="D174" s="107" t="s">
        <v>1868</v>
      </c>
      <c r="E174" s="22" t="s">
        <v>28</v>
      </c>
      <c r="F174" s="108">
        <v>0.4166666666666667</v>
      </c>
      <c r="G174" s="22"/>
    </row>
    <row r="175" spans="8:8" ht="34.5" customHeight="1">
      <c r="A175" s="11">
        <v>18.0</v>
      </c>
      <c r="B175" s="21" t="s">
        <v>3616</v>
      </c>
      <c r="C175" s="22">
        <v>251569.0</v>
      </c>
      <c r="D175" s="107" t="s">
        <v>1868</v>
      </c>
      <c r="E175" s="22" t="s">
        <v>28</v>
      </c>
      <c r="F175" s="108">
        <v>0.4166666666666667</v>
      </c>
      <c r="G175" s="22"/>
    </row>
    <row r="176" spans="8:8" ht="34.5" customHeight="1">
      <c r="A176" s="11">
        <v>19.0</v>
      </c>
      <c r="B176" s="21" t="s">
        <v>3617</v>
      </c>
      <c r="C176" s="22">
        <v>251570.0</v>
      </c>
      <c r="D176" s="107" t="s">
        <v>1868</v>
      </c>
      <c r="E176" s="22" t="s">
        <v>28</v>
      </c>
      <c r="F176" s="108">
        <v>0.4166666666666667</v>
      </c>
      <c r="G176" s="22"/>
    </row>
    <row r="177" spans="8:8" ht="34.5" customHeight="1">
      <c r="A177" s="11">
        <v>20.0</v>
      </c>
      <c r="B177" s="21" t="s">
        <v>3618</v>
      </c>
      <c r="C177" s="22">
        <v>251573.0</v>
      </c>
      <c r="D177" s="107" t="s">
        <v>1868</v>
      </c>
      <c r="E177" s="22" t="s">
        <v>28</v>
      </c>
      <c r="F177" s="108">
        <v>0.4166666666666667</v>
      </c>
      <c r="G177" s="22"/>
    </row>
    <row r="178" spans="8:8" ht="34.5" customHeight="1">
      <c r="A178" s="11">
        <v>21.0</v>
      </c>
      <c r="B178" s="21" t="s">
        <v>3619</v>
      </c>
      <c r="C178" s="22">
        <v>251574.0</v>
      </c>
      <c r="D178" s="107" t="s">
        <v>1868</v>
      </c>
      <c r="E178" s="22" t="s">
        <v>28</v>
      </c>
      <c r="F178" s="108">
        <v>0.4166666666666667</v>
      </c>
      <c r="G178" s="22"/>
    </row>
    <row r="179" spans="8:8" ht="34.5" customHeight="1">
      <c r="A179" s="11">
        <v>22.0</v>
      </c>
      <c r="B179" s="21" t="s">
        <v>3620</v>
      </c>
      <c r="C179" s="22">
        <v>251575.0</v>
      </c>
      <c r="D179" s="107" t="s">
        <v>1868</v>
      </c>
      <c r="E179" s="22" t="s">
        <v>28</v>
      </c>
      <c r="F179" s="108">
        <v>0.4166666666666667</v>
      </c>
      <c r="G179" s="22"/>
    </row>
    <row r="180" spans="8:8" ht="34.5" customHeight="1">
      <c r="A180" s="11">
        <v>23.0</v>
      </c>
      <c r="B180" s="21" t="s">
        <v>3621</v>
      </c>
      <c r="C180" s="22">
        <v>251576.0</v>
      </c>
      <c r="D180" s="107" t="s">
        <v>1868</v>
      </c>
      <c r="E180" s="22" t="s">
        <v>28</v>
      </c>
      <c r="F180" s="108">
        <v>0.4166666666666667</v>
      </c>
      <c r="G180" s="22"/>
    </row>
    <row r="181" spans="8:8" ht="34.5" customHeight="1">
      <c r="A181" s="11">
        <v>24.0</v>
      </c>
      <c r="B181" s="21" t="s">
        <v>3622</v>
      </c>
      <c r="C181" s="22">
        <v>251577.0</v>
      </c>
      <c r="D181" s="107" t="s">
        <v>1868</v>
      </c>
      <c r="E181" s="22" t="s">
        <v>28</v>
      </c>
      <c r="F181" s="108">
        <v>0.4166666666666667</v>
      </c>
      <c r="G181" s="22"/>
    </row>
    <row r="182" spans="8:8" ht="34.5" customHeight="1">
      <c r="A182" s="11">
        <v>25.0</v>
      </c>
      <c r="B182" s="21" t="s">
        <v>3623</v>
      </c>
      <c r="C182" s="22">
        <v>251578.0</v>
      </c>
      <c r="D182" s="107" t="s">
        <v>1868</v>
      </c>
      <c r="E182" s="22" t="s">
        <v>28</v>
      </c>
      <c r="F182" s="108">
        <v>0.4166666666666667</v>
      </c>
      <c r="G182" s="22"/>
    </row>
    <row r="183" spans="8:8" ht="34.5" customHeight="1">
      <c r="A183" s="8" t="s">
        <v>18</v>
      </c>
      <c r="B183" s="9" t="s">
        <v>19</v>
      </c>
      <c r="C183" s="9" t="s">
        <v>20</v>
      </c>
      <c r="D183" s="9" t="s">
        <v>21</v>
      </c>
      <c r="E183" s="9" t="s">
        <v>22</v>
      </c>
      <c r="F183" s="9" t="s">
        <v>23</v>
      </c>
      <c r="G183" s="9" t="s">
        <v>3624</v>
      </c>
    </row>
    <row r="184" spans="8:8" ht="34.5" customHeight="1">
      <c r="A184" s="11">
        <v>1.0</v>
      </c>
      <c r="B184" s="21" t="s">
        <v>3625</v>
      </c>
      <c r="C184" s="22">
        <v>251579.0</v>
      </c>
      <c r="D184" s="107" t="s">
        <v>1868</v>
      </c>
      <c r="E184" s="22" t="s">
        <v>28</v>
      </c>
      <c r="F184" s="108">
        <v>0.4166666666666667</v>
      </c>
      <c r="G184" s="13"/>
    </row>
    <row r="185" spans="8:8" ht="34.5" customHeight="1">
      <c r="A185" s="11">
        <v>2.0</v>
      </c>
      <c r="B185" s="21" t="s">
        <v>3626</v>
      </c>
      <c r="C185" s="22">
        <v>251583.0</v>
      </c>
      <c r="D185" s="107" t="s">
        <v>1868</v>
      </c>
      <c r="E185" s="22" t="s">
        <v>28</v>
      </c>
      <c r="F185" s="108">
        <v>0.4166666666666667</v>
      </c>
      <c r="G185" s="22"/>
    </row>
    <row r="186" spans="8:8" ht="34.5" customHeight="1">
      <c r="A186" s="11">
        <v>3.0</v>
      </c>
      <c r="B186" s="21" t="s">
        <v>3627</v>
      </c>
      <c r="C186" s="22">
        <v>251584.0</v>
      </c>
      <c r="D186" s="107" t="s">
        <v>1868</v>
      </c>
      <c r="E186" s="22" t="s">
        <v>28</v>
      </c>
      <c r="F186" s="108">
        <v>0.4166666666666667</v>
      </c>
      <c r="G186" s="22"/>
    </row>
    <row r="187" spans="8:8" ht="34.5" customHeight="1">
      <c r="A187" s="11">
        <v>4.0</v>
      </c>
      <c r="B187" s="21" t="s">
        <v>3628</v>
      </c>
      <c r="C187" s="22">
        <v>251585.0</v>
      </c>
      <c r="D187" s="107" t="s">
        <v>1868</v>
      </c>
      <c r="E187" s="22" t="s">
        <v>28</v>
      </c>
      <c r="F187" s="108">
        <v>0.4166666666666667</v>
      </c>
      <c r="G187" s="22"/>
    </row>
    <row r="188" spans="8:8" ht="34.5" customHeight="1">
      <c r="A188" s="11">
        <v>5.0</v>
      </c>
      <c r="B188" s="21" t="s">
        <v>3629</v>
      </c>
      <c r="C188" s="22">
        <v>251586.0</v>
      </c>
      <c r="D188" s="107" t="s">
        <v>1868</v>
      </c>
      <c r="E188" s="22" t="s">
        <v>28</v>
      </c>
      <c r="F188" s="108">
        <v>0.4166666666666667</v>
      </c>
      <c r="G188" s="22"/>
    </row>
    <row r="189" spans="8:8" ht="34.5" customHeight="1">
      <c r="A189" s="11">
        <v>6.0</v>
      </c>
      <c r="B189" s="21" t="s">
        <v>3630</v>
      </c>
      <c r="C189" s="22">
        <v>251587.0</v>
      </c>
      <c r="D189" s="107" t="s">
        <v>1868</v>
      </c>
      <c r="E189" s="22" t="s">
        <v>28</v>
      </c>
      <c r="F189" s="108">
        <v>0.4166666666666667</v>
      </c>
      <c r="G189" s="22"/>
    </row>
    <row r="190" spans="8:8" ht="34.5" customHeight="1">
      <c r="A190" s="11">
        <v>7.0</v>
      </c>
      <c r="B190" s="21" t="s">
        <v>3631</v>
      </c>
      <c r="C190" s="22">
        <v>251589.0</v>
      </c>
      <c r="D190" s="107" t="s">
        <v>1868</v>
      </c>
      <c r="E190" s="22" t="s">
        <v>28</v>
      </c>
      <c r="F190" s="108">
        <v>0.4166666666666667</v>
      </c>
      <c r="G190" s="22"/>
    </row>
    <row r="191" spans="8:8" ht="34.5" customHeight="1">
      <c r="A191" s="11">
        <v>8.0</v>
      </c>
      <c r="B191" s="21" t="s">
        <v>3632</v>
      </c>
      <c r="C191" s="22">
        <v>251357.0</v>
      </c>
      <c r="D191" s="107" t="s">
        <v>1868</v>
      </c>
      <c r="E191" s="22" t="s">
        <v>28</v>
      </c>
      <c r="F191" s="108">
        <v>0.4166666666666667</v>
      </c>
      <c r="G191" s="22"/>
    </row>
    <row r="192" spans="8:8" ht="34.5" customHeight="1">
      <c r="A192" s="11">
        <v>9.0</v>
      </c>
      <c r="B192" s="21" t="s">
        <v>3633</v>
      </c>
      <c r="C192" s="22">
        <v>251437.0</v>
      </c>
      <c r="D192" s="107" t="s">
        <v>1868</v>
      </c>
      <c r="E192" s="22" t="s">
        <v>28</v>
      </c>
      <c r="F192" s="108">
        <v>0.4166666666666667</v>
      </c>
      <c r="G192" s="22"/>
    </row>
    <row r="193" spans="8:8" ht="34.5" customHeight="1">
      <c r="A193" s="11">
        <v>10.0</v>
      </c>
      <c r="B193" s="21" t="s">
        <v>3634</v>
      </c>
      <c r="C193" s="22">
        <v>251502.0</v>
      </c>
      <c r="D193" s="107" t="s">
        <v>1868</v>
      </c>
      <c r="E193" s="22" t="s">
        <v>28</v>
      </c>
      <c r="F193" s="108">
        <v>0.4166666666666667</v>
      </c>
      <c r="G193" s="22"/>
    </row>
    <row r="194" spans="8:8" ht="34.5" customHeight="1">
      <c r="A194" s="11">
        <v>11.0</v>
      </c>
      <c r="B194" s="21" t="s">
        <v>3635</v>
      </c>
      <c r="C194" s="22">
        <v>251719.0</v>
      </c>
      <c r="D194" s="107" t="s">
        <v>1868</v>
      </c>
      <c r="E194" s="13" t="s">
        <v>28</v>
      </c>
      <c r="F194" s="108">
        <v>0.4166666666666667</v>
      </c>
      <c r="G194" s="13"/>
    </row>
    <row r="195" spans="8:8" ht="34.5" customHeight="1">
      <c r="A195" s="11">
        <v>12.0</v>
      </c>
      <c r="B195" s="21" t="s">
        <v>3636</v>
      </c>
      <c r="C195" s="22">
        <v>252970.0</v>
      </c>
      <c r="D195" s="107" t="s">
        <v>1868</v>
      </c>
      <c r="E195" s="22" t="s">
        <v>28</v>
      </c>
      <c r="F195" s="108">
        <v>0.4166666666666667</v>
      </c>
      <c r="G195" s="22"/>
    </row>
    <row r="196" spans="8:8" ht="34.5" customHeight="1">
      <c r="A196" s="11">
        <v>13.0</v>
      </c>
      <c r="B196" s="21" t="s">
        <v>3637</v>
      </c>
      <c r="C196" s="22">
        <v>251582.0</v>
      </c>
      <c r="D196" s="107" t="s">
        <v>1868</v>
      </c>
      <c r="E196" s="13" t="s">
        <v>28</v>
      </c>
      <c r="F196" s="108">
        <v>0.4166666666666667</v>
      </c>
      <c r="G196" s="13"/>
    </row>
    <row r="197" spans="8:8" ht="34.5" customHeight="1">
      <c r="A197" s="11">
        <v>14.0</v>
      </c>
      <c r="B197" s="12" t="s">
        <v>3638</v>
      </c>
      <c r="C197" s="13">
        <v>250578.0</v>
      </c>
      <c r="D197" s="12" t="s">
        <v>94</v>
      </c>
      <c r="E197" s="13" t="s">
        <v>28</v>
      </c>
      <c r="F197" s="108">
        <v>0.4166666666666667</v>
      </c>
      <c r="G197" s="13"/>
    </row>
    <row r="198" spans="8:8" ht="34.5" customHeight="1">
      <c r="A198" s="11">
        <v>15.0</v>
      </c>
      <c r="B198" s="21" t="s">
        <v>3639</v>
      </c>
      <c r="C198" s="22">
        <v>251591.0</v>
      </c>
      <c r="D198" s="107" t="s">
        <v>1868</v>
      </c>
      <c r="E198" s="22" t="s">
        <v>28</v>
      </c>
      <c r="F198" s="108">
        <v>0.4166666666666667</v>
      </c>
      <c r="G198" s="22"/>
    </row>
    <row r="199" spans="8:8" ht="34.5" customHeight="1">
      <c r="A199" s="11">
        <v>16.0</v>
      </c>
      <c r="B199" s="21" t="s">
        <v>3640</v>
      </c>
      <c r="C199" s="22">
        <v>251593.0</v>
      </c>
      <c r="D199" s="107" t="s">
        <v>1868</v>
      </c>
      <c r="E199" s="22" t="s">
        <v>28</v>
      </c>
      <c r="F199" s="108">
        <v>0.4166666666666667</v>
      </c>
      <c r="G199" s="22"/>
    </row>
    <row r="200" spans="8:8" ht="34.5" customHeight="1">
      <c r="A200" s="11">
        <v>17.0</v>
      </c>
      <c r="B200" s="21" t="s">
        <v>3641</v>
      </c>
      <c r="C200" s="22">
        <v>251594.0</v>
      </c>
      <c r="D200" s="107" t="s">
        <v>1868</v>
      </c>
      <c r="E200" s="22" t="s">
        <v>28</v>
      </c>
      <c r="F200" s="108">
        <v>0.4166666666666667</v>
      </c>
      <c r="G200" s="22"/>
    </row>
    <row r="201" spans="8:8" ht="34.5" customHeight="1">
      <c r="A201" s="11">
        <v>18.0</v>
      </c>
      <c r="B201" s="21" t="s">
        <v>3642</v>
      </c>
      <c r="C201" s="22">
        <v>251595.0</v>
      </c>
      <c r="D201" s="107" t="s">
        <v>1868</v>
      </c>
      <c r="E201" s="22" t="s">
        <v>28</v>
      </c>
      <c r="F201" s="108">
        <v>0.4166666666666667</v>
      </c>
      <c r="G201" s="22"/>
    </row>
    <row r="202" spans="8:8" ht="34.5" customHeight="1">
      <c r="A202" s="11">
        <v>19.0</v>
      </c>
      <c r="B202" s="21" t="s">
        <v>3643</v>
      </c>
      <c r="C202" s="22">
        <v>251597.0</v>
      </c>
      <c r="D202" s="107" t="s">
        <v>1868</v>
      </c>
      <c r="E202" s="22" t="s">
        <v>28</v>
      </c>
      <c r="F202" s="108">
        <v>0.4166666666666667</v>
      </c>
      <c r="G202" s="22"/>
    </row>
    <row r="203" spans="8:8" ht="34.5" customHeight="1">
      <c r="A203" s="11">
        <v>20.0</v>
      </c>
      <c r="B203" s="21" t="s">
        <v>3644</v>
      </c>
      <c r="C203" s="22">
        <v>251599.0</v>
      </c>
      <c r="D203" s="107" t="s">
        <v>1868</v>
      </c>
      <c r="E203" s="22" t="s">
        <v>28</v>
      </c>
      <c r="F203" s="108">
        <v>0.4166666666666667</v>
      </c>
      <c r="G203" s="22"/>
    </row>
    <row r="204" spans="8:8" ht="34.5" customHeight="1">
      <c r="A204" s="11">
        <v>21.0</v>
      </c>
      <c r="B204" s="21" t="s">
        <v>3645</v>
      </c>
      <c r="C204" s="22">
        <v>251601.0</v>
      </c>
      <c r="D204" s="107" t="s">
        <v>1868</v>
      </c>
      <c r="E204" s="22" t="s">
        <v>28</v>
      </c>
      <c r="F204" s="108">
        <v>0.4166666666666667</v>
      </c>
      <c r="G204" s="22"/>
    </row>
    <row r="205" spans="8:8" ht="34.5" customHeight="1">
      <c r="A205" s="11">
        <v>22.0</v>
      </c>
      <c r="B205" s="21" t="s">
        <v>3646</v>
      </c>
      <c r="C205" s="22">
        <v>251605.0</v>
      </c>
      <c r="D205" s="107" t="s">
        <v>1868</v>
      </c>
      <c r="E205" s="22" t="s">
        <v>28</v>
      </c>
      <c r="F205" s="108">
        <v>0.4166666666666667</v>
      </c>
      <c r="G205" s="22"/>
    </row>
    <row r="206" spans="8:8" ht="34.5" customHeight="1">
      <c r="A206" s="11">
        <v>23.0</v>
      </c>
      <c r="B206" s="21" t="s">
        <v>3647</v>
      </c>
      <c r="C206" s="22">
        <v>251606.0</v>
      </c>
      <c r="D206" s="107" t="s">
        <v>1868</v>
      </c>
      <c r="E206" s="22" t="s">
        <v>28</v>
      </c>
      <c r="F206" s="108">
        <v>0.4166666666666667</v>
      </c>
      <c r="G206" s="22"/>
    </row>
    <row r="207" spans="8:8" ht="34.5" customHeight="1">
      <c r="A207" s="11">
        <v>24.0</v>
      </c>
      <c r="B207" s="21" t="s">
        <v>3648</v>
      </c>
      <c r="C207" s="22">
        <v>251607.0</v>
      </c>
      <c r="D207" s="107" t="s">
        <v>1868</v>
      </c>
      <c r="E207" s="22" t="s">
        <v>28</v>
      </c>
      <c r="F207" s="108">
        <v>0.4166666666666667</v>
      </c>
      <c r="G207" s="22"/>
    </row>
    <row r="208" spans="8:8" ht="34.5" customHeight="1">
      <c r="A208" s="11">
        <v>25.0</v>
      </c>
      <c r="B208" s="21" t="s">
        <v>3649</v>
      </c>
      <c r="C208" s="22">
        <v>251608.0</v>
      </c>
      <c r="D208" s="107" t="s">
        <v>1868</v>
      </c>
      <c r="E208" s="22" t="s">
        <v>28</v>
      </c>
      <c r="F208" s="108">
        <v>0.4166666666666667</v>
      </c>
      <c r="G208" s="22"/>
    </row>
    <row r="209" spans="8:8" ht="34.5" customHeight="1">
      <c r="A209" s="8" t="s">
        <v>18</v>
      </c>
      <c r="B209" s="9" t="s">
        <v>19</v>
      </c>
      <c r="C209" s="9" t="s">
        <v>20</v>
      </c>
      <c r="D209" s="9" t="s">
        <v>21</v>
      </c>
      <c r="E209" s="9" t="s">
        <v>22</v>
      </c>
      <c r="F209" s="9" t="s">
        <v>23</v>
      </c>
      <c r="G209" s="9" t="s">
        <v>3149</v>
      </c>
    </row>
    <row r="210" spans="8:8" ht="34.5" customHeight="1">
      <c r="A210" s="11">
        <v>1.0</v>
      </c>
      <c r="B210" s="21" t="s">
        <v>3650</v>
      </c>
      <c r="C210" s="22">
        <v>251263.0</v>
      </c>
      <c r="D210" s="107" t="s">
        <v>1868</v>
      </c>
      <c r="E210" s="22" t="s">
        <v>111</v>
      </c>
      <c r="F210" s="108">
        <v>0.4166666666666667</v>
      </c>
      <c r="G210" s="13"/>
    </row>
    <row r="211" spans="8:8" ht="34.5" customHeight="1">
      <c r="A211" s="11">
        <v>2.0</v>
      </c>
      <c r="B211" s="21" t="s">
        <v>3651</v>
      </c>
      <c r="C211" s="22">
        <v>251266.0</v>
      </c>
      <c r="D211" s="107" t="s">
        <v>1868</v>
      </c>
      <c r="E211" s="22" t="s">
        <v>111</v>
      </c>
      <c r="F211" s="108">
        <v>0.4166666666666667</v>
      </c>
      <c r="G211" s="22"/>
    </row>
    <row r="212" spans="8:8" ht="34.5" customHeight="1">
      <c r="A212" s="11">
        <v>3.0</v>
      </c>
      <c r="B212" s="21" t="s">
        <v>3652</v>
      </c>
      <c r="C212" s="22">
        <v>251267.0</v>
      </c>
      <c r="D212" s="107" t="s">
        <v>1868</v>
      </c>
      <c r="E212" s="22" t="s">
        <v>111</v>
      </c>
      <c r="F212" s="108">
        <v>0.4166666666666667</v>
      </c>
      <c r="G212" s="22"/>
    </row>
    <row r="213" spans="8:8" ht="34.5" customHeight="1">
      <c r="A213" s="11">
        <v>4.0</v>
      </c>
      <c r="B213" s="21" t="s">
        <v>3653</v>
      </c>
      <c r="C213" s="22">
        <v>251270.0</v>
      </c>
      <c r="D213" s="107" t="s">
        <v>1868</v>
      </c>
      <c r="E213" s="22" t="s">
        <v>111</v>
      </c>
      <c r="F213" s="108">
        <v>0.4166666666666667</v>
      </c>
      <c r="G213" s="22"/>
    </row>
    <row r="214" spans="8:8" ht="34.5" customHeight="1">
      <c r="A214" s="11">
        <v>5.0</v>
      </c>
      <c r="B214" s="21" t="s">
        <v>3654</v>
      </c>
      <c r="C214" s="22">
        <v>251273.0</v>
      </c>
      <c r="D214" s="107" t="s">
        <v>1868</v>
      </c>
      <c r="E214" s="22" t="s">
        <v>111</v>
      </c>
      <c r="F214" s="108">
        <v>0.4166666666666667</v>
      </c>
      <c r="G214" s="22"/>
    </row>
    <row r="215" spans="8:8" ht="34.5" customHeight="1">
      <c r="A215" s="11">
        <v>6.0</v>
      </c>
      <c r="B215" s="21" t="s">
        <v>3655</v>
      </c>
      <c r="C215" s="22">
        <v>251274.0</v>
      </c>
      <c r="D215" s="107" t="s">
        <v>1868</v>
      </c>
      <c r="E215" s="22" t="s">
        <v>111</v>
      </c>
      <c r="F215" s="108">
        <v>0.4166666666666667</v>
      </c>
      <c r="G215" s="22"/>
    </row>
    <row r="216" spans="8:8" ht="34.5" customHeight="1">
      <c r="A216" s="11">
        <v>7.0</v>
      </c>
      <c r="B216" s="21" t="s">
        <v>3656</v>
      </c>
      <c r="C216" s="22">
        <v>251277.0</v>
      </c>
      <c r="D216" s="107" t="s">
        <v>1868</v>
      </c>
      <c r="E216" s="22" t="s">
        <v>111</v>
      </c>
      <c r="F216" s="108">
        <v>0.4166666666666667</v>
      </c>
      <c r="G216" s="22"/>
    </row>
    <row r="217" spans="8:8" ht="34.5" customHeight="1">
      <c r="A217" s="11">
        <v>8.0</v>
      </c>
      <c r="B217" s="21" t="s">
        <v>3657</v>
      </c>
      <c r="C217" s="22">
        <v>251281.0</v>
      </c>
      <c r="D217" s="107" t="s">
        <v>1868</v>
      </c>
      <c r="E217" s="22" t="s">
        <v>111</v>
      </c>
      <c r="F217" s="108">
        <v>0.4166666666666667</v>
      </c>
      <c r="G217" s="22"/>
    </row>
    <row r="218" spans="8:8" ht="34.5" customHeight="1">
      <c r="A218" s="11">
        <v>9.0</v>
      </c>
      <c r="B218" s="21" t="s">
        <v>3658</v>
      </c>
      <c r="C218" s="22">
        <v>251282.0</v>
      </c>
      <c r="D218" s="107" t="s">
        <v>1868</v>
      </c>
      <c r="E218" s="22" t="s">
        <v>111</v>
      </c>
      <c r="F218" s="108">
        <v>0.4166666666666667</v>
      </c>
      <c r="G218" s="22"/>
    </row>
    <row r="219" spans="8:8" ht="34.5" customHeight="1">
      <c r="A219" s="11">
        <v>10.0</v>
      </c>
      <c r="B219" s="21" t="s">
        <v>3659</v>
      </c>
      <c r="C219" s="22">
        <v>251283.0</v>
      </c>
      <c r="D219" s="107" t="s">
        <v>1868</v>
      </c>
      <c r="E219" s="22" t="s">
        <v>111</v>
      </c>
      <c r="F219" s="108">
        <v>0.4166666666666667</v>
      </c>
      <c r="G219" s="22"/>
    </row>
    <row r="220" spans="8:8" ht="34.5" customHeight="1">
      <c r="A220" s="11">
        <v>11.0</v>
      </c>
      <c r="B220" s="21" t="s">
        <v>3660</v>
      </c>
      <c r="C220" s="22">
        <v>251288.0</v>
      </c>
      <c r="D220" s="107" t="s">
        <v>1868</v>
      </c>
      <c r="E220" s="22" t="s">
        <v>111</v>
      </c>
      <c r="F220" s="108">
        <v>0.4166666666666667</v>
      </c>
      <c r="G220" s="22"/>
    </row>
    <row r="221" spans="8:8" ht="34.5" customHeight="1">
      <c r="A221" s="11">
        <v>12.0</v>
      </c>
      <c r="B221" s="21" t="s">
        <v>3661</v>
      </c>
      <c r="C221" s="22">
        <v>251291.0</v>
      </c>
      <c r="D221" s="107" t="s">
        <v>1868</v>
      </c>
      <c r="E221" s="22" t="s">
        <v>111</v>
      </c>
      <c r="F221" s="108">
        <v>0.4166666666666667</v>
      </c>
      <c r="G221" s="22"/>
    </row>
    <row r="222" spans="8:8" ht="34.5" customHeight="1">
      <c r="A222" s="11">
        <v>13.0</v>
      </c>
      <c r="B222" s="21" t="s">
        <v>3662</v>
      </c>
      <c r="C222" s="22">
        <v>251294.0</v>
      </c>
      <c r="D222" s="107" t="s">
        <v>1868</v>
      </c>
      <c r="E222" s="22" t="s">
        <v>111</v>
      </c>
      <c r="F222" s="108">
        <v>0.4166666666666667</v>
      </c>
      <c r="G222" s="22"/>
    </row>
    <row r="223" spans="8:8" ht="34.5" customHeight="1">
      <c r="A223" s="11">
        <v>14.0</v>
      </c>
      <c r="B223" s="21" t="s">
        <v>3663</v>
      </c>
      <c r="C223" s="22">
        <v>251295.0</v>
      </c>
      <c r="D223" s="107" t="s">
        <v>1868</v>
      </c>
      <c r="E223" s="22" t="s">
        <v>111</v>
      </c>
      <c r="F223" s="108">
        <v>0.4166666666666667</v>
      </c>
      <c r="G223" s="22"/>
    </row>
    <row r="224" spans="8:8" ht="34.5" customHeight="1">
      <c r="A224" s="11">
        <v>15.0</v>
      </c>
      <c r="B224" s="21" t="s">
        <v>3664</v>
      </c>
      <c r="C224" s="22">
        <v>251301.0</v>
      </c>
      <c r="D224" s="107" t="s">
        <v>1868</v>
      </c>
      <c r="E224" s="22" t="s">
        <v>111</v>
      </c>
      <c r="F224" s="108">
        <v>0.4166666666666667</v>
      </c>
      <c r="G224" s="22"/>
    </row>
    <row r="225" spans="8:8" ht="34.5" customHeight="1">
      <c r="A225" s="11">
        <v>16.0</v>
      </c>
      <c r="B225" s="21" t="s">
        <v>3665</v>
      </c>
      <c r="C225" s="22">
        <v>251303.0</v>
      </c>
      <c r="D225" s="107" t="s">
        <v>1868</v>
      </c>
      <c r="E225" s="22" t="s">
        <v>111</v>
      </c>
      <c r="F225" s="108">
        <v>0.4166666666666667</v>
      </c>
      <c r="G225" s="22"/>
    </row>
    <row r="226" spans="8:8" ht="34.5" customHeight="1">
      <c r="A226" s="11">
        <v>17.0</v>
      </c>
      <c r="B226" s="21" t="s">
        <v>3666</v>
      </c>
      <c r="C226" s="22">
        <v>251307.0</v>
      </c>
      <c r="D226" s="107" t="s">
        <v>1868</v>
      </c>
      <c r="E226" s="22" t="s">
        <v>111</v>
      </c>
      <c r="F226" s="108">
        <v>0.4166666666666667</v>
      </c>
      <c r="G226" s="22"/>
    </row>
    <row r="227" spans="8:8" ht="34.5" customHeight="1">
      <c r="A227" s="11">
        <v>18.0</v>
      </c>
      <c r="B227" s="21" t="s">
        <v>3667</v>
      </c>
      <c r="C227" s="22">
        <v>251309.0</v>
      </c>
      <c r="D227" s="107" t="s">
        <v>1868</v>
      </c>
      <c r="E227" s="22" t="s">
        <v>111</v>
      </c>
      <c r="F227" s="108">
        <v>0.4166666666666667</v>
      </c>
      <c r="G227" s="22"/>
    </row>
    <row r="228" spans="8:8" ht="34.5" customHeight="1">
      <c r="A228" s="11">
        <v>19.0</v>
      </c>
      <c r="B228" s="21" t="s">
        <v>3668</v>
      </c>
      <c r="C228" s="22">
        <v>251312.0</v>
      </c>
      <c r="D228" s="107" t="s">
        <v>1868</v>
      </c>
      <c r="E228" s="22" t="s">
        <v>111</v>
      </c>
      <c r="F228" s="108">
        <v>0.4166666666666667</v>
      </c>
      <c r="G228" s="22"/>
    </row>
    <row r="229" spans="8:8" ht="34.5" customHeight="1">
      <c r="A229" s="11">
        <v>20.0</v>
      </c>
      <c r="B229" s="21" t="s">
        <v>3669</v>
      </c>
      <c r="C229" s="22">
        <v>251314.0</v>
      </c>
      <c r="D229" s="107" t="s">
        <v>1868</v>
      </c>
      <c r="E229" s="22" t="s">
        <v>111</v>
      </c>
      <c r="F229" s="108">
        <v>0.4166666666666667</v>
      </c>
      <c r="G229" s="22"/>
    </row>
    <row r="230" spans="8:8" ht="34.5" customHeight="1">
      <c r="A230" s="11">
        <v>21.0</v>
      </c>
      <c r="B230" s="21" t="s">
        <v>3670</v>
      </c>
      <c r="C230" s="22">
        <v>251315.0</v>
      </c>
      <c r="D230" s="107" t="s">
        <v>1868</v>
      </c>
      <c r="E230" s="22" t="s">
        <v>111</v>
      </c>
      <c r="F230" s="108">
        <v>0.4166666666666667</v>
      </c>
      <c r="G230" s="22"/>
    </row>
    <row r="231" spans="8:8" ht="34.5" customHeight="1">
      <c r="A231" s="11">
        <v>22.0</v>
      </c>
      <c r="B231" s="21" t="s">
        <v>3671</v>
      </c>
      <c r="C231" s="22">
        <v>251316.0</v>
      </c>
      <c r="D231" s="107" t="s">
        <v>1868</v>
      </c>
      <c r="E231" s="22" t="s">
        <v>111</v>
      </c>
      <c r="F231" s="108">
        <v>0.4166666666666667</v>
      </c>
      <c r="G231" s="22"/>
    </row>
    <row r="232" spans="8:8" ht="34.5" customHeight="1">
      <c r="A232" s="11">
        <v>23.0</v>
      </c>
      <c r="B232" s="21" t="s">
        <v>3672</v>
      </c>
      <c r="C232" s="22">
        <v>251623.0</v>
      </c>
      <c r="D232" s="107" t="s">
        <v>1868</v>
      </c>
      <c r="E232" s="22" t="s">
        <v>111</v>
      </c>
      <c r="F232" s="108">
        <v>0.4166666666666667</v>
      </c>
      <c r="G232" s="22"/>
    </row>
    <row r="233" spans="8:8" ht="34.5" customHeight="1">
      <c r="A233" s="11">
        <v>24.0</v>
      </c>
      <c r="B233" s="21" t="s">
        <v>3673</v>
      </c>
      <c r="C233" s="22">
        <v>251347.0</v>
      </c>
      <c r="D233" s="107" t="s">
        <v>1868</v>
      </c>
      <c r="E233" s="22" t="s">
        <v>111</v>
      </c>
      <c r="F233" s="108">
        <v>0.4166666666666667</v>
      </c>
      <c r="G233" s="22"/>
    </row>
    <row r="234" spans="8:8" ht="34.5" customHeight="1">
      <c r="A234" s="11">
        <v>25.0</v>
      </c>
      <c r="B234" s="21" t="s">
        <v>3674</v>
      </c>
      <c r="C234" s="22">
        <v>251351.0</v>
      </c>
      <c r="D234" s="107" t="s">
        <v>1868</v>
      </c>
      <c r="E234" s="13" t="s">
        <v>111</v>
      </c>
      <c r="F234" s="108">
        <v>0.4166666666666667</v>
      </c>
      <c r="G234" s="13"/>
    </row>
    <row r="235" spans="8:8" ht="34.5" customHeight="1">
      <c r="A235" s="8" t="s">
        <v>18</v>
      </c>
      <c r="B235" s="9" t="s">
        <v>19</v>
      </c>
      <c r="C235" s="9" t="s">
        <v>20</v>
      </c>
      <c r="D235" s="9" t="s">
        <v>21</v>
      </c>
      <c r="E235" s="9" t="s">
        <v>22</v>
      </c>
      <c r="F235" s="9" t="s">
        <v>23</v>
      </c>
      <c r="G235" s="9" t="s">
        <v>3675</v>
      </c>
    </row>
    <row r="236" spans="8:8" ht="34.5" customHeight="1">
      <c r="A236" s="11">
        <v>1.0</v>
      </c>
      <c r="B236" s="21" t="s">
        <v>3676</v>
      </c>
      <c r="C236" s="22">
        <v>251508.0</v>
      </c>
      <c r="D236" s="107" t="s">
        <v>1868</v>
      </c>
      <c r="E236" s="22" t="s">
        <v>111</v>
      </c>
      <c r="F236" s="108">
        <v>0.4166666666666667</v>
      </c>
      <c r="G236" s="13"/>
    </row>
    <row r="237" spans="8:8" ht="34.5" customHeight="1">
      <c r="A237" s="11">
        <v>2.0</v>
      </c>
      <c r="B237" s="21" t="s">
        <v>3677</v>
      </c>
      <c r="C237" s="22">
        <v>251749.0</v>
      </c>
      <c r="D237" s="107" t="s">
        <v>1868</v>
      </c>
      <c r="E237" s="22" t="s">
        <v>111</v>
      </c>
      <c r="F237" s="108">
        <v>0.4166666666666667</v>
      </c>
      <c r="G237" s="22"/>
    </row>
    <row r="238" spans="8:8" ht="34.5" customHeight="1">
      <c r="A238" s="11">
        <v>3.0</v>
      </c>
      <c r="B238" s="21" t="s">
        <v>3678</v>
      </c>
      <c r="C238" s="22">
        <v>251777.0</v>
      </c>
      <c r="D238" s="107" t="s">
        <v>1868</v>
      </c>
      <c r="E238" s="22" t="s">
        <v>111</v>
      </c>
      <c r="F238" s="108">
        <v>0.4166666666666667</v>
      </c>
      <c r="G238" s="22"/>
    </row>
    <row r="239" spans="8:8" ht="34.5" customHeight="1">
      <c r="A239" s="11">
        <v>4.0</v>
      </c>
      <c r="B239" s="21" t="s">
        <v>3679</v>
      </c>
      <c r="C239" s="22">
        <v>251738.0</v>
      </c>
      <c r="D239" s="107" t="s">
        <v>1868</v>
      </c>
      <c r="E239" s="22" t="s">
        <v>111</v>
      </c>
      <c r="F239" s="108">
        <v>0.4166666666666667</v>
      </c>
      <c r="G239" s="22"/>
    </row>
    <row r="240" spans="8:8" ht="34.5" customHeight="1">
      <c r="A240" s="11">
        <v>5.0</v>
      </c>
      <c r="B240" s="21" t="s">
        <v>3680</v>
      </c>
      <c r="C240" s="22">
        <v>251731.0</v>
      </c>
      <c r="D240" s="107" t="s">
        <v>1868</v>
      </c>
      <c r="E240" s="22" t="s">
        <v>111</v>
      </c>
      <c r="F240" s="108">
        <v>0.4166666666666667</v>
      </c>
      <c r="G240" s="22"/>
    </row>
    <row r="241" spans="8:8" ht="34.5" customHeight="1">
      <c r="A241" s="11">
        <v>6.0</v>
      </c>
      <c r="B241" s="21" t="s">
        <v>3681</v>
      </c>
      <c r="C241" s="22">
        <v>251690.0</v>
      </c>
      <c r="D241" s="107" t="s">
        <v>1868</v>
      </c>
      <c r="E241" s="22" t="s">
        <v>111</v>
      </c>
      <c r="F241" s="108">
        <v>0.4166666666666667</v>
      </c>
      <c r="G241" s="22"/>
    </row>
    <row r="242" spans="8:8" ht="34.5" customHeight="1">
      <c r="A242" s="11">
        <v>7.0</v>
      </c>
      <c r="B242" s="21" t="s">
        <v>3682</v>
      </c>
      <c r="C242" s="22">
        <v>251751.0</v>
      </c>
      <c r="D242" s="107" t="s">
        <v>1868</v>
      </c>
      <c r="E242" s="22" t="s">
        <v>111</v>
      </c>
      <c r="F242" s="108">
        <v>0.4166666666666667</v>
      </c>
      <c r="G242" s="22"/>
    </row>
    <row r="243" spans="8:8" ht="34.5" customHeight="1">
      <c r="A243" s="11">
        <v>8.0</v>
      </c>
      <c r="B243" s="21" t="s">
        <v>3683</v>
      </c>
      <c r="C243" s="22">
        <v>251602.0</v>
      </c>
      <c r="D243" s="107" t="s">
        <v>1868</v>
      </c>
      <c r="E243" s="22" t="s">
        <v>111</v>
      </c>
      <c r="F243" s="108">
        <v>0.4166666666666667</v>
      </c>
      <c r="G243" s="22"/>
    </row>
    <row r="244" spans="8:8" ht="34.5" customHeight="1">
      <c r="A244" s="11">
        <v>9.0</v>
      </c>
      <c r="B244" s="21" t="s">
        <v>3684</v>
      </c>
      <c r="C244" s="22">
        <v>251698.0</v>
      </c>
      <c r="D244" s="107" t="s">
        <v>1868</v>
      </c>
      <c r="E244" s="22" t="s">
        <v>111</v>
      </c>
      <c r="F244" s="108">
        <v>0.4166666666666667</v>
      </c>
      <c r="G244" s="22"/>
    </row>
    <row r="245" spans="8:8" ht="34.5" customHeight="1">
      <c r="A245" s="11">
        <v>10.0</v>
      </c>
      <c r="B245" s="21" t="s">
        <v>3685</v>
      </c>
      <c r="C245" s="22">
        <v>251518.0</v>
      </c>
      <c r="D245" s="107" t="s">
        <v>1868</v>
      </c>
      <c r="E245" s="22" t="s">
        <v>111</v>
      </c>
      <c r="F245" s="108">
        <v>0.4166666666666667</v>
      </c>
      <c r="G245" s="22"/>
    </row>
    <row r="246" spans="8:8" ht="34.5" customHeight="1">
      <c r="A246" s="11">
        <v>11.0</v>
      </c>
      <c r="B246" s="21" t="s">
        <v>3686</v>
      </c>
      <c r="C246" s="22">
        <v>251362.0</v>
      </c>
      <c r="D246" s="107" t="s">
        <v>1868</v>
      </c>
      <c r="E246" s="22" t="s">
        <v>111</v>
      </c>
      <c r="F246" s="108">
        <v>0.4166666666666667</v>
      </c>
      <c r="G246" s="22"/>
    </row>
    <row r="247" spans="8:8" ht="34.5" customHeight="1">
      <c r="A247" s="11">
        <v>12.0</v>
      </c>
      <c r="B247" s="21" t="s">
        <v>3687</v>
      </c>
      <c r="C247" s="22">
        <v>251363.0</v>
      </c>
      <c r="D247" s="107" t="s">
        <v>1868</v>
      </c>
      <c r="E247" s="22" t="s">
        <v>111</v>
      </c>
      <c r="F247" s="108">
        <v>0.4166666666666667</v>
      </c>
      <c r="G247" s="22"/>
    </row>
    <row r="248" spans="8:8" ht="34.5" customHeight="1">
      <c r="A248" s="11">
        <v>13.0</v>
      </c>
      <c r="B248" s="21" t="s">
        <v>3688</v>
      </c>
      <c r="C248" s="22">
        <v>251367.0</v>
      </c>
      <c r="D248" s="107" t="s">
        <v>1868</v>
      </c>
      <c r="E248" s="22" t="s">
        <v>111</v>
      </c>
      <c r="F248" s="108">
        <v>0.4166666666666667</v>
      </c>
      <c r="G248" s="22"/>
    </row>
    <row r="249" spans="8:8" ht="34.5" customHeight="1">
      <c r="A249" s="11">
        <v>14.0</v>
      </c>
      <c r="B249" s="21" t="s">
        <v>3689</v>
      </c>
      <c r="C249" s="22">
        <v>251369.0</v>
      </c>
      <c r="D249" s="107" t="s">
        <v>1868</v>
      </c>
      <c r="E249" s="22" t="s">
        <v>111</v>
      </c>
      <c r="F249" s="108">
        <v>0.4166666666666667</v>
      </c>
      <c r="G249" s="22"/>
    </row>
    <row r="250" spans="8:8" ht="34.5" customHeight="1">
      <c r="A250" s="11">
        <v>15.0</v>
      </c>
      <c r="B250" s="21" t="s">
        <v>3690</v>
      </c>
      <c r="C250" s="22">
        <v>251374.0</v>
      </c>
      <c r="D250" s="107" t="s">
        <v>1868</v>
      </c>
      <c r="E250" s="22" t="s">
        <v>111</v>
      </c>
      <c r="F250" s="108">
        <v>0.4166666666666667</v>
      </c>
      <c r="G250" s="22"/>
    </row>
    <row r="251" spans="8:8" ht="34.5" customHeight="1">
      <c r="A251" s="11">
        <v>16.0</v>
      </c>
      <c r="B251" s="21" t="s">
        <v>3691</v>
      </c>
      <c r="C251" s="22">
        <v>251376.0</v>
      </c>
      <c r="D251" s="107" t="s">
        <v>1868</v>
      </c>
      <c r="E251" s="22" t="s">
        <v>111</v>
      </c>
      <c r="F251" s="108">
        <v>0.4166666666666667</v>
      </c>
      <c r="G251" s="22"/>
    </row>
    <row r="252" spans="8:8" ht="34.5" customHeight="1">
      <c r="A252" s="11">
        <v>17.0</v>
      </c>
      <c r="B252" s="21" t="s">
        <v>3692</v>
      </c>
      <c r="C252" s="22">
        <v>251378.0</v>
      </c>
      <c r="D252" s="107" t="s">
        <v>1868</v>
      </c>
      <c r="E252" s="22" t="s">
        <v>111</v>
      </c>
      <c r="F252" s="108">
        <v>0.4166666666666667</v>
      </c>
      <c r="G252" s="22"/>
    </row>
    <row r="253" spans="8:8" ht="34.5" customHeight="1">
      <c r="A253" s="11">
        <v>18.0</v>
      </c>
      <c r="B253" s="21" t="s">
        <v>3693</v>
      </c>
      <c r="C253" s="22">
        <v>251381.0</v>
      </c>
      <c r="D253" s="107" t="s">
        <v>1868</v>
      </c>
      <c r="E253" s="22" t="s">
        <v>111</v>
      </c>
      <c r="F253" s="108">
        <v>0.4166666666666667</v>
      </c>
      <c r="G253" s="22"/>
    </row>
    <row r="254" spans="8:8" ht="34.5" customHeight="1">
      <c r="A254" s="11">
        <v>19.0</v>
      </c>
      <c r="B254" s="21" t="s">
        <v>3694</v>
      </c>
      <c r="C254" s="22">
        <v>251383.0</v>
      </c>
      <c r="D254" s="107" t="s">
        <v>1868</v>
      </c>
      <c r="E254" s="22" t="s">
        <v>111</v>
      </c>
      <c r="F254" s="108">
        <v>0.4166666666666667</v>
      </c>
      <c r="G254" s="22"/>
    </row>
    <row r="255" spans="8:8" ht="34.5" customHeight="1">
      <c r="A255" s="11">
        <v>20.0</v>
      </c>
      <c r="B255" s="21" t="s">
        <v>3695</v>
      </c>
      <c r="C255" s="22">
        <v>251390.0</v>
      </c>
      <c r="D255" s="107" t="s">
        <v>1868</v>
      </c>
      <c r="E255" s="22" t="s">
        <v>111</v>
      </c>
      <c r="F255" s="108">
        <v>0.4166666666666667</v>
      </c>
      <c r="G255" s="22"/>
    </row>
    <row r="256" spans="8:8" ht="34.5" customHeight="1">
      <c r="A256" s="11">
        <v>21.0</v>
      </c>
      <c r="B256" s="21" t="s">
        <v>3696</v>
      </c>
      <c r="C256" s="22">
        <v>251401.0</v>
      </c>
      <c r="D256" s="107" t="s">
        <v>1868</v>
      </c>
      <c r="E256" s="22" t="s">
        <v>111</v>
      </c>
      <c r="F256" s="108">
        <v>0.4166666666666667</v>
      </c>
      <c r="G256" s="22"/>
    </row>
    <row r="257" spans="8:8" ht="34.5" customHeight="1">
      <c r="A257" s="11">
        <v>22.0</v>
      </c>
      <c r="B257" s="21" t="s">
        <v>3697</v>
      </c>
      <c r="C257" s="22">
        <v>251410.0</v>
      </c>
      <c r="D257" s="107" t="s">
        <v>1868</v>
      </c>
      <c r="E257" s="22" t="s">
        <v>111</v>
      </c>
      <c r="F257" s="108">
        <v>0.4166666666666667</v>
      </c>
      <c r="G257" s="22"/>
    </row>
    <row r="258" spans="8:8" ht="34.5" customHeight="1">
      <c r="A258" s="11">
        <v>23.0</v>
      </c>
      <c r="B258" s="21" t="s">
        <v>3698</v>
      </c>
      <c r="C258" s="22">
        <v>251411.0</v>
      </c>
      <c r="D258" s="107" t="s">
        <v>1868</v>
      </c>
      <c r="E258" s="22" t="s">
        <v>111</v>
      </c>
      <c r="F258" s="108">
        <v>0.4166666666666667</v>
      </c>
      <c r="G258" s="22"/>
    </row>
    <row r="259" spans="8:8" ht="34.5" customHeight="1">
      <c r="A259" s="11">
        <v>24.0</v>
      </c>
      <c r="B259" s="21" t="s">
        <v>3699</v>
      </c>
      <c r="C259" s="22">
        <v>251412.0</v>
      </c>
      <c r="D259" s="107" t="s">
        <v>1868</v>
      </c>
      <c r="E259" s="22" t="s">
        <v>111</v>
      </c>
      <c r="F259" s="108">
        <v>0.4166666666666667</v>
      </c>
      <c r="G259" s="22"/>
    </row>
    <row r="260" spans="8:8" ht="34.5" customHeight="1">
      <c r="A260" s="11">
        <v>25.0</v>
      </c>
      <c r="B260" s="21" t="s">
        <v>3700</v>
      </c>
      <c r="C260" s="22">
        <v>251418.0</v>
      </c>
      <c r="D260" s="107" t="s">
        <v>1868</v>
      </c>
      <c r="E260" s="22" t="s">
        <v>111</v>
      </c>
      <c r="F260" s="108">
        <v>0.4166666666666667</v>
      </c>
      <c r="G260" s="22"/>
    </row>
    <row r="261" spans="8:8" ht="34.5" customHeight="1">
      <c r="A261" s="8" t="s">
        <v>18</v>
      </c>
      <c r="B261" s="9" t="s">
        <v>19</v>
      </c>
      <c r="C261" s="9" t="s">
        <v>20</v>
      </c>
      <c r="D261" s="9" t="s">
        <v>21</v>
      </c>
      <c r="E261" s="9" t="s">
        <v>22</v>
      </c>
      <c r="F261" s="9" t="s">
        <v>23</v>
      </c>
      <c r="G261" s="9" t="s">
        <v>3201</v>
      </c>
    </row>
    <row r="262" spans="8:8" ht="34.5" customHeight="1">
      <c r="A262" s="11">
        <v>1.0</v>
      </c>
      <c r="B262" s="21" t="s">
        <v>3701</v>
      </c>
      <c r="C262" s="22">
        <v>251420.0</v>
      </c>
      <c r="D262" s="107" t="s">
        <v>1868</v>
      </c>
      <c r="E262" s="22" t="s">
        <v>111</v>
      </c>
      <c r="F262" s="108">
        <v>0.4166666666666667</v>
      </c>
      <c r="G262" s="13"/>
    </row>
    <row r="263" spans="8:8" ht="34.5" customHeight="1">
      <c r="A263" s="11">
        <v>2.0</v>
      </c>
      <c r="B263" s="21" t="s">
        <v>3702</v>
      </c>
      <c r="C263" s="22">
        <v>251621.0</v>
      </c>
      <c r="D263" s="107" t="s">
        <v>1868</v>
      </c>
      <c r="E263" s="22" t="s">
        <v>111</v>
      </c>
      <c r="F263" s="108">
        <v>0.4166666666666667</v>
      </c>
      <c r="G263" s="22"/>
    </row>
    <row r="264" spans="8:8" ht="34.5" customHeight="1">
      <c r="A264" s="11">
        <v>3.0</v>
      </c>
      <c r="B264" s="21" t="s">
        <v>3703</v>
      </c>
      <c r="C264" s="22">
        <v>251431.0</v>
      </c>
      <c r="D264" s="107" t="s">
        <v>1868</v>
      </c>
      <c r="E264" s="22" t="s">
        <v>111</v>
      </c>
      <c r="F264" s="108">
        <v>0.4166666666666667</v>
      </c>
      <c r="G264" s="22"/>
    </row>
    <row r="265" spans="8:8" ht="34.5" customHeight="1">
      <c r="A265" s="11">
        <v>4.0</v>
      </c>
      <c r="B265" s="21" t="s">
        <v>3704</v>
      </c>
      <c r="C265" s="22">
        <v>251539.0</v>
      </c>
      <c r="D265" s="107" t="s">
        <v>1868</v>
      </c>
      <c r="E265" s="22" t="s">
        <v>111</v>
      </c>
      <c r="F265" s="108">
        <v>0.4166666666666667</v>
      </c>
      <c r="G265" s="22"/>
    </row>
    <row r="266" spans="8:8" ht="34.5" customHeight="1">
      <c r="A266" s="11">
        <v>5.0</v>
      </c>
      <c r="B266" s="21" t="s">
        <v>3705</v>
      </c>
      <c r="C266" s="22">
        <v>251541.0</v>
      </c>
      <c r="D266" s="107" t="s">
        <v>1868</v>
      </c>
      <c r="E266" s="22" t="s">
        <v>111</v>
      </c>
      <c r="F266" s="108">
        <v>0.4166666666666667</v>
      </c>
      <c r="G266" s="22"/>
    </row>
    <row r="267" spans="8:8" ht="34.5" customHeight="1">
      <c r="A267" s="11">
        <v>6.0</v>
      </c>
      <c r="B267" s="21" t="s">
        <v>3706</v>
      </c>
      <c r="C267" s="22">
        <v>251551.0</v>
      </c>
      <c r="D267" s="107" t="s">
        <v>1868</v>
      </c>
      <c r="E267" s="22" t="s">
        <v>111</v>
      </c>
      <c r="F267" s="108">
        <v>0.4166666666666667</v>
      </c>
      <c r="G267" s="22"/>
    </row>
    <row r="268" spans="8:8" ht="34.5" customHeight="1">
      <c r="A268" s="11">
        <v>7.0</v>
      </c>
      <c r="B268" s="21" t="s">
        <v>3707</v>
      </c>
      <c r="C268" s="22">
        <v>251552.0</v>
      </c>
      <c r="D268" s="107" t="s">
        <v>1868</v>
      </c>
      <c r="E268" s="22" t="s">
        <v>111</v>
      </c>
      <c r="F268" s="108">
        <v>0.4166666666666667</v>
      </c>
      <c r="G268" s="22"/>
    </row>
    <row r="269" spans="8:8" ht="34.5" customHeight="1">
      <c r="A269" s="11">
        <v>8.0</v>
      </c>
      <c r="B269" s="21" t="s">
        <v>3708</v>
      </c>
      <c r="C269" s="22">
        <v>251556.0</v>
      </c>
      <c r="D269" s="107" t="s">
        <v>1868</v>
      </c>
      <c r="E269" s="22" t="s">
        <v>111</v>
      </c>
      <c r="F269" s="108">
        <v>0.4166666666666667</v>
      </c>
      <c r="G269" s="22"/>
    </row>
    <row r="270" spans="8:8" ht="34.5" customHeight="1">
      <c r="A270" s="11">
        <v>9.0</v>
      </c>
      <c r="B270" s="21" t="s">
        <v>3709</v>
      </c>
      <c r="C270" s="22">
        <v>251563.0</v>
      </c>
      <c r="D270" s="107" t="s">
        <v>1868</v>
      </c>
      <c r="E270" s="22" t="s">
        <v>111</v>
      </c>
      <c r="F270" s="108">
        <v>0.4166666666666667</v>
      </c>
      <c r="G270" s="22"/>
    </row>
    <row r="271" spans="8:8" ht="34.5" customHeight="1">
      <c r="A271" s="11">
        <v>10.0</v>
      </c>
      <c r="B271" s="21" t="s">
        <v>3710</v>
      </c>
      <c r="C271" s="22">
        <v>251564.0</v>
      </c>
      <c r="D271" s="107" t="s">
        <v>1868</v>
      </c>
      <c r="E271" s="13" t="s">
        <v>111</v>
      </c>
      <c r="F271" s="108">
        <v>0.4166666666666667</v>
      </c>
      <c r="G271" s="13"/>
    </row>
    <row r="272" spans="8:8" ht="34.5" customHeight="1">
      <c r="A272" s="11">
        <v>11.0</v>
      </c>
      <c r="B272" s="21" t="s">
        <v>3711</v>
      </c>
      <c r="C272" s="22">
        <v>251748.0</v>
      </c>
      <c r="D272" s="107" t="s">
        <v>1868</v>
      </c>
      <c r="E272" s="22" t="s">
        <v>111</v>
      </c>
      <c r="F272" s="108">
        <v>0.4166666666666667</v>
      </c>
      <c r="G272" s="22"/>
    </row>
    <row r="273" spans="8:8" ht="34.5" customHeight="1">
      <c r="A273" s="11">
        <v>12.0</v>
      </c>
      <c r="B273" s="21" t="s">
        <v>3712</v>
      </c>
      <c r="C273" s="22">
        <v>251517.0</v>
      </c>
      <c r="D273" s="107" t="s">
        <v>1868</v>
      </c>
      <c r="E273" s="22" t="s">
        <v>111</v>
      </c>
      <c r="F273" s="108">
        <v>0.4166666666666667</v>
      </c>
      <c r="G273" s="22"/>
    </row>
    <row r="274" spans="8:8" ht="34.5" customHeight="1">
      <c r="A274" s="11">
        <v>13.0</v>
      </c>
      <c r="B274" s="21" t="s">
        <v>3713</v>
      </c>
      <c r="C274" s="22">
        <v>251714.0</v>
      </c>
      <c r="D274" s="107" t="s">
        <v>1868</v>
      </c>
      <c r="E274" s="22" t="s">
        <v>111</v>
      </c>
      <c r="F274" s="108">
        <v>0.4166666666666667</v>
      </c>
      <c r="G274" s="22"/>
    </row>
    <row r="275" spans="8:8" ht="34.5" customHeight="1">
      <c r="A275" s="11">
        <v>14.0</v>
      </c>
      <c r="B275" s="21" t="s">
        <v>3714</v>
      </c>
      <c r="C275" s="22">
        <v>251464.0</v>
      </c>
      <c r="D275" s="107" t="s">
        <v>1868</v>
      </c>
      <c r="E275" s="22" t="s">
        <v>111</v>
      </c>
      <c r="F275" s="108">
        <v>0.4166666666666667</v>
      </c>
      <c r="G275" s="22"/>
    </row>
    <row r="276" spans="8:8" ht="34.5" customHeight="1">
      <c r="A276" s="11">
        <v>15.0</v>
      </c>
      <c r="B276" s="21" t="s">
        <v>3715</v>
      </c>
      <c r="C276" s="22">
        <v>251438.0</v>
      </c>
      <c r="D276" s="107" t="s">
        <v>1868</v>
      </c>
      <c r="E276" s="22" t="s">
        <v>111</v>
      </c>
      <c r="F276" s="108">
        <v>0.4166666666666667</v>
      </c>
      <c r="G276" s="22"/>
    </row>
    <row r="277" spans="8:8" ht="34.5" customHeight="1">
      <c r="A277" s="11">
        <v>16.0</v>
      </c>
      <c r="B277" s="21" t="s">
        <v>3716</v>
      </c>
      <c r="C277" s="22">
        <v>241511.0</v>
      </c>
      <c r="D277" s="23" t="s">
        <v>1369</v>
      </c>
      <c r="E277" s="22" t="s">
        <v>111</v>
      </c>
      <c r="F277" s="108">
        <v>0.4166666666666667</v>
      </c>
      <c r="G277" s="22"/>
    </row>
    <row r="278" spans="8:8" ht="34.5" customHeight="1">
      <c r="A278" s="11">
        <v>17.0</v>
      </c>
      <c r="B278" s="21" t="s">
        <v>3717</v>
      </c>
      <c r="C278" s="22">
        <v>251445.0</v>
      </c>
      <c r="D278" s="107" t="s">
        <v>1868</v>
      </c>
      <c r="E278" s="22" t="s">
        <v>111</v>
      </c>
      <c r="F278" s="108">
        <v>0.4166666666666667</v>
      </c>
      <c r="G278" s="22"/>
    </row>
    <row r="279" spans="8:8" ht="34.5" customHeight="1">
      <c r="A279" s="11">
        <v>18.0</v>
      </c>
      <c r="B279" s="21" t="s">
        <v>3718</v>
      </c>
      <c r="C279" s="22">
        <v>251571.0</v>
      </c>
      <c r="D279" s="107" t="s">
        <v>1868</v>
      </c>
      <c r="E279" s="22" t="s">
        <v>111</v>
      </c>
      <c r="F279" s="108">
        <v>0.4166666666666667</v>
      </c>
      <c r="G279" s="22"/>
    </row>
    <row r="280" spans="8:8" ht="34.5" customHeight="1">
      <c r="A280" s="11">
        <v>19.0</v>
      </c>
      <c r="B280" s="21" t="s">
        <v>3719</v>
      </c>
      <c r="C280" s="22">
        <v>251572.0</v>
      </c>
      <c r="D280" s="107" t="s">
        <v>1868</v>
      </c>
      <c r="E280" s="22" t="s">
        <v>111</v>
      </c>
      <c r="F280" s="108">
        <v>0.4166666666666667</v>
      </c>
      <c r="G280" s="22"/>
    </row>
    <row r="281" spans="8:8" ht="34.5" customHeight="1">
      <c r="A281" s="11">
        <v>20.0</v>
      </c>
      <c r="B281" s="21" t="s">
        <v>3720</v>
      </c>
      <c r="C281" s="22">
        <v>251603.0</v>
      </c>
      <c r="D281" s="107" t="s">
        <v>1868</v>
      </c>
      <c r="E281" s="22" t="s">
        <v>111</v>
      </c>
      <c r="F281" s="108">
        <v>0.4166666666666667</v>
      </c>
      <c r="G281" s="22"/>
    </row>
    <row r="282" spans="8:8" ht="34.5" customHeight="1">
      <c r="A282" s="11">
        <v>21.0</v>
      </c>
      <c r="B282" s="21" t="s">
        <v>3721</v>
      </c>
      <c r="C282" s="22">
        <v>251604.0</v>
      </c>
      <c r="D282" s="107" t="s">
        <v>1868</v>
      </c>
      <c r="E282" s="22" t="s">
        <v>111</v>
      </c>
      <c r="F282" s="108">
        <v>0.4166666666666667</v>
      </c>
      <c r="G282" s="22"/>
    </row>
    <row r="283" spans="8:8" ht="34.5" customHeight="1">
      <c r="A283" s="11">
        <v>22.0</v>
      </c>
      <c r="B283" s="21" t="s">
        <v>3722</v>
      </c>
      <c r="C283" s="22">
        <v>251609.0</v>
      </c>
      <c r="D283" s="107" t="s">
        <v>1868</v>
      </c>
      <c r="E283" s="22" t="s">
        <v>111</v>
      </c>
      <c r="F283" s="108">
        <v>0.4166666666666667</v>
      </c>
      <c r="G283" s="22"/>
    </row>
    <row r="284" spans="8:8" ht="34.5" customHeight="1">
      <c r="A284" s="11">
        <v>23.0</v>
      </c>
      <c r="B284" s="21" t="s">
        <v>3723</v>
      </c>
      <c r="C284" s="22">
        <v>251611.0</v>
      </c>
      <c r="D284" s="107" t="s">
        <v>1868</v>
      </c>
      <c r="E284" s="22" t="s">
        <v>111</v>
      </c>
      <c r="F284" s="108">
        <v>0.4166666666666667</v>
      </c>
      <c r="G284" s="22"/>
    </row>
    <row r="285" spans="8:8" ht="34.5" customHeight="1">
      <c r="A285" s="11">
        <v>24.0</v>
      </c>
      <c r="B285" s="21" t="s">
        <v>3724</v>
      </c>
      <c r="C285" s="22">
        <v>251616.0</v>
      </c>
      <c r="D285" s="107" t="s">
        <v>1868</v>
      </c>
      <c r="E285" s="22" t="s">
        <v>111</v>
      </c>
      <c r="F285" s="108">
        <v>0.4166666666666667</v>
      </c>
      <c r="G285" s="22"/>
    </row>
    <row r="286" spans="8:8" ht="34.5" customHeight="1">
      <c r="A286" s="11">
        <v>25.0</v>
      </c>
      <c r="B286" s="21" t="s">
        <v>3725</v>
      </c>
      <c r="C286" s="22">
        <v>241350.0</v>
      </c>
      <c r="D286" s="23" t="s">
        <v>1369</v>
      </c>
      <c r="E286" s="22" t="s">
        <v>111</v>
      </c>
      <c r="F286" s="108">
        <v>0.4166666666666667</v>
      </c>
      <c r="G286" s="22"/>
    </row>
    <row r="287" spans="8:8" ht="34.5" customHeight="1">
      <c r="A287" s="8" t="s">
        <v>18</v>
      </c>
      <c r="B287" s="9" t="s">
        <v>19</v>
      </c>
      <c r="C287" s="9" t="s">
        <v>20</v>
      </c>
      <c r="D287" s="9" t="s">
        <v>21</v>
      </c>
      <c r="E287" s="9" t="s">
        <v>22</v>
      </c>
      <c r="F287" s="9" t="s">
        <v>23</v>
      </c>
      <c r="G287" s="9" t="s">
        <v>3223</v>
      </c>
    </row>
    <row r="288" spans="8:8" ht="34.5" customHeight="1">
      <c r="A288" s="11">
        <v>1.0</v>
      </c>
      <c r="B288" s="21" t="s">
        <v>3726</v>
      </c>
      <c r="C288" s="22">
        <v>241890.0</v>
      </c>
      <c r="D288" s="23" t="s">
        <v>1369</v>
      </c>
      <c r="E288" s="22" t="s">
        <v>111</v>
      </c>
      <c r="F288" s="108">
        <v>0.4166666666666667</v>
      </c>
      <c r="G288" s="13"/>
    </row>
    <row r="289" spans="8:8" ht="34.5" customHeight="1">
      <c r="A289" s="11">
        <v>2.0</v>
      </c>
      <c r="B289" s="21" t="s">
        <v>3727</v>
      </c>
      <c r="C289" s="22">
        <v>241660.0</v>
      </c>
      <c r="D289" s="23" t="s">
        <v>1369</v>
      </c>
      <c r="E289" s="22" t="s">
        <v>111</v>
      </c>
      <c r="F289" s="108">
        <v>0.4166666666666667</v>
      </c>
      <c r="G289" s="22"/>
    </row>
    <row r="290" spans="8:8" ht="34.5" customHeight="1">
      <c r="A290" s="11">
        <v>3.0</v>
      </c>
      <c r="B290" s="21" t="s">
        <v>3728</v>
      </c>
      <c r="C290" s="22">
        <v>241655.0</v>
      </c>
      <c r="D290" s="23" t="s">
        <v>1369</v>
      </c>
      <c r="E290" s="22" t="s">
        <v>111</v>
      </c>
      <c r="F290" s="108">
        <v>0.4166666666666667</v>
      </c>
      <c r="G290" s="22"/>
    </row>
    <row r="291" spans="8:8" ht="34.5" customHeight="1">
      <c r="A291" s="11">
        <v>4.0</v>
      </c>
      <c r="B291" s="21" t="s">
        <v>3729</v>
      </c>
      <c r="C291" s="22">
        <v>241904.0</v>
      </c>
      <c r="D291" s="23" t="s">
        <v>1369</v>
      </c>
      <c r="E291" s="22" t="s">
        <v>111</v>
      </c>
      <c r="F291" s="108">
        <v>0.4166666666666667</v>
      </c>
      <c r="G291" s="22"/>
    </row>
    <row r="292" spans="8:8" ht="34.5" customHeight="1">
      <c r="A292" s="11">
        <v>5.0</v>
      </c>
      <c r="B292" s="21" t="s">
        <v>3730</v>
      </c>
      <c r="C292" s="22">
        <v>241816.0</v>
      </c>
      <c r="D292" s="23" t="s">
        <v>1369</v>
      </c>
      <c r="E292" s="22" t="s">
        <v>111</v>
      </c>
      <c r="F292" s="108">
        <v>0.4166666666666667</v>
      </c>
      <c r="G292" s="22"/>
    </row>
    <row r="293" spans="8:8" ht="34.5" customHeight="1">
      <c r="A293" s="11">
        <v>6.0</v>
      </c>
      <c r="B293" s="21" t="s">
        <v>3731</v>
      </c>
      <c r="C293" s="22">
        <v>251318.0</v>
      </c>
      <c r="D293" s="107" t="s">
        <v>1868</v>
      </c>
      <c r="E293" s="22" t="s">
        <v>111</v>
      </c>
      <c r="F293" s="108">
        <v>0.4166666666666667</v>
      </c>
      <c r="G293" s="22"/>
    </row>
    <row r="294" spans="8:8" ht="34.5" customHeight="1">
      <c r="A294" s="11">
        <v>7.0</v>
      </c>
      <c r="B294" s="21" t="s">
        <v>3732</v>
      </c>
      <c r="C294" s="22">
        <v>241938.0</v>
      </c>
      <c r="D294" s="23" t="s">
        <v>1369</v>
      </c>
      <c r="E294" s="22" t="s">
        <v>111</v>
      </c>
      <c r="F294" s="108">
        <v>0.4166666666666667</v>
      </c>
      <c r="G294" s="22"/>
    </row>
    <row r="295" spans="8:8" ht="34.5" customHeight="1">
      <c r="A295" s="11">
        <v>8.0</v>
      </c>
      <c r="B295" s="12" t="s">
        <v>3733</v>
      </c>
      <c r="C295" s="13">
        <v>252883.0</v>
      </c>
      <c r="D295" s="21" t="s">
        <v>104</v>
      </c>
      <c r="E295" s="22" t="s">
        <v>111</v>
      </c>
      <c r="F295" s="108">
        <v>0.4166666666666667</v>
      </c>
      <c r="G295" s="22"/>
    </row>
    <row r="296" spans="8:8" ht="34.5" customHeight="1">
      <c r="A296" s="11">
        <v>9.0</v>
      </c>
      <c r="B296" s="21" t="s">
        <v>3734</v>
      </c>
      <c r="C296" s="22">
        <v>251598.0</v>
      </c>
      <c r="D296" s="107" t="s">
        <v>1868</v>
      </c>
      <c r="E296" s="13" t="s">
        <v>111</v>
      </c>
      <c r="F296" s="108">
        <v>0.4166666666666667</v>
      </c>
      <c r="G296" s="13"/>
    </row>
    <row r="297" spans="8:8" ht="34.5" customHeight="1">
      <c r="A297" s="11">
        <v>10.0</v>
      </c>
      <c r="B297" s="21" t="s">
        <v>3735</v>
      </c>
      <c r="C297" s="22">
        <v>253173.0</v>
      </c>
      <c r="D297" s="107" t="s">
        <v>1868</v>
      </c>
      <c r="E297" s="13" t="s">
        <v>111</v>
      </c>
      <c r="F297" s="108">
        <v>0.4166666666666667</v>
      </c>
      <c r="G297" s="13"/>
    </row>
    <row r="298" spans="8:8" ht="34.5" customHeight="1">
      <c r="A298" s="11">
        <v>11.0</v>
      </c>
      <c r="B298" s="21" t="s">
        <v>3736</v>
      </c>
      <c r="C298" s="22">
        <v>251682.0</v>
      </c>
      <c r="D298" s="107" t="s">
        <v>1868</v>
      </c>
      <c r="E298" s="22" t="s">
        <v>111</v>
      </c>
      <c r="F298" s="108">
        <v>0.4166666666666667</v>
      </c>
      <c r="G298" s="22"/>
    </row>
    <row r="299" spans="8:8" ht="34.5" customHeight="1">
      <c r="A299" s="11">
        <v>12.0</v>
      </c>
      <c r="B299" s="21" t="s">
        <v>3737</v>
      </c>
      <c r="C299" s="22">
        <v>251759.0</v>
      </c>
      <c r="D299" s="107" t="s">
        <v>1868</v>
      </c>
      <c r="E299" s="22" t="s">
        <v>111</v>
      </c>
      <c r="F299" s="108">
        <v>0.4166666666666667</v>
      </c>
      <c r="G299" s="22"/>
    </row>
    <row r="300" spans="8:8" ht="34.5" customHeight="1">
      <c r="A300" s="11">
        <v>13.0</v>
      </c>
      <c r="B300" s="21" t="s">
        <v>3738</v>
      </c>
      <c r="C300" s="22">
        <v>251683.0</v>
      </c>
      <c r="D300" s="107" t="s">
        <v>1868</v>
      </c>
      <c r="E300" s="22" t="s">
        <v>111</v>
      </c>
      <c r="F300" s="108">
        <v>0.4166666666666667</v>
      </c>
      <c r="G300" s="22"/>
    </row>
    <row r="301" spans="8:8" ht="34.5" customHeight="1">
      <c r="A301" s="11">
        <v>14.0</v>
      </c>
      <c r="B301" s="21" t="s">
        <v>3739</v>
      </c>
      <c r="C301" s="22">
        <v>251492.0</v>
      </c>
      <c r="D301" s="107" t="s">
        <v>1868</v>
      </c>
      <c r="E301" s="22" t="s">
        <v>111</v>
      </c>
      <c r="F301" s="108">
        <v>0.4166666666666667</v>
      </c>
      <c r="G301" s="22"/>
    </row>
    <row r="302" spans="8:8" ht="34.5" customHeight="1">
      <c r="A302" s="11">
        <v>15.0</v>
      </c>
      <c r="B302" s="21" t="s">
        <v>3740</v>
      </c>
      <c r="C302" s="22">
        <v>251747.0</v>
      </c>
      <c r="D302" s="107" t="s">
        <v>1868</v>
      </c>
      <c r="E302" s="22" t="s">
        <v>111</v>
      </c>
      <c r="F302" s="108">
        <v>0.4166666666666667</v>
      </c>
      <c r="G302" s="22"/>
    </row>
    <row r="303" spans="8:8" ht="34.5" customHeight="1">
      <c r="A303" s="11">
        <v>16.0</v>
      </c>
      <c r="B303" s="21" t="s">
        <v>3741</v>
      </c>
      <c r="C303" s="22">
        <v>252968.0</v>
      </c>
      <c r="D303" s="107" t="s">
        <v>1868</v>
      </c>
      <c r="E303" s="22" t="s">
        <v>111</v>
      </c>
      <c r="F303" s="108">
        <v>0.4166666666666667</v>
      </c>
      <c r="G303" s="22"/>
    </row>
    <row r="304" spans="8:8" ht="34.5" customHeight="1">
      <c r="A304" s="11">
        <v>17.0</v>
      </c>
      <c r="B304" s="21" t="s">
        <v>3742</v>
      </c>
      <c r="C304" s="22">
        <v>251760.0</v>
      </c>
      <c r="D304" s="107" t="s">
        <v>1868</v>
      </c>
      <c r="E304" s="22" t="s">
        <v>111</v>
      </c>
      <c r="F304" s="108">
        <v>0.4166666666666667</v>
      </c>
      <c r="G304" s="22"/>
    </row>
    <row r="305" spans="8:8" ht="34.5" customHeight="1">
      <c r="A305" s="11">
        <v>18.0</v>
      </c>
      <c r="B305" s="21" t="s">
        <v>3743</v>
      </c>
      <c r="C305" s="22">
        <v>251507.0</v>
      </c>
      <c r="D305" s="107" t="s">
        <v>1868</v>
      </c>
      <c r="E305" s="22" t="s">
        <v>111</v>
      </c>
      <c r="F305" s="108">
        <v>0.4166666666666667</v>
      </c>
      <c r="G305" s="22"/>
    </row>
    <row r="306" spans="8:8" ht="34.5" customHeight="1">
      <c r="A306" s="11">
        <v>19.0</v>
      </c>
      <c r="B306" s="21" t="s">
        <v>3744</v>
      </c>
      <c r="C306" s="22">
        <v>251687.0</v>
      </c>
      <c r="D306" s="107" t="s">
        <v>1868</v>
      </c>
      <c r="E306" s="22" t="s">
        <v>111</v>
      </c>
      <c r="F306" s="108">
        <v>0.4166666666666667</v>
      </c>
      <c r="G306" s="22"/>
    </row>
    <row r="307" spans="8:8" ht="34.5" customHeight="1">
      <c r="A307" s="11">
        <v>20.0</v>
      </c>
      <c r="B307" s="21" t="s">
        <v>3745</v>
      </c>
      <c r="C307" s="22">
        <v>251471.0</v>
      </c>
      <c r="D307" s="107" t="s">
        <v>1868</v>
      </c>
      <c r="E307" s="22" t="s">
        <v>111</v>
      </c>
      <c r="F307" s="108">
        <v>0.4166666666666667</v>
      </c>
      <c r="G307" s="22"/>
    </row>
    <row r="308" spans="8:8" ht="34.5" customHeight="1">
      <c r="A308" s="11">
        <v>21.0</v>
      </c>
      <c r="B308" s="12" t="s">
        <v>3746</v>
      </c>
      <c r="C308" s="13">
        <v>251617.0</v>
      </c>
      <c r="D308" s="107" t="s">
        <v>1868</v>
      </c>
      <c r="E308" s="13" t="s">
        <v>111</v>
      </c>
      <c r="F308" s="108">
        <v>0.4166666666666667</v>
      </c>
      <c r="G308" s="13"/>
    </row>
    <row r="309" spans="8:8" ht="34.5" customHeight="1">
      <c r="A309" s="8" t="s">
        <v>18</v>
      </c>
      <c r="B309" s="9" t="s">
        <v>19</v>
      </c>
      <c r="C309" s="9" t="s">
        <v>20</v>
      </c>
      <c r="D309" s="9" t="s">
        <v>21</v>
      </c>
      <c r="E309" s="9" t="s">
        <v>22</v>
      </c>
      <c r="F309" s="9" t="s">
        <v>23</v>
      </c>
      <c r="G309" s="9" t="s">
        <v>3747</v>
      </c>
    </row>
    <row r="310" spans="8:8" ht="34.5" customHeight="1">
      <c r="A310" s="11">
        <v>1.0</v>
      </c>
      <c r="B310" s="21" t="s">
        <v>3748</v>
      </c>
      <c r="C310" s="22">
        <v>251243.0</v>
      </c>
      <c r="D310" s="107" t="s">
        <v>1868</v>
      </c>
      <c r="E310" s="22" t="s">
        <v>580</v>
      </c>
      <c r="F310" s="108">
        <v>0.4166666666666667</v>
      </c>
      <c r="G310" s="13"/>
    </row>
    <row r="311" spans="8:8" ht="34.5" customHeight="1">
      <c r="A311" s="11">
        <v>2.0</v>
      </c>
      <c r="B311" s="21" t="s">
        <v>3749</v>
      </c>
      <c r="C311" s="22">
        <v>251247.0</v>
      </c>
      <c r="D311" s="107" t="s">
        <v>1868</v>
      </c>
      <c r="E311" s="22" t="s">
        <v>580</v>
      </c>
      <c r="F311" s="108">
        <v>0.4166666666666667</v>
      </c>
      <c r="G311" s="22"/>
    </row>
    <row r="312" spans="8:8" ht="34.5" customHeight="1">
      <c r="A312" s="11">
        <v>3.0</v>
      </c>
      <c r="B312" s="21" t="s">
        <v>3750</v>
      </c>
      <c r="C312" s="22">
        <v>251253.0</v>
      </c>
      <c r="D312" s="107" t="s">
        <v>1868</v>
      </c>
      <c r="E312" s="22" t="s">
        <v>580</v>
      </c>
      <c r="F312" s="108">
        <v>0.4166666666666667</v>
      </c>
      <c r="G312" s="22"/>
    </row>
    <row r="313" spans="8:8" ht="34.5" customHeight="1">
      <c r="A313" s="11">
        <v>4.0</v>
      </c>
      <c r="B313" s="21" t="s">
        <v>3751</v>
      </c>
      <c r="C313" s="22">
        <v>251271.0</v>
      </c>
      <c r="D313" s="107" t="s">
        <v>1868</v>
      </c>
      <c r="E313" s="22" t="s">
        <v>580</v>
      </c>
      <c r="F313" s="108">
        <v>0.4166666666666667</v>
      </c>
      <c r="G313" s="22"/>
    </row>
    <row r="314" spans="8:8" ht="34.5" customHeight="1">
      <c r="A314" s="11">
        <v>5.0</v>
      </c>
      <c r="B314" s="21" t="s">
        <v>3752</v>
      </c>
      <c r="C314" s="22">
        <v>251279.0</v>
      </c>
      <c r="D314" s="107" t="s">
        <v>1868</v>
      </c>
      <c r="E314" s="22" t="s">
        <v>580</v>
      </c>
      <c r="F314" s="108">
        <v>0.4166666666666667</v>
      </c>
      <c r="G314" s="22"/>
    </row>
    <row r="315" spans="8:8" ht="34.5" customHeight="1">
      <c r="A315" s="11">
        <v>6.0</v>
      </c>
      <c r="B315" s="21" t="s">
        <v>3753</v>
      </c>
      <c r="C315" s="22">
        <v>251298.0</v>
      </c>
      <c r="D315" s="107" t="s">
        <v>1868</v>
      </c>
      <c r="E315" s="22" t="s">
        <v>580</v>
      </c>
      <c r="F315" s="108">
        <v>0.4166666666666667</v>
      </c>
      <c r="G315" s="22"/>
    </row>
    <row r="316" spans="8:8" ht="34.5" customHeight="1">
      <c r="A316" s="11">
        <v>7.0</v>
      </c>
      <c r="B316" s="21" t="s">
        <v>3754</v>
      </c>
      <c r="C316" s="22">
        <v>251302.0</v>
      </c>
      <c r="D316" s="107" t="s">
        <v>1868</v>
      </c>
      <c r="E316" s="22" t="s">
        <v>580</v>
      </c>
      <c r="F316" s="108">
        <v>0.4166666666666667</v>
      </c>
      <c r="G316" s="22"/>
    </row>
    <row r="317" spans="8:8" ht="34.5" customHeight="1">
      <c r="A317" s="11">
        <v>8.0</v>
      </c>
      <c r="B317" s="21" t="s">
        <v>3755</v>
      </c>
      <c r="C317" s="22">
        <v>251308.0</v>
      </c>
      <c r="D317" s="107" t="s">
        <v>1868</v>
      </c>
      <c r="E317" s="22" t="s">
        <v>580</v>
      </c>
      <c r="F317" s="108">
        <v>0.4166666666666667</v>
      </c>
      <c r="G317" s="22"/>
    </row>
    <row r="318" spans="8:8" ht="34.5" customHeight="1">
      <c r="A318" s="11">
        <v>9.0</v>
      </c>
      <c r="B318" s="21" t="s">
        <v>3756</v>
      </c>
      <c r="C318" s="22">
        <v>251323.0</v>
      </c>
      <c r="D318" s="107" t="s">
        <v>1868</v>
      </c>
      <c r="E318" s="22" t="s">
        <v>580</v>
      </c>
      <c r="F318" s="108">
        <v>0.4166666666666667</v>
      </c>
      <c r="G318" s="22"/>
    </row>
    <row r="319" spans="8:8" ht="34.5" customHeight="1">
      <c r="A319" s="11">
        <v>10.0</v>
      </c>
      <c r="B319" s="21" t="s">
        <v>3757</v>
      </c>
      <c r="C319" s="22">
        <v>251327.0</v>
      </c>
      <c r="D319" s="107" t="s">
        <v>1868</v>
      </c>
      <c r="E319" s="22" t="s">
        <v>580</v>
      </c>
      <c r="F319" s="108">
        <v>0.4166666666666667</v>
      </c>
      <c r="G319" s="22"/>
    </row>
    <row r="320" spans="8:8" ht="34.5" customHeight="1">
      <c r="A320" s="11">
        <v>11.0</v>
      </c>
      <c r="B320" s="21" t="s">
        <v>3758</v>
      </c>
      <c r="C320" s="22">
        <v>251332.0</v>
      </c>
      <c r="D320" s="107" t="s">
        <v>1868</v>
      </c>
      <c r="E320" s="22" t="s">
        <v>580</v>
      </c>
      <c r="F320" s="108">
        <v>0.4166666666666667</v>
      </c>
      <c r="G320" s="22"/>
    </row>
    <row r="321" spans="8:8" ht="34.5" customHeight="1">
      <c r="A321" s="11">
        <v>12.0</v>
      </c>
      <c r="B321" s="21" t="s">
        <v>3759</v>
      </c>
      <c r="C321" s="22">
        <v>251334.0</v>
      </c>
      <c r="D321" s="107" t="s">
        <v>1868</v>
      </c>
      <c r="E321" s="22" t="s">
        <v>580</v>
      </c>
      <c r="F321" s="108">
        <v>0.4166666666666667</v>
      </c>
      <c r="G321" s="22"/>
    </row>
    <row r="322" spans="8:8" ht="34.5" customHeight="1">
      <c r="A322" s="11">
        <v>13.0</v>
      </c>
      <c r="B322" s="21" t="s">
        <v>3760</v>
      </c>
      <c r="C322" s="22">
        <v>251335.0</v>
      </c>
      <c r="D322" s="107" t="s">
        <v>1868</v>
      </c>
      <c r="E322" s="22" t="s">
        <v>580</v>
      </c>
      <c r="F322" s="108">
        <v>0.4166666666666667</v>
      </c>
      <c r="G322" s="22"/>
    </row>
    <row r="323" spans="8:8" ht="34.5" customHeight="1">
      <c r="A323" s="11">
        <v>14.0</v>
      </c>
      <c r="B323" s="21" t="s">
        <v>3761</v>
      </c>
      <c r="C323" s="22">
        <v>251337.0</v>
      </c>
      <c r="D323" s="107" t="s">
        <v>1868</v>
      </c>
      <c r="E323" s="22" t="s">
        <v>580</v>
      </c>
      <c r="F323" s="108">
        <v>0.4166666666666667</v>
      </c>
      <c r="G323" s="22"/>
    </row>
    <row r="324" spans="8:8" ht="34.5" customHeight="1">
      <c r="A324" s="11">
        <v>15.0</v>
      </c>
      <c r="B324" s="21" t="s">
        <v>3762</v>
      </c>
      <c r="C324" s="22">
        <v>251339.0</v>
      </c>
      <c r="D324" s="107" t="s">
        <v>1868</v>
      </c>
      <c r="E324" s="22" t="s">
        <v>580</v>
      </c>
      <c r="F324" s="108">
        <v>0.4166666666666667</v>
      </c>
      <c r="G324" s="22"/>
    </row>
    <row r="325" spans="8:8" ht="34.5" customHeight="1">
      <c r="A325" s="11">
        <v>16.0</v>
      </c>
      <c r="B325" s="21" t="s">
        <v>3763</v>
      </c>
      <c r="C325" s="22">
        <v>251341.0</v>
      </c>
      <c r="D325" s="107" t="s">
        <v>1868</v>
      </c>
      <c r="E325" s="22" t="s">
        <v>580</v>
      </c>
      <c r="F325" s="108">
        <v>0.4166666666666667</v>
      </c>
      <c r="G325" s="22"/>
    </row>
    <row r="326" spans="8:8" ht="34.5" customHeight="1">
      <c r="A326" s="11">
        <v>17.0</v>
      </c>
      <c r="B326" s="21" t="s">
        <v>3764</v>
      </c>
      <c r="C326" s="22">
        <v>251345.0</v>
      </c>
      <c r="D326" s="107" t="s">
        <v>1868</v>
      </c>
      <c r="E326" s="22" t="s">
        <v>580</v>
      </c>
      <c r="F326" s="108">
        <v>0.4166666666666667</v>
      </c>
      <c r="G326" s="22"/>
    </row>
    <row r="327" spans="8:8" ht="34.5" customHeight="1">
      <c r="A327" s="11">
        <v>18.0</v>
      </c>
      <c r="B327" s="21" t="s">
        <v>3765</v>
      </c>
      <c r="C327" s="22">
        <v>251348.0</v>
      </c>
      <c r="D327" s="107" t="s">
        <v>1868</v>
      </c>
      <c r="E327" s="22" t="s">
        <v>580</v>
      </c>
      <c r="F327" s="108">
        <v>0.4166666666666667</v>
      </c>
      <c r="G327" s="22"/>
    </row>
    <row r="328" spans="8:8" ht="34.5" customHeight="1">
      <c r="A328" s="11">
        <v>19.0</v>
      </c>
      <c r="B328" s="21" t="s">
        <v>3766</v>
      </c>
      <c r="C328" s="22">
        <v>251360.0</v>
      </c>
      <c r="D328" s="107" t="s">
        <v>1868</v>
      </c>
      <c r="E328" s="22" t="s">
        <v>580</v>
      </c>
      <c r="F328" s="108">
        <v>0.4166666666666667</v>
      </c>
      <c r="G328" s="22"/>
    </row>
    <row r="329" spans="8:8" ht="34.5" customHeight="1">
      <c r="A329" s="11">
        <v>20.0</v>
      </c>
      <c r="B329" s="21" t="s">
        <v>3767</v>
      </c>
      <c r="C329" s="22">
        <v>251371.0</v>
      </c>
      <c r="D329" s="107" t="s">
        <v>1868</v>
      </c>
      <c r="E329" s="22" t="s">
        <v>580</v>
      </c>
      <c r="F329" s="108">
        <v>0.4166666666666667</v>
      </c>
      <c r="G329" s="22"/>
    </row>
    <row r="330" spans="8:8" ht="34.5" customHeight="1">
      <c r="A330" s="11">
        <v>21.0</v>
      </c>
      <c r="B330" s="21" t="s">
        <v>3768</v>
      </c>
      <c r="C330" s="22">
        <v>251375.0</v>
      </c>
      <c r="D330" s="107" t="s">
        <v>1868</v>
      </c>
      <c r="E330" s="22" t="s">
        <v>580</v>
      </c>
      <c r="F330" s="108">
        <v>0.4166666666666667</v>
      </c>
      <c r="G330" s="22"/>
    </row>
    <row r="331" spans="8:8" ht="34.5" customHeight="1">
      <c r="A331" s="11">
        <v>22.0</v>
      </c>
      <c r="B331" s="21" t="s">
        <v>3769</v>
      </c>
      <c r="C331" s="22">
        <v>251581.0</v>
      </c>
      <c r="D331" s="107" t="s">
        <v>1868</v>
      </c>
      <c r="E331" s="22" t="s">
        <v>580</v>
      </c>
      <c r="F331" s="108">
        <v>0.4166666666666667</v>
      </c>
      <c r="G331" s="22"/>
    </row>
    <row r="332" spans="8:8" ht="34.5" customHeight="1">
      <c r="A332" s="11">
        <v>23.0</v>
      </c>
      <c r="B332" s="12" t="s">
        <v>3770</v>
      </c>
      <c r="C332" s="13">
        <v>251377.0</v>
      </c>
      <c r="D332" s="107" t="s">
        <v>1868</v>
      </c>
      <c r="E332" s="13" t="s">
        <v>580</v>
      </c>
      <c r="F332" s="108">
        <v>0.4166666666666667</v>
      </c>
      <c r="G332" s="13"/>
    </row>
    <row r="333" spans="8:8" ht="34.5" customHeight="1">
      <c r="A333" s="11">
        <v>24.0</v>
      </c>
      <c r="B333" s="21" t="s">
        <v>3771</v>
      </c>
      <c r="C333" s="22">
        <v>251670.0</v>
      </c>
      <c r="D333" s="107" t="s">
        <v>1868</v>
      </c>
      <c r="E333" s="22" t="s">
        <v>580</v>
      </c>
      <c r="F333" s="108">
        <v>0.4166666666666667</v>
      </c>
      <c r="G333" s="22"/>
    </row>
    <row r="334" spans="8:8" ht="34.5" customHeight="1">
      <c r="A334" s="11">
        <v>25.0</v>
      </c>
      <c r="B334" s="12" t="s">
        <v>3772</v>
      </c>
      <c r="C334" s="13">
        <v>240170.0</v>
      </c>
      <c r="D334" s="12" t="s">
        <v>1065</v>
      </c>
      <c r="E334" s="13" t="s">
        <v>580</v>
      </c>
      <c r="F334" s="108">
        <v>0.4166666666666667</v>
      </c>
      <c r="G334" s="13"/>
    </row>
    <row r="335" spans="8:8" ht="34.5" customHeight="1">
      <c r="A335" s="8" t="s">
        <v>18</v>
      </c>
      <c r="B335" s="9" t="s">
        <v>19</v>
      </c>
      <c r="C335" s="9" t="s">
        <v>20</v>
      </c>
      <c r="D335" s="9" t="s">
        <v>21</v>
      </c>
      <c r="E335" s="9" t="s">
        <v>22</v>
      </c>
      <c r="F335" s="9" t="s">
        <v>23</v>
      </c>
      <c r="G335" s="9" t="s">
        <v>3248</v>
      </c>
    </row>
    <row r="336" spans="8:8" ht="34.5" customHeight="1">
      <c r="A336" s="11">
        <v>1.0</v>
      </c>
      <c r="B336" s="21" t="s">
        <v>3773</v>
      </c>
      <c r="C336" s="22">
        <v>251481.0</v>
      </c>
      <c r="D336" s="107" t="s">
        <v>1868</v>
      </c>
      <c r="E336" s="22" t="s">
        <v>580</v>
      </c>
      <c r="F336" s="108">
        <v>0.4166666666666667</v>
      </c>
      <c r="G336" s="13"/>
    </row>
    <row r="337" spans="8:8" ht="34.5" customHeight="1">
      <c r="A337" s="11">
        <v>2.0</v>
      </c>
      <c r="B337" s="12" t="s">
        <v>3774</v>
      </c>
      <c r="C337" s="13">
        <v>251435.0</v>
      </c>
      <c r="D337" s="107" t="s">
        <v>1868</v>
      </c>
      <c r="E337" s="22" t="s">
        <v>580</v>
      </c>
      <c r="F337" s="108">
        <v>0.4166666666666667</v>
      </c>
      <c r="G337" s="22"/>
    </row>
    <row r="338" spans="8:8" ht="34.5" customHeight="1">
      <c r="A338" s="11">
        <v>3.0</v>
      </c>
      <c r="B338" s="21" t="s">
        <v>3775</v>
      </c>
      <c r="C338" s="22">
        <v>251694.0</v>
      </c>
      <c r="D338" s="107" t="s">
        <v>1868</v>
      </c>
      <c r="E338" s="22" t="s">
        <v>580</v>
      </c>
      <c r="F338" s="108">
        <v>0.4166666666666667</v>
      </c>
      <c r="G338" s="22"/>
    </row>
    <row r="339" spans="8:8" ht="34.5" customHeight="1">
      <c r="A339" s="11">
        <v>4.0</v>
      </c>
      <c r="B339" s="21" t="s">
        <v>3776</v>
      </c>
      <c r="C339" s="22">
        <v>251767.0</v>
      </c>
      <c r="D339" s="107" t="s">
        <v>1868</v>
      </c>
      <c r="E339" s="13" t="s">
        <v>580</v>
      </c>
      <c r="F339" s="108">
        <v>0.4166666666666667</v>
      </c>
      <c r="G339" s="13"/>
    </row>
    <row r="340" spans="8:8" ht="34.5" customHeight="1">
      <c r="A340" s="11">
        <v>5.0</v>
      </c>
      <c r="B340" s="12" t="s">
        <v>3777</v>
      </c>
      <c r="C340" s="13">
        <v>251469.0</v>
      </c>
      <c r="D340" s="107" t="s">
        <v>1868</v>
      </c>
      <c r="E340" s="22" t="s">
        <v>580</v>
      </c>
      <c r="F340" s="108">
        <v>0.4166666666666667</v>
      </c>
      <c r="G340" s="22"/>
    </row>
    <row r="341" spans="8:8" ht="34.5" customHeight="1">
      <c r="A341" s="11">
        <v>6.0</v>
      </c>
      <c r="B341" s="21" t="s">
        <v>3778</v>
      </c>
      <c r="C341" s="22">
        <v>251657.0</v>
      </c>
      <c r="D341" s="107" t="s">
        <v>1868</v>
      </c>
      <c r="E341" s="22" t="s">
        <v>580</v>
      </c>
      <c r="F341" s="108">
        <v>0.4166666666666667</v>
      </c>
      <c r="G341" s="22"/>
    </row>
    <row r="342" spans="8:8" ht="34.5" customHeight="1">
      <c r="A342" s="11">
        <v>7.0</v>
      </c>
      <c r="B342" s="21" t="s">
        <v>3779</v>
      </c>
      <c r="C342" s="22">
        <v>251370.0</v>
      </c>
      <c r="D342" s="107" t="s">
        <v>1868</v>
      </c>
      <c r="E342" s="22" t="s">
        <v>580</v>
      </c>
      <c r="F342" s="108">
        <v>0.4166666666666667</v>
      </c>
      <c r="G342" s="22"/>
    </row>
    <row r="343" spans="8:8" ht="34.5" customHeight="1">
      <c r="A343" s="11">
        <v>8.0</v>
      </c>
      <c r="B343" s="12" t="s">
        <v>3780</v>
      </c>
      <c r="C343" s="13">
        <v>251444.0</v>
      </c>
      <c r="D343" s="107" t="s">
        <v>1868</v>
      </c>
      <c r="E343" s="22" t="s">
        <v>580</v>
      </c>
      <c r="F343" s="108">
        <v>0.4166666666666667</v>
      </c>
      <c r="G343" s="22"/>
    </row>
    <row r="344" spans="8:8" ht="34.5" customHeight="1">
      <c r="A344" s="11">
        <v>9.0</v>
      </c>
      <c r="B344" s="12" t="s">
        <v>3781</v>
      </c>
      <c r="C344" s="13">
        <v>251485.0</v>
      </c>
      <c r="D344" s="107" t="s">
        <v>1868</v>
      </c>
      <c r="E344" s="22" t="s">
        <v>580</v>
      </c>
      <c r="F344" s="108">
        <v>0.4166666666666667</v>
      </c>
      <c r="G344" s="22"/>
    </row>
    <row r="345" spans="8:8" ht="34.5" customHeight="1">
      <c r="A345" s="11">
        <v>10.0</v>
      </c>
      <c r="B345" s="12" t="s">
        <v>3782</v>
      </c>
      <c r="C345" s="13">
        <v>241160.0</v>
      </c>
      <c r="D345" s="23" t="s">
        <v>1369</v>
      </c>
      <c r="E345" s="22" t="s">
        <v>580</v>
      </c>
      <c r="F345" s="108">
        <v>0.4166666666666667</v>
      </c>
      <c r="G345" s="22"/>
    </row>
    <row r="346" spans="8:8" ht="34.5" customHeight="1">
      <c r="A346" s="11">
        <v>11.0</v>
      </c>
      <c r="B346" s="21" t="s">
        <v>3783</v>
      </c>
      <c r="C346" s="22">
        <v>251382.0</v>
      </c>
      <c r="D346" s="107" t="s">
        <v>1868</v>
      </c>
      <c r="E346" s="22" t="s">
        <v>580</v>
      </c>
      <c r="F346" s="108">
        <v>0.4166666666666667</v>
      </c>
      <c r="G346" s="22"/>
    </row>
    <row r="347" spans="8:8" ht="34.5" customHeight="1">
      <c r="A347" s="11">
        <v>12.0</v>
      </c>
      <c r="B347" s="21" t="s">
        <v>3784</v>
      </c>
      <c r="C347" s="22">
        <v>251385.0</v>
      </c>
      <c r="D347" s="107" t="s">
        <v>1868</v>
      </c>
      <c r="E347" s="22" t="s">
        <v>580</v>
      </c>
      <c r="F347" s="108">
        <v>0.4166666666666667</v>
      </c>
      <c r="G347" s="22"/>
    </row>
    <row r="348" spans="8:8" ht="34.5" customHeight="1">
      <c r="A348" s="11">
        <v>13.0</v>
      </c>
      <c r="B348" s="21" t="s">
        <v>3785</v>
      </c>
      <c r="C348" s="22">
        <v>251387.0</v>
      </c>
      <c r="D348" s="107" t="s">
        <v>1868</v>
      </c>
      <c r="E348" s="22" t="s">
        <v>580</v>
      </c>
      <c r="F348" s="108">
        <v>0.4166666666666667</v>
      </c>
      <c r="G348" s="22"/>
    </row>
    <row r="349" spans="8:8" ht="34.5" customHeight="1">
      <c r="A349" s="11">
        <v>14.0</v>
      </c>
      <c r="B349" s="21" t="s">
        <v>3786</v>
      </c>
      <c r="C349" s="22">
        <v>251391.0</v>
      </c>
      <c r="D349" s="107" t="s">
        <v>1868</v>
      </c>
      <c r="E349" s="22" t="s">
        <v>580</v>
      </c>
      <c r="F349" s="108">
        <v>0.4166666666666667</v>
      </c>
      <c r="G349" s="22"/>
    </row>
    <row r="350" spans="8:8" ht="34.5" customHeight="1">
      <c r="A350" s="11">
        <v>15.0</v>
      </c>
      <c r="B350" s="21" t="s">
        <v>3787</v>
      </c>
      <c r="C350" s="22">
        <v>251392.0</v>
      </c>
      <c r="D350" s="107" t="s">
        <v>1868</v>
      </c>
      <c r="E350" s="22" t="s">
        <v>580</v>
      </c>
      <c r="F350" s="108">
        <v>0.4166666666666667</v>
      </c>
      <c r="G350" s="22"/>
    </row>
    <row r="351" spans="8:8" ht="34.5" customHeight="1">
      <c r="A351" s="11">
        <v>16.0</v>
      </c>
      <c r="B351" s="21" t="s">
        <v>3788</v>
      </c>
      <c r="C351" s="22">
        <v>251396.0</v>
      </c>
      <c r="D351" s="107" t="s">
        <v>1868</v>
      </c>
      <c r="E351" s="22" t="s">
        <v>580</v>
      </c>
      <c r="F351" s="108">
        <v>0.4166666666666667</v>
      </c>
      <c r="G351" s="22"/>
    </row>
    <row r="352" spans="8:8" ht="34.5" customHeight="1">
      <c r="A352" s="11">
        <v>17.0</v>
      </c>
      <c r="B352" s="21" t="s">
        <v>3789</v>
      </c>
      <c r="C352" s="22">
        <v>251397.0</v>
      </c>
      <c r="D352" s="107" t="s">
        <v>1868</v>
      </c>
      <c r="E352" s="22" t="s">
        <v>580</v>
      </c>
      <c r="F352" s="108">
        <v>0.4166666666666667</v>
      </c>
      <c r="G352" s="22"/>
    </row>
    <row r="353" spans="8:8" ht="34.5" customHeight="1">
      <c r="A353" s="11">
        <v>18.0</v>
      </c>
      <c r="B353" s="21" t="s">
        <v>3790</v>
      </c>
      <c r="C353" s="22">
        <v>251398.0</v>
      </c>
      <c r="D353" s="107" t="s">
        <v>1868</v>
      </c>
      <c r="E353" s="22" t="s">
        <v>580</v>
      </c>
      <c r="F353" s="108">
        <v>0.4166666666666667</v>
      </c>
      <c r="G353" s="22"/>
    </row>
    <row r="354" spans="8:8" ht="34.5" customHeight="1">
      <c r="A354" s="11">
        <v>19.0</v>
      </c>
      <c r="B354" s="21" t="s">
        <v>3791</v>
      </c>
      <c r="C354" s="22">
        <v>251407.0</v>
      </c>
      <c r="D354" s="107" t="s">
        <v>1868</v>
      </c>
      <c r="E354" s="22" t="s">
        <v>580</v>
      </c>
      <c r="F354" s="108">
        <v>0.4166666666666667</v>
      </c>
      <c r="G354" s="22"/>
    </row>
    <row r="355" spans="8:8" ht="34.5" customHeight="1">
      <c r="A355" s="11">
        <v>20.0</v>
      </c>
      <c r="B355" s="21" t="s">
        <v>3792</v>
      </c>
      <c r="C355" s="22">
        <v>251542.0</v>
      </c>
      <c r="D355" s="107" t="s">
        <v>1868</v>
      </c>
      <c r="E355" s="22" t="s">
        <v>580</v>
      </c>
      <c r="F355" s="108">
        <v>0.4166666666666667</v>
      </c>
      <c r="G355" s="22"/>
    </row>
    <row r="356" spans="8:8" ht="34.5" customHeight="1">
      <c r="A356" s="11">
        <v>21.0</v>
      </c>
      <c r="B356" s="21" t="s">
        <v>3793</v>
      </c>
      <c r="C356" s="22">
        <v>251548.0</v>
      </c>
      <c r="D356" s="107" t="s">
        <v>1868</v>
      </c>
      <c r="E356" s="22" t="s">
        <v>580</v>
      </c>
      <c r="F356" s="108">
        <v>0.4166666666666667</v>
      </c>
      <c r="G356" s="22"/>
    </row>
    <row r="357" spans="8:8" ht="34.5" customHeight="1">
      <c r="A357" s="11">
        <v>22.0</v>
      </c>
      <c r="B357" s="21" t="s">
        <v>3794</v>
      </c>
      <c r="C357" s="22">
        <v>251550.0</v>
      </c>
      <c r="D357" s="107" t="s">
        <v>1868</v>
      </c>
      <c r="E357" s="22" t="s">
        <v>580</v>
      </c>
      <c r="F357" s="108">
        <v>0.4166666666666667</v>
      </c>
      <c r="G357" s="22"/>
    </row>
    <row r="358" spans="8:8" ht="34.5" customHeight="1">
      <c r="A358" s="11">
        <v>23.0</v>
      </c>
      <c r="B358" s="21" t="s">
        <v>3795</v>
      </c>
      <c r="C358" s="22">
        <v>251560.0</v>
      </c>
      <c r="D358" s="107" t="s">
        <v>1868</v>
      </c>
      <c r="E358" s="22" t="s">
        <v>580</v>
      </c>
      <c r="F358" s="108">
        <v>0.4166666666666667</v>
      </c>
      <c r="G358" s="22"/>
    </row>
    <row r="359" spans="8:8" ht="34.5" customHeight="1">
      <c r="A359" s="8" t="s">
        <v>18</v>
      </c>
      <c r="B359" s="9" t="s">
        <v>19</v>
      </c>
      <c r="C359" s="9" t="s">
        <v>20</v>
      </c>
      <c r="D359" s="9" t="s">
        <v>21</v>
      </c>
      <c r="E359" s="9" t="s">
        <v>22</v>
      </c>
      <c r="F359" s="9" t="s">
        <v>23</v>
      </c>
      <c r="G359" s="9" t="s">
        <v>3796</v>
      </c>
    </row>
    <row r="360" spans="8:8" ht="34.5" customHeight="1">
      <c r="A360" s="11">
        <v>1.0</v>
      </c>
      <c r="B360" s="21" t="s">
        <v>3797</v>
      </c>
      <c r="C360" s="22">
        <v>251562.0</v>
      </c>
      <c r="D360" s="107" t="s">
        <v>1868</v>
      </c>
      <c r="E360" s="22" t="s">
        <v>580</v>
      </c>
      <c r="F360" s="108">
        <v>0.4166666666666667</v>
      </c>
      <c r="G360" s="13"/>
    </row>
    <row r="361" spans="8:8" ht="34.5" customHeight="1">
      <c r="A361" s="11">
        <v>2.0</v>
      </c>
      <c r="B361" s="21" t="s">
        <v>3798</v>
      </c>
      <c r="C361" s="22">
        <v>251610.0</v>
      </c>
      <c r="D361" s="107" t="s">
        <v>1868</v>
      </c>
      <c r="E361" s="22" t="s">
        <v>580</v>
      </c>
      <c r="F361" s="108">
        <v>0.4166666666666667</v>
      </c>
      <c r="G361" s="22"/>
    </row>
    <row r="362" spans="8:8" ht="34.5" customHeight="1">
      <c r="A362" s="11">
        <v>3.0</v>
      </c>
      <c r="B362" s="21" t="s">
        <v>3799</v>
      </c>
      <c r="C362" s="22">
        <v>251613.0</v>
      </c>
      <c r="D362" s="107" t="s">
        <v>1868</v>
      </c>
      <c r="E362" s="22" t="s">
        <v>580</v>
      </c>
      <c r="F362" s="108">
        <v>0.4166666666666667</v>
      </c>
      <c r="G362" s="22"/>
    </row>
    <row r="363" spans="8:8" ht="34.5" customHeight="1">
      <c r="A363" s="11">
        <v>4.0</v>
      </c>
      <c r="B363" s="21" t="s">
        <v>3800</v>
      </c>
      <c r="C363" s="22">
        <v>241843.0</v>
      </c>
      <c r="D363" s="23" t="s">
        <v>1369</v>
      </c>
      <c r="E363" s="22" t="s">
        <v>580</v>
      </c>
      <c r="F363" s="108">
        <v>0.4166666666666667</v>
      </c>
      <c r="G363" s="22"/>
    </row>
    <row r="364" spans="8:8" ht="34.5" customHeight="1">
      <c r="A364" s="11">
        <v>5.0</v>
      </c>
      <c r="B364" s="21" t="s">
        <v>3801</v>
      </c>
      <c r="C364" s="22">
        <v>241394.0</v>
      </c>
      <c r="D364" s="23" t="s">
        <v>1369</v>
      </c>
      <c r="E364" s="22" t="s">
        <v>580</v>
      </c>
      <c r="F364" s="108">
        <v>0.4166666666666667</v>
      </c>
      <c r="G364" s="22"/>
    </row>
    <row r="365" spans="8:8" ht="34.5" customHeight="1">
      <c r="A365" s="11">
        <v>6.0</v>
      </c>
      <c r="B365" s="21" t="s">
        <v>3802</v>
      </c>
      <c r="C365" s="22">
        <v>241337.0</v>
      </c>
      <c r="D365" s="23" t="s">
        <v>1369</v>
      </c>
      <c r="E365" s="22" t="s">
        <v>580</v>
      </c>
      <c r="F365" s="108">
        <v>0.4166666666666667</v>
      </c>
      <c r="G365" s="22"/>
    </row>
    <row r="366" spans="8:8" ht="34.5" customHeight="1">
      <c r="A366" s="11">
        <v>7.0</v>
      </c>
      <c r="B366" s="21" t="s">
        <v>3803</v>
      </c>
      <c r="C366" s="22">
        <v>241610.0</v>
      </c>
      <c r="D366" s="23" t="s">
        <v>1369</v>
      </c>
      <c r="E366" s="22" t="s">
        <v>580</v>
      </c>
      <c r="F366" s="108">
        <v>0.4166666666666667</v>
      </c>
      <c r="G366" s="22"/>
    </row>
    <row r="367" spans="8:8" ht="34.5" customHeight="1">
      <c r="A367" s="11">
        <v>8.0</v>
      </c>
      <c r="B367" s="21" t="s">
        <v>3804</v>
      </c>
      <c r="C367" s="22">
        <v>241821.0</v>
      </c>
      <c r="D367" s="23" t="s">
        <v>1369</v>
      </c>
      <c r="E367" s="22" t="s">
        <v>580</v>
      </c>
      <c r="F367" s="108">
        <v>0.4166666666666667</v>
      </c>
      <c r="G367" s="22"/>
    </row>
    <row r="368" spans="8:8" ht="34.5" customHeight="1">
      <c r="A368" s="11">
        <v>9.0</v>
      </c>
      <c r="B368" s="21" t="s">
        <v>3805</v>
      </c>
      <c r="C368" s="22">
        <v>241596.0</v>
      </c>
      <c r="D368" s="23" t="s">
        <v>1369</v>
      </c>
      <c r="E368" s="22" t="s">
        <v>580</v>
      </c>
      <c r="F368" s="108">
        <v>0.4166666666666667</v>
      </c>
      <c r="G368" s="22"/>
    </row>
    <row r="369" spans="8:8" ht="34.5" customHeight="1">
      <c r="A369" s="11">
        <v>10.0</v>
      </c>
      <c r="B369" s="21" t="s">
        <v>3806</v>
      </c>
      <c r="C369" s="22">
        <v>251741.0</v>
      </c>
      <c r="D369" s="107" t="s">
        <v>1868</v>
      </c>
      <c r="E369" s="22" t="s">
        <v>580</v>
      </c>
      <c r="F369" s="108">
        <v>0.4166666666666667</v>
      </c>
      <c r="G369" s="22"/>
    </row>
    <row r="370" spans="8:8" ht="34.5" customHeight="1">
      <c r="A370" s="11">
        <v>11.0</v>
      </c>
      <c r="B370" s="21" t="s">
        <v>3807</v>
      </c>
      <c r="C370" s="22">
        <v>251506.0</v>
      </c>
      <c r="D370" s="107" t="s">
        <v>1868</v>
      </c>
      <c r="E370" s="22" t="s">
        <v>580</v>
      </c>
      <c r="F370" s="108">
        <v>0.4166666666666667</v>
      </c>
      <c r="G370" s="22"/>
    </row>
    <row r="371" spans="8:8" ht="34.5" customHeight="1">
      <c r="A371" s="11">
        <v>12.0</v>
      </c>
      <c r="B371" s="21" t="s">
        <v>3808</v>
      </c>
      <c r="C371" s="22">
        <v>251772.0</v>
      </c>
      <c r="D371" s="107" t="s">
        <v>1868</v>
      </c>
      <c r="E371" s="22" t="s">
        <v>580</v>
      </c>
      <c r="F371" s="108">
        <v>0.4166666666666667</v>
      </c>
      <c r="G371" s="22"/>
    </row>
    <row r="372" spans="8:8" ht="34.5" customHeight="1">
      <c r="A372" s="11">
        <v>13.0</v>
      </c>
      <c r="B372" s="21" t="s">
        <v>3809</v>
      </c>
      <c r="C372" s="22">
        <v>251762.0</v>
      </c>
      <c r="D372" s="107" t="s">
        <v>1868</v>
      </c>
      <c r="E372" s="22" t="s">
        <v>580</v>
      </c>
      <c r="F372" s="108">
        <v>0.4166666666666667</v>
      </c>
      <c r="G372" s="22"/>
    </row>
    <row r="373" spans="8:8" ht="34.5" customHeight="1">
      <c r="A373" s="11">
        <v>14.0</v>
      </c>
      <c r="B373" s="21" t="s">
        <v>3810</v>
      </c>
      <c r="C373" s="22">
        <v>251653.0</v>
      </c>
      <c r="D373" s="107" t="s">
        <v>1868</v>
      </c>
      <c r="E373" s="22" t="s">
        <v>580</v>
      </c>
      <c r="F373" s="108">
        <v>0.4166666666666667</v>
      </c>
      <c r="G373" s="22"/>
    </row>
    <row r="374" spans="8:8" ht="34.5" customHeight="1">
      <c r="A374" s="11">
        <v>15.0</v>
      </c>
      <c r="B374" s="21" t="s">
        <v>3811</v>
      </c>
      <c r="C374" s="22">
        <v>251671.0</v>
      </c>
      <c r="D374" s="107" t="s">
        <v>1868</v>
      </c>
      <c r="E374" s="22" t="s">
        <v>580</v>
      </c>
      <c r="F374" s="108">
        <v>0.4166666666666667</v>
      </c>
      <c r="G374" s="22"/>
    </row>
    <row r="375" spans="8:8" ht="34.5" customHeight="1">
      <c r="A375" s="11">
        <v>16.0</v>
      </c>
      <c r="B375" s="21" t="s">
        <v>3812</v>
      </c>
      <c r="C375" s="22">
        <v>241516.0</v>
      </c>
      <c r="D375" s="23" t="s">
        <v>1369</v>
      </c>
      <c r="E375" s="22" t="s">
        <v>580</v>
      </c>
      <c r="F375" s="108">
        <v>0.4166666666666667</v>
      </c>
      <c r="G375" s="22"/>
    </row>
    <row r="376" spans="8:8" ht="34.5" customHeight="1">
      <c r="A376" s="11">
        <v>17.0</v>
      </c>
      <c r="B376" s="21" t="s">
        <v>3813</v>
      </c>
      <c r="C376" s="22">
        <v>251685.0</v>
      </c>
      <c r="D376" s="107" t="s">
        <v>1868</v>
      </c>
      <c r="E376" s="22" t="s">
        <v>580</v>
      </c>
      <c r="F376" s="108">
        <v>0.4166666666666667</v>
      </c>
      <c r="G376" s="22"/>
    </row>
    <row r="377" spans="8:8" ht="34.5" customHeight="1">
      <c r="A377" s="11">
        <v>18.0</v>
      </c>
      <c r="B377" s="21" t="s">
        <v>3814</v>
      </c>
      <c r="C377" s="22">
        <v>241528.0</v>
      </c>
      <c r="D377" s="23" t="s">
        <v>1369</v>
      </c>
      <c r="E377" s="22" t="s">
        <v>580</v>
      </c>
      <c r="F377" s="108">
        <v>0.4166666666666667</v>
      </c>
      <c r="G377" s="22"/>
    </row>
    <row r="378" spans="8:8" ht="34.5" customHeight="1">
      <c r="A378" s="11">
        <v>19.0</v>
      </c>
      <c r="B378" s="21" t="s">
        <v>3815</v>
      </c>
      <c r="C378" s="22">
        <v>251725.0</v>
      </c>
      <c r="D378" s="107" t="s">
        <v>1868</v>
      </c>
      <c r="E378" s="22" t="s">
        <v>580</v>
      </c>
      <c r="F378" s="108">
        <v>0.4166666666666667</v>
      </c>
      <c r="G378" s="22"/>
    </row>
    <row r="379" spans="8:8" ht="34.5" customHeight="1">
      <c r="A379" s="11">
        <v>20.0</v>
      </c>
      <c r="B379" s="21" t="s">
        <v>3816</v>
      </c>
      <c r="C379" s="22">
        <v>251666.0</v>
      </c>
      <c r="D379" s="107" t="s">
        <v>1868</v>
      </c>
      <c r="E379" s="22" t="s">
        <v>580</v>
      </c>
      <c r="F379" s="108">
        <v>0.4166666666666667</v>
      </c>
      <c r="G379" s="22"/>
    </row>
    <row r="380" spans="8:8" ht="34.5" customHeight="1">
      <c r="A380" s="11">
        <v>21.0</v>
      </c>
      <c r="B380" s="21" t="s">
        <v>3817</v>
      </c>
      <c r="C380" s="22">
        <v>241338.0</v>
      </c>
      <c r="D380" s="23" t="s">
        <v>1369</v>
      </c>
      <c r="E380" s="22" t="s">
        <v>580</v>
      </c>
      <c r="F380" s="108">
        <v>0.4166666666666667</v>
      </c>
      <c r="G380" s="22"/>
    </row>
    <row r="381" spans="8:8" ht="34.5" customHeight="1">
      <c r="A381" s="11">
        <v>22.0</v>
      </c>
      <c r="B381" s="21" t="s">
        <v>3818</v>
      </c>
      <c r="C381" s="22">
        <v>241341.0</v>
      </c>
      <c r="D381" s="23" t="s">
        <v>1369</v>
      </c>
      <c r="E381" s="22" t="s">
        <v>580</v>
      </c>
      <c r="F381" s="108">
        <v>0.4166666666666667</v>
      </c>
      <c r="G381" s="22"/>
    </row>
    <row r="382" spans="8:8" ht="34.5" customHeight="1">
      <c r="A382" s="11">
        <v>23.0</v>
      </c>
      <c r="B382" s="21" t="s">
        <v>3819</v>
      </c>
      <c r="C382" s="22">
        <v>241342.0</v>
      </c>
      <c r="D382" s="23" t="s">
        <v>1369</v>
      </c>
      <c r="E382" s="22" t="s">
        <v>580</v>
      </c>
      <c r="F382" s="108">
        <v>0.4166666666666667</v>
      </c>
      <c r="G382" s="22"/>
    </row>
    <row r="383" spans="8:8" ht="34.5" customHeight="1">
      <c r="A383" s="11">
        <v>24.0</v>
      </c>
      <c r="B383" s="21" t="s">
        <v>3820</v>
      </c>
      <c r="C383" s="22">
        <v>241343.0</v>
      </c>
      <c r="D383" s="23" t="s">
        <v>1369</v>
      </c>
      <c r="E383" s="22" t="s">
        <v>580</v>
      </c>
      <c r="F383" s="108">
        <v>0.4166666666666667</v>
      </c>
      <c r="G383" s="22"/>
    </row>
    <row r="384" spans="8:8" ht="34.5" customHeight="1">
      <c r="A384" s="8" t="s">
        <v>18</v>
      </c>
      <c r="B384" s="9" t="s">
        <v>19</v>
      </c>
      <c r="C384" s="9" t="s">
        <v>20</v>
      </c>
      <c r="D384" s="9" t="s">
        <v>21</v>
      </c>
      <c r="E384" s="9" t="s">
        <v>22</v>
      </c>
      <c r="F384" s="9" t="s">
        <v>23</v>
      </c>
      <c r="G384" s="9" t="s">
        <v>3261</v>
      </c>
    </row>
    <row r="385" spans="8:8" ht="34.5" customHeight="1">
      <c r="A385" s="11">
        <v>1.0</v>
      </c>
      <c r="B385" s="21" t="s">
        <v>3821</v>
      </c>
      <c r="C385" s="22">
        <v>241345.0</v>
      </c>
      <c r="D385" s="23" t="s">
        <v>1369</v>
      </c>
      <c r="E385" s="22" t="s">
        <v>580</v>
      </c>
      <c r="F385" s="108">
        <v>0.4166666666666667</v>
      </c>
      <c r="G385" s="13"/>
    </row>
    <row r="386" spans="8:8" ht="34.5" customHeight="1">
      <c r="A386" s="11">
        <v>2.0</v>
      </c>
      <c r="B386" s="21" t="s">
        <v>3822</v>
      </c>
      <c r="C386" s="22">
        <v>241346.0</v>
      </c>
      <c r="D386" s="23" t="s">
        <v>1369</v>
      </c>
      <c r="E386" s="22" t="s">
        <v>580</v>
      </c>
      <c r="F386" s="108">
        <v>0.4166666666666667</v>
      </c>
      <c r="G386" s="22"/>
    </row>
    <row r="387" spans="8:8" ht="34.5" customHeight="1">
      <c r="A387" s="11">
        <v>3.0</v>
      </c>
      <c r="B387" s="21" t="s">
        <v>3823</v>
      </c>
      <c r="C387" s="22">
        <v>241349.0</v>
      </c>
      <c r="D387" s="23" t="s">
        <v>1369</v>
      </c>
      <c r="E387" s="22" t="s">
        <v>580</v>
      </c>
      <c r="F387" s="108">
        <v>0.4166666666666667</v>
      </c>
      <c r="G387" s="22"/>
    </row>
    <row r="388" spans="8:8" ht="34.5" customHeight="1">
      <c r="A388" s="11">
        <v>4.0</v>
      </c>
      <c r="B388" s="21" t="s">
        <v>3824</v>
      </c>
      <c r="C388" s="22">
        <v>241351.0</v>
      </c>
      <c r="D388" s="23" t="s">
        <v>1369</v>
      </c>
      <c r="E388" s="22" t="s">
        <v>580</v>
      </c>
      <c r="F388" s="108">
        <v>0.4166666666666667</v>
      </c>
      <c r="G388" s="22"/>
    </row>
    <row r="389" spans="8:8" ht="34.5" customHeight="1">
      <c r="A389" s="11">
        <v>5.0</v>
      </c>
      <c r="B389" s="21" t="s">
        <v>3825</v>
      </c>
      <c r="C389" s="22">
        <v>241364.0</v>
      </c>
      <c r="D389" s="23" t="s">
        <v>1369</v>
      </c>
      <c r="E389" s="22" t="s">
        <v>580</v>
      </c>
      <c r="F389" s="108">
        <v>0.4166666666666667</v>
      </c>
      <c r="G389" s="22"/>
    </row>
    <row r="390" spans="8:8" ht="34.5" customHeight="1">
      <c r="A390" s="11">
        <v>6.0</v>
      </c>
      <c r="B390" s="21" t="s">
        <v>3826</v>
      </c>
      <c r="C390" s="22">
        <v>241366.0</v>
      </c>
      <c r="D390" s="23" t="s">
        <v>1369</v>
      </c>
      <c r="E390" s="22" t="s">
        <v>580</v>
      </c>
      <c r="F390" s="108">
        <v>0.4166666666666667</v>
      </c>
      <c r="G390" s="22"/>
    </row>
    <row r="391" spans="8:8" ht="34.5" customHeight="1">
      <c r="A391" s="11">
        <v>7.0</v>
      </c>
      <c r="B391" s="21" t="s">
        <v>3827</v>
      </c>
      <c r="C391" s="22">
        <v>241368.0</v>
      </c>
      <c r="D391" s="23" t="s">
        <v>1369</v>
      </c>
      <c r="E391" s="22" t="s">
        <v>580</v>
      </c>
      <c r="F391" s="108">
        <v>0.4166666666666667</v>
      </c>
      <c r="G391" s="22"/>
    </row>
    <row r="392" spans="8:8" ht="34.5" customHeight="1">
      <c r="A392" s="11">
        <v>8.0</v>
      </c>
      <c r="B392" s="21" t="s">
        <v>3828</v>
      </c>
      <c r="C392" s="22">
        <v>241370.0</v>
      </c>
      <c r="D392" s="23" t="s">
        <v>1369</v>
      </c>
      <c r="E392" s="22" t="s">
        <v>580</v>
      </c>
      <c r="F392" s="108">
        <v>0.4166666666666667</v>
      </c>
      <c r="G392" s="22"/>
    </row>
    <row r="393" spans="8:8" ht="34.5" customHeight="1">
      <c r="A393" s="11">
        <v>9.0</v>
      </c>
      <c r="B393" s="21" t="s">
        <v>3829</v>
      </c>
      <c r="C393" s="22">
        <v>241373.0</v>
      </c>
      <c r="D393" s="23" t="s">
        <v>1369</v>
      </c>
      <c r="E393" s="22" t="s">
        <v>580</v>
      </c>
      <c r="F393" s="108">
        <v>0.4166666666666667</v>
      </c>
      <c r="G393" s="22"/>
    </row>
    <row r="394" spans="8:8" ht="34.5" customHeight="1">
      <c r="A394" s="11">
        <v>10.0</v>
      </c>
      <c r="B394" s="21" t="s">
        <v>3830</v>
      </c>
      <c r="C394" s="22">
        <v>241374.0</v>
      </c>
      <c r="D394" s="23" t="s">
        <v>1369</v>
      </c>
      <c r="E394" s="22" t="s">
        <v>580</v>
      </c>
      <c r="F394" s="108">
        <v>0.4166666666666667</v>
      </c>
      <c r="G394" s="22"/>
    </row>
    <row r="395" spans="8:8" ht="34.5" customHeight="1">
      <c r="A395" s="11">
        <v>11.0</v>
      </c>
      <c r="B395" s="21" t="s">
        <v>3831</v>
      </c>
      <c r="C395" s="22">
        <v>241376.0</v>
      </c>
      <c r="D395" s="23" t="s">
        <v>1369</v>
      </c>
      <c r="E395" s="22" t="s">
        <v>580</v>
      </c>
      <c r="F395" s="108">
        <v>0.4166666666666667</v>
      </c>
      <c r="G395" s="22"/>
    </row>
    <row r="396" spans="8:8" ht="34.5" customHeight="1">
      <c r="A396" s="11">
        <v>12.0</v>
      </c>
      <c r="B396" s="21" t="s">
        <v>3832</v>
      </c>
      <c r="C396" s="22">
        <v>241378.0</v>
      </c>
      <c r="D396" s="23" t="s">
        <v>1369</v>
      </c>
      <c r="E396" s="22" t="s">
        <v>580</v>
      </c>
      <c r="F396" s="108">
        <v>0.4166666666666667</v>
      </c>
      <c r="G396" s="22"/>
    </row>
    <row r="397" spans="8:8" ht="34.5" customHeight="1">
      <c r="A397" s="11">
        <v>13.0</v>
      </c>
      <c r="B397" s="21" t="s">
        <v>3833</v>
      </c>
      <c r="C397" s="22">
        <v>241379.0</v>
      </c>
      <c r="D397" s="23" t="s">
        <v>1369</v>
      </c>
      <c r="E397" s="22" t="s">
        <v>580</v>
      </c>
      <c r="F397" s="108">
        <v>0.4166666666666667</v>
      </c>
      <c r="G397" s="22"/>
    </row>
    <row r="398" spans="8:8" ht="34.5" customHeight="1">
      <c r="A398" s="11">
        <v>14.0</v>
      </c>
      <c r="B398" s="21" t="s">
        <v>3834</v>
      </c>
      <c r="C398" s="22">
        <v>241380.0</v>
      </c>
      <c r="D398" s="23" t="s">
        <v>1369</v>
      </c>
      <c r="E398" s="22" t="s">
        <v>580</v>
      </c>
      <c r="F398" s="108">
        <v>0.4166666666666667</v>
      </c>
      <c r="G398" s="22"/>
    </row>
    <row r="399" spans="8:8" ht="34.5" customHeight="1">
      <c r="A399" s="11">
        <v>15.0</v>
      </c>
      <c r="B399" s="21" t="s">
        <v>3835</v>
      </c>
      <c r="C399" s="22">
        <v>241894.0</v>
      </c>
      <c r="D399" s="23" t="s">
        <v>1369</v>
      </c>
      <c r="E399" s="22" t="s">
        <v>580</v>
      </c>
      <c r="F399" s="108">
        <v>0.4166666666666667</v>
      </c>
      <c r="G399" s="22"/>
    </row>
    <row r="400" spans="8:8" ht="34.5" customHeight="1">
      <c r="A400" s="11">
        <v>16.0</v>
      </c>
      <c r="B400" s="21" t="s">
        <v>3836</v>
      </c>
      <c r="C400" s="22">
        <v>241602.0</v>
      </c>
      <c r="D400" s="23" t="s">
        <v>1369</v>
      </c>
      <c r="E400" s="22" t="s">
        <v>580</v>
      </c>
      <c r="F400" s="108">
        <v>0.4166666666666667</v>
      </c>
      <c r="G400" s="22"/>
    </row>
    <row r="401" spans="8:8" ht="34.5" customHeight="1">
      <c r="A401" s="11">
        <v>17.0</v>
      </c>
      <c r="B401" s="21" t="s">
        <v>3837</v>
      </c>
      <c r="C401" s="22">
        <v>241603.0</v>
      </c>
      <c r="D401" s="23" t="s">
        <v>1369</v>
      </c>
      <c r="E401" s="22" t="s">
        <v>580</v>
      </c>
      <c r="F401" s="108">
        <v>0.4166666666666667</v>
      </c>
      <c r="G401" s="22"/>
    </row>
    <row r="402" spans="8:8" ht="34.5" customHeight="1">
      <c r="A402" s="11">
        <v>18.0</v>
      </c>
      <c r="B402" s="21" t="s">
        <v>3838</v>
      </c>
      <c r="C402" s="22">
        <v>241608.0</v>
      </c>
      <c r="D402" s="23" t="s">
        <v>1369</v>
      </c>
      <c r="E402" s="22" t="s">
        <v>580</v>
      </c>
      <c r="F402" s="108">
        <v>0.4166666666666667</v>
      </c>
      <c r="G402" s="22"/>
    </row>
    <row r="403" spans="8:8" ht="34.5" customHeight="1">
      <c r="A403" s="11">
        <v>19.0</v>
      </c>
      <c r="B403" s="21" t="s">
        <v>3839</v>
      </c>
      <c r="C403" s="22">
        <v>241609.0</v>
      </c>
      <c r="D403" s="23" t="s">
        <v>1369</v>
      </c>
      <c r="E403" s="13" t="s">
        <v>580</v>
      </c>
      <c r="F403" s="108">
        <v>0.4166666666666667</v>
      </c>
      <c r="G403" s="13"/>
    </row>
    <row r="404" spans="8:8" ht="34.5" customHeight="1">
      <c r="A404" s="11">
        <v>20.0</v>
      </c>
      <c r="B404" s="21" t="s">
        <v>3840</v>
      </c>
      <c r="C404" s="22">
        <v>241521.0</v>
      </c>
      <c r="D404" s="23" t="s">
        <v>1369</v>
      </c>
      <c r="E404" s="22" t="s">
        <v>580</v>
      </c>
      <c r="F404" s="108">
        <v>0.4166666666666667</v>
      </c>
      <c r="G404" s="22"/>
    </row>
    <row r="405" spans="8:8" ht="34.5" customHeight="1">
      <c r="A405" s="11">
        <v>21.0</v>
      </c>
      <c r="B405" s="21" t="s">
        <v>3841</v>
      </c>
      <c r="C405" s="22">
        <v>241578.0</v>
      </c>
      <c r="D405" s="23" t="s">
        <v>1369</v>
      </c>
      <c r="E405" s="13" t="s">
        <v>580</v>
      </c>
      <c r="F405" s="108">
        <v>0.4166666666666667</v>
      </c>
      <c r="G405" s="13"/>
    </row>
    <row r="406" spans="8:8" ht="34.5" customHeight="1">
      <c r="A406" s="11">
        <v>22.0</v>
      </c>
      <c r="B406" s="21" t="s">
        <v>3842</v>
      </c>
      <c r="C406" s="22">
        <v>252381.0</v>
      </c>
      <c r="D406" s="21" t="s">
        <v>104</v>
      </c>
      <c r="E406" s="22" t="s">
        <v>580</v>
      </c>
      <c r="F406" s="108">
        <v>0.4166666666666667</v>
      </c>
      <c r="G406" s="22"/>
    </row>
    <row r="407" spans="8:8" ht="34.5" customHeight="1">
      <c r="A407" s="11">
        <v>23.0</v>
      </c>
      <c r="B407" s="21" t="s">
        <v>3843</v>
      </c>
      <c r="C407" s="22">
        <v>251509.0</v>
      </c>
      <c r="D407" s="107" t="s">
        <v>1868</v>
      </c>
      <c r="E407" s="22" t="s">
        <v>580</v>
      </c>
      <c r="F407" s="108">
        <v>0.4166666666666667</v>
      </c>
      <c r="G407" s="22"/>
    </row>
    <row r="408" spans="8:8" ht="34.5" customHeight="1">
      <c r="A408" s="11">
        <v>24.0</v>
      </c>
      <c r="B408" s="21" t="s">
        <v>3844</v>
      </c>
      <c r="C408" s="22">
        <v>241569.0</v>
      </c>
      <c r="D408" s="23" t="s">
        <v>1369</v>
      </c>
      <c r="E408" s="22" t="s">
        <v>580</v>
      </c>
      <c r="F408" s="108">
        <v>0.4166666666666667</v>
      </c>
      <c r="G408" s="22"/>
    </row>
    <row r="409" spans="8:8" ht="34.5" customHeight="1">
      <c r="A409" s="11">
        <v>25.0</v>
      </c>
      <c r="B409" s="21" t="s">
        <v>3845</v>
      </c>
      <c r="C409" s="22">
        <v>251753.0</v>
      </c>
      <c r="D409" s="107" t="s">
        <v>1868</v>
      </c>
      <c r="E409" s="22" t="s">
        <v>580</v>
      </c>
      <c r="F409" s="108">
        <v>0.4166666666666667</v>
      </c>
      <c r="G409" s="22"/>
    </row>
    <row r="410" spans="8:8" ht="34.5" customHeight="1">
      <c r="A410" s="8" t="s">
        <v>18</v>
      </c>
      <c r="B410" s="9" t="s">
        <v>19</v>
      </c>
      <c r="C410" s="9" t="s">
        <v>20</v>
      </c>
      <c r="D410" s="9" t="s">
        <v>21</v>
      </c>
      <c r="E410" s="9" t="s">
        <v>22</v>
      </c>
      <c r="F410" s="9" t="s">
        <v>23</v>
      </c>
      <c r="G410" s="9" t="s">
        <v>3276</v>
      </c>
    </row>
    <row r="411" spans="8:8" ht="34.5" customHeight="1">
      <c r="A411" s="11">
        <v>1.0</v>
      </c>
      <c r="B411" s="21" t="s">
        <v>3846</v>
      </c>
      <c r="C411" s="22">
        <v>241556.0</v>
      </c>
      <c r="D411" s="23" t="s">
        <v>1369</v>
      </c>
      <c r="E411" s="22" t="s">
        <v>580</v>
      </c>
      <c r="F411" s="108">
        <v>0.4166666666666667</v>
      </c>
      <c r="G411" s="13"/>
    </row>
    <row r="412" spans="8:8" ht="34.5" customHeight="1">
      <c r="A412" s="11">
        <v>2.0</v>
      </c>
      <c r="B412" s="21" t="s">
        <v>3847</v>
      </c>
      <c r="C412" s="22">
        <v>251433.0</v>
      </c>
      <c r="D412" s="107" t="s">
        <v>1868</v>
      </c>
      <c r="E412" s="22" t="s">
        <v>580</v>
      </c>
      <c r="F412" s="108">
        <v>0.4166666666666667</v>
      </c>
      <c r="G412" s="22"/>
    </row>
    <row r="413" spans="8:8" ht="34.5" customHeight="1">
      <c r="A413" s="11">
        <v>3.0</v>
      </c>
      <c r="B413" s="21" t="s">
        <v>3848</v>
      </c>
      <c r="C413" s="22">
        <v>251710.0</v>
      </c>
      <c r="D413" s="107" t="s">
        <v>1868</v>
      </c>
      <c r="E413" s="22" t="s">
        <v>580</v>
      </c>
      <c r="F413" s="108">
        <v>0.4166666666666667</v>
      </c>
      <c r="G413" s="22"/>
    </row>
    <row r="414" spans="8:8" ht="34.5" customHeight="1">
      <c r="A414" s="11">
        <v>4.0</v>
      </c>
      <c r="B414" s="21" t="s">
        <v>3849</v>
      </c>
      <c r="C414" s="22">
        <v>252927.0</v>
      </c>
      <c r="D414" s="107" t="s">
        <v>1868</v>
      </c>
      <c r="E414" s="22" t="s">
        <v>580</v>
      </c>
      <c r="F414" s="108">
        <v>0.4166666666666667</v>
      </c>
      <c r="G414" s="22"/>
    </row>
    <row r="415" spans="8:8" ht="34.5" customHeight="1">
      <c r="A415" s="11">
        <v>5.0</v>
      </c>
      <c r="B415" s="21" t="s">
        <v>3850</v>
      </c>
      <c r="C415" s="22">
        <v>241613.0</v>
      </c>
      <c r="D415" s="23" t="s">
        <v>1369</v>
      </c>
      <c r="E415" s="22" t="s">
        <v>580</v>
      </c>
      <c r="F415" s="108">
        <v>0.4166666666666667</v>
      </c>
      <c r="G415" s="22"/>
    </row>
    <row r="416" spans="8:8" ht="34.5" customHeight="1">
      <c r="A416" s="11">
        <v>6.0</v>
      </c>
      <c r="B416" s="21" t="s">
        <v>3851</v>
      </c>
      <c r="C416" s="22">
        <v>241615.0</v>
      </c>
      <c r="D416" s="23" t="s">
        <v>1369</v>
      </c>
      <c r="E416" s="22" t="s">
        <v>580</v>
      </c>
      <c r="F416" s="108">
        <v>0.4166666666666667</v>
      </c>
      <c r="G416" s="22"/>
    </row>
    <row r="417" spans="8:8" ht="34.5" customHeight="1">
      <c r="A417" s="11">
        <v>7.0</v>
      </c>
      <c r="B417" s="21" t="s">
        <v>3852</v>
      </c>
      <c r="C417" s="22">
        <v>241621.0</v>
      </c>
      <c r="D417" s="23" t="s">
        <v>1369</v>
      </c>
      <c r="E417" s="22" t="s">
        <v>580</v>
      </c>
      <c r="F417" s="108">
        <v>0.4166666666666667</v>
      </c>
      <c r="G417" s="22"/>
    </row>
    <row r="418" spans="8:8" ht="34.5" customHeight="1">
      <c r="A418" s="11">
        <v>8.0</v>
      </c>
      <c r="B418" s="21" t="s">
        <v>3853</v>
      </c>
      <c r="C418" s="22">
        <v>241628.0</v>
      </c>
      <c r="D418" s="23" t="s">
        <v>1369</v>
      </c>
      <c r="E418" s="22" t="s">
        <v>580</v>
      </c>
      <c r="F418" s="108">
        <v>0.4166666666666667</v>
      </c>
      <c r="G418" s="22"/>
    </row>
    <row r="419" spans="8:8" ht="34.5" customHeight="1">
      <c r="A419" s="11">
        <v>9.0</v>
      </c>
      <c r="B419" s="21" t="s">
        <v>3854</v>
      </c>
      <c r="C419" s="22">
        <v>241630.0</v>
      </c>
      <c r="D419" s="23" t="s">
        <v>1369</v>
      </c>
      <c r="E419" s="22" t="s">
        <v>580</v>
      </c>
      <c r="F419" s="108">
        <v>0.4166666666666667</v>
      </c>
      <c r="G419" s="22"/>
    </row>
    <row r="420" spans="8:8" ht="34.5" customHeight="1">
      <c r="A420" s="11">
        <v>10.0</v>
      </c>
      <c r="B420" s="21" t="s">
        <v>3855</v>
      </c>
      <c r="C420" s="22">
        <v>241903.0</v>
      </c>
      <c r="D420" s="23" t="s">
        <v>1369</v>
      </c>
      <c r="E420" s="22" t="s">
        <v>580</v>
      </c>
      <c r="F420" s="108">
        <v>0.4166666666666667</v>
      </c>
      <c r="G420" s="22"/>
    </row>
    <row r="421" spans="8:8" ht="34.5" customHeight="1">
      <c r="A421" s="11">
        <v>11.0</v>
      </c>
      <c r="B421" s="21" t="s">
        <v>3856</v>
      </c>
      <c r="C421" s="22">
        <v>241649.0</v>
      </c>
      <c r="D421" s="23" t="s">
        <v>1369</v>
      </c>
      <c r="E421" s="22" t="s">
        <v>580</v>
      </c>
      <c r="F421" s="108">
        <v>0.4166666666666667</v>
      </c>
      <c r="G421" s="22"/>
    </row>
    <row r="422" spans="8:8" ht="34.5" customHeight="1">
      <c r="A422" s="11">
        <v>12.0</v>
      </c>
      <c r="B422" s="21" t="s">
        <v>3857</v>
      </c>
      <c r="C422" s="22">
        <v>241652.0</v>
      </c>
      <c r="D422" s="23" t="s">
        <v>1369</v>
      </c>
      <c r="E422" s="22" t="s">
        <v>580</v>
      </c>
      <c r="F422" s="108">
        <v>0.4166666666666667</v>
      </c>
      <c r="G422" s="22"/>
    </row>
    <row r="423" spans="8:8" ht="34.5" customHeight="1">
      <c r="A423" s="11">
        <v>13.0</v>
      </c>
      <c r="B423" s="21" t="s">
        <v>3858</v>
      </c>
      <c r="C423" s="22">
        <v>241657.0</v>
      </c>
      <c r="D423" s="23" t="s">
        <v>1369</v>
      </c>
      <c r="E423" s="22" t="s">
        <v>580</v>
      </c>
      <c r="F423" s="108">
        <v>0.4166666666666667</v>
      </c>
      <c r="G423" s="22"/>
    </row>
    <row r="424" spans="8:8" ht="34.5" customHeight="1">
      <c r="A424" s="11">
        <v>14.0</v>
      </c>
      <c r="B424" s="21" t="s">
        <v>3859</v>
      </c>
      <c r="C424" s="22">
        <v>241662.0</v>
      </c>
      <c r="D424" s="23" t="s">
        <v>1369</v>
      </c>
      <c r="E424" s="22" t="s">
        <v>580</v>
      </c>
      <c r="F424" s="108">
        <v>0.4166666666666667</v>
      </c>
      <c r="G424" s="22"/>
    </row>
    <row r="425" spans="8:8" ht="34.5" customHeight="1">
      <c r="A425" s="11">
        <v>15.0</v>
      </c>
      <c r="B425" s="21" t="s">
        <v>3860</v>
      </c>
      <c r="C425" s="22">
        <v>241665.0</v>
      </c>
      <c r="D425" s="23" t="s">
        <v>1369</v>
      </c>
      <c r="E425" s="13" t="s">
        <v>580</v>
      </c>
      <c r="F425" s="108">
        <v>0.4166666666666667</v>
      </c>
      <c r="G425" s="13"/>
    </row>
    <row r="426" spans="8:8" ht="34.5" customHeight="1">
      <c r="A426" s="11">
        <v>16.0</v>
      </c>
      <c r="B426" s="21" t="s">
        <v>3861</v>
      </c>
      <c r="C426" s="22">
        <v>251712.0</v>
      </c>
      <c r="D426" s="107" t="s">
        <v>1868</v>
      </c>
      <c r="E426" s="22" t="s">
        <v>580</v>
      </c>
      <c r="F426" s="108">
        <v>0.4166666666666667</v>
      </c>
      <c r="G426" s="22"/>
    </row>
    <row r="427" spans="8:8" ht="34.5" customHeight="1">
      <c r="A427" s="11">
        <v>17.0</v>
      </c>
      <c r="B427" s="21" t="s">
        <v>3862</v>
      </c>
      <c r="C427" s="22">
        <v>251728.0</v>
      </c>
      <c r="D427" s="107" t="s">
        <v>1868</v>
      </c>
      <c r="E427" s="22" t="s">
        <v>580</v>
      </c>
      <c r="F427" s="108">
        <v>0.4166666666666667</v>
      </c>
      <c r="G427" s="22"/>
    </row>
    <row r="428" spans="8:8" ht="34.5" customHeight="1">
      <c r="A428" s="11">
        <v>18.0</v>
      </c>
      <c r="B428" s="21" t="s">
        <v>3863</v>
      </c>
      <c r="C428" s="22">
        <v>251758.0</v>
      </c>
      <c r="D428" s="107" t="s">
        <v>1868</v>
      </c>
      <c r="E428" s="22" t="s">
        <v>580</v>
      </c>
      <c r="F428" s="108">
        <v>0.4166666666666667</v>
      </c>
      <c r="G428" s="22"/>
    </row>
    <row r="429" spans="8:8" ht="34.5" customHeight="1">
      <c r="A429" s="11">
        <v>19.0</v>
      </c>
      <c r="B429" s="21" t="s">
        <v>3864</v>
      </c>
      <c r="C429" s="22">
        <v>241640.0</v>
      </c>
      <c r="D429" s="12" t="s">
        <v>1369</v>
      </c>
      <c r="E429" s="22" t="s">
        <v>580</v>
      </c>
      <c r="F429" s="108">
        <v>0.4166666666666667</v>
      </c>
      <c r="G429" s="22"/>
    </row>
    <row r="430" spans="8:8" ht="34.5" customHeight="1">
      <c r="A430" s="11">
        <v>20.0</v>
      </c>
      <c r="B430" s="21" t="s">
        <v>3865</v>
      </c>
      <c r="C430" s="22">
        <v>251721.0</v>
      </c>
      <c r="D430" s="107" t="s">
        <v>1868</v>
      </c>
      <c r="E430" s="22" t="s">
        <v>580</v>
      </c>
      <c r="F430" s="108">
        <v>0.4166666666666667</v>
      </c>
      <c r="G430" s="22"/>
    </row>
    <row r="431" spans="8:8" ht="34.5" customHeight="1">
      <c r="A431" s="8" t="s">
        <v>18</v>
      </c>
      <c r="B431" s="9" t="s">
        <v>19</v>
      </c>
      <c r="C431" s="9" t="s">
        <v>20</v>
      </c>
      <c r="D431" s="9" t="s">
        <v>21</v>
      </c>
      <c r="E431" s="9" t="s">
        <v>22</v>
      </c>
      <c r="F431" s="9" t="s">
        <v>23</v>
      </c>
      <c r="G431" s="9" t="s">
        <v>3866</v>
      </c>
    </row>
    <row r="432" spans="8:8" ht="34.5" customHeight="1">
      <c r="A432" s="11">
        <v>1.0</v>
      </c>
      <c r="B432" s="21" t="s">
        <v>3867</v>
      </c>
      <c r="C432" s="22">
        <v>251688.0</v>
      </c>
      <c r="D432" s="107" t="s">
        <v>1868</v>
      </c>
      <c r="E432" s="22" t="s">
        <v>580</v>
      </c>
      <c r="F432" s="108">
        <v>0.4166666666666667</v>
      </c>
      <c r="G432" s="13"/>
    </row>
    <row r="433" spans="8:8" ht="34.5" customHeight="1">
      <c r="A433" s="11">
        <v>2.0</v>
      </c>
      <c r="B433" s="21" t="s">
        <v>3868</v>
      </c>
      <c r="C433" s="22">
        <v>251763.0</v>
      </c>
      <c r="D433" s="107" t="s">
        <v>1868</v>
      </c>
      <c r="E433" s="22" t="s">
        <v>580</v>
      </c>
      <c r="F433" s="108">
        <v>0.4166666666666667</v>
      </c>
      <c r="G433" s="22"/>
    </row>
    <row r="434" spans="8:8" ht="34.5" customHeight="1">
      <c r="A434" s="11">
        <v>3.0</v>
      </c>
      <c r="B434" s="21" t="s">
        <v>3869</v>
      </c>
      <c r="C434" s="22">
        <v>251684.0</v>
      </c>
      <c r="D434" s="107" t="s">
        <v>1868</v>
      </c>
      <c r="E434" s="22" t="s">
        <v>580</v>
      </c>
      <c r="F434" s="108">
        <v>0.4166666666666667</v>
      </c>
      <c r="G434" s="22"/>
    </row>
    <row r="435" spans="8:8" ht="34.5" customHeight="1">
      <c r="A435" s="11">
        <v>4.0</v>
      </c>
      <c r="B435" s="21" t="s">
        <v>3870</v>
      </c>
      <c r="C435" s="22">
        <v>251686.0</v>
      </c>
      <c r="D435" s="107" t="s">
        <v>1868</v>
      </c>
      <c r="E435" s="22" t="s">
        <v>580</v>
      </c>
      <c r="F435" s="108">
        <v>0.4166666666666667</v>
      </c>
      <c r="G435" s="22"/>
    </row>
    <row r="436" spans="8:8" ht="34.5" customHeight="1">
      <c r="A436" s="11">
        <v>5.0</v>
      </c>
      <c r="B436" s="21" t="s">
        <v>3871</v>
      </c>
      <c r="C436" s="22">
        <v>251755.0</v>
      </c>
      <c r="D436" s="107" t="s">
        <v>1868</v>
      </c>
      <c r="E436" s="22" t="s">
        <v>580</v>
      </c>
      <c r="F436" s="108">
        <v>0.4166666666666667</v>
      </c>
      <c r="G436" s="22"/>
    </row>
    <row r="437" spans="8:8" ht="34.5" customHeight="1">
      <c r="A437" s="11">
        <v>6.0</v>
      </c>
      <c r="B437" s="21" t="s">
        <v>3872</v>
      </c>
      <c r="C437" s="22">
        <v>251476.0</v>
      </c>
      <c r="D437" s="107" t="s">
        <v>1868</v>
      </c>
      <c r="E437" s="22" t="s">
        <v>580</v>
      </c>
      <c r="F437" s="108">
        <v>0.4166666666666667</v>
      </c>
      <c r="G437" s="22"/>
    </row>
    <row r="438" spans="8:8" ht="34.5" customHeight="1">
      <c r="A438" s="11">
        <v>7.0</v>
      </c>
      <c r="B438" s="21" t="s">
        <v>3873</v>
      </c>
      <c r="C438" s="22">
        <v>251703.0</v>
      </c>
      <c r="D438" s="107" t="s">
        <v>1868</v>
      </c>
      <c r="E438" s="22" t="s">
        <v>580</v>
      </c>
      <c r="F438" s="108">
        <v>0.4166666666666667</v>
      </c>
      <c r="G438" s="22"/>
    </row>
    <row r="439" spans="8:8" ht="34.5" customHeight="1">
      <c r="A439" s="11">
        <v>8.0</v>
      </c>
      <c r="B439" s="21" t="s">
        <v>3874</v>
      </c>
      <c r="C439" s="22">
        <v>251689.0</v>
      </c>
      <c r="D439" s="107" t="s">
        <v>1868</v>
      </c>
      <c r="E439" s="22" t="s">
        <v>580</v>
      </c>
      <c r="F439" s="108">
        <v>0.4166666666666667</v>
      </c>
      <c r="G439" s="22"/>
    </row>
    <row r="440" spans="8:8" ht="34.5" customHeight="1">
      <c r="A440" s="11">
        <v>9.0</v>
      </c>
      <c r="B440" s="21" t="s">
        <v>3875</v>
      </c>
      <c r="C440" s="22">
        <v>251708.0</v>
      </c>
      <c r="D440" s="107" t="s">
        <v>1868</v>
      </c>
      <c r="E440" s="22" t="s">
        <v>580</v>
      </c>
      <c r="F440" s="108">
        <v>0.4166666666666667</v>
      </c>
      <c r="G440" s="22"/>
    </row>
    <row r="441" spans="8:8" ht="34.5" customHeight="1">
      <c r="A441" s="11">
        <v>10.0</v>
      </c>
      <c r="B441" s="21" t="s">
        <v>3876</v>
      </c>
      <c r="C441" s="22">
        <v>251704.0</v>
      </c>
      <c r="D441" s="107" t="s">
        <v>1868</v>
      </c>
      <c r="E441" s="22" t="s">
        <v>580</v>
      </c>
      <c r="F441" s="108">
        <v>0.4166666666666667</v>
      </c>
      <c r="G441" s="22"/>
    </row>
    <row r="442" spans="8:8" ht="34.5" customHeight="1">
      <c r="A442" s="11">
        <v>11.0</v>
      </c>
      <c r="B442" s="21" t="s">
        <v>3877</v>
      </c>
      <c r="C442" s="22">
        <v>241642.0</v>
      </c>
      <c r="D442" s="23" t="s">
        <v>1369</v>
      </c>
      <c r="E442" s="22" t="s">
        <v>580</v>
      </c>
      <c r="F442" s="108">
        <v>0.4166666666666667</v>
      </c>
      <c r="G442" s="22"/>
    </row>
    <row r="443" spans="8:8" ht="34.5" customHeight="1">
      <c r="A443" s="11">
        <v>12.0</v>
      </c>
      <c r="B443" s="12" t="s">
        <v>3878</v>
      </c>
      <c r="C443" s="13">
        <v>251436.0</v>
      </c>
      <c r="D443" s="107" t="s">
        <v>1868</v>
      </c>
      <c r="E443" s="13" t="s">
        <v>580</v>
      </c>
      <c r="F443" s="108">
        <v>0.4166666666666667</v>
      </c>
      <c r="G443" s="13"/>
    </row>
    <row r="444" spans="8:8" ht="34.5" customHeight="1">
      <c r="A444" s="11">
        <v>14.0</v>
      </c>
      <c r="B444" s="21" t="s">
        <v>3879</v>
      </c>
      <c r="C444" s="22">
        <v>241257.0</v>
      </c>
      <c r="D444" s="23" t="s">
        <v>1369</v>
      </c>
      <c r="E444" s="22" t="s">
        <v>580</v>
      </c>
      <c r="F444" s="108">
        <v>0.4166666666666667</v>
      </c>
      <c r="G444" s="22"/>
    </row>
    <row r="445" spans="8:8" ht="34.5" customHeight="1">
      <c r="A445" s="11">
        <v>15.0</v>
      </c>
      <c r="B445" s="19" t="s">
        <v>3880</v>
      </c>
      <c r="C445" s="20">
        <v>253145.0</v>
      </c>
      <c r="D445" s="12" t="s">
        <v>27</v>
      </c>
      <c r="E445" s="20" t="s">
        <v>580</v>
      </c>
      <c r="F445" s="108">
        <v>0.4166666666666667</v>
      </c>
      <c r="G445" s="20"/>
    </row>
    <row r="446" spans="8:8" ht="34.5" customHeight="1">
      <c r="A446" s="11">
        <v>16.0</v>
      </c>
      <c r="B446" s="21" t="s">
        <v>3881</v>
      </c>
      <c r="C446" s="22">
        <v>251663.0</v>
      </c>
      <c r="D446" s="107" t="s">
        <v>1868</v>
      </c>
      <c r="E446" s="22" t="s">
        <v>580</v>
      </c>
      <c r="F446" s="108">
        <v>0.4166666666666667</v>
      </c>
      <c r="G446" s="22"/>
    </row>
    <row r="447" spans="8:8" ht="34.5" customHeight="1">
      <c r="A447" s="11">
        <v>17.0</v>
      </c>
      <c r="B447" s="21" t="s">
        <v>3882</v>
      </c>
      <c r="C447" s="22">
        <v>241835.0</v>
      </c>
      <c r="D447" s="23" t="s">
        <v>1369</v>
      </c>
      <c r="E447" s="22" t="s">
        <v>580</v>
      </c>
      <c r="F447" s="108">
        <v>0.4166666666666667</v>
      </c>
      <c r="G447" s="22"/>
    </row>
    <row r="448" spans="8:8" ht="34.5" customHeight="1">
      <c r="A448" s="11">
        <v>18.0</v>
      </c>
      <c r="B448" s="21" t="s">
        <v>3883</v>
      </c>
      <c r="C448" s="22">
        <v>241851.0</v>
      </c>
      <c r="D448" s="23" t="s">
        <v>1369</v>
      </c>
      <c r="E448" s="22" t="s">
        <v>580</v>
      </c>
      <c r="F448" s="108">
        <v>0.4166666666666667</v>
      </c>
      <c r="G448" s="22"/>
    </row>
    <row r="449" spans="8:8" ht="34.5" customHeight="1">
      <c r="A449" s="11">
        <v>19.0</v>
      </c>
      <c r="B449" s="21" t="s">
        <v>3884</v>
      </c>
      <c r="C449" s="22">
        <v>241852.0</v>
      </c>
      <c r="D449" s="23" t="s">
        <v>1369</v>
      </c>
      <c r="E449" s="22" t="s">
        <v>580</v>
      </c>
      <c r="F449" s="108">
        <v>0.4166666666666667</v>
      </c>
      <c r="G449" s="22"/>
    </row>
    <row r="450" spans="8:8" ht="34.5" customHeight="1">
      <c r="A450" s="11">
        <v>20.0</v>
      </c>
      <c r="B450" s="21" t="s">
        <v>3885</v>
      </c>
      <c r="C450" s="22">
        <v>241297.0</v>
      </c>
      <c r="D450" s="23" t="s">
        <v>1369</v>
      </c>
      <c r="E450" s="22" t="s">
        <v>580</v>
      </c>
      <c r="F450" s="108">
        <v>0.4166666666666667</v>
      </c>
      <c r="G450" s="22"/>
    </row>
    <row r="451" spans="8:8" ht="34.5" customHeight="1">
      <c r="A451" s="11">
        <v>21.0</v>
      </c>
      <c r="B451" s="21" t="s">
        <v>3886</v>
      </c>
      <c r="C451" s="22">
        <v>241304.0</v>
      </c>
      <c r="D451" s="23" t="s">
        <v>1369</v>
      </c>
      <c r="E451" s="22" t="s">
        <v>580</v>
      </c>
      <c r="F451" s="108">
        <v>0.4166666666666667</v>
      </c>
      <c r="G451" s="22"/>
    </row>
    <row r="452" spans="8:8" ht="34.5" customHeight="1">
      <c r="A452" s="11">
        <v>22.0</v>
      </c>
      <c r="B452" s="21" t="s">
        <v>3887</v>
      </c>
      <c r="C452" s="22">
        <v>241308.0</v>
      </c>
      <c r="D452" s="23" t="s">
        <v>1369</v>
      </c>
      <c r="E452" s="22" t="s">
        <v>580</v>
      </c>
      <c r="F452" s="108">
        <v>0.4166666666666667</v>
      </c>
      <c r="G452" s="22"/>
    </row>
    <row r="453" spans="8:8" ht="34.5" customHeight="1">
      <c r="A453" s="11">
        <v>23.0</v>
      </c>
      <c r="B453" s="21" t="s">
        <v>3888</v>
      </c>
      <c r="C453" s="22">
        <v>241309.0</v>
      </c>
      <c r="D453" s="23" t="s">
        <v>1369</v>
      </c>
      <c r="E453" s="22" t="s">
        <v>580</v>
      </c>
      <c r="F453" s="108">
        <v>0.4166666666666667</v>
      </c>
      <c r="G453" s="22"/>
    </row>
    <row r="454" spans="8:8" ht="34.5" customHeight="1">
      <c r="A454" s="11">
        <v>24.0</v>
      </c>
      <c r="B454" s="21" t="s">
        <v>3889</v>
      </c>
      <c r="C454" s="22">
        <v>241310.0</v>
      </c>
      <c r="D454" s="23" t="s">
        <v>1369</v>
      </c>
      <c r="E454" s="22" t="s">
        <v>580</v>
      </c>
      <c r="F454" s="108">
        <v>0.4166666666666667</v>
      </c>
      <c r="G454" s="22"/>
    </row>
    <row r="455" spans="8:8" ht="34.5" customHeight="1">
      <c r="A455" s="11">
        <v>25.0</v>
      </c>
      <c r="B455" s="21" t="s">
        <v>3890</v>
      </c>
      <c r="C455" s="22">
        <v>241315.0</v>
      </c>
      <c r="D455" s="23" t="s">
        <v>1369</v>
      </c>
      <c r="E455" s="22" t="s">
        <v>580</v>
      </c>
      <c r="F455" s="108">
        <v>0.4166666666666667</v>
      </c>
      <c r="G455" s="22"/>
    </row>
    <row r="456" spans="8:8" ht="34.5" customHeight="1">
      <c r="A456" s="8" t="s">
        <v>18</v>
      </c>
      <c r="B456" s="9" t="s">
        <v>19</v>
      </c>
      <c r="C456" s="9" t="s">
        <v>20</v>
      </c>
      <c r="D456" s="9" t="s">
        <v>21</v>
      </c>
      <c r="E456" s="9" t="s">
        <v>22</v>
      </c>
      <c r="F456" s="9" t="s">
        <v>23</v>
      </c>
      <c r="G456" s="9" t="s">
        <v>3891</v>
      </c>
    </row>
    <row r="457" spans="8:8" ht="34.5" customHeight="1">
      <c r="A457" s="11">
        <v>1.0</v>
      </c>
      <c r="B457" s="21" t="s">
        <v>3892</v>
      </c>
      <c r="C457" s="22">
        <v>241318.0</v>
      </c>
      <c r="D457" s="23" t="s">
        <v>1369</v>
      </c>
      <c r="E457" s="22" t="s">
        <v>580</v>
      </c>
      <c r="F457" s="108">
        <v>0.4166666666666667</v>
      </c>
      <c r="G457" s="13"/>
    </row>
    <row r="458" spans="8:8" ht="34.5" customHeight="1">
      <c r="A458" s="11">
        <v>2.0</v>
      </c>
      <c r="B458" s="21" t="s">
        <v>3893</v>
      </c>
      <c r="C458" s="22">
        <v>241323.0</v>
      </c>
      <c r="D458" s="23" t="s">
        <v>1369</v>
      </c>
      <c r="E458" s="22" t="s">
        <v>580</v>
      </c>
      <c r="F458" s="108">
        <v>0.4166666666666667</v>
      </c>
      <c r="G458" s="22"/>
    </row>
    <row r="459" spans="8:8" ht="34.5" customHeight="1">
      <c r="A459" s="11">
        <v>3.0</v>
      </c>
      <c r="B459" s="21" t="s">
        <v>3894</v>
      </c>
      <c r="C459" s="22">
        <v>241328.0</v>
      </c>
      <c r="D459" s="23" t="s">
        <v>1369</v>
      </c>
      <c r="E459" s="22" t="s">
        <v>580</v>
      </c>
      <c r="F459" s="108">
        <v>0.4166666666666667</v>
      </c>
      <c r="G459" s="22"/>
    </row>
    <row r="460" spans="8:8" ht="34.5" customHeight="1">
      <c r="A460" s="11">
        <v>4.0</v>
      </c>
      <c r="B460" s="21" t="s">
        <v>3895</v>
      </c>
      <c r="C460" s="22">
        <v>241330.0</v>
      </c>
      <c r="D460" s="23" t="s">
        <v>1369</v>
      </c>
      <c r="E460" s="22" t="s">
        <v>580</v>
      </c>
      <c r="F460" s="108">
        <v>0.4166666666666667</v>
      </c>
      <c r="G460" s="22"/>
    </row>
    <row r="461" spans="8:8" ht="34.5" customHeight="1">
      <c r="A461" s="11">
        <v>5.0</v>
      </c>
      <c r="B461" s="21" t="s">
        <v>3896</v>
      </c>
      <c r="C461" s="22">
        <v>241335.0</v>
      </c>
      <c r="D461" s="23" t="s">
        <v>1369</v>
      </c>
      <c r="E461" s="22" t="s">
        <v>580</v>
      </c>
      <c r="F461" s="108">
        <v>0.4166666666666667</v>
      </c>
      <c r="G461" s="22"/>
    </row>
    <row r="462" spans="8:8" ht="34.5" customHeight="1">
      <c r="A462" s="11">
        <v>6.0</v>
      </c>
      <c r="B462" s="21" t="s">
        <v>3897</v>
      </c>
      <c r="C462" s="22">
        <v>241385.0</v>
      </c>
      <c r="D462" s="23" t="s">
        <v>1369</v>
      </c>
      <c r="E462" s="22" t="s">
        <v>580</v>
      </c>
      <c r="F462" s="108">
        <v>0.4166666666666667</v>
      </c>
      <c r="G462" s="22"/>
    </row>
    <row r="463" spans="8:8" ht="34.5" customHeight="1">
      <c r="A463" s="11">
        <v>7.0</v>
      </c>
      <c r="B463" s="21" t="s">
        <v>3898</v>
      </c>
      <c r="C463" s="22">
        <v>241391.0</v>
      </c>
      <c r="D463" s="23" t="s">
        <v>1369</v>
      </c>
      <c r="E463" s="22" t="s">
        <v>580</v>
      </c>
      <c r="F463" s="108">
        <v>0.4166666666666667</v>
      </c>
      <c r="G463" s="22"/>
    </row>
    <row r="464" spans="8:8" ht="34.5" customHeight="1">
      <c r="A464" s="11">
        <v>8.0</v>
      </c>
      <c r="B464" s="21" t="s">
        <v>3899</v>
      </c>
      <c r="C464" s="22">
        <v>241397.0</v>
      </c>
      <c r="D464" s="23" t="s">
        <v>1369</v>
      </c>
      <c r="E464" s="22" t="s">
        <v>580</v>
      </c>
      <c r="F464" s="108">
        <v>0.4166666666666667</v>
      </c>
      <c r="G464" s="22"/>
    </row>
    <row r="465" spans="8:8" ht="34.5" customHeight="1">
      <c r="A465" s="11">
        <v>9.0</v>
      </c>
      <c r="B465" s="21" t="s">
        <v>3900</v>
      </c>
      <c r="C465" s="22">
        <v>241399.0</v>
      </c>
      <c r="D465" s="23" t="s">
        <v>1369</v>
      </c>
      <c r="E465" s="22" t="s">
        <v>580</v>
      </c>
      <c r="F465" s="108">
        <v>0.4166666666666667</v>
      </c>
      <c r="G465" s="22"/>
    </row>
    <row r="466" spans="8:8" ht="34.5" customHeight="1">
      <c r="A466" s="11">
        <v>10.0</v>
      </c>
      <c r="B466" s="21" t="s">
        <v>3901</v>
      </c>
      <c r="C466" s="22">
        <v>241401.0</v>
      </c>
      <c r="D466" s="23" t="s">
        <v>1369</v>
      </c>
      <c r="E466" s="22" t="s">
        <v>580</v>
      </c>
      <c r="F466" s="108">
        <v>0.4166666666666667</v>
      </c>
      <c r="G466" s="22"/>
    </row>
    <row r="467" spans="8:8" ht="34.5" customHeight="1">
      <c r="A467" s="11">
        <v>11.0</v>
      </c>
      <c r="B467" s="21" t="s">
        <v>3902</v>
      </c>
      <c r="C467" s="22">
        <v>241410.0</v>
      </c>
      <c r="D467" s="23" t="s">
        <v>1369</v>
      </c>
      <c r="E467" s="22" t="s">
        <v>580</v>
      </c>
      <c r="F467" s="108">
        <v>0.4166666666666667</v>
      </c>
      <c r="G467" s="22"/>
    </row>
    <row r="468" spans="8:8" ht="34.5" customHeight="1">
      <c r="A468" s="11">
        <v>12.0</v>
      </c>
      <c r="B468" s="21" t="s">
        <v>3903</v>
      </c>
      <c r="C468" s="22">
        <v>241940.0</v>
      </c>
      <c r="D468" s="23" t="s">
        <v>1369</v>
      </c>
      <c r="E468" s="13" t="s">
        <v>580</v>
      </c>
      <c r="F468" s="108">
        <v>0.4166666666666667</v>
      </c>
      <c r="G468" s="13"/>
    </row>
    <row r="469" spans="8:8" ht="34.5" customHeight="1">
      <c r="A469" s="11">
        <v>13.0</v>
      </c>
      <c r="B469" s="21" t="s">
        <v>3904</v>
      </c>
      <c r="C469" s="22">
        <v>241473.0</v>
      </c>
      <c r="D469" s="23" t="s">
        <v>1369</v>
      </c>
      <c r="E469" s="22" t="s">
        <v>580</v>
      </c>
      <c r="F469" s="108">
        <v>0.4166666666666667</v>
      </c>
      <c r="G469" s="22"/>
    </row>
    <row r="470" spans="8:8" ht="34.5" customHeight="1">
      <c r="A470" s="11">
        <v>14.0</v>
      </c>
      <c r="B470" s="21" t="s">
        <v>3905</v>
      </c>
      <c r="C470" s="22">
        <v>241448.0</v>
      </c>
      <c r="D470" s="23" t="s">
        <v>1369</v>
      </c>
      <c r="E470" s="22" t="s">
        <v>580</v>
      </c>
      <c r="F470" s="108">
        <v>0.4166666666666667</v>
      </c>
      <c r="G470" s="22"/>
    </row>
    <row r="471" spans="8:8" ht="34.5" customHeight="1">
      <c r="A471" s="11">
        <v>15.0</v>
      </c>
      <c r="B471" s="21" t="s">
        <v>3906</v>
      </c>
      <c r="C471" s="22">
        <v>241512.0</v>
      </c>
      <c r="D471" s="23" t="s">
        <v>1369</v>
      </c>
      <c r="E471" s="22" t="s">
        <v>580</v>
      </c>
      <c r="F471" s="108">
        <v>0.4166666666666667</v>
      </c>
      <c r="G471" s="22"/>
    </row>
    <row r="472" spans="8:8" ht="34.5" customHeight="1">
      <c r="A472" s="11">
        <v>16.0</v>
      </c>
      <c r="B472" s="21" t="s">
        <v>3907</v>
      </c>
      <c r="C472" s="22">
        <v>251742.0</v>
      </c>
      <c r="D472" s="107" t="s">
        <v>1868</v>
      </c>
      <c r="E472" s="22" t="s">
        <v>580</v>
      </c>
      <c r="F472" s="108">
        <v>0.4166666666666667</v>
      </c>
      <c r="G472" s="22"/>
    </row>
    <row r="473" spans="8:8" ht="34.5" customHeight="1">
      <c r="A473" s="11">
        <v>17.0</v>
      </c>
      <c r="B473" s="21" t="s">
        <v>3908</v>
      </c>
      <c r="C473" s="22">
        <v>251439.0</v>
      </c>
      <c r="D473" s="107" t="s">
        <v>1868</v>
      </c>
      <c r="E473" s="22" t="s">
        <v>580</v>
      </c>
      <c r="F473" s="108">
        <v>0.4166666666666667</v>
      </c>
      <c r="G473" s="22"/>
    </row>
    <row r="474" spans="8:8" ht="34.5" customHeight="1">
      <c r="A474" s="11">
        <v>18.0</v>
      </c>
      <c r="B474" s="21" t="s">
        <v>3909</v>
      </c>
      <c r="C474" s="22">
        <v>251716.0</v>
      </c>
      <c r="D474" s="107" t="s">
        <v>1868</v>
      </c>
      <c r="E474" s="22" t="s">
        <v>580</v>
      </c>
      <c r="F474" s="108">
        <v>0.4166666666666667</v>
      </c>
      <c r="G474" s="22"/>
    </row>
    <row r="475" spans="8:8" ht="34.5" customHeight="1">
      <c r="A475" s="11">
        <v>19.0</v>
      </c>
      <c r="B475" s="21" t="s">
        <v>3910</v>
      </c>
      <c r="C475" s="22">
        <v>241463.0</v>
      </c>
      <c r="D475" s="23" t="s">
        <v>1369</v>
      </c>
      <c r="E475" s="22" t="s">
        <v>580</v>
      </c>
      <c r="F475" s="108">
        <v>0.4166666666666667</v>
      </c>
      <c r="G475" s="22"/>
    </row>
    <row r="476" spans="8:8" ht="34.5" customHeight="1">
      <c r="A476" s="11">
        <v>20.0</v>
      </c>
      <c r="B476" s="21" t="s">
        <v>3911</v>
      </c>
      <c r="C476" s="22">
        <v>251651.0</v>
      </c>
      <c r="D476" s="107" t="s">
        <v>1868</v>
      </c>
      <c r="E476" s="22" t="s">
        <v>580</v>
      </c>
      <c r="F476" s="108">
        <v>0.4166666666666667</v>
      </c>
      <c r="G476" s="22"/>
    </row>
    <row r="477" spans="8:8" ht="34.5" customHeight="1">
      <c r="A477" s="11">
        <v>21.0</v>
      </c>
      <c r="B477" s="21" t="s">
        <v>3912</v>
      </c>
      <c r="C477" s="22">
        <v>241180.0</v>
      </c>
      <c r="D477" s="23" t="s">
        <v>1369</v>
      </c>
      <c r="E477" s="22" t="s">
        <v>580</v>
      </c>
      <c r="F477" s="108">
        <v>0.4166666666666667</v>
      </c>
      <c r="G477" s="22"/>
    </row>
    <row r="478" spans="8:8" ht="34.5" customHeight="1">
      <c r="A478" s="11">
        <v>22.0</v>
      </c>
      <c r="B478" s="21" t="s">
        <v>3913</v>
      </c>
      <c r="C478" s="22">
        <v>251660.0</v>
      </c>
      <c r="D478" s="107" t="s">
        <v>1868</v>
      </c>
      <c r="E478" s="22" t="s">
        <v>580</v>
      </c>
      <c r="F478" s="108">
        <v>0.4166666666666667</v>
      </c>
      <c r="G478" s="22"/>
    </row>
    <row r="479" spans="8:8" ht="34.5" customHeight="1">
      <c r="A479" s="11">
        <v>23.0</v>
      </c>
      <c r="B479" s="21" t="s">
        <v>3914</v>
      </c>
      <c r="C479" s="22">
        <v>241298.0</v>
      </c>
      <c r="D479" s="23" t="s">
        <v>1369</v>
      </c>
      <c r="E479" s="22" t="s">
        <v>580</v>
      </c>
      <c r="F479" s="108">
        <v>0.4166666666666667</v>
      </c>
      <c r="G479" s="22"/>
    </row>
    <row r="480" spans="8:8" ht="34.5" customHeight="1">
      <c r="A480" s="8" t="s">
        <v>18</v>
      </c>
      <c r="B480" s="9" t="s">
        <v>19</v>
      </c>
      <c r="C480" s="9" t="s">
        <v>20</v>
      </c>
      <c r="D480" s="9" t="s">
        <v>21</v>
      </c>
      <c r="E480" s="9" t="s">
        <v>22</v>
      </c>
      <c r="F480" s="9" t="s">
        <v>23</v>
      </c>
      <c r="G480" s="9" t="s">
        <v>3330</v>
      </c>
    </row>
    <row r="481" spans="8:8" ht="34.5" customHeight="1">
      <c r="A481" s="11">
        <v>1.0</v>
      </c>
      <c r="B481" s="21" t="s">
        <v>3915</v>
      </c>
      <c r="C481" s="22">
        <v>241168.0</v>
      </c>
      <c r="D481" s="23" t="s">
        <v>1369</v>
      </c>
      <c r="E481" s="22" t="s">
        <v>580</v>
      </c>
      <c r="F481" s="108">
        <v>0.4166666666666667</v>
      </c>
      <c r="G481" s="13"/>
    </row>
    <row r="482" spans="8:8" ht="34.5" customHeight="1">
      <c r="A482" s="11">
        <v>2.0</v>
      </c>
      <c r="B482" s="21" t="s">
        <v>3916</v>
      </c>
      <c r="C482" s="22">
        <v>241411.0</v>
      </c>
      <c r="D482" s="23" t="s">
        <v>1369</v>
      </c>
      <c r="E482" s="22" t="s">
        <v>580</v>
      </c>
      <c r="F482" s="108">
        <v>0.4166666666666667</v>
      </c>
      <c r="G482" s="22"/>
    </row>
    <row r="483" spans="8:8" ht="34.5" customHeight="1">
      <c r="A483" s="11">
        <v>3.0</v>
      </c>
      <c r="B483" s="21" t="s">
        <v>3917</v>
      </c>
      <c r="C483" s="22">
        <v>241413.0</v>
      </c>
      <c r="D483" s="23" t="s">
        <v>1369</v>
      </c>
      <c r="E483" s="22" t="s">
        <v>580</v>
      </c>
      <c r="F483" s="108">
        <v>0.4166666666666667</v>
      </c>
      <c r="G483" s="22"/>
    </row>
    <row r="484" spans="8:8" ht="34.5" customHeight="1">
      <c r="A484" s="11">
        <v>4.0</v>
      </c>
      <c r="B484" s="21" t="s">
        <v>3918</v>
      </c>
      <c r="C484" s="22">
        <v>241416.0</v>
      </c>
      <c r="D484" s="23" t="s">
        <v>1369</v>
      </c>
      <c r="E484" s="22" t="s">
        <v>580</v>
      </c>
      <c r="F484" s="108">
        <v>0.4166666666666667</v>
      </c>
      <c r="G484" s="22"/>
    </row>
    <row r="485" spans="8:8" ht="34.5" customHeight="1">
      <c r="A485" s="11">
        <v>5.0</v>
      </c>
      <c r="B485" s="21" t="s">
        <v>3919</v>
      </c>
      <c r="C485" s="22">
        <v>241417.0</v>
      </c>
      <c r="D485" s="23" t="s">
        <v>1369</v>
      </c>
      <c r="E485" s="22" t="s">
        <v>580</v>
      </c>
      <c r="F485" s="108">
        <v>0.4166666666666667</v>
      </c>
      <c r="G485" s="22"/>
    </row>
    <row r="486" spans="8:8" ht="34.5" customHeight="1">
      <c r="A486" s="11">
        <v>6.0</v>
      </c>
      <c r="B486" s="21" t="s">
        <v>3920</v>
      </c>
      <c r="C486" s="22">
        <v>241420.0</v>
      </c>
      <c r="D486" s="23" t="s">
        <v>1369</v>
      </c>
      <c r="E486" s="22" t="s">
        <v>580</v>
      </c>
      <c r="F486" s="108">
        <v>0.4166666666666667</v>
      </c>
      <c r="G486" s="22"/>
    </row>
    <row r="487" spans="8:8" ht="34.5" customHeight="1">
      <c r="A487" s="11">
        <v>7.0</v>
      </c>
      <c r="B487" s="21" t="s">
        <v>3921</v>
      </c>
      <c r="C487" s="22">
        <v>241426.0</v>
      </c>
      <c r="D487" s="23" t="s">
        <v>1369</v>
      </c>
      <c r="E487" s="22" t="s">
        <v>580</v>
      </c>
      <c r="F487" s="108">
        <v>0.4166666666666667</v>
      </c>
      <c r="G487" s="22"/>
    </row>
    <row r="488" spans="8:8" ht="34.5" customHeight="1">
      <c r="A488" s="11">
        <v>8.0</v>
      </c>
      <c r="B488" s="21" t="s">
        <v>3922</v>
      </c>
      <c r="C488" s="22">
        <v>241429.0</v>
      </c>
      <c r="D488" s="23" t="s">
        <v>1369</v>
      </c>
      <c r="E488" s="22" t="s">
        <v>580</v>
      </c>
      <c r="F488" s="108">
        <v>0.4166666666666667</v>
      </c>
      <c r="G488" s="22"/>
    </row>
    <row r="489" spans="8:8" ht="34.5" customHeight="1">
      <c r="A489" s="11">
        <v>9.0</v>
      </c>
      <c r="B489" s="21" t="s">
        <v>3923</v>
      </c>
      <c r="C489" s="22">
        <v>241430.0</v>
      </c>
      <c r="D489" s="23" t="s">
        <v>1369</v>
      </c>
      <c r="E489" s="22" t="s">
        <v>580</v>
      </c>
      <c r="F489" s="108">
        <v>0.4166666666666667</v>
      </c>
      <c r="G489" s="22"/>
    </row>
    <row r="490" spans="8:8" ht="34.5" customHeight="1">
      <c r="A490" s="11">
        <v>10.0</v>
      </c>
      <c r="B490" s="21" t="s">
        <v>3924</v>
      </c>
      <c r="C490" s="22">
        <v>241434.0</v>
      </c>
      <c r="D490" s="23" t="s">
        <v>1369</v>
      </c>
      <c r="E490" s="22" t="s">
        <v>580</v>
      </c>
      <c r="F490" s="108">
        <v>0.4166666666666667</v>
      </c>
      <c r="G490" s="22"/>
    </row>
    <row r="491" spans="8:8" ht="34.5" customHeight="1">
      <c r="A491" s="11">
        <v>11.0</v>
      </c>
      <c r="B491" s="21" t="s">
        <v>3925</v>
      </c>
      <c r="C491" s="22">
        <v>241436.0</v>
      </c>
      <c r="D491" s="23" t="s">
        <v>1369</v>
      </c>
      <c r="E491" s="22" t="s">
        <v>580</v>
      </c>
      <c r="F491" s="108">
        <v>0.4166666666666667</v>
      </c>
      <c r="G491" s="22"/>
    </row>
    <row r="492" spans="8:8" ht="34.5" customHeight="1">
      <c r="A492" s="11">
        <v>12.0</v>
      </c>
      <c r="B492" s="21" t="s">
        <v>3926</v>
      </c>
      <c r="C492" s="22">
        <v>241437.0</v>
      </c>
      <c r="D492" s="23" t="s">
        <v>1369</v>
      </c>
      <c r="E492" s="22" t="s">
        <v>580</v>
      </c>
      <c r="F492" s="108">
        <v>0.4166666666666667</v>
      </c>
      <c r="G492" s="22"/>
    </row>
    <row r="493" spans="8:8" ht="34.5" customHeight="1">
      <c r="A493" s="11">
        <v>13.0</v>
      </c>
      <c r="B493" s="21" t="s">
        <v>3927</v>
      </c>
      <c r="C493" s="22">
        <v>241438.0</v>
      </c>
      <c r="D493" s="23" t="s">
        <v>1369</v>
      </c>
      <c r="E493" s="22" t="s">
        <v>580</v>
      </c>
      <c r="F493" s="108">
        <v>0.4166666666666667</v>
      </c>
      <c r="G493" s="22"/>
    </row>
    <row r="494" spans="8:8" ht="34.5" customHeight="1">
      <c r="A494" s="11">
        <v>14.0</v>
      </c>
      <c r="B494" s="21" t="s">
        <v>3928</v>
      </c>
      <c r="C494" s="22">
        <v>241442.0</v>
      </c>
      <c r="D494" s="23" t="s">
        <v>1369</v>
      </c>
      <c r="E494" s="22" t="s">
        <v>580</v>
      </c>
      <c r="F494" s="108">
        <v>0.4166666666666667</v>
      </c>
      <c r="G494" s="22"/>
    </row>
    <row r="495" spans="8:8" ht="34.5" customHeight="1">
      <c r="A495" s="11">
        <v>15.0</v>
      </c>
      <c r="B495" s="21" t="s">
        <v>3929</v>
      </c>
      <c r="C495" s="22">
        <v>241445.0</v>
      </c>
      <c r="D495" s="23" t="s">
        <v>1369</v>
      </c>
      <c r="E495" s="22" t="s">
        <v>580</v>
      </c>
      <c r="F495" s="108">
        <v>0.4166666666666667</v>
      </c>
      <c r="G495" s="22"/>
    </row>
    <row r="496" spans="8:8" ht="34.5" customHeight="1">
      <c r="A496" s="11">
        <v>16.0</v>
      </c>
      <c r="B496" s="21" t="s">
        <v>3930</v>
      </c>
      <c r="C496" s="22">
        <v>241446.0</v>
      </c>
      <c r="D496" s="23" t="s">
        <v>1369</v>
      </c>
      <c r="E496" s="22" t="s">
        <v>580</v>
      </c>
      <c r="F496" s="108">
        <v>0.4166666666666667</v>
      </c>
      <c r="G496" s="22"/>
    </row>
    <row r="497" spans="8:8" ht="34.5" customHeight="1">
      <c r="A497" s="11">
        <v>17.0</v>
      </c>
      <c r="B497" s="21" t="s">
        <v>3931</v>
      </c>
      <c r="C497" s="22">
        <v>241601.0</v>
      </c>
      <c r="D497" s="23" t="s">
        <v>1369</v>
      </c>
      <c r="E497" s="22" t="s">
        <v>580</v>
      </c>
      <c r="F497" s="108">
        <v>0.4166666666666667</v>
      </c>
      <c r="G497" s="22"/>
    </row>
    <row r="498" spans="8:8" ht="34.5" customHeight="1">
      <c r="A498" s="11">
        <v>18.0</v>
      </c>
      <c r="B498" s="21" t="s">
        <v>3932</v>
      </c>
      <c r="C498" s="22">
        <v>241291.0</v>
      </c>
      <c r="D498" s="23" t="s">
        <v>1369</v>
      </c>
      <c r="E498" s="22" t="s">
        <v>580</v>
      </c>
      <c r="F498" s="108">
        <v>0.4166666666666667</v>
      </c>
      <c r="G498" s="22"/>
    </row>
    <row r="499" spans="8:8" ht="34.5" customHeight="1">
      <c r="A499" s="11">
        <v>19.0</v>
      </c>
      <c r="B499" s="21" t="s">
        <v>3933</v>
      </c>
      <c r="C499" s="22">
        <v>241365.0</v>
      </c>
      <c r="D499" s="23" t="s">
        <v>1369</v>
      </c>
      <c r="E499" s="22" t="s">
        <v>580</v>
      </c>
      <c r="F499" s="108">
        <v>0.4166666666666667</v>
      </c>
      <c r="G499" s="22"/>
    </row>
    <row r="500" spans="8:8" ht="34.5" customHeight="1">
      <c r="A500" s="11">
        <v>20.0</v>
      </c>
      <c r="B500" s="21" t="s">
        <v>3934</v>
      </c>
      <c r="C500" s="22">
        <v>241402.0</v>
      </c>
      <c r="D500" s="23" t="s">
        <v>1369</v>
      </c>
      <c r="E500" s="22" t="s">
        <v>580</v>
      </c>
      <c r="F500" s="108">
        <v>0.4166666666666667</v>
      </c>
      <c r="G500" s="22"/>
    </row>
    <row r="501" spans="8:8" ht="34.5" customHeight="1">
      <c r="A501" s="11">
        <v>21.0</v>
      </c>
      <c r="B501" s="21" t="s">
        <v>3935</v>
      </c>
      <c r="C501" s="22">
        <v>241319.0</v>
      </c>
      <c r="D501" s="23" t="s">
        <v>1369</v>
      </c>
      <c r="E501" s="22" t="s">
        <v>580</v>
      </c>
      <c r="F501" s="108">
        <v>0.4166666666666667</v>
      </c>
      <c r="G501" s="22"/>
    </row>
    <row r="502" spans="8:8" ht="34.5" customHeight="1">
      <c r="A502" s="11">
        <v>22.0</v>
      </c>
      <c r="B502" s="21" t="s">
        <v>3936</v>
      </c>
      <c r="C502" s="22">
        <v>251588.0</v>
      </c>
      <c r="D502" s="107" t="s">
        <v>1868</v>
      </c>
      <c r="E502" s="22" t="s">
        <v>580</v>
      </c>
      <c r="F502" s="108">
        <v>0.4166666666666667</v>
      </c>
      <c r="G502" s="22"/>
    </row>
    <row r="503" spans="8:8" ht="34.5" customHeight="1">
      <c r="A503" s="11">
        <v>23.0</v>
      </c>
      <c r="B503" s="21" t="s">
        <v>3937</v>
      </c>
      <c r="C503" s="13">
        <v>241863.0</v>
      </c>
      <c r="D503" s="23" t="s">
        <v>1369</v>
      </c>
      <c r="E503" s="22" t="s">
        <v>580</v>
      </c>
      <c r="F503" s="108">
        <v>0.4166666666666667</v>
      </c>
      <c r="G503" s="22"/>
    </row>
    <row r="504" spans="8:8" ht="34.5" customHeight="1">
      <c r="A504" s="11">
        <v>24.0</v>
      </c>
      <c r="B504" s="21" t="s">
        <v>3938</v>
      </c>
      <c r="C504" s="22">
        <v>241941.0</v>
      </c>
      <c r="D504" s="23" t="s">
        <v>1369</v>
      </c>
      <c r="E504" s="13" t="s">
        <v>580</v>
      </c>
      <c r="F504" s="108">
        <v>0.4166666666666667</v>
      </c>
      <c r="G504" s="13"/>
    </row>
    <row r="505" spans="8:8" ht="34.5" customHeight="1">
      <c r="A505" s="11">
        <v>25.0</v>
      </c>
      <c r="B505" s="21" t="s">
        <v>3939</v>
      </c>
      <c r="C505" s="22">
        <v>251722.0</v>
      </c>
      <c r="D505" s="107" t="s">
        <v>1868</v>
      </c>
      <c r="E505" s="22" t="s">
        <v>580</v>
      </c>
      <c r="F505" s="108">
        <v>0.4166666666666667</v>
      </c>
      <c r="G505" s="22"/>
    </row>
    <row r="506" spans="8:8" ht="34.5" customHeight="1">
      <c r="A506" s="8" t="s">
        <v>18</v>
      </c>
      <c r="B506" s="9" t="s">
        <v>19</v>
      </c>
      <c r="C506" s="9" t="s">
        <v>20</v>
      </c>
      <c r="D506" s="9" t="s">
        <v>21</v>
      </c>
      <c r="E506" s="9" t="s">
        <v>22</v>
      </c>
      <c r="F506" s="9" t="s">
        <v>23</v>
      </c>
      <c r="G506" s="9" t="s">
        <v>552</v>
      </c>
    </row>
    <row r="507" spans="8:8" ht="34.5" customHeight="1">
      <c r="A507" s="11">
        <v>1.0</v>
      </c>
      <c r="B507" s="21" t="s">
        <v>3940</v>
      </c>
      <c r="C507" s="22">
        <v>251326.0</v>
      </c>
      <c r="D507" s="107" t="s">
        <v>1868</v>
      </c>
      <c r="E507" s="22" t="s">
        <v>781</v>
      </c>
      <c r="F507" s="108">
        <v>0.4166666666666667</v>
      </c>
      <c r="G507" s="13"/>
    </row>
    <row r="508" spans="8:8" ht="34.5" customHeight="1">
      <c r="A508" s="11">
        <v>2.0</v>
      </c>
      <c r="B508" s="21" t="s">
        <v>3941</v>
      </c>
      <c r="C508" s="22">
        <v>251333.0</v>
      </c>
      <c r="D508" s="107" t="s">
        <v>1868</v>
      </c>
      <c r="E508" s="22" t="s">
        <v>781</v>
      </c>
      <c r="F508" s="108">
        <v>0.4166666666666667</v>
      </c>
      <c r="G508" s="22"/>
    </row>
    <row r="509" spans="8:8" ht="34.5" customHeight="1">
      <c r="A509" s="11">
        <v>3.0</v>
      </c>
      <c r="B509" s="21" t="s">
        <v>3942</v>
      </c>
      <c r="C509" s="22">
        <v>251340.0</v>
      </c>
      <c r="D509" s="107" t="s">
        <v>1868</v>
      </c>
      <c r="E509" s="22" t="s">
        <v>781</v>
      </c>
      <c r="F509" s="108">
        <v>0.4166666666666667</v>
      </c>
      <c r="G509" s="22"/>
    </row>
    <row r="510" spans="8:8" ht="34.5" customHeight="1">
      <c r="A510" s="11">
        <v>4.0</v>
      </c>
      <c r="B510" s="21" t="s">
        <v>3943</v>
      </c>
      <c r="C510" s="22">
        <v>251342.0</v>
      </c>
      <c r="D510" s="107" t="s">
        <v>1868</v>
      </c>
      <c r="E510" s="22" t="s">
        <v>781</v>
      </c>
      <c r="F510" s="108">
        <v>0.4166666666666667</v>
      </c>
      <c r="G510" s="22"/>
    </row>
    <row r="511" spans="8:8" ht="34.5" customHeight="1">
      <c r="A511" s="11">
        <v>5.0</v>
      </c>
      <c r="B511" s="21" t="s">
        <v>3944</v>
      </c>
      <c r="C511" s="22">
        <v>252971.0</v>
      </c>
      <c r="D511" s="107" t="s">
        <v>1868</v>
      </c>
      <c r="E511" s="22" t="s">
        <v>781</v>
      </c>
      <c r="F511" s="108">
        <v>0.4166666666666667</v>
      </c>
      <c r="G511" s="22"/>
    </row>
    <row r="512" spans="8:8" ht="34.5" customHeight="1">
      <c r="A512" s="11">
        <v>6.0</v>
      </c>
      <c r="B512" s="21" t="s">
        <v>3945</v>
      </c>
      <c r="C512" s="22">
        <v>251549.0</v>
      </c>
      <c r="D512" s="107" t="s">
        <v>1868</v>
      </c>
      <c r="E512" s="22" t="s">
        <v>781</v>
      </c>
      <c r="F512" s="108">
        <v>0.4166666666666667</v>
      </c>
      <c r="G512" s="22"/>
    </row>
    <row r="513" spans="8:8" ht="34.5" customHeight="1">
      <c r="A513" s="11">
        <v>7.0</v>
      </c>
      <c r="B513" s="21" t="s">
        <v>3946</v>
      </c>
      <c r="C513" s="22">
        <v>251554.0</v>
      </c>
      <c r="D513" s="107" t="s">
        <v>1868</v>
      </c>
      <c r="E513" s="22" t="s">
        <v>781</v>
      </c>
      <c r="F513" s="108">
        <v>0.4166666666666667</v>
      </c>
      <c r="G513" s="22"/>
    </row>
    <row r="514" spans="8:8" ht="34.5" customHeight="1">
      <c r="A514" s="11">
        <v>8.0</v>
      </c>
      <c r="B514" s="21" t="s">
        <v>3947</v>
      </c>
      <c r="C514" s="22">
        <v>251559.0</v>
      </c>
      <c r="D514" s="107" t="s">
        <v>1868</v>
      </c>
      <c r="E514" s="22" t="s">
        <v>781</v>
      </c>
      <c r="F514" s="108">
        <v>0.4166666666666667</v>
      </c>
      <c r="G514" s="22"/>
    </row>
    <row r="515" spans="8:8" ht="34.5" customHeight="1">
      <c r="A515" s="11">
        <v>9.0</v>
      </c>
      <c r="B515" s="21" t="s">
        <v>3948</v>
      </c>
      <c r="C515" s="22">
        <v>241324.0</v>
      </c>
      <c r="D515" s="23" t="s">
        <v>1369</v>
      </c>
      <c r="E515" s="22" t="s">
        <v>781</v>
      </c>
      <c r="F515" s="108">
        <v>0.4166666666666667</v>
      </c>
      <c r="G515" s="22"/>
    </row>
    <row r="516" spans="8:8" ht="34.5" customHeight="1">
      <c r="A516" s="11">
        <v>10.0</v>
      </c>
      <c r="B516" s="21" t="s">
        <v>3949</v>
      </c>
      <c r="C516" s="22">
        <v>241396.0</v>
      </c>
      <c r="D516" s="23" t="s">
        <v>1369</v>
      </c>
      <c r="E516" s="22" t="s">
        <v>781</v>
      </c>
      <c r="F516" s="108">
        <v>0.4166666666666667</v>
      </c>
      <c r="G516" s="22"/>
    </row>
    <row r="517" spans="8:8" ht="34.5" customHeight="1">
      <c r="A517" s="11">
        <v>11.0</v>
      </c>
      <c r="B517" s="21" t="s">
        <v>3950</v>
      </c>
      <c r="C517" s="22">
        <v>241645.0</v>
      </c>
      <c r="D517" s="23" t="s">
        <v>1369</v>
      </c>
      <c r="E517" s="22" t="s">
        <v>781</v>
      </c>
      <c r="F517" s="108">
        <v>0.4166666666666667</v>
      </c>
      <c r="G517" s="22"/>
    </row>
    <row r="518" spans="8:8" ht="34.5" customHeight="1">
      <c r="A518" s="11">
        <v>12.0</v>
      </c>
      <c r="B518" s="21" t="s">
        <v>3951</v>
      </c>
      <c r="C518" s="22">
        <v>241647.0</v>
      </c>
      <c r="D518" s="23" t="s">
        <v>1369</v>
      </c>
      <c r="E518" s="22" t="s">
        <v>781</v>
      </c>
      <c r="F518" s="108">
        <v>0.4166666666666667</v>
      </c>
      <c r="G518" s="22"/>
    </row>
    <row r="519" spans="8:8" ht="34.5" customHeight="1">
      <c r="A519" s="11">
        <v>13.0</v>
      </c>
      <c r="B519" s="21" t="s">
        <v>3952</v>
      </c>
      <c r="C519" s="22">
        <v>241650.0</v>
      </c>
      <c r="D519" s="23" t="s">
        <v>1369</v>
      </c>
      <c r="E519" s="22" t="s">
        <v>781</v>
      </c>
      <c r="F519" s="108">
        <v>0.4166666666666667</v>
      </c>
      <c r="G519" s="22"/>
    </row>
    <row r="520" spans="8:8" ht="34.5" customHeight="1">
      <c r="A520" s="11">
        <v>14.0</v>
      </c>
      <c r="B520" s="21" t="s">
        <v>3953</v>
      </c>
      <c r="C520" s="22">
        <v>241654.0</v>
      </c>
      <c r="D520" s="23" t="s">
        <v>1369</v>
      </c>
      <c r="E520" s="13" t="s">
        <v>781</v>
      </c>
      <c r="F520" s="108">
        <v>0.4166666666666667</v>
      </c>
      <c r="G520" s="13"/>
    </row>
    <row r="521" spans="8:8" ht="34.5" customHeight="1">
      <c r="A521" s="11">
        <v>15.0</v>
      </c>
      <c r="B521" s="21" t="s">
        <v>3954</v>
      </c>
      <c r="C521" s="22">
        <v>251939.0</v>
      </c>
      <c r="D521" s="21" t="s">
        <v>104</v>
      </c>
      <c r="E521" s="22" t="s">
        <v>781</v>
      </c>
      <c r="F521" s="108">
        <v>0.4166666666666667</v>
      </c>
      <c r="G521" s="22"/>
    </row>
    <row r="522" spans="8:8" ht="34.5" customHeight="1">
      <c r="A522" s="11">
        <v>16.0</v>
      </c>
      <c r="B522" s="21" t="s">
        <v>3955</v>
      </c>
      <c r="C522" s="22">
        <v>251987.0</v>
      </c>
      <c r="D522" s="21" t="s">
        <v>104</v>
      </c>
      <c r="E522" s="22" t="s">
        <v>781</v>
      </c>
      <c r="F522" s="108">
        <v>0.4166666666666667</v>
      </c>
      <c r="G522" s="22"/>
    </row>
    <row r="523" spans="8:8" ht="34.5" customHeight="1">
      <c r="A523" s="11">
        <v>17.0</v>
      </c>
      <c r="B523" s="21" t="s">
        <v>3956</v>
      </c>
      <c r="C523" s="22">
        <v>251717.0</v>
      </c>
      <c r="D523" s="107" t="s">
        <v>1868</v>
      </c>
      <c r="E523" s="22" t="s">
        <v>781</v>
      </c>
      <c r="F523" s="108">
        <v>0.4166666666666667</v>
      </c>
      <c r="G523" s="22"/>
    </row>
    <row r="524" spans="8:8" ht="34.5" customHeight="1">
      <c r="A524" s="11">
        <v>18.0</v>
      </c>
      <c r="B524" s="21" t="s">
        <v>3957</v>
      </c>
      <c r="C524" s="22">
        <v>251489.0</v>
      </c>
      <c r="D524" s="107" t="s">
        <v>1868</v>
      </c>
      <c r="E524" s="22" t="s">
        <v>781</v>
      </c>
      <c r="F524" s="108">
        <v>0.4166666666666667</v>
      </c>
      <c r="G524" s="22"/>
    </row>
    <row r="525" spans="8:8" ht="34.5" customHeight="1">
      <c r="A525" s="11">
        <v>19.0</v>
      </c>
      <c r="B525" s="21" t="s">
        <v>3958</v>
      </c>
      <c r="C525" s="22">
        <v>241206.0</v>
      </c>
      <c r="D525" s="23" t="s">
        <v>1369</v>
      </c>
      <c r="E525" s="22" t="s">
        <v>781</v>
      </c>
      <c r="F525" s="108">
        <v>0.4166666666666667</v>
      </c>
      <c r="G525" s="22"/>
    </row>
    <row r="526" spans="8:8" ht="34.5" customHeight="1">
      <c r="A526" s="11">
        <v>20.0</v>
      </c>
      <c r="B526" s="21" t="s">
        <v>3959</v>
      </c>
      <c r="C526" s="22">
        <v>241510.0</v>
      </c>
      <c r="D526" s="23" t="s">
        <v>1369</v>
      </c>
      <c r="E526" s="22" t="s">
        <v>781</v>
      </c>
      <c r="F526" s="108">
        <v>0.4166666666666667</v>
      </c>
      <c r="G526" s="22"/>
    </row>
    <row r="527" spans="8:8" ht="34.5" customHeight="1">
      <c r="A527" s="8" t="s">
        <v>18</v>
      </c>
      <c r="B527" s="9" t="s">
        <v>19</v>
      </c>
      <c r="C527" s="9" t="s">
        <v>20</v>
      </c>
      <c r="D527" s="9" t="s">
        <v>21</v>
      </c>
      <c r="E527" s="9" t="s">
        <v>22</v>
      </c>
      <c r="F527" s="9" t="s">
        <v>23</v>
      </c>
      <c r="G527" s="9" t="s">
        <v>611</v>
      </c>
    </row>
    <row r="528" spans="8:8" ht="34.5" customHeight="1">
      <c r="A528" s="11">
        <v>1.0</v>
      </c>
      <c r="B528" s="21" t="s">
        <v>3960</v>
      </c>
      <c r="C528" s="22">
        <v>241605.0</v>
      </c>
      <c r="D528" s="23" t="s">
        <v>1369</v>
      </c>
      <c r="E528" s="22" t="s">
        <v>781</v>
      </c>
      <c r="F528" s="108">
        <v>0.4166666666666667</v>
      </c>
      <c r="G528" s="13"/>
    </row>
    <row r="529" spans="8:8" ht="34.5" customHeight="1">
      <c r="A529" s="11">
        <v>2.0</v>
      </c>
      <c r="B529" s="21" t="s">
        <v>3961</v>
      </c>
      <c r="C529" s="22">
        <v>241294.0</v>
      </c>
      <c r="D529" s="23" t="s">
        <v>1369</v>
      </c>
      <c r="E529" s="22" t="s">
        <v>781</v>
      </c>
      <c r="F529" s="108">
        <v>0.4166666666666667</v>
      </c>
      <c r="G529" s="22"/>
    </row>
    <row r="530" spans="8:8" ht="34.5" customHeight="1">
      <c r="A530" s="11">
        <v>3.0</v>
      </c>
      <c r="B530" s="21" t="s">
        <v>3962</v>
      </c>
      <c r="C530" s="22">
        <v>241313.0</v>
      </c>
      <c r="D530" s="23" t="s">
        <v>1369</v>
      </c>
      <c r="E530" s="22" t="s">
        <v>781</v>
      </c>
      <c r="F530" s="108">
        <v>0.4166666666666667</v>
      </c>
      <c r="G530" s="22"/>
    </row>
    <row r="531" spans="8:8" ht="34.5" customHeight="1">
      <c r="A531" s="11">
        <v>4.0</v>
      </c>
      <c r="B531" s="21" t="s">
        <v>3963</v>
      </c>
      <c r="C531" s="22">
        <v>241314.0</v>
      </c>
      <c r="D531" s="23" t="s">
        <v>1369</v>
      </c>
      <c r="E531" s="22" t="s">
        <v>781</v>
      </c>
      <c r="F531" s="108">
        <v>0.4166666666666667</v>
      </c>
      <c r="G531" s="22"/>
    </row>
    <row r="532" spans="8:8" ht="34.5" customHeight="1">
      <c r="A532" s="11">
        <v>5.0</v>
      </c>
      <c r="B532" s="12" t="s">
        <v>3964</v>
      </c>
      <c r="C532" s="13">
        <v>241847.0</v>
      </c>
      <c r="D532" s="23" t="s">
        <v>1369</v>
      </c>
      <c r="E532" s="13" t="s">
        <v>781</v>
      </c>
      <c r="F532" s="108">
        <v>0.4166666666666667</v>
      </c>
      <c r="G532" s="13"/>
    </row>
    <row r="533" spans="8:8" ht="34.5" customHeight="1">
      <c r="A533" s="11">
        <v>6.0</v>
      </c>
      <c r="B533" s="21" t="s">
        <v>3965</v>
      </c>
      <c r="C533" s="22">
        <v>241455.0</v>
      </c>
      <c r="D533" s="23" t="s">
        <v>1369</v>
      </c>
      <c r="E533" s="22" t="s">
        <v>781</v>
      </c>
      <c r="F533" s="108">
        <v>0.4166666666666667</v>
      </c>
      <c r="G533" s="22"/>
    </row>
    <row r="534" spans="8:8" ht="34.5" customHeight="1">
      <c r="A534" s="11">
        <v>7.0</v>
      </c>
      <c r="B534" s="21" t="s">
        <v>3966</v>
      </c>
      <c r="C534" s="22">
        <v>241566.0</v>
      </c>
      <c r="D534" s="23" t="s">
        <v>1369</v>
      </c>
      <c r="E534" s="22" t="s">
        <v>781</v>
      </c>
      <c r="F534" s="108">
        <v>0.4166666666666667</v>
      </c>
      <c r="G534" s="22"/>
    </row>
    <row r="535" spans="8:8" ht="34.5" customHeight="1">
      <c r="A535" s="11">
        <v>8.0</v>
      </c>
      <c r="B535" s="21" t="s">
        <v>3967</v>
      </c>
      <c r="C535" s="22">
        <v>241460.0</v>
      </c>
      <c r="D535" s="23" t="s">
        <v>1369</v>
      </c>
      <c r="E535" s="22" t="s">
        <v>781</v>
      </c>
      <c r="F535" s="108">
        <v>0.4166666666666667</v>
      </c>
      <c r="G535" s="22"/>
    </row>
    <row r="536" spans="8:8" ht="34.5" customHeight="1">
      <c r="A536" s="11">
        <v>9.0</v>
      </c>
      <c r="B536" s="21" t="s">
        <v>3968</v>
      </c>
      <c r="C536" s="22">
        <v>241201.0</v>
      </c>
      <c r="D536" s="23" t="s">
        <v>1369</v>
      </c>
      <c r="E536" s="22" t="s">
        <v>781</v>
      </c>
      <c r="F536" s="108">
        <v>0.4166666666666667</v>
      </c>
      <c r="G536" s="22"/>
    </row>
    <row r="537" spans="8:8" ht="34.5" customHeight="1">
      <c r="A537" s="11">
        <v>10.0</v>
      </c>
      <c r="B537" s="12" t="s">
        <v>3969</v>
      </c>
      <c r="C537" s="13">
        <v>250433.0</v>
      </c>
      <c r="D537" s="12" t="s">
        <v>94</v>
      </c>
      <c r="E537" s="13" t="s">
        <v>781</v>
      </c>
      <c r="F537" s="108">
        <v>0.4166666666666667</v>
      </c>
      <c r="G537" s="13"/>
    </row>
    <row r="538" spans="8:8" ht="34.5" customHeight="1">
      <c r="A538" s="11">
        <v>11.0</v>
      </c>
      <c r="B538" s="21" t="s">
        <v>3970</v>
      </c>
      <c r="C538" s="22">
        <v>241320.0</v>
      </c>
      <c r="D538" s="23" t="s">
        <v>1369</v>
      </c>
      <c r="E538" s="22" t="s">
        <v>781</v>
      </c>
      <c r="F538" s="108">
        <v>0.4166666666666667</v>
      </c>
      <c r="G538" s="22"/>
    </row>
    <row r="539" spans="8:8" ht="34.5" customHeight="1">
      <c r="A539" s="11">
        <v>12.0</v>
      </c>
      <c r="B539" s="21" t="s">
        <v>3971</v>
      </c>
      <c r="C539" s="22">
        <v>241322.0</v>
      </c>
      <c r="D539" s="23" t="s">
        <v>1369</v>
      </c>
      <c r="E539" s="22" t="s">
        <v>781</v>
      </c>
      <c r="F539" s="108">
        <v>0.4166666666666667</v>
      </c>
      <c r="G539" s="22"/>
    </row>
    <row r="540" spans="8:8" ht="34.5" customHeight="1">
      <c r="A540" s="11">
        <v>13.0</v>
      </c>
      <c r="B540" s="21" t="s">
        <v>3972</v>
      </c>
      <c r="C540" s="22">
        <v>241334.0</v>
      </c>
      <c r="D540" s="23" t="s">
        <v>1369</v>
      </c>
      <c r="E540" s="22" t="s">
        <v>781</v>
      </c>
      <c r="F540" s="108">
        <v>0.4166666666666667</v>
      </c>
      <c r="G540" s="22"/>
    </row>
    <row r="541" spans="8:8" ht="34.5" customHeight="1">
      <c r="A541" s="11">
        <v>14.0</v>
      </c>
      <c r="B541" s="21" t="s">
        <v>3973</v>
      </c>
      <c r="C541" s="22">
        <v>241339.0</v>
      </c>
      <c r="D541" s="23" t="s">
        <v>1369</v>
      </c>
      <c r="E541" s="22" t="s">
        <v>781</v>
      </c>
      <c r="F541" s="108">
        <v>0.4166666666666667</v>
      </c>
      <c r="G541" s="22"/>
    </row>
    <row r="542" spans="8:8" ht="34.5" customHeight="1">
      <c r="A542" s="11">
        <v>15.0</v>
      </c>
      <c r="B542" s="21" t="s">
        <v>3974</v>
      </c>
      <c r="C542" s="22">
        <v>241354.0</v>
      </c>
      <c r="D542" s="23" t="s">
        <v>1369</v>
      </c>
      <c r="E542" s="22" t="s">
        <v>781</v>
      </c>
      <c r="F542" s="108">
        <v>0.4166666666666667</v>
      </c>
      <c r="G542" s="22"/>
    </row>
    <row r="543" spans="8:8" ht="34.5" customHeight="1">
      <c r="A543" s="11">
        <v>16.0</v>
      </c>
      <c r="B543" s="21" t="s">
        <v>3975</v>
      </c>
      <c r="C543" s="22">
        <v>241356.0</v>
      </c>
      <c r="D543" s="23" t="s">
        <v>1369</v>
      </c>
      <c r="E543" s="22" t="s">
        <v>781</v>
      </c>
      <c r="F543" s="108">
        <v>0.4166666666666667</v>
      </c>
      <c r="G543" s="22"/>
    </row>
    <row r="544" spans="8:8" ht="34.5" customHeight="1">
      <c r="A544" s="11">
        <v>17.0</v>
      </c>
      <c r="B544" s="21" t="s">
        <v>3976</v>
      </c>
      <c r="C544" s="22">
        <v>241358.0</v>
      </c>
      <c r="D544" s="23" t="s">
        <v>1369</v>
      </c>
      <c r="E544" s="22" t="s">
        <v>781</v>
      </c>
      <c r="F544" s="108">
        <v>0.4166666666666667</v>
      </c>
      <c r="G544" s="22"/>
    </row>
    <row r="545" spans="8:8" ht="34.5" customHeight="1">
      <c r="A545" s="11">
        <v>18.0</v>
      </c>
      <c r="B545" s="21" t="s">
        <v>3977</v>
      </c>
      <c r="C545" s="22">
        <v>241360.0</v>
      </c>
      <c r="D545" s="23" t="s">
        <v>1369</v>
      </c>
      <c r="E545" s="22" t="s">
        <v>781</v>
      </c>
      <c r="F545" s="108">
        <v>0.4166666666666667</v>
      </c>
      <c r="G545" s="22"/>
    </row>
    <row r="546" spans="8:8" ht="34.5" customHeight="1">
      <c r="A546" s="11">
        <v>19.0</v>
      </c>
      <c r="B546" s="21" t="s">
        <v>3978</v>
      </c>
      <c r="C546" s="22">
        <v>241361.0</v>
      </c>
      <c r="D546" s="23" t="s">
        <v>1369</v>
      </c>
      <c r="E546" s="22" t="s">
        <v>781</v>
      </c>
      <c r="F546" s="108">
        <v>0.4166666666666667</v>
      </c>
      <c r="G546" s="22"/>
    </row>
    <row r="547" spans="8:8" ht="34.5" customHeight="1">
      <c r="A547" s="11">
        <v>20.0</v>
      </c>
      <c r="B547" s="21" t="s">
        <v>3979</v>
      </c>
      <c r="C547" s="22">
        <v>241363.0</v>
      </c>
      <c r="D547" s="23" t="s">
        <v>1369</v>
      </c>
      <c r="E547" s="22" t="s">
        <v>781</v>
      </c>
      <c r="F547" s="108">
        <v>0.4166666666666667</v>
      </c>
      <c r="G547" s="22"/>
    </row>
    <row r="548" spans="8:8" ht="34.5" customHeight="1">
      <c r="A548" s="11">
        <v>21.0</v>
      </c>
      <c r="B548" s="21" t="s">
        <v>3980</v>
      </c>
      <c r="C548" s="22">
        <v>241381.0</v>
      </c>
      <c r="D548" s="23" t="s">
        <v>1369</v>
      </c>
      <c r="E548" s="22" t="s">
        <v>781</v>
      </c>
      <c r="F548" s="108">
        <v>0.4166666666666667</v>
      </c>
      <c r="G548" s="22"/>
    </row>
    <row r="549" spans="8:8" ht="34.5" customHeight="1">
      <c r="A549" s="11">
        <v>22.0</v>
      </c>
      <c r="B549" s="21" t="s">
        <v>3981</v>
      </c>
      <c r="C549" s="22">
        <v>241386.0</v>
      </c>
      <c r="D549" s="23" t="s">
        <v>1369</v>
      </c>
      <c r="E549" s="22" t="s">
        <v>781</v>
      </c>
      <c r="F549" s="108">
        <v>0.4166666666666667</v>
      </c>
      <c r="G549" s="22"/>
    </row>
    <row r="550" spans="8:8" ht="34.5" customHeight="1">
      <c r="A550" s="11">
        <v>23.0</v>
      </c>
      <c r="B550" s="21" t="s">
        <v>3982</v>
      </c>
      <c r="C550" s="22">
        <v>241466.0</v>
      </c>
      <c r="D550" s="23" t="s">
        <v>1369</v>
      </c>
      <c r="E550" s="22" t="s">
        <v>781</v>
      </c>
      <c r="F550" s="108">
        <v>0.4166666666666667</v>
      </c>
      <c r="G550" s="22"/>
    </row>
    <row r="551" spans="8:8" ht="34.5" customHeight="1">
      <c r="A551" s="8" t="s">
        <v>18</v>
      </c>
      <c r="B551" s="9" t="s">
        <v>19</v>
      </c>
      <c r="C551" s="9" t="s">
        <v>20</v>
      </c>
      <c r="D551" s="9" t="s">
        <v>21</v>
      </c>
      <c r="E551" s="9" t="s">
        <v>22</v>
      </c>
      <c r="F551" s="9" t="s">
        <v>23</v>
      </c>
      <c r="G551" s="9" t="s">
        <v>578</v>
      </c>
    </row>
    <row r="552" spans="8:8" ht="34.5" customHeight="1">
      <c r="A552" s="11">
        <v>1.0</v>
      </c>
      <c r="B552" s="21" t="s">
        <v>3983</v>
      </c>
      <c r="C552" s="22">
        <v>241303.0</v>
      </c>
      <c r="D552" s="23" t="s">
        <v>1369</v>
      </c>
      <c r="E552" s="22" t="s">
        <v>1645</v>
      </c>
      <c r="F552" s="108">
        <v>0.4166666666666667</v>
      </c>
      <c r="G552" s="13"/>
    </row>
    <row r="553" spans="8:8" ht="34.5" customHeight="1">
      <c r="A553" s="11">
        <v>2.0</v>
      </c>
      <c r="B553" s="21" t="s">
        <v>3984</v>
      </c>
      <c r="C553" s="22">
        <v>241326.0</v>
      </c>
      <c r="D553" s="23" t="s">
        <v>1369</v>
      </c>
      <c r="E553" s="22" t="s">
        <v>1645</v>
      </c>
      <c r="F553" s="108">
        <v>0.4166666666666667</v>
      </c>
      <c r="G553" s="22"/>
    </row>
    <row r="554" spans="8:8" ht="34.5" customHeight="1">
      <c r="A554" s="11">
        <v>3.0</v>
      </c>
      <c r="B554" s="21" t="s">
        <v>3985</v>
      </c>
      <c r="C554" s="22">
        <v>241329.0</v>
      </c>
      <c r="D554" s="23" t="s">
        <v>1369</v>
      </c>
      <c r="E554" s="22" t="s">
        <v>1645</v>
      </c>
      <c r="F554" s="108">
        <v>0.4166666666666667</v>
      </c>
      <c r="G554" s="22"/>
    </row>
    <row r="555" spans="8:8" ht="34.5" customHeight="1">
      <c r="A555" s="11">
        <v>4.0</v>
      </c>
      <c r="B555" s="21" t="s">
        <v>3986</v>
      </c>
      <c r="C555" s="22">
        <v>241332.0</v>
      </c>
      <c r="D555" s="23" t="s">
        <v>1369</v>
      </c>
      <c r="E555" s="22" t="s">
        <v>1645</v>
      </c>
      <c r="F555" s="108">
        <v>0.4166666666666667</v>
      </c>
      <c r="G555" s="22"/>
    </row>
    <row r="556" spans="8:8" ht="34.5" customHeight="1">
      <c r="A556" s="11">
        <v>5.0</v>
      </c>
      <c r="B556" s="21" t="s">
        <v>3987</v>
      </c>
      <c r="C556" s="22">
        <v>241347.0</v>
      </c>
      <c r="D556" s="23" t="s">
        <v>1369</v>
      </c>
      <c r="E556" s="22" t="s">
        <v>1645</v>
      </c>
      <c r="F556" s="108">
        <v>0.4166666666666667</v>
      </c>
      <c r="G556" s="22"/>
    </row>
    <row r="557" spans="8:8" ht="34.5" customHeight="1">
      <c r="A557" s="11">
        <v>6.0</v>
      </c>
      <c r="B557" s="21" t="s">
        <v>3988</v>
      </c>
      <c r="C557" s="22">
        <v>241359.0</v>
      </c>
      <c r="D557" s="23" t="s">
        <v>1369</v>
      </c>
      <c r="E557" s="22" t="s">
        <v>1645</v>
      </c>
      <c r="F557" s="108">
        <v>0.4166666666666667</v>
      </c>
      <c r="G557" s="22"/>
    </row>
    <row r="558" spans="8:8" ht="34.5" customHeight="1">
      <c r="A558" s="11">
        <v>7.0</v>
      </c>
      <c r="B558" s="21" t="s">
        <v>3989</v>
      </c>
      <c r="C558" s="22">
        <v>241362.0</v>
      </c>
      <c r="D558" s="23" t="s">
        <v>1369</v>
      </c>
      <c r="E558" s="22" t="s">
        <v>1645</v>
      </c>
      <c r="F558" s="108">
        <v>0.4166666666666667</v>
      </c>
      <c r="G558" s="22"/>
    </row>
    <row r="559" spans="8:8" ht="34.5" customHeight="1">
      <c r="A559" s="11">
        <v>8.0</v>
      </c>
      <c r="B559" s="21" t="s">
        <v>3990</v>
      </c>
      <c r="C559" s="22">
        <v>241375.0</v>
      </c>
      <c r="D559" s="23" t="s">
        <v>1369</v>
      </c>
      <c r="E559" s="22" t="s">
        <v>1645</v>
      </c>
      <c r="F559" s="108">
        <v>0.4166666666666667</v>
      </c>
      <c r="G559" s="22"/>
    </row>
    <row r="560" spans="8:8" ht="34.5" customHeight="1">
      <c r="A560" s="11">
        <v>9.0</v>
      </c>
      <c r="B560" s="21" t="s">
        <v>3991</v>
      </c>
      <c r="C560" s="22">
        <v>241382.0</v>
      </c>
      <c r="D560" s="23" t="s">
        <v>1369</v>
      </c>
      <c r="E560" s="22" t="s">
        <v>1645</v>
      </c>
      <c r="F560" s="108">
        <v>0.4166666666666667</v>
      </c>
      <c r="G560" s="22"/>
    </row>
    <row r="561" spans="8:8" ht="34.5" customHeight="1">
      <c r="A561" s="11">
        <v>10.0</v>
      </c>
      <c r="B561" s="21" t="s">
        <v>3992</v>
      </c>
      <c r="C561" s="22">
        <v>241387.0</v>
      </c>
      <c r="D561" s="23" t="s">
        <v>1369</v>
      </c>
      <c r="E561" s="22" t="s">
        <v>1645</v>
      </c>
      <c r="F561" s="108">
        <v>0.4166666666666667</v>
      </c>
      <c r="G561" s="22"/>
    </row>
    <row r="562" spans="8:8" ht="34.5" customHeight="1">
      <c r="A562" s="11">
        <v>11.0</v>
      </c>
      <c r="B562" s="21" t="s">
        <v>3993</v>
      </c>
      <c r="C562" s="22">
        <v>241389.0</v>
      </c>
      <c r="D562" s="23" t="s">
        <v>1369</v>
      </c>
      <c r="E562" s="22" t="s">
        <v>1645</v>
      </c>
      <c r="F562" s="108">
        <v>0.4166666666666667</v>
      </c>
      <c r="G562" s="22"/>
    </row>
    <row r="563" spans="8:8" ht="34.5" customHeight="1">
      <c r="A563" s="11">
        <v>12.0</v>
      </c>
      <c r="B563" s="21" t="s">
        <v>3994</v>
      </c>
      <c r="C563" s="22">
        <v>241392.0</v>
      </c>
      <c r="D563" s="23" t="s">
        <v>1369</v>
      </c>
      <c r="E563" s="22" t="s">
        <v>1645</v>
      </c>
      <c r="F563" s="108">
        <v>0.4166666666666667</v>
      </c>
      <c r="G563" s="22"/>
    </row>
    <row r="564" spans="8:8" ht="34.5" customHeight="1">
      <c r="A564" s="11">
        <v>13.0</v>
      </c>
      <c r="B564" s="21" t="s">
        <v>3995</v>
      </c>
      <c r="C564" s="22">
        <v>241395.0</v>
      </c>
      <c r="D564" s="23" t="s">
        <v>1369</v>
      </c>
      <c r="E564" s="22" t="s">
        <v>1645</v>
      </c>
      <c r="F564" s="108">
        <v>0.4166666666666667</v>
      </c>
      <c r="G564" s="22"/>
    </row>
    <row r="565" spans="8:8" ht="34.5" customHeight="1">
      <c r="A565" s="11">
        <v>14.0</v>
      </c>
      <c r="B565" s="21" t="s">
        <v>3996</v>
      </c>
      <c r="C565" s="22">
        <v>241400.0</v>
      </c>
      <c r="D565" s="23" t="s">
        <v>1369</v>
      </c>
      <c r="E565" s="22" t="s">
        <v>1645</v>
      </c>
      <c r="F565" s="108">
        <v>0.4166666666666667</v>
      </c>
      <c r="G565" s="22"/>
    </row>
    <row r="566" spans="8:8" ht="34.5" customHeight="1">
      <c r="A566" s="11">
        <v>15.0</v>
      </c>
      <c r="B566" s="21" t="s">
        <v>3997</v>
      </c>
      <c r="C566" s="22">
        <v>241404.0</v>
      </c>
      <c r="D566" s="23" t="s">
        <v>1369</v>
      </c>
      <c r="E566" s="22" t="s">
        <v>1645</v>
      </c>
      <c r="F566" s="108">
        <v>0.4166666666666667</v>
      </c>
      <c r="G566" s="22"/>
    </row>
    <row r="567" spans="8:8" ht="34.5" customHeight="1">
      <c r="A567" s="11">
        <v>16.0</v>
      </c>
      <c r="B567" s="21" t="s">
        <v>3998</v>
      </c>
      <c r="C567" s="22">
        <v>241408.0</v>
      </c>
      <c r="D567" s="23" t="s">
        <v>1369</v>
      </c>
      <c r="E567" s="22" t="s">
        <v>1645</v>
      </c>
      <c r="F567" s="108">
        <v>0.4166666666666667</v>
      </c>
      <c r="G567" s="22"/>
    </row>
    <row r="568" spans="8:8" ht="34.5" customHeight="1">
      <c r="A568" s="11">
        <v>17.0</v>
      </c>
      <c r="B568" s="21" t="s">
        <v>3999</v>
      </c>
      <c r="C568" s="22">
        <v>241409.0</v>
      </c>
      <c r="D568" s="23" t="s">
        <v>1369</v>
      </c>
      <c r="E568" s="22" t="s">
        <v>1645</v>
      </c>
      <c r="F568" s="108">
        <v>0.4166666666666667</v>
      </c>
      <c r="G568" s="22"/>
    </row>
    <row r="569" spans="8:8" ht="34.5" customHeight="1">
      <c r="A569" s="11">
        <v>18.0</v>
      </c>
      <c r="B569" s="21" t="s">
        <v>4000</v>
      </c>
      <c r="C569" s="22">
        <v>241428.0</v>
      </c>
      <c r="D569" s="23" t="s">
        <v>1369</v>
      </c>
      <c r="E569" s="22" t="s">
        <v>1645</v>
      </c>
      <c r="F569" s="108">
        <v>0.4166666666666667</v>
      </c>
      <c r="G569" s="22"/>
    </row>
    <row r="570" spans="8:8" ht="34.5" customHeight="1">
      <c r="A570" s="11">
        <v>19.0</v>
      </c>
      <c r="B570" s="21" t="s">
        <v>4001</v>
      </c>
      <c r="C570" s="22">
        <v>241845.0</v>
      </c>
      <c r="D570" s="23" t="s">
        <v>1369</v>
      </c>
      <c r="E570" s="22" t="s">
        <v>1645</v>
      </c>
      <c r="F570" s="108">
        <v>0.4166666666666667</v>
      </c>
      <c r="G570" s="22"/>
    </row>
    <row r="571" spans="8:8" ht="34.5" customHeight="1">
      <c r="A571" s="11">
        <v>20.0</v>
      </c>
      <c r="B571" s="21" t="s">
        <v>4002</v>
      </c>
      <c r="C571" s="22">
        <v>241435.0</v>
      </c>
      <c r="D571" s="23" t="s">
        <v>1369</v>
      </c>
      <c r="E571" s="22" t="s">
        <v>1645</v>
      </c>
      <c r="F571" s="108">
        <v>0.4166666666666667</v>
      </c>
      <c r="G571" s="22"/>
    </row>
    <row r="572" spans="8:8" ht="34.5" customHeight="1">
      <c r="A572" s="11">
        <v>21.0</v>
      </c>
      <c r="B572" s="21" t="s">
        <v>4003</v>
      </c>
      <c r="C572" s="22">
        <v>241441.0</v>
      </c>
      <c r="D572" s="23" t="s">
        <v>1369</v>
      </c>
      <c r="E572" s="22" t="s">
        <v>1645</v>
      </c>
      <c r="F572" s="108">
        <v>0.4166666666666667</v>
      </c>
      <c r="G572" s="22"/>
    </row>
    <row r="573" spans="8:8" ht="34.5" customHeight="1">
      <c r="A573" s="11">
        <v>22.0</v>
      </c>
      <c r="B573" s="21" t="s">
        <v>4004</v>
      </c>
      <c r="C573" s="22">
        <v>241453.0</v>
      </c>
      <c r="D573" s="23" t="s">
        <v>1369</v>
      </c>
      <c r="E573" s="22" t="s">
        <v>1645</v>
      </c>
      <c r="F573" s="108">
        <v>0.4166666666666667</v>
      </c>
      <c r="G573" s="22"/>
    </row>
    <row r="574" spans="8:8" ht="34.5" customHeight="1">
      <c r="A574" s="11">
        <v>23.0</v>
      </c>
      <c r="B574" s="21" t="s">
        <v>4005</v>
      </c>
      <c r="C574" s="22">
        <v>241492.0</v>
      </c>
      <c r="D574" s="23" t="s">
        <v>1369</v>
      </c>
      <c r="E574" s="22" t="s">
        <v>1645</v>
      </c>
      <c r="F574" s="108">
        <v>0.4166666666666667</v>
      </c>
      <c r="G574" s="22"/>
    </row>
    <row r="575" spans="8:8" ht="34.5" customHeight="1">
      <c r="A575" s="11">
        <v>24.0</v>
      </c>
      <c r="B575" s="21" t="s">
        <v>4006</v>
      </c>
      <c r="C575" s="22">
        <v>241533.0</v>
      </c>
      <c r="D575" s="23" t="s">
        <v>1369</v>
      </c>
      <c r="E575" s="22" t="s">
        <v>1645</v>
      </c>
      <c r="F575" s="108">
        <v>0.4166666666666667</v>
      </c>
      <c r="G575" s="22"/>
    </row>
    <row r="576" spans="8:8" ht="34.5" customHeight="1">
      <c r="A576" s="8" t="s">
        <v>18</v>
      </c>
      <c r="B576" s="9" t="s">
        <v>19</v>
      </c>
      <c r="C576" s="9" t="s">
        <v>20</v>
      </c>
      <c r="D576" s="9" t="s">
        <v>21</v>
      </c>
      <c r="E576" s="9" t="s">
        <v>22</v>
      </c>
      <c r="F576" s="9" t="s">
        <v>23</v>
      </c>
      <c r="G576" s="9" t="s">
        <v>3417</v>
      </c>
    </row>
    <row r="577" spans="8:8" ht="34.5" customHeight="1">
      <c r="A577" s="11">
        <v>1.0</v>
      </c>
      <c r="B577" s="21" t="s">
        <v>4007</v>
      </c>
      <c r="C577" s="22">
        <v>251284.0</v>
      </c>
      <c r="D577" s="107" t="s">
        <v>1868</v>
      </c>
      <c r="E577" s="22" t="s">
        <v>1512</v>
      </c>
      <c r="F577" s="108">
        <v>0.4166666666666667</v>
      </c>
      <c r="G577" s="13"/>
    </row>
    <row r="578" spans="8:8" ht="34.5" customHeight="1">
      <c r="A578" s="11">
        <v>2.0</v>
      </c>
      <c r="B578" s="21" t="s">
        <v>4008</v>
      </c>
      <c r="C578" s="22">
        <v>251297.0</v>
      </c>
      <c r="D578" s="107" t="s">
        <v>1868</v>
      </c>
      <c r="E578" s="22" t="s">
        <v>1512</v>
      </c>
      <c r="F578" s="108">
        <v>0.4166666666666667</v>
      </c>
      <c r="G578" s="22"/>
    </row>
    <row r="579" spans="8:8" ht="34.5" customHeight="1">
      <c r="A579" s="11">
        <v>3.0</v>
      </c>
      <c r="B579" s="21" t="s">
        <v>4009</v>
      </c>
      <c r="C579" s="22">
        <v>251299.0</v>
      </c>
      <c r="D579" s="107" t="s">
        <v>1868</v>
      </c>
      <c r="E579" s="22" t="s">
        <v>1512</v>
      </c>
      <c r="F579" s="108">
        <v>0.4166666666666667</v>
      </c>
      <c r="G579" s="22"/>
    </row>
    <row r="580" spans="8:8" ht="34.5" customHeight="1">
      <c r="A580" s="11">
        <v>4.0</v>
      </c>
      <c r="B580" s="21" t="s">
        <v>4010</v>
      </c>
      <c r="C580" s="22">
        <v>251313.0</v>
      </c>
      <c r="D580" s="107" t="s">
        <v>1868</v>
      </c>
      <c r="E580" s="22" t="s">
        <v>1512</v>
      </c>
      <c r="F580" s="108">
        <v>0.4166666666666667</v>
      </c>
      <c r="G580" s="22"/>
    </row>
    <row r="581" spans="8:8" ht="34.5" customHeight="1">
      <c r="A581" s="11">
        <v>5.0</v>
      </c>
      <c r="B581" s="21" t="s">
        <v>4011</v>
      </c>
      <c r="C581" s="22">
        <v>251317.0</v>
      </c>
      <c r="D581" s="107" t="s">
        <v>1868</v>
      </c>
      <c r="E581" s="22" t="s">
        <v>1512</v>
      </c>
      <c r="F581" s="108">
        <v>0.4166666666666667</v>
      </c>
      <c r="G581" s="22"/>
    </row>
    <row r="582" spans="8:8" ht="34.5" customHeight="1">
      <c r="A582" s="11">
        <v>6.0</v>
      </c>
      <c r="B582" s="21" t="s">
        <v>4012</v>
      </c>
      <c r="C582" s="22">
        <v>251329.0</v>
      </c>
      <c r="D582" s="107" t="s">
        <v>1868</v>
      </c>
      <c r="E582" s="22" t="s">
        <v>1512</v>
      </c>
      <c r="F582" s="108">
        <v>0.4166666666666667</v>
      </c>
      <c r="G582" s="22"/>
    </row>
    <row r="583" spans="8:8" ht="34.5" customHeight="1">
      <c r="A583" s="11">
        <v>7.0</v>
      </c>
      <c r="B583" s="21" t="s">
        <v>4013</v>
      </c>
      <c r="C583" s="22">
        <v>251331.0</v>
      </c>
      <c r="D583" s="107" t="s">
        <v>1868</v>
      </c>
      <c r="E583" s="22" t="s">
        <v>1512</v>
      </c>
      <c r="F583" s="108">
        <v>0.4166666666666667</v>
      </c>
      <c r="G583" s="22"/>
    </row>
    <row r="584" spans="8:8" ht="34.5" customHeight="1">
      <c r="A584" s="11">
        <v>8.0</v>
      </c>
      <c r="B584" s="21" t="s">
        <v>4014</v>
      </c>
      <c r="C584" s="22">
        <v>251354.0</v>
      </c>
      <c r="D584" s="107" t="s">
        <v>1868</v>
      </c>
      <c r="E584" s="22" t="s">
        <v>1512</v>
      </c>
      <c r="F584" s="108">
        <v>0.4166666666666667</v>
      </c>
      <c r="G584" s="22"/>
    </row>
    <row r="585" spans="8:8" ht="34.5" customHeight="1">
      <c r="A585" s="11">
        <v>9.0</v>
      </c>
      <c r="B585" s="21" t="s">
        <v>4015</v>
      </c>
      <c r="C585" s="22">
        <v>251399.0</v>
      </c>
      <c r="D585" s="107" t="s">
        <v>1868</v>
      </c>
      <c r="E585" s="22" t="s">
        <v>1512</v>
      </c>
      <c r="F585" s="108">
        <v>0.4166666666666667</v>
      </c>
      <c r="G585" s="22"/>
    </row>
    <row r="586" spans="8:8" ht="34.5" customHeight="1">
      <c r="A586" s="11">
        <v>10.0</v>
      </c>
      <c r="B586" s="21" t="s">
        <v>4016</v>
      </c>
      <c r="C586" s="22">
        <v>251400.0</v>
      </c>
      <c r="D586" s="107" t="s">
        <v>1868</v>
      </c>
      <c r="E586" s="22" t="s">
        <v>1512</v>
      </c>
      <c r="F586" s="108">
        <v>0.4166666666666667</v>
      </c>
      <c r="G586" s="22"/>
    </row>
    <row r="587" spans="8:8" ht="34.5" customHeight="1">
      <c r="A587" s="11">
        <v>11.0</v>
      </c>
      <c r="B587" s="21" t="s">
        <v>4017</v>
      </c>
      <c r="C587" s="22">
        <v>252873.0</v>
      </c>
      <c r="D587" s="21" t="s">
        <v>104</v>
      </c>
      <c r="E587" s="22" t="s">
        <v>1512</v>
      </c>
      <c r="F587" s="108">
        <v>0.4166666666666667</v>
      </c>
      <c r="G587" s="22"/>
    </row>
    <row r="588" spans="8:8" ht="34.5" customHeight="1">
      <c r="A588" s="11">
        <v>12.0</v>
      </c>
      <c r="B588" s="21" t="s">
        <v>4018</v>
      </c>
      <c r="C588" s="22">
        <v>251405.0</v>
      </c>
      <c r="D588" s="107" t="s">
        <v>1868</v>
      </c>
      <c r="E588" s="22" t="s">
        <v>1512</v>
      </c>
      <c r="F588" s="108">
        <v>0.4166666666666667</v>
      </c>
      <c r="G588" s="22"/>
    </row>
    <row r="589" spans="8:8" ht="34.5" customHeight="1">
      <c r="A589" s="11">
        <v>13.0</v>
      </c>
      <c r="B589" s="21" t="s">
        <v>4019</v>
      </c>
      <c r="C589" s="22">
        <v>251531.0</v>
      </c>
      <c r="D589" s="107" t="s">
        <v>1868</v>
      </c>
      <c r="E589" s="22" t="s">
        <v>1512</v>
      </c>
      <c r="F589" s="108">
        <v>0.4166666666666667</v>
      </c>
      <c r="G589" s="22"/>
    </row>
    <row r="590" spans="8:8" ht="34.5" customHeight="1">
      <c r="A590" s="11">
        <v>14.0</v>
      </c>
      <c r="B590" s="21" t="s">
        <v>4020</v>
      </c>
      <c r="C590" s="22">
        <v>251535.0</v>
      </c>
      <c r="D590" s="107" t="s">
        <v>1868</v>
      </c>
      <c r="E590" s="22" t="s">
        <v>1512</v>
      </c>
      <c r="F590" s="108">
        <v>0.4166666666666667</v>
      </c>
      <c r="G590" s="22"/>
    </row>
    <row r="591" spans="8:8" ht="34.5" customHeight="1">
      <c r="A591" s="11">
        <v>15.0</v>
      </c>
      <c r="B591" s="21" t="s">
        <v>4021</v>
      </c>
      <c r="C591" s="22">
        <v>251546.0</v>
      </c>
      <c r="D591" s="107" t="s">
        <v>1868</v>
      </c>
      <c r="E591" s="22" t="s">
        <v>1512</v>
      </c>
      <c r="F591" s="108">
        <v>0.4166666666666667</v>
      </c>
      <c r="G591" s="22"/>
    </row>
    <row r="592" spans="8:8" ht="34.5" customHeight="1">
      <c r="A592" s="11">
        <v>16.0</v>
      </c>
      <c r="B592" s="21" t="s">
        <v>4022</v>
      </c>
      <c r="C592" s="22">
        <v>251590.0</v>
      </c>
      <c r="D592" s="107" t="s">
        <v>1868</v>
      </c>
      <c r="E592" s="22" t="s">
        <v>1512</v>
      </c>
      <c r="F592" s="108">
        <v>0.4166666666666667</v>
      </c>
      <c r="G592" s="22"/>
    </row>
    <row r="593" spans="8:8" ht="34.5" customHeight="1">
      <c r="A593" s="11">
        <v>17.0</v>
      </c>
      <c r="B593" s="21" t="s">
        <v>4023</v>
      </c>
      <c r="C593" s="22">
        <v>241371.0</v>
      </c>
      <c r="D593" s="23" t="s">
        <v>1369</v>
      </c>
      <c r="E593" s="22" t="s">
        <v>1512</v>
      </c>
      <c r="F593" s="108">
        <v>0.4166666666666667</v>
      </c>
      <c r="G593" s="22"/>
    </row>
    <row r="594" spans="8:8" ht="34.5" customHeight="1">
      <c r="A594" s="11">
        <v>18.0</v>
      </c>
      <c r="B594" s="21" t="s">
        <v>4024</v>
      </c>
      <c r="C594" s="22">
        <v>252038.0</v>
      </c>
      <c r="D594" s="21" t="s">
        <v>104</v>
      </c>
      <c r="E594" s="22" t="s">
        <v>1512</v>
      </c>
      <c r="F594" s="108">
        <v>0.4166666666666667</v>
      </c>
      <c r="G594" s="22"/>
    </row>
    <row r="595" spans="8:8" ht="34.5" customHeight="1">
      <c r="A595" s="11">
        <v>19.0</v>
      </c>
      <c r="B595" s="21" t="s">
        <v>4025</v>
      </c>
      <c r="C595" s="22">
        <v>252940.0</v>
      </c>
      <c r="D595" s="21" t="s">
        <v>90</v>
      </c>
      <c r="E595" s="22" t="s">
        <v>1512</v>
      </c>
      <c r="F595" s="108">
        <v>0.4166666666666667</v>
      </c>
      <c r="G595" s="22"/>
    </row>
    <row r="596" spans="8:8" ht="34.5" customHeight="1">
      <c r="A596" s="11">
        <v>20.0</v>
      </c>
      <c r="B596" s="21" t="s">
        <v>4026</v>
      </c>
      <c r="C596" s="22">
        <v>252536.0</v>
      </c>
      <c r="D596" s="21" t="s">
        <v>90</v>
      </c>
      <c r="E596" s="22" t="s">
        <v>1512</v>
      </c>
      <c r="F596" s="108">
        <v>0.4166666666666667</v>
      </c>
      <c r="G596" s="22"/>
    </row>
    <row r="597" spans="8:8" ht="34.5" customHeight="1">
      <c r="A597" s="11">
        <v>21.0</v>
      </c>
      <c r="B597" s="21" t="s">
        <v>4027</v>
      </c>
      <c r="C597" s="22">
        <v>252756.0</v>
      </c>
      <c r="D597" s="21" t="s">
        <v>90</v>
      </c>
      <c r="E597" s="22" t="s">
        <v>1512</v>
      </c>
      <c r="F597" s="108">
        <v>0.4166666666666667</v>
      </c>
      <c r="G597" s="22"/>
    </row>
    <row r="598" spans="8:8" ht="34.5" customHeight="1">
      <c r="A598" s="11">
        <v>22.0</v>
      </c>
      <c r="B598" s="21" t="s">
        <v>4028</v>
      </c>
      <c r="C598" s="13">
        <v>240053.0</v>
      </c>
      <c r="D598" s="21" t="s">
        <v>1065</v>
      </c>
      <c r="E598" s="22" t="s">
        <v>1512</v>
      </c>
      <c r="F598" s="108">
        <v>0.4166666666666667</v>
      </c>
      <c r="G598" s="22"/>
    </row>
    <row r="599" spans="8:8" ht="34.5" customHeight="1">
      <c r="A599" s="11">
        <v>23.0</v>
      </c>
      <c r="B599" s="21" t="s">
        <v>4029</v>
      </c>
      <c r="C599" s="13">
        <v>253182.0</v>
      </c>
      <c r="D599" s="12" t="s">
        <v>27</v>
      </c>
      <c r="E599" s="22" t="s">
        <v>1512</v>
      </c>
      <c r="F599" s="108">
        <v>0.4166666666666667</v>
      </c>
      <c r="G599" s="22"/>
    </row>
    <row r="600" spans="8:8" ht="34.5" customHeight="1">
      <c r="A600" s="11">
        <v>24.0</v>
      </c>
      <c r="B600" s="21" t="s">
        <v>4030</v>
      </c>
      <c r="C600" s="13">
        <v>253278.0</v>
      </c>
      <c r="D600" s="21" t="s">
        <v>90</v>
      </c>
      <c r="E600" s="22" t="s">
        <v>1512</v>
      </c>
      <c r="F600" s="108">
        <v>0.4166666666666667</v>
      </c>
      <c r="G600" s="22"/>
    </row>
    <row r="601" spans="8:8" ht="34.5" customHeight="1">
      <c r="A601" s="11">
        <v>25.0</v>
      </c>
      <c r="B601" s="21" t="s">
        <v>4031</v>
      </c>
      <c r="C601" s="13">
        <v>251933.0</v>
      </c>
      <c r="D601" s="21" t="s">
        <v>104</v>
      </c>
      <c r="E601" s="22" t="s">
        <v>1512</v>
      </c>
      <c r="F601" s="108">
        <v>0.4166666666666667</v>
      </c>
      <c r="G601" s="22"/>
    </row>
    <row r="602" spans="8:8" ht="34.5" customHeight="1">
      <c r="A602" s="8" t="s">
        <v>18</v>
      </c>
      <c r="B602" s="9" t="s">
        <v>19</v>
      </c>
      <c r="C602" s="9" t="s">
        <v>20</v>
      </c>
      <c r="D602" s="9" t="s">
        <v>21</v>
      </c>
      <c r="E602" s="9" t="s">
        <v>22</v>
      </c>
      <c r="F602" s="9" t="s">
        <v>23</v>
      </c>
      <c r="G602" s="9" t="s">
        <v>982</v>
      </c>
    </row>
    <row r="603" spans="8:8" ht="34.5" customHeight="1">
      <c r="A603" s="22">
        <v>1.0</v>
      </c>
      <c r="B603" s="12" t="s">
        <v>4032</v>
      </c>
      <c r="C603" s="13">
        <v>241544.0</v>
      </c>
      <c r="D603" s="23" t="s">
        <v>1369</v>
      </c>
      <c r="E603" s="13" t="s">
        <v>4033</v>
      </c>
      <c r="F603" s="108">
        <v>0.4166666666666667</v>
      </c>
      <c r="G603" s="13"/>
    </row>
    <row r="604" spans="8:8" ht="34.5" customHeight="1">
      <c r="A604" s="13">
        <v>2.0</v>
      </c>
      <c r="B604" s="12" t="s">
        <v>4034</v>
      </c>
      <c r="C604" s="13">
        <v>241406.0</v>
      </c>
      <c r="D604" s="23" t="s">
        <v>1369</v>
      </c>
      <c r="E604" s="13" t="s">
        <v>4033</v>
      </c>
      <c r="F604" s="108">
        <v>0.4166666666666667</v>
      </c>
      <c r="G604" s="13"/>
    </row>
    <row r="605" spans="8:8" ht="34.5" customHeight="1">
      <c r="A605" s="109">
        <v>3.0</v>
      </c>
      <c r="B605" s="21" t="s">
        <v>4035</v>
      </c>
      <c r="C605" s="22">
        <v>241475.0</v>
      </c>
      <c r="D605" s="23" t="s">
        <v>1369</v>
      </c>
      <c r="E605" s="110" t="s">
        <v>781</v>
      </c>
      <c r="F605" s="108">
        <v>0.4166666666666667</v>
      </c>
      <c r="G605" s="22"/>
    </row>
    <row r="606" spans="8:8" ht="32.25" customHeight="1">
      <c r="A606" s="109">
        <v>4.0</v>
      </c>
      <c r="B606" s="19" t="s">
        <v>4036</v>
      </c>
      <c r="C606" s="20">
        <v>251446.0</v>
      </c>
      <c r="D606" s="107" t="s">
        <v>1868</v>
      </c>
      <c r="E606" s="20" t="s">
        <v>28</v>
      </c>
      <c r="F606" s="14">
        <v>0.4166666666666667</v>
      </c>
      <c r="G606" s="20"/>
    </row>
    <row r="607" spans="8:8" ht="32.25" customHeight="1">
      <c r="A607" s="51"/>
      <c r="B607" s="23"/>
      <c r="C607" s="24"/>
      <c r="D607" s="52"/>
      <c r="E607" s="24"/>
      <c r="F607" s="111">
        <v>0.4166666666666667</v>
      </c>
      <c r="G607" s="20"/>
    </row>
    <row r="608" spans="8:8" ht="34.5" customHeight="1">
      <c r="A608" s="22"/>
      <c r="B608" s="22"/>
      <c r="C608" s="22"/>
      <c r="D608" s="112"/>
      <c r="E608" s="22"/>
      <c r="F608" s="108">
        <v>0.4166666666666667</v>
      </c>
      <c r="G608" s="13"/>
    </row>
    <row r="609" spans="8:8" ht="34.5" customHeight="1">
      <c r="A609" s="22"/>
      <c r="B609" s="22"/>
      <c r="C609" s="22"/>
      <c r="D609" s="112"/>
      <c r="E609" s="22"/>
      <c r="F609" s="108">
        <v>0.4166666666666667</v>
      </c>
      <c r="G609" s="13"/>
    </row>
    <row r="610" spans="8:8" ht="34.5" customHeight="1">
      <c r="A610" s="22"/>
      <c r="B610" s="22"/>
      <c r="C610" s="22"/>
      <c r="D610" s="112"/>
      <c r="E610" s="22"/>
      <c r="F610" s="108">
        <v>0.4166666666666667</v>
      </c>
      <c r="G610" s="13"/>
    </row>
    <row r="611" spans="8:8" ht="34.5" customHeight="1">
      <c r="A611" s="8" t="s">
        <v>18</v>
      </c>
      <c r="B611" s="9" t="s">
        <v>19</v>
      </c>
      <c r="C611" s="9" t="s">
        <v>20</v>
      </c>
      <c r="D611" s="9" t="s">
        <v>21</v>
      </c>
      <c r="E611" s="9" t="s">
        <v>22</v>
      </c>
      <c r="F611" s="9" t="s">
        <v>23</v>
      </c>
      <c r="G611" s="9" t="s">
        <v>3449</v>
      </c>
    </row>
    <row r="612" spans="8:8" ht="34.5" customHeight="1">
      <c r="A612" s="22">
        <v>1.0</v>
      </c>
      <c r="B612" s="21" t="s">
        <v>4037</v>
      </c>
      <c r="C612" s="22">
        <v>251635.0</v>
      </c>
      <c r="D612" s="107" t="s">
        <v>1868</v>
      </c>
      <c r="E612" s="22" t="s">
        <v>28</v>
      </c>
      <c r="F612" s="108">
        <v>0.5208333333333334</v>
      </c>
      <c r="G612" s="13"/>
    </row>
    <row r="613" spans="8:8" ht="34.5" customHeight="1">
      <c r="A613" s="22">
        <v>2.0</v>
      </c>
      <c r="B613" s="21" t="s">
        <v>4038</v>
      </c>
      <c r="C613" s="22">
        <v>251640.0</v>
      </c>
      <c r="D613" s="107" t="s">
        <v>1868</v>
      </c>
      <c r="E613" s="22" t="s">
        <v>28</v>
      </c>
      <c r="F613" s="108">
        <v>0.5208333333333334</v>
      </c>
      <c r="G613" s="22"/>
    </row>
    <row r="614" spans="8:8" ht="34.5" customHeight="1">
      <c r="A614" s="22">
        <v>3.0</v>
      </c>
      <c r="B614" s="21" t="s">
        <v>4039</v>
      </c>
      <c r="C614" s="22">
        <v>251644.0</v>
      </c>
      <c r="D614" s="107" t="s">
        <v>1868</v>
      </c>
      <c r="E614" s="22" t="s">
        <v>28</v>
      </c>
      <c r="F614" s="108">
        <v>0.5208333333333334</v>
      </c>
      <c r="G614" s="22"/>
    </row>
    <row r="615" spans="8:8" ht="34.5" customHeight="1">
      <c r="A615" s="22">
        <v>4.0</v>
      </c>
      <c r="B615" s="21" t="s">
        <v>4040</v>
      </c>
      <c r="C615" s="22">
        <v>251647.0</v>
      </c>
      <c r="D615" s="107" t="s">
        <v>1868</v>
      </c>
      <c r="E615" s="22" t="s">
        <v>28</v>
      </c>
      <c r="F615" s="108">
        <v>0.5208333333333334</v>
      </c>
      <c r="G615" s="22"/>
    </row>
    <row r="616" spans="8:8" ht="34.5" customHeight="1">
      <c r="A616" s="22">
        <v>5.0</v>
      </c>
      <c r="B616" s="21" t="s">
        <v>4041</v>
      </c>
      <c r="C616" s="22">
        <v>251649.0</v>
      </c>
      <c r="D616" s="107" t="s">
        <v>1868</v>
      </c>
      <c r="E616" s="22" t="s">
        <v>28</v>
      </c>
      <c r="F616" s="108">
        <v>0.5208333333333334</v>
      </c>
      <c r="G616" s="22"/>
    </row>
    <row r="617" spans="8:8" ht="34.5" customHeight="1">
      <c r="A617" s="22">
        <v>6.0</v>
      </c>
      <c r="B617" s="21" t="s">
        <v>4042</v>
      </c>
      <c r="C617" s="22">
        <v>251658.0</v>
      </c>
      <c r="D617" s="107" t="s">
        <v>1868</v>
      </c>
      <c r="E617" s="22" t="s">
        <v>28</v>
      </c>
      <c r="F617" s="108">
        <v>0.5208333333333334</v>
      </c>
      <c r="G617" s="22"/>
    </row>
    <row r="618" spans="8:8" ht="34.5" customHeight="1">
      <c r="A618" s="22">
        <v>7.0</v>
      </c>
      <c r="B618" s="21" t="s">
        <v>4043</v>
      </c>
      <c r="C618" s="22">
        <v>251677.0</v>
      </c>
      <c r="D618" s="107" t="s">
        <v>1868</v>
      </c>
      <c r="E618" s="22" t="s">
        <v>28</v>
      </c>
      <c r="F618" s="108">
        <v>0.5208333333333334</v>
      </c>
      <c r="G618" s="22"/>
    </row>
    <row r="619" spans="8:8" ht="34.5" customHeight="1">
      <c r="A619" s="22">
        <v>8.0</v>
      </c>
      <c r="B619" s="21" t="s">
        <v>4044</v>
      </c>
      <c r="C619" s="22">
        <v>251592.0</v>
      </c>
      <c r="D619" s="107" t="s">
        <v>1868</v>
      </c>
      <c r="E619" s="13" t="s">
        <v>28</v>
      </c>
      <c r="F619" s="108">
        <v>0.5208333333333334</v>
      </c>
      <c r="G619" s="13"/>
    </row>
    <row r="620" spans="8:8" ht="34.5" customHeight="1">
      <c r="A620" s="22">
        <v>9.0</v>
      </c>
      <c r="B620" s="12" t="s">
        <v>4045</v>
      </c>
      <c r="C620" s="13">
        <v>250637.0</v>
      </c>
      <c r="D620" s="12" t="s">
        <v>94</v>
      </c>
      <c r="E620" s="13" t="s">
        <v>28</v>
      </c>
      <c r="F620" s="108">
        <v>0.5208333333333334</v>
      </c>
      <c r="G620" s="13"/>
    </row>
    <row r="621" spans="8:8" ht="34.5" customHeight="1">
      <c r="A621" s="22">
        <v>10.0</v>
      </c>
      <c r="B621" s="12" t="s">
        <v>4046</v>
      </c>
      <c r="C621" s="13">
        <v>250536.0</v>
      </c>
      <c r="D621" s="12" t="s">
        <v>94</v>
      </c>
      <c r="E621" s="13" t="s">
        <v>28</v>
      </c>
      <c r="F621" s="108">
        <v>0.5208333333333334</v>
      </c>
      <c r="G621" s="13"/>
    </row>
    <row r="622" spans="8:8" ht="34.5" customHeight="1">
      <c r="A622" s="22">
        <v>11.0</v>
      </c>
      <c r="B622" s="21" t="s">
        <v>4047</v>
      </c>
      <c r="C622" s="22">
        <v>251678.0</v>
      </c>
      <c r="D622" s="107" t="s">
        <v>1868</v>
      </c>
      <c r="E622" s="13" t="s">
        <v>28</v>
      </c>
      <c r="F622" s="108">
        <v>0.5208333333333334</v>
      </c>
      <c r="G622" s="13"/>
    </row>
    <row r="623" spans="8:8" ht="34.5" customHeight="1">
      <c r="A623" s="22">
        <v>12.0</v>
      </c>
      <c r="B623" s="21" t="s">
        <v>4048</v>
      </c>
      <c r="C623" s="22">
        <v>251681.0</v>
      </c>
      <c r="D623" s="107" t="s">
        <v>1868</v>
      </c>
      <c r="E623" s="13" t="s">
        <v>28</v>
      </c>
      <c r="F623" s="108">
        <v>0.5208333333333334</v>
      </c>
      <c r="G623" s="13"/>
    </row>
    <row r="624" spans="8:8" ht="34.5" customHeight="1">
      <c r="A624" s="22">
        <v>13.0</v>
      </c>
      <c r="B624" s="21" t="s">
        <v>4049</v>
      </c>
      <c r="C624" s="22">
        <v>251691.0</v>
      </c>
      <c r="D624" s="107" t="s">
        <v>1868</v>
      </c>
      <c r="E624" s="13" t="s">
        <v>28</v>
      </c>
      <c r="F624" s="108">
        <v>0.5208333333333334</v>
      </c>
      <c r="G624" s="13"/>
    </row>
    <row r="625" spans="8:8" ht="34.5" customHeight="1">
      <c r="A625" s="22">
        <v>14.0</v>
      </c>
      <c r="B625" s="21" t="s">
        <v>4050</v>
      </c>
      <c r="C625" s="22">
        <v>251695.0</v>
      </c>
      <c r="D625" s="107" t="s">
        <v>1868</v>
      </c>
      <c r="E625" s="13" t="s">
        <v>28</v>
      </c>
      <c r="F625" s="108">
        <v>0.5208333333333334</v>
      </c>
      <c r="G625" s="13"/>
    </row>
    <row r="626" spans="8:8" ht="34.5" customHeight="1">
      <c r="A626" s="22">
        <v>15.0</v>
      </c>
      <c r="B626" s="21" t="s">
        <v>4051</v>
      </c>
      <c r="C626" s="22">
        <v>251699.0</v>
      </c>
      <c r="D626" s="107" t="s">
        <v>1868</v>
      </c>
      <c r="E626" s="13" t="s">
        <v>28</v>
      </c>
      <c r="F626" s="108">
        <v>0.5208333333333334</v>
      </c>
      <c r="G626" s="13"/>
    </row>
    <row r="627" spans="8:8" ht="34.5" customHeight="1">
      <c r="A627" s="22">
        <v>16.0</v>
      </c>
      <c r="B627" s="21" t="s">
        <v>4052</v>
      </c>
      <c r="C627" s="22">
        <v>251726.0</v>
      </c>
      <c r="D627" s="107" t="s">
        <v>1868</v>
      </c>
      <c r="E627" s="13" t="s">
        <v>28</v>
      </c>
      <c r="F627" s="108">
        <v>0.5208333333333334</v>
      </c>
      <c r="G627" s="13"/>
    </row>
    <row r="628" spans="8:8" ht="34.5" customHeight="1">
      <c r="A628" s="22">
        <v>17.0</v>
      </c>
      <c r="B628" s="21" t="s">
        <v>4053</v>
      </c>
      <c r="C628" s="22">
        <v>251734.0</v>
      </c>
      <c r="D628" s="107" t="s">
        <v>1868</v>
      </c>
      <c r="E628" s="13" t="s">
        <v>28</v>
      </c>
      <c r="F628" s="108">
        <v>0.5208333333333334</v>
      </c>
      <c r="G628" s="13"/>
    </row>
    <row r="629" spans="8:8" ht="34.5" customHeight="1">
      <c r="A629" s="22">
        <v>18.0</v>
      </c>
      <c r="B629" s="21" t="s">
        <v>4054</v>
      </c>
      <c r="C629" s="22">
        <v>251744.0</v>
      </c>
      <c r="D629" s="107" t="s">
        <v>1868</v>
      </c>
      <c r="E629" s="13" t="s">
        <v>28</v>
      </c>
      <c r="F629" s="108">
        <v>0.5208333333333334</v>
      </c>
      <c r="G629" s="13"/>
    </row>
    <row r="630" spans="8:8" ht="34.5" customHeight="1">
      <c r="A630" s="22">
        <v>19.0</v>
      </c>
      <c r="B630" s="21" t="s">
        <v>4055</v>
      </c>
      <c r="C630" s="22">
        <v>251596.0</v>
      </c>
      <c r="D630" s="107" t="s">
        <v>1868</v>
      </c>
      <c r="E630" s="13" t="s">
        <v>28</v>
      </c>
      <c r="F630" s="108">
        <v>0.5208333333333334</v>
      </c>
      <c r="G630" s="13"/>
    </row>
    <row r="631" spans="8:8" ht="34.5" customHeight="1">
      <c r="A631" s="22">
        <v>20.0</v>
      </c>
      <c r="B631" s="21" t="s">
        <v>4056</v>
      </c>
      <c r="C631" s="22">
        <v>251750.0</v>
      </c>
      <c r="D631" s="107" t="s">
        <v>1868</v>
      </c>
      <c r="E631" s="13" t="s">
        <v>28</v>
      </c>
      <c r="F631" s="108">
        <v>0.5208333333333334</v>
      </c>
      <c r="G631" s="13"/>
    </row>
    <row r="632" spans="8:8" ht="34.5" customHeight="1">
      <c r="A632" s="22">
        <v>21.0</v>
      </c>
      <c r="B632" s="21" t="s">
        <v>4057</v>
      </c>
      <c r="C632" s="22">
        <v>251782.0</v>
      </c>
      <c r="D632" s="107" t="s">
        <v>1868</v>
      </c>
      <c r="E632" s="22" t="s">
        <v>28</v>
      </c>
      <c r="F632" s="108">
        <v>0.5208333333333334</v>
      </c>
      <c r="G632" s="22"/>
    </row>
    <row r="633" spans="8:8" ht="34.5" customHeight="1">
      <c r="A633" s="22">
        <v>22.0</v>
      </c>
      <c r="B633" s="21" t="s">
        <v>4058</v>
      </c>
      <c r="C633" s="22">
        <v>251788.0</v>
      </c>
      <c r="D633" s="107" t="s">
        <v>1868</v>
      </c>
      <c r="E633" s="22" t="s">
        <v>28</v>
      </c>
      <c r="F633" s="108">
        <v>0.5208333333333334</v>
      </c>
      <c r="G633" s="22"/>
    </row>
    <row r="634" spans="8:8" ht="34.5" customHeight="1">
      <c r="A634" s="22">
        <v>23.0</v>
      </c>
      <c r="B634" s="21" t="s">
        <v>4059</v>
      </c>
      <c r="C634" s="22">
        <v>251789.0</v>
      </c>
      <c r="D634" s="107" t="s">
        <v>1868</v>
      </c>
      <c r="E634" s="22" t="s">
        <v>28</v>
      </c>
      <c r="F634" s="108">
        <v>0.5208333333333334</v>
      </c>
      <c r="G634" s="22"/>
    </row>
    <row r="635" spans="8:8" ht="34.5" customHeight="1">
      <c r="A635" s="8" t="s">
        <v>18</v>
      </c>
      <c r="B635" s="9" t="s">
        <v>19</v>
      </c>
      <c r="C635" s="9" t="s">
        <v>20</v>
      </c>
      <c r="D635" s="9" t="s">
        <v>21</v>
      </c>
      <c r="E635" s="9" t="s">
        <v>22</v>
      </c>
      <c r="F635" s="9" t="s">
        <v>23</v>
      </c>
      <c r="G635" s="9" t="s">
        <v>53</v>
      </c>
    </row>
    <row r="636" spans="8:8" ht="34.5" customHeight="1">
      <c r="A636" s="22">
        <v>1.0</v>
      </c>
      <c r="B636" s="21" t="s">
        <v>4060</v>
      </c>
      <c r="C636" s="22">
        <v>252925.0</v>
      </c>
      <c r="D636" s="107" t="s">
        <v>1868</v>
      </c>
      <c r="E636" s="22" t="s">
        <v>28</v>
      </c>
      <c r="F636" s="108">
        <v>0.5208333333333334</v>
      </c>
      <c r="G636" s="13"/>
    </row>
    <row r="637" spans="8:8" ht="34.5" customHeight="1">
      <c r="A637" s="22">
        <v>2.0</v>
      </c>
      <c r="B637" s="21" t="s">
        <v>4061</v>
      </c>
      <c r="C637" s="22">
        <v>251447.0</v>
      </c>
      <c r="D637" s="107" t="s">
        <v>1868</v>
      </c>
      <c r="E637" s="22" t="s">
        <v>28</v>
      </c>
      <c r="F637" s="108">
        <v>0.5208333333333334</v>
      </c>
      <c r="G637" s="22"/>
    </row>
    <row r="638" spans="8:8" ht="34.5" customHeight="1">
      <c r="A638" s="22">
        <v>3.0</v>
      </c>
      <c r="B638" s="21" t="s">
        <v>4062</v>
      </c>
      <c r="C638" s="22">
        <v>253136.0</v>
      </c>
      <c r="D638" s="107" t="s">
        <v>1868</v>
      </c>
      <c r="E638" s="22" t="s">
        <v>28</v>
      </c>
      <c r="F638" s="108">
        <v>0.5208333333333334</v>
      </c>
      <c r="G638" s="22"/>
    </row>
    <row r="639" spans="8:8" ht="34.5" customHeight="1">
      <c r="A639" s="22">
        <v>4.0</v>
      </c>
      <c r="B639" s="21" t="s">
        <v>4063</v>
      </c>
      <c r="C639" s="22">
        <v>252587.0</v>
      </c>
      <c r="D639" s="21" t="s">
        <v>90</v>
      </c>
      <c r="E639" s="22" t="s">
        <v>28</v>
      </c>
      <c r="F639" s="108">
        <v>0.5208333333333334</v>
      </c>
      <c r="G639" s="22"/>
    </row>
    <row r="640" spans="8:8" ht="34.5" customHeight="1">
      <c r="A640" s="22">
        <v>5.0</v>
      </c>
      <c r="B640" s="12" t="s">
        <v>4064</v>
      </c>
      <c r="C640" s="13">
        <v>250345.0</v>
      </c>
      <c r="D640" s="12" t="s">
        <v>94</v>
      </c>
      <c r="E640" s="13" t="s">
        <v>28</v>
      </c>
      <c r="F640" s="108">
        <v>0.5208333333333334</v>
      </c>
      <c r="G640" s="13"/>
    </row>
    <row r="641" spans="8:8" ht="34.5" customHeight="1">
      <c r="A641" s="22">
        <v>6.0</v>
      </c>
      <c r="B641" s="21" t="s">
        <v>4065</v>
      </c>
      <c r="C641" s="22">
        <v>251287.0</v>
      </c>
      <c r="D641" s="107" t="s">
        <v>1868</v>
      </c>
      <c r="E641" s="22" t="s">
        <v>28</v>
      </c>
      <c r="F641" s="108">
        <v>0.5208333333333334</v>
      </c>
      <c r="G641" s="22"/>
    </row>
    <row r="642" spans="8:8" ht="34.5" customHeight="1">
      <c r="A642" s="22">
        <v>7.0</v>
      </c>
      <c r="B642" s="21" t="s">
        <v>4066</v>
      </c>
      <c r="C642" s="22">
        <v>251252.0</v>
      </c>
      <c r="D642" s="107" t="s">
        <v>1868</v>
      </c>
      <c r="E642" s="22" t="s">
        <v>28</v>
      </c>
      <c r="F642" s="108">
        <v>0.5208333333333334</v>
      </c>
      <c r="G642" s="22"/>
    </row>
    <row r="643" spans="8:8" ht="34.5" customHeight="1">
      <c r="A643" s="22">
        <v>8.0</v>
      </c>
      <c r="B643" s="21" t="s">
        <v>4067</v>
      </c>
      <c r="C643" s="22">
        <v>251790.0</v>
      </c>
      <c r="D643" s="107" t="s">
        <v>1868</v>
      </c>
      <c r="E643" s="22" t="s">
        <v>28</v>
      </c>
      <c r="F643" s="108">
        <v>0.5208333333333334</v>
      </c>
      <c r="G643" s="22"/>
    </row>
    <row r="644" spans="8:8" ht="34.5" customHeight="1">
      <c r="A644" s="22">
        <v>9.0</v>
      </c>
      <c r="B644" s="21" t="s">
        <v>4068</v>
      </c>
      <c r="C644" s="22">
        <v>251346.0</v>
      </c>
      <c r="D644" s="107" t="s">
        <v>1868</v>
      </c>
      <c r="E644" s="22" t="s">
        <v>28</v>
      </c>
      <c r="F644" s="108">
        <v>0.5208333333333334</v>
      </c>
      <c r="G644" s="22"/>
    </row>
    <row r="645" spans="8:8" ht="34.5" customHeight="1">
      <c r="A645" s="22">
        <v>10.0</v>
      </c>
      <c r="B645" s="21" t="s">
        <v>4069</v>
      </c>
      <c r="C645" s="22">
        <v>251361.0</v>
      </c>
      <c r="D645" s="107" t="s">
        <v>1868</v>
      </c>
      <c r="E645" s="22" t="s">
        <v>28</v>
      </c>
      <c r="F645" s="108">
        <v>0.5208333333333334</v>
      </c>
      <c r="G645" s="22"/>
    </row>
    <row r="646" spans="8:8" ht="34.5" customHeight="1">
      <c r="A646" s="22">
        <v>11.0</v>
      </c>
      <c r="B646" s="21" t="s">
        <v>4070</v>
      </c>
      <c r="C646" s="22">
        <v>251350.0</v>
      </c>
      <c r="D646" s="107" t="s">
        <v>1868</v>
      </c>
      <c r="E646" s="22" t="s">
        <v>28</v>
      </c>
      <c r="F646" s="108">
        <v>0.5208333333333334</v>
      </c>
      <c r="G646" s="22"/>
    </row>
    <row r="647" spans="8:8" ht="34.5" customHeight="1">
      <c r="A647" s="22">
        <v>12.0</v>
      </c>
      <c r="B647" s="21" t="s">
        <v>4071</v>
      </c>
      <c r="C647" s="22">
        <v>251356.0</v>
      </c>
      <c r="D647" s="107" t="s">
        <v>1868</v>
      </c>
      <c r="E647" s="22" t="s">
        <v>28</v>
      </c>
      <c r="F647" s="108">
        <v>0.5208333333333334</v>
      </c>
      <c r="G647" s="22"/>
    </row>
    <row r="648" spans="8:8" ht="34.5" customHeight="1">
      <c r="A648" s="22">
        <v>13.0</v>
      </c>
      <c r="B648" s="21" t="s">
        <v>4072</v>
      </c>
      <c r="C648" s="22">
        <v>251450.0</v>
      </c>
      <c r="D648" s="107" t="s">
        <v>1868</v>
      </c>
      <c r="E648" s="22" t="s">
        <v>28</v>
      </c>
      <c r="F648" s="108">
        <v>0.5208333333333334</v>
      </c>
      <c r="G648" s="22"/>
    </row>
    <row r="649" spans="8:8" ht="34.5" customHeight="1">
      <c r="A649" s="22">
        <v>14.0</v>
      </c>
      <c r="B649" s="21" t="s">
        <v>4073</v>
      </c>
      <c r="C649" s="22">
        <v>251453.0</v>
      </c>
      <c r="D649" s="107" t="s">
        <v>1868</v>
      </c>
      <c r="E649" s="22" t="s">
        <v>28</v>
      </c>
      <c r="F649" s="108">
        <v>0.5208333333333334</v>
      </c>
      <c r="G649" s="22"/>
    </row>
    <row r="650" spans="8:8" ht="34.5" customHeight="1">
      <c r="A650" s="22">
        <v>15.0</v>
      </c>
      <c r="B650" s="21" t="s">
        <v>4074</v>
      </c>
      <c r="C650" s="22">
        <v>251455.0</v>
      </c>
      <c r="D650" s="107" t="s">
        <v>1868</v>
      </c>
      <c r="E650" s="22" t="s">
        <v>28</v>
      </c>
      <c r="F650" s="108">
        <v>0.5208333333333334</v>
      </c>
      <c r="G650" s="22"/>
    </row>
    <row r="651" spans="8:8" ht="34.5" customHeight="1">
      <c r="A651" s="22">
        <v>16.0</v>
      </c>
      <c r="B651" s="21" t="s">
        <v>812</v>
      </c>
      <c r="C651" s="22">
        <v>251458.0</v>
      </c>
      <c r="D651" s="107" t="s">
        <v>1868</v>
      </c>
      <c r="E651" s="22" t="s">
        <v>28</v>
      </c>
      <c r="F651" s="108">
        <v>0.5208333333333334</v>
      </c>
      <c r="G651" s="22"/>
    </row>
    <row r="652" spans="8:8" ht="34.5" customHeight="1">
      <c r="A652" s="22">
        <v>17.0</v>
      </c>
      <c r="B652" s="21" t="s">
        <v>4075</v>
      </c>
      <c r="C652" s="22">
        <v>251459.0</v>
      </c>
      <c r="D652" s="107" t="s">
        <v>1868</v>
      </c>
      <c r="E652" s="22" t="s">
        <v>28</v>
      </c>
      <c r="F652" s="108">
        <v>0.5208333333333334</v>
      </c>
      <c r="G652" s="22"/>
    </row>
    <row r="653" spans="8:8" ht="34.5" customHeight="1">
      <c r="A653" s="22">
        <v>18.0</v>
      </c>
      <c r="B653" s="21" t="s">
        <v>4076</v>
      </c>
      <c r="C653" s="22">
        <v>251490.0</v>
      </c>
      <c r="D653" s="107" t="s">
        <v>1868</v>
      </c>
      <c r="E653" s="22" t="s">
        <v>28</v>
      </c>
      <c r="F653" s="108">
        <v>0.5208333333333334</v>
      </c>
      <c r="G653" s="22"/>
    </row>
    <row r="654" spans="8:8" ht="34.5" customHeight="1">
      <c r="A654" s="22">
        <v>19.0</v>
      </c>
      <c r="B654" s="21" t="s">
        <v>4077</v>
      </c>
      <c r="C654" s="13">
        <v>252535.0</v>
      </c>
      <c r="D654" s="21" t="s">
        <v>90</v>
      </c>
      <c r="E654" s="22" t="s">
        <v>28</v>
      </c>
      <c r="F654" s="108">
        <v>0.5208333333333334</v>
      </c>
      <c r="G654" s="22"/>
    </row>
    <row r="655" spans="8:8" ht="34.5" customHeight="1">
      <c r="A655" s="22">
        <v>20.0</v>
      </c>
      <c r="B655" s="21" t="s">
        <v>4078</v>
      </c>
      <c r="C655" s="22">
        <v>251404.0</v>
      </c>
      <c r="D655" s="107" t="s">
        <v>1868</v>
      </c>
      <c r="E655" s="22" t="s">
        <v>28</v>
      </c>
      <c r="F655" s="108">
        <v>0.5208333333333334</v>
      </c>
      <c r="G655" s="22"/>
    </row>
    <row r="656" spans="8:8" ht="34.5" customHeight="1">
      <c r="A656" s="22">
        <v>21.0</v>
      </c>
      <c r="B656" s="21" t="s">
        <v>4079</v>
      </c>
      <c r="C656" s="22">
        <v>241205.0</v>
      </c>
      <c r="D656" s="23" t="s">
        <v>1369</v>
      </c>
      <c r="E656" s="22" t="s">
        <v>28</v>
      </c>
      <c r="F656" s="108">
        <v>0.5208333333333334</v>
      </c>
      <c r="G656" s="22"/>
    </row>
    <row r="657" spans="8:8" ht="34.5" customHeight="1">
      <c r="A657" s="22">
        <v>22.0</v>
      </c>
      <c r="B657" s="21" t="s">
        <v>4080</v>
      </c>
      <c r="C657" s="22">
        <v>241283.0</v>
      </c>
      <c r="D657" s="23" t="s">
        <v>1369</v>
      </c>
      <c r="E657" s="22" t="s">
        <v>28</v>
      </c>
      <c r="F657" s="108">
        <v>0.5208333333333334</v>
      </c>
      <c r="G657" s="22"/>
    </row>
    <row r="658" spans="8:8" ht="34.5" customHeight="1">
      <c r="A658" s="22">
        <v>23.0</v>
      </c>
      <c r="B658" s="21" t="s">
        <v>4081</v>
      </c>
      <c r="C658" s="22">
        <v>241204.0</v>
      </c>
      <c r="D658" s="23" t="s">
        <v>1369</v>
      </c>
      <c r="E658" s="22" t="s">
        <v>28</v>
      </c>
      <c r="F658" s="108">
        <v>0.5208333333333334</v>
      </c>
      <c r="G658" s="22"/>
    </row>
    <row r="659" spans="8:8" ht="34.5" customHeight="1">
      <c r="A659" s="22">
        <v>24.0</v>
      </c>
      <c r="B659" s="21" t="s">
        <v>4082</v>
      </c>
      <c r="C659" s="22">
        <v>251636.0</v>
      </c>
      <c r="D659" s="107" t="s">
        <v>1868</v>
      </c>
      <c r="E659" s="22" t="s">
        <v>28</v>
      </c>
      <c r="F659" s="108">
        <v>0.5208333333333334</v>
      </c>
      <c r="G659" s="22"/>
    </row>
    <row r="660" spans="8:8" ht="34.5" customHeight="1">
      <c r="A660" s="22">
        <v>25.0</v>
      </c>
      <c r="B660" s="21" t="s">
        <v>4083</v>
      </c>
      <c r="C660" s="22">
        <v>251665.0</v>
      </c>
      <c r="D660" s="107" t="s">
        <v>1868</v>
      </c>
      <c r="E660" s="22" t="s">
        <v>28</v>
      </c>
      <c r="F660" s="108">
        <v>0.5208333333333334</v>
      </c>
      <c r="G660" s="22"/>
    </row>
    <row r="661" spans="8:8" ht="34.5" customHeight="1">
      <c r="A661" s="8" t="s">
        <v>18</v>
      </c>
      <c r="B661" s="9" t="s">
        <v>19</v>
      </c>
      <c r="C661" s="9" t="s">
        <v>20</v>
      </c>
      <c r="D661" s="9" t="s">
        <v>21</v>
      </c>
      <c r="E661" s="9" t="s">
        <v>22</v>
      </c>
      <c r="F661" s="9" t="s">
        <v>23</v>
      </c>
      <c r="G661" s="9" t="s">
        <v>80</v>
      </c>
    </row>
    <row r="662" spans="8:8" ht="34.5" customHeight="1">
      <c r="A662" s="22">
        <v>1.0</v>
      </c>
      <c r="B662" s="21" t="s">
        <v>4084</v>
      </c>
      <c r="C662" s="22">
        <v>251668.0</v>
      </c>
      <c r="D662" s="107" t="s">
        <v>1868</v>
      </c>
      <c r="E662" s="22" t="s">
        <v>28</v>
      </c>
      <c r="F662" s="108">
        <v>0.5208333333333334</v>
      </c>
      <c r="G662" s="13"/>
    </row>
    <row r="663" spans="8:8" ht="34.5" customHeight="1">
      <c r="A663" s="22">
        <v>2.0</v>
      </c>
      <c r="B663" s="21" t="s">
        <v>4085</v>
      </c>
      <c r="C663" s="22">
        <v>251696.0</v>
      </c>
      <c r="D663" s="107" t="s">
        <v>1868</v>
      </c>
      <c r="E663" s="22" t="s">
        <v>28</v>
      </c>
      <c r="F663" s="108">
        <v>0.5208333333333334</v>
      </c>
      <c r="G663" s="22"/>
    </row>
    <row r="664" spans="8:8" ht="34.5" customHeight="1">
      <c r="A664" s="22">
        <v>3.0</v>
      </c>
      <c r="B664" s="21" t="s">
        <v>4086</v>
      </c>
      <c r="C664" s="22">
        <v>251524.0</v>
      </c>
      <c r="D664" s="107" t="s">
        <v>1868</v>
      </c>
      <c r="E664" s="22" t="s">
        <v>28</v>
      </c>
      <c r="F664" s="108">
        <v>0.5208333333333334</v>
      </c>
      <c r="G664" s="22"/>
    </row>
    <row r="665" spans="8:8" ht="34.5" customHeight="1">
      <c r="A665" s="22">
        <v>4.0</v>
      </c>
      <c r="B665" s="21" t="s">
        <v>4087</v>
      </c>
      <c r="C665" s="22">
        <v>253095.0</v>
      </c>
      <c r="D665" s="107" t="s">
        <v>1868</v>
      </c>
      <c r="E665" s="22" t="s">
        <v>28</v>
      </c>
      <c r="F665" s="108">
        <v>0.5208333333333334</v>
      </c>
      <c r="G665" s="22"/>
    </row>
    <row r="666" spans="8:8" ht="34.5" customHeight="1">
      <c r="A666" s="22">
        <v>5.0</v>
      </c>
      <c r="B666" s="21" t="s">
        <v>4088</v>
      </c>
      <c r="C666" s="22">
        <v>253038.0</v>
      </c>
      <c r="D666" s="107" t="s">
        <v>1868</v>
      </c>
      <c r="E666" s="22" t="s">
        <v>28</v>
      </c>
      <c r="F666" s="108">
        <v>0.5208333333333334</v>
      </c>
      <c r="G666" s="22"/>
    </row>
    <row r="667" spans="8:8" ht="34.5" customHeight="1">
      <c r="A667" s="22">
        <v>6.0</v>
      </c>
      <c r="B667" s="12" t="s">
        <v>4089</v>
      </c>
      <c r="C667" s="13">
        <v>252921.0</v>
      </c>
      <c r="D667" s="107" t="s">
        <v>1868</v>
      </c>
      <c r="E667" s="22" t="s">
        <v>28</v>
      </c>
      <c r="F667" s="108">
        <v>0.5208333333333334</v>
      </c>
      <c r="G667" s="22"/>
    </row>
    <row r="668" spans="8:8" ht="34.5" customHeight="1">
      <c r="A668" s="22">
        <v>7.0</v>
      </c>
      <c r="B668" s="21" t="s">
        <v>4090</v>
      </c>
      <c r="C668" s="22">
        <v>251504.0</v>
      </c>
      <c r="D668" s="107" t="s">
        <v>1868</v>
      </c>
      <c r="E668" s="13" t="s">
        <v>28</v>
      </c>
      <c r="F668" s="108">
        <v>0.5208333333333334</v>
      </c>
      <c r="G668" s="13"/>
    </row>
    <row r="669" spans="8:8" ht="34.5" customHeight="1">
      <c r="A669" s="22">
        <v>8.0</v>
      </c>
      <c r="B669" s="21" t="s">
        <v>4091</v>
      </c>
      <c r="C669" s="22">
        <v>251540.0</v>
      </c>
      <c r="D669" s="107" t="s">
        <v>1868</v>
      </c>
      <c r="E669" s="22" t="s">
        <v>28</v>
      </c>
      <c r="F669" s="108">
        <v>0.5208333333333334</v>
      </c>
      <c r="G669" s="22"/>
    </row>
    <row r="670" spans="8:8" ht="34.5" customHeight="1">
      <c r="A670" s="22">
        <v>9.0</v>
      </c>
      <c r="B670" s="12" t="s">
        <v>4092</v>
      </c>
      <c r="C670" s="13">
        <v>251615.0</v>
      </c>
      <c r="D670" s="52" t="s">
        <v>1868</v>
      </c>
      <c r="E670" s="13" t="s">
        <v>28</v>
      </c>
      <c r="F670" s="58">
        <v>0.5208333333333334</v>
      </c>
      <c r="G670" s="13"/>
    </row>
    <row r="671" spans="8:8" ht="34.5" customHeight="1">
      <c r="A671" s="22">
        <v>10.0</v>
      </c>
      <c r="B671" s="12" t="s">
        <v>4093</v>
      </c>
      <c r="C671" s="13">
        <v>251241.0</v>
      </c>
      <c r="D671" s="52" t="s">
        <v>1868</v>
      </c>
      <c r="E671" s="13" t="s">
        <v>28</v>
      </c>
      <c r="F671" s="58">
        <v>0.5208333333333334</v>
      </c>
      <c r="G671" s="13"/>
    </row>
    <row r="672" spans="8:8" ht="34.5" customHeight="1">
      <c r="A672" s="22">
        <v>11.0</v>
      </c>
      <c r="B672" s="12" t="s">
        <v>4094</v>
      </c>
      <c r="C672" s="13">
        <v>251242.0</v>
      </c>
      <c r="D672" s="52" t="s">
        <v>1868</v>
      </c>
      <c r="E672" s="13" t="s">
        <v>28</v>
      </c>
      <c r="F672" s="58">
        <v>0.5208333333333334</v>
      </c>
      <c r="G672" s="13"/>
    </row>
    <row r="673" spans="8:8" ht="34.5" customHeight="1">
      <c r="A673" s="22">
        <v>12.0</v>
      </c>
      <c r="B673" s="12" t="s">
        <v>4095</v>
      </c>
      <c r="C673" s="13">
        <v>251257.0</v>
      </c>
      <c r="D673" s="52" t="s">
        <v>1868</v>
      </c>
      <c r="E673" s="13" t="s">
        <v>28</v>
      </c>
      <c r="F673" s="58">
        <v>0.5208333333333334</v>
      </c>
      <c r="G673" s="13"/>
    </row>
    <row r="674" spans="8:8" ht="34.5" customHeight="1">
      <c r="A674" s="22">
        <v>13.0</v>
      </c>
      <c r="B674" s="12" t="s">
        <v>4096</v>
      </c>
      <c r="C674" s="13">
        <v>251262.0</v>
      </c>
      <c r="D674" s="52" t="s">
        <v>1868</v>
      </c>
      <c r="E674" s="13" t="s">
        <v>28</v>
      </c>
      <c r="F674" s="58">
        <v>0.5208333333333334</v>
      </c>
      <c r="G674" s="13"/>
    </row>
    <row r="675" spans="8:8" ht="34.5" customHeight="1">
      <c r="A675" s="22">
        <v>14.0</v>
      </c>
      <c r="B675" s="12" t="s">
        <v>4097</v>
      </c>
      <c r="C675" s="13">
        <v>251525.0</v>
      </c>
      <c r="D675" s="52" t="s">
        <v>1868</v>
      </c>
      <c r="E675" s="13" t="s">
        <v>28</v>
      </c>
      <c r="F675" s="58">
        <v>0.5208333333333334</v>
      </c>
      <c r="G675" s="13"/>
    </row>
    <row r="676" spans="8:8" ht="34.5" customHeight="1">
      <c r="A676" s="22">
        <v>15.0</v>
      </c>
      <c r="B676" s="12" t="s">
        <v>4098</v>
      </c>
      <c r="C676" s="13">
        <v>251765.0</v>
      </c>
      <c r="D676" s="52" t="s">
        <v>1868</v>
      </c>
      <c r="E676" s="13" t="s">
        <v>28</v>
      </c>
      <c r="F676" s="58">
        <v>0.5208333333333334</v>
      </c>
      <c r="G676" s="13"/>
    </row>
    <row r="677" spans="8:8" ht="34.5" customHeight="1">
      <c r="A677" s="22">
        <v>16.0</v>
      </c>
      <c r="B677" s="12" t="s">
        <v>4099</v>
      </c>
      <c r="C677" s="13">
        <v>251766.0</v>
      </c>
      <c r="D677" s="52" t="s">
        <v>1868</v>
      </c>
      <c r="E677" s="13" t="s">
        <v>28</v>
      </c>
      <c r="F677" s="58">
        <v>0.5208333333333334</v>
      </c>
      <c r="G677" s="13"/>
    </row>
    <row r="678" spans="8:8" ht="34.5" customHeight="1">
      <c r="A678" s="22">
        <v>17.0</v>
      </c>
      <c r="B678" s="12" t="s">
        <v>4100</v>
      </c>
      <c r="C678" s="13">
        <v>251534.0</v>
      </c>
      <c r="D678" s="52" t="s">
        <v>1868</v>
      </c>
      <c r="E678" s="13" t="s">
        <v>28</v>
      </c>
      <c r="F678" s="58">
        <v>0.5208333333333334</v>
      </c>
      <c r="G678" s="13"/>
    </row>
    <row r="679" spans="8:8" ht="34.5" customHeight="1">
      <c r="A679" s="22">
        <v>18.0</v>
      </c>
      <c r="B679" s="12" t="s">
        <v>4101</v>
      </c>
      <c r="C679" s="13">
        <v>251320.0</v>
      </c>
      <c r="D679" s="52" t="s">
        <v>1868</v>
      </c>
      <c r="E679" s="13" t="s">
        <v>28</v>
      </c>
      <c r="F679" s="58">
        <v>0.5208333333333334</v>
      </c>
      <c r="G679" s="13"/>
    </row>
    <row r="680" spans="8:8" ht="34.5" customHeight="1">
      <c r="A680" s="22">
        <v>19.0</v>
      </c>
      <c r="B680" s="12" t="s">
        <v>4102</v>
      </c>
      <c r="C680" s="13">
        <v>251402.0</v>
      </c>
      <c r="D680" s="52" t="s">
        <v>1868</v>
      </c>
      <c r="E680" s="13" t="s">
        <v>28</v>
      </c>
      <c r="F680" s="58">
        <v>0.5208333333333334</v>
      </c>
      <c r="G680" s="13"/>
    </row>
    <row r="681" spans="8:8" ht="34.5" customHeight="1">
      <c r="A681" s="22">
        <v>20.0</v>
      </c>
      <c r="B681" s="12" t="s">
        <v>4103</v>
      </c>
      <c r="C681" s="13">
        <v>251403.0</v>
      </c>
      <c r="D681" s="52" t="s">
        <v>1868</v>
      </c>
      <c r="E681" s="13" t="s">
        <v>28</v>
      </c>
      <c r="F681" s="58">
        <v>0.5208333333333334</v>
      </c>
      <c r="G681" s="13"/>
    </row>
    <row r="682" spans="8:8" ht="34.5" customHeight="1">
      <c r="A682" s="22">
        <v>21.0</v>
      </c>
      <c r="B682" s="12" t="s">
        <v>4104</v>
      </c>
      <c r="C682" s="13">
        <v>251460.0</v>
      </c>
      <c r="D682" s="52" t="s">
        <v>1868</v>
      </c>
      <c r="E682" s="13" t="s">
        <v>28</v>
      </c>
      <c r="F682" s="58">
        <v>0.5208333333333334</v>
      </c>
      <c r="G682" s="13"/>
    </row>
    <row r="683" spans="8:8" ht="34.5" customHeight="1">
      <c r="A683" s="22">
        <v>22.0</v>
      </c>
      <c r="B683" s="12" t="s">
        <v>4105</v>
      </c>
      <c r="C683" s="13">
        <v>251456.0</v>
      </c>
      <c r="D683" s="52" t="s">
        <v>1868</v>
      </c>
      <c r="E683" s="13" t="s">
        <v>28</v>
      </c>
      <c r="F683" s="58">
        <v>0.5208333333333334</v>
      </c>
      <c r="G683" s="13"/>
    </row>
    <row r="684" spans="8:8" ht="34.5" customHeight="1">
      <c r="A684" s="8" t="s">
        <v>18</v>
      </c>
      <c r="B684" s="9" t="s">
        <v>19</v>
      </c>
      <c r="C684" s="9" t="s">
        <v>20</v>
      </c>
      <c r="D684" s="9" t="s">
        <v>21</v>
      </c>
      <c r="E684" s="9" t="s">
        <v>22</v>
      </c>
      <c r="F684" s="9" t="s">
        <v>23</v>
      </c>
      <c r="G684" s="9" t="s">
        <v>109</v>
      </c>
    </row>
    <row r="685" spans="8:8" ht="34.5" customHeight="1">
      <c r="A685" s="13">
        <v>1.0</v>
      </c>
      <c r="B685" s="21" t="s">
        <v>4106</v>
      </c>
      <c r="C685" s="22">
        <v>251680.0</v>
      </c>
      <c r="D685" s="107" t="s">
        <v>1868</v>
      </c>
      <c r="E685" s="22" t="s">
        <v>111</v>
      </c>
      <c r="F685" s="108">
        <v>0.5208333333333334</v>
      </c>
      <c r="G685" s="13"/>
    </row>
    <row r="686" spans="8:8" ht="34.5" customHeight="1">
      <c r="A686" s="13">
        <v>2.0</v>
      </c>
      <c r="B686" s="21" t="s">
        <v>4107</v>
      </c>
      <c r="C686" s="22">
        <v>251693.0</v>
      </c>
      <c r="D686" s="107" t="s">
        <v>1868</v>
      </c>
      <c r="E686" s="22" t="s">
        <v>111</v>
      </c>
      <c r="F686" s="108">
        <v>0.5208333333333334</v>
      </c>
      <c r="G686" s="22"/>
    </row>
    <row r="687" spans="8:8" ht="34.5" customHeight="1">
      <c r="A687" s="13">
        <v>3.0</v>
      </c>
      <c r="B687" s="21" t="s">
        <v>4108</v>
      </c>
      <c r="C687" s="22">
        <v>251697.0</v>
      </c>
      <c r="D687" s="107" t="s">
        <v>1868</v>
      </c>
      <c r="E687" s="22" t="s">
        <v>111</v>
      </c>
      <c r="F687" s="108">
        <v>0.5208333333333334</v>
      </c>
      <c r="G687" s="22"/>
    </row>
    <row r="688" spans="8:8" ht="34.5" customHeight="1">
      <c r="A688" s="13">
        <v>4.0</v>
      </c>
      <c r="B688" s="21" t="s">
        <v>4109</v>
      </c>
      <c r="C688" s="22">
        <v>251733.0</v>
      </c>
      <c r="D688" s="107" t="s">
        <v>1868</v>
      </c>
      <c r="E688" s="22" t="s">
        <v>111</v>
      </c>
      <c r="F688" s="108">
        <v>0.5208333333333334</v>
      </c>
      <c r="G688" s="22"/>
    </row>
    <row r="689" spans="8:8" ht="34.5" customHeight="1">
      <c r="A689" s="13">
        <v>5.0</v>
      </c>
      <c r="B689" s="21" t="s">
        <v>4110</v>
      </c>
      <c r="C689" s="22">
        <v>251735.0</v>
      </c>
      <c r="D689" s="107" t="s">
        <v>1868</v>
      </c>
      <c r="E689" s="22" t="s">
        <v>111</v>
      </c>
      <c r="F689" s="108">
        <v>0.5208333333333334</v>
      </c>
      <c r="G689" s="22"/>
    </row>
    <row r="690" spans="8:8" ht="34.5" customHeight="1">
      <c r="A690" s="13">
        <v>6.0</v>
      </c>
      <c r="B690" s="21" t="s">
        <v>4111</v>
      </c>
      <c r="C690" s="22">
        <v>251737.0</v>
      </c>
      <c r="D690" s="107" t="s">
        <v>1868</v>
      </c>
      <c r="E690" s="22" t="s">
        <v>111</v>
      </c>
      <c r="F690" s="108">
        <v>0.5208333333333334</v>
      </c>
      <c r="G690" s="22"/>
    </row>
    <row r="691" spans="8:8" ht="34.5" customHeight="1">
      <c r="A691" s="13">
        <v>7.0</v>
      </c>
      <c r="B691" s="21" t="s">
        <v>4112</v>
      </c>
      <c r="C691" s="22">
        <v>251739.0</v>
      </c>
      <c r="D691" s="107" t="s">
        <v>1868</v>
      </c>
      <c r="E691" s="22" t="s">
        <v>111</v>
      </c>
      <c r="F691" s="108">
        <v>0.5208333333333334</v>
      </c>
      <c r="G691" s="22"/>
    </row>
    <row r="692" spans="8:8" ht="34.5" customHeight="1">
      <c r="A692" s="13">
        <v>8.0</v>
      </c>
      <c r="B692" s="21" t="s">
        <v>4113</v>
      </c>
      <c r="C692" s="22">
        <v>251740.0</v>
      </c>
      <c r="D692" s="107" t="s">
        <v>1868</v>
      </c>
      <c r="E692" s="22" t="s">
        <v>111</v>
      </c>
      <c r="F692" s="108">
        <v>0.5208333333333334</v>
      </c>
      <c r="G692" s="22"/>
    </row>
    <row r="693" spans="8:8" ht="34.5" customHeight="1">
      <c r="A693" s="13">
        <v>9.0</v>
      </c>
      <c r="B693" s="21" t="s">
        <v>4114</v>
      </c>
      <c r="C693" s="22">
        <v>251757.0</v>
      </c>
      <c r="D693" s="107" t="s">
        <v>1868</v>
      </c>
      <c r="E693" s="22" t="s">
        <v>111</v>
      </c>
      <c r="F693" s="108">
        <v>0.5208333333333334</v>
      </c>
      <c r="G693" s="22"/>
    </row>
    <row r="694" spans="8:8" ht="34.5" customHeight="1">
      <c r="A694" s="13">
        <v>10.0</v>
      </c>
      <c r="B694" s="21" t="s">
        <v>4115</v>
      </c>
      <c r="C694" s="22">
        <v>251764.0</v>
      </c>
      <c r="D694" s="107" t="s">
        <v>1868</v>
      </c>
      <c r="E694" s="22" t="s">
        <v>111</v>
      </c>
      <c r="F694" s="108">
        <v>0.5208333333333334</v>
      </c>
      <c r="G694" s="22"/>
    </row>
    <row r="695" spans="8:8" ht="34.5" customHeight="1">
      <c r="A695" s="13">
        <v>11.0</v>
      </c>
      <c r="B695" s="21" t="s">
        <v>4116</v>
      </c>
      <c r="C695" s="22">
        <v>251634.0</v>
      </c>
      <c r="D695" s="107" t="s">
        <v>1868</v>
      </c>
      <c r="E695" s="22" t="s">
        <v>111</v>
      </c>
      <c r="F695" s="108">
        <v>0.5208333333333334</v>
      </c>
      <c r="G695" s="22"/>
    </row>
    <row r="696" spans="8:8" ht="34.5" customHeight="1">
      <c r="A696" s="13">
        <v>12.0</v>
      </c>
      <c r="B696" s="21" t="s">
        <v>4117</v>
      </c>
      <c r="C696" s="22">
        <v>251692.0</v>
      </c>
      <c r="D696" s="107" t="s">
        <v>1868</v>
      </c>
      <c r="E696" s="13" t="s">
        <v>111</v>
      </c>
      <c r="F696" s="108">
        <v>0.5208333333333334</v>
      </c>
      <c r="G696" s="13"/>
    </row>
    <row r="697" spans="8:8" ht="34.5" customHeight="1">
      <c r="A697" s="13">
        <v>13.0</v>
      </c>
      <c r="B697" s="21" t="s">
        <v>4118</v>
      </c>
      <c r="C697" s="22">
        <v>251774.0</v>
      </c>
      <c r="D697" s="107" t="s">
        <v>1868</v>
      </c>
      <c r="E697" s="22" t="s">
        <v>111</v>
      </c>
      <c r="F697" s="108">
        <v>0.5208333333333334</v>
      </c>
      <c r="G697" s="22"/>
    </row>
    <row r="698" spans="8:8" ht="34.5" customHeight="1">
      <c r="A698" s="13">
        <v>14.0</v>
      </c>
      <c r="B698" s="21" t="s">
        <v>4119</v>
      </c>
      <c r="C698" s="22">
        <v>251778.0</v>
      </c>
      <c r="D698" s="107" t="s">
        <v>1868</v>
      </c>
      <c r="E698" s="22" t="s">
        <v>111</v>
      </c>
      <c r="F698" s="108">
        <v>0.5208333333333334</v>
      </c>
      <c r="G698" s="22"/>
    </row>
    <row r="699" spans="8:8" ht="34.5" customHeight="1">
      <c r="A699" s="13">
        <v>15.0</v>
      </c>
      <c r="B699" s="21" t="s">
        <v>4120</v>
      </c>
      <c r="C699" s="22">
        <v>251779.0</v>
      </c>
      <c r="D699" s="107" t="s">
        <v>1868</v>
      </c>
      <c r="E699" s="22" t="s">
        <v>111</v>
      </c>
      <c r="F699" s="108">
        <v>0.5208333333333334</v>
      </c>
      <c r="G699" s="22"/>
    </row>
    <row r="700" spans="8:8" ht="34.5" customHeight="1">
      <c r="A700" s="13">
        <v>16.0</v>
      </c>
      <c r="B700" s="21" t="s">
        <v>4121</v>
      </c>
      <c r="C700" s="22">
        <v>251780.0</v>
      </c>
      <c r="D700" s="107" t="s">
        <v>1868</v>
      </c>
      <c r="E700" s="22" t="s">
        <v>111</v>
      </c>
      <c r="F700" s="108">
        <v>0.5208333333333334</v>
      </c>
      <c r="G700" s="22"/>
    </row>
    <row r="701" spans="8:8" ht="34.5" customHeight="1">
      <c r="A701" s="13">
        <v>17.0</v>
      </c>
      <c r="B701" s="21" t="s">
        <v>4122</v>
      </c>
      <c r="C701" s="22">
        <v>251783.0</v>
      </c>
      <c r="D701" s="107" t="s">
        <v>1868</v>
      </c>
      <c r="E701" s="22" t="s">
        <v>111</v>
      </c>
      <c r="F701" s="108">
        <v>0.5208333333333334</v>
      </c>
      <c r="G701" s="22"/>
    </row>
    <row r="702" spans="8:8" ht="34.5" customHeight="1">
      <c r="A702" s="13">
        <v>18.0</v>
      </c>
      <c r="B702" s="21" t="s">
        <v>4123</v>
      </c>
      <c r="C702" s="22">
        <v>252920.0</v>
      </c>
      <c r="D702" s="107" t="s">
        <v>1868</v>
      </c>
      <c r="E702" s="22" t="s">
        <v>111</v>
      </c>
      <c r="F702" s="108">
        <v>0.5208333333333334</v>
      </c>
      <c r="G702" s="22"/>
    </row>
    <row r="703" spans="8:8" ht="34.5" customHeight="1">
      <c r="A703" s="13">
        <v>19.0</v>
      </c>
      <c r="B703" s="21" t="s">
        <v>4124</v>
      </c>
      <c r="C703" s="22">
        <v>251452.0</v>
      </c>
      <c r="D703" s="107" t="s">
        <v>1868</v>
      </c>
      <c r="E703" s="22" t="s">
        <v>111</v>
      </c>
      <c r="F703" s="108">
        <v>0.5208333333333334</v>
      </c>
      <c r="G703" s="22"/>
    </row>
    <row r="704" spans="8:8" ht="34.5" customHeight="1">
      <c r="A704" s="13">
        <v>20.0</v>
      </c>
      <c r="B704" s="21" t="s">
        <v>4125</v>
      </c>
      <c r="C704" s="22">
        <v>251470.0</v>
      </c>
      <c r="D704" s="107" t="s">
        <v>1868</v>
      </c>
      <c r="E704" s="22" t="s">
        <v>111</v>
      </c>
      <c r="F704" s="108">
        <v>0.5208333333333334</v>
      </c>
      <c r="G704" s="22"/>
    </row>
    <row r="705" spans="8:8" ht="34.5" customHeight="1">
      <c r="A705" s="13">
        <v>21.0</v>
      </c>
      <c r="B705" s="21" t="s">
        <v>4126</v>
      </c>
      <c r="C705" s="22">
        <v>251488.0</v>
      </c>
      <c r="D705" s="107" t="s">
        <v>1868</v>
      </c>
      <c r="E705" s="22" t="s">
        <v>111</v>
      </c>
      <c r="F705" s="108">
        <v>0.5208333333333334</v>
      </c>
      <c r="G705" s="22"/>
    </row>
    <row r="706" spans="8:8" ht="34.5" customHeight="1">
      <c r="A706" s="13">
        <v>22.0</v>
      </c>
      <c r="B706" s="21" t="s">
        <v>4127</v>
      </c>
      <c r="C706" s="22">
        <v>251499.0</v>
      </c>
      <c r="D706" s="107" t="s">
        <v>1868</v>
      </c>
      <c r="E706" s="22" t="s">
        <v>111</v>
      </c>
      <c r="F706" s="108">
        <v>0.5208333333333334</v>
      </c>
      <c r="G706" s="22"/>
    </row>
    <row r="707" spans="8:8" ht="34.5" customHeight="1">
      <c r="A707" s="13">
        <v>23.0</v>
      </c>
      <c r="B707" s="21" t="s">
        <v>4128</v>
      </c>
      <c r="C707" s="22">
        <v>241948.0</v>
      </c>
      <c r="D707" s="23" t="s">
        <v>1369</v>
      </c>
      <c r="E707" s="22" t="s">
        <v>111</v>
      </c>
      <c r="F707" s="108">
        <v>0.5208333333333334</v>
      </c>
      <c r="G707" s="22"/>
    </row>
    <row r="708" spans="8:8" ht="34.5" customHeight="1">
      <c r="A708" s="13">
        <v>24.0</v>
      </c>
      <c r="B708" s="21" t="s">
        <v>4129</v>
      </c>
      <c r="C708" s="22">
        <v>241944.0</v>
      </c>
      <c r="D708" s="23" t="s">
        <v>1369</v>
      </c>
      <c r="E708" s="22" t="s">
        <v>111</v>
      </c>
      <c r="F708" s="108">
        <v>0.5208333333333334</v>
      </c>
      <c r="G708" s="22"/>
    </row>
    <row r="709" spans="8:8" ht="34.5" customHeight="1">
      <c r="A709" s="13">
        <v>25.0</v>
      </c>
      <c r="B709" s="21" t="s">
        <v>4130</v>
      </c>
      <c r="C709" s="22">
        <v>241211.0</v>
      </c>
      <c r="D709" s="23" t="s">
        <v>1369</v>
      </c>
      <c r="E709" s="22" t="s">
        <v>111</v>
      </c>
      <c r="F709" s="108">
        <v>0.5208333333333334</v>
      </c>
      <c r="G709" s="22"/>
    </row>
    <row r="710" spans="8:8" ht="34.5" customHeight="1">
      <c r="A710" s="8" t="s">
        <v>18</v>
      </c>
      <c r="B710" s="9" t="s">
        <v>19</v>
      </c>
      <c r="C710" s="9" t="s">
        <v>20</v>
      </c>
      <c r="D710" s="9" t="s">
        <v>21</v>
      </c>
      <c r="E710" s="9" t="s">
        <v>22</v>
      </c>
      <c r="F710" s="9" t="s">
        <v>23</v>
      </c>
      <c r="G710" s="9" t="s">
        <v>136</v>
      </c>
    </row>
    <row r="711" spans="8:8" ht="34.5" customHeight="1">
      <c r="A711" s="13">
        <v>1.0</v>
      </c>
      <c r="B711" s="21" t="s">
        <v>4131</v>
      </c>
      <c r="C711" s="22">
        <v>253171.0</v>
      </c>
      <c r="D711" s="19" t="s">
        <v>104</v>
      </c>
      <c r="E711" s="13" t="s">
        <v>111</v>
      </c>
      <c r="F711" s="108">
        <v>0.5208333333333334</v>
      </c>
      <c r="G711" s="13"/>
    </row>
    <row r="712" spans="8:8" ht="34.5" customHeight="1">
      <c r="A712" s="22">
        <v>2.0</v>
      </c>
      <c r="B712" s="21" t="s">
        <v>4132</v>
      </c>
      <c r="C712" s="22">
        <v>241517.0</v>
      </c>
      <c r="D712" s="23" t="s">
        <v>1369</v>
      </c>
      <c r="E712" s="22" t="s">
        <v>111</v>
      </c>
      <c r="F712" s="108">
        <v>0.5208333333333334</v>
      </c>
      <c r="G712" s="22"/>
    </row>
    <row r="713" spans="8:8" ht="34.5" customHeight="1">
      <c r="A713" s="13">
        <v>3.0</v>
      </c>
      <c r="B713" s="21" t="s">
        <v>4133</v>
      </c>
      <c r="C713" s="22">
        <v>241224.0</v>
      </c>
      <c r="D713" s="23" t="s">
        <v>1369</v>
      </c>
      <c r="E713" s="22" t="s">
        <v>111</v>
      </c>
      <c r="F713" s="108">
        <v>0.5208333333333334</v>
      </c>
      <c r="G713" s="22"/>
    </row>
    <row r="714" spans="8:8" ht="34.5" customHeight="1">
      <c r="A714" s="22">
        <v>4.0</v>
      </c>
      <c r="B714" s="21" t="s">
        <v>4134</v>
      </c>
      <c r="C714" s="22">
        <v>241447.0</v>
      </c>
      <c r="D714" s="23" t="s">
        <v>1369</v>
      </c>
      <c r="E714" s="22" t="s">
        <v>111</v>
      </c>
      <c r="F714" s="108">
        <v>0.5208333333333334</v>
      </c>
      <c r="G714" s="22"/>
    </row>
    <row r="715" spans="8:8" ht="34.5" customHeight="1">
      <c r="A715" s="13">
        <v>5.0</v>
      </c>
      <c r="B715" s="21" t="s">
        <v>4135</v>
      </c>
      <c r="C715" s="22">
        <v>241482.0</v>
      </c>
      <c r="D715" s="23" t="s">
        <v>1369</v>
      </c>
      <c r="E715" s="22" t="s">
        <v>111</v>
      </c>
      <c r="F715" s="108">
        <v>0.5208333333333334</v>
      </c>
      <c r="G715" s="22"/>
    </row>
    <row r="716" spans="8:8" ht="34.5" customHeight="1">
      <c r="A716" s="22">
        <v>6.0</v>
      </c>
      <c r="B716" s="21" t="s">
        <v>4136</v>
      </c>
      <c r="C716" s="22">
        <v>241142.0</v>
      </c>
      <c r="D716" s="23" t="s">
        <v>1369</v>
      </c>
      <c r="E716" s="22" t="s">
        <v>111</v>
      </c>
      <c r="F716" s="108">
        <v>0.5208333333333334</v>
      </c>
      <c r="G716" s="22"/>
    </row>
    <row r="717" spans="8:8" ht="34.5" customHeight="1">
      <c r="A717" s="13">
        <v>7.0</v>
      </c>
      <c r="B717" s="21" t="s">
        <v>4137</v>
      </c>
      <c r="C717" s="22">
        <v>241165.0</v>
      </c>
      <c r="D717" s="23" t="s">
        <v>1369</v>
      </c>
      <c r="E717" s="22" t="s">
        <v>111</v>
      </c>
      <c r="F717" s="108">
        <v>0.5208333333333334</v>
      </c>
      <c r="G717" s="22"/>
    </row>
    <row r="718" spans="8:8" ht="34.5" customHeight="1">
      <c r="A718" s="22">
        <v>8.0</v>
      </c>
      <c r="B718" s="21" t="s">
        <v>4138</v>
      </c>
      <c r="C718" s="22">
        <v>241943.0</v>
      </c>
      <c r="D718" s="23" t="s">
        <v>1369</v>
      </c>
      <c r="E718" s="22" t="s">
        <v>111</v>
      </c>
      <c r="F718" s="108">
        <v>0.5208333333333334</v>
      </c>
      <c r="G718" s="22"/>
    </row>
    <row r="719" spans="8:8" ht="34.5" customHeight="1">
      <c r="A719" s="13">
        <v>9.0</v>
      </c>
      <c r="B719" s="21" t="s">
        <v>4139</v>
      </c>
      <c r="C719" s="22">
        <v>241199.0</v>
      </c>
      <c r="D719" s="23" t="s">
        <v>1369</v>
      </c>
      <c r="E719" s="22" t="s">
        <v>111</v>
      </c>
      <c r="F719" s="108">
        <v>0.5208333333333334</v>
      </c>
      <c r="G719" s="22"/>
    </row>
    <row r="720" spans="8:8" ht="34.5" customHeight="1">
      <c r="A720" s="22">
        <v>10.0</v>
      </c>
      <c r="B720" s="21" t="s">
        <v>4140</v>
      </c>
      <c r="C720" s="22">
        <v>241270.0</v>
      </c>
      <c r="D720" s="23" t="s">
        <v>1369</v>
      </c>
      <c r="E720" s="22" t="s">
        <v>111</v>
      </c>
      <c r="F720" s="108">
        <v>0.5208333333333334</v>
      </c>
      <c r="G720" s="22"/>
    </row>
    <row r="721" spans="8:8" ht="34.5" customHeight="1">
      <c r="A721" s="13">
        <v>11.0</v>
      </c>
      <c r="B721" s="21" t="s">
        <v>4141</v>
      </c>
      <c r="C721" s="22">
        <v>241939.0</v>
      </c>
      <c r="D721" s="23" t="s">
        <v>1369</v>
      </c>
      <c r="E721" s="22" t="s">
        <v>111</v>
      </c>
      <c r="F721" s="108">
        <v>0.5208333333333334</v>
      </c>
      <c r="G721" s="22"/>
    </row>
    <row r="722" spans="8:8" ht="34.5" customHeight="1">
      <c r="A722" s="22">
        <v>12.0</v>
      </c>
      <c r="B722" s="21" t="s">
        <v>4142</v>
      </c>
      <c r="C722" s="22">
        <v>241955.0</v>
      </c>
      <c r="D722" s="23" t="s">
        <v>1369</v>
      </c>
      <c r="E722" s="22" t="s">
        <v>111</v>
      </c>
      <c r="F722" s="108">
        <v>0.5208333333333334</v>
      </c>
      <c r="G722" s="22"/>
    </row>
    <row r="723" spans="8:8" ht="34.5" customHeight="1">
      <c r="A723" s="13">
        <v>13.0</v>
      </c>
      <c r="B723" s="21" t="s">
        <v>4143</v>
      </c>
      <c r="C723" s="22">
        <v>241956.0</v>
      </c>
      <c r="D723" s="23" t="s">
        <v>1369</v>
      </c>
      <c r="E723" s="22" t="s">
        <v>111</v>
      </c>
      <c r="F723" s="108">
        <v>0.5208333333333334</v>
      </c>
      <c r="G723" s="22"/>
    </row>
    <row r="724" spans="8:8" ht="34.5" customHeight="1">
      <c r="A724" s="22">
        <v>14.0</v>
      </c>
      <c r="B724" s="21" t="s">
        <v>4144</v>
      </c>
      <c r="C724" s="22">
        <v>241946.0</v>
      </c>
      <c r="D724" s="23" t="s">
        <v>1369</v>
      </c>
      <c r="E724" s="22" t="s">
        <v>111</v>
      </c>
      <c r="F724" s="108">
        <v>0.5208333333333334</v>
      </c>
      <c r="G724" s="22"/>
    </row>
    <row r="725" spans="8:8" ht="34.5" customHeight="1">
      <c r="A725" s="13">
        <v>15.0</v>
      </c>
      <c r="B725" s="21" t="s">
        <v>4145</v>
      </c>
      <c r="C725" s="22">
        <v>241937.0</v>
      </c>
      <c r="D725" s="23" t="s">
        <v>1369</v>
      </c>
      <c r="E725" s="22" t="s">
        <v>111</v>
      </c>
      <c r="F725" s="108">
        <v>0.5208333333333334</v>
      </c>
      <c r="G725" s="22"/>
    </row>
    <row r="726" spans="8:8" ht="34.5" customHeight="1">
      <c r="A726" s="22">
        <v>16.0</v>
      </c>
      <c r="B726" s="21" t="s">
        <v>4146</v>
      </c>
      <c r="C726" s="22">
        <v>253013.0</v>
      </c>
      <c r="D726" s="107" t="s">
        <v>1868</v>
      </c>
      <c r="E726" s="22" t="s">
        <v>111</v>
      </c>
      <c r="F726" s="108">
        <v>0.5208333333333334</v>
      </c>
      <c r="G726" s="22"/>
    </row>
    <row r="727" spans="8:8" ht="34.5" customHeight="1">
      <c r="A727" s="13">
        <v>17.0</v>
      </c>
      <c r="B727" s="12" t="s">
        <v>4147</v>
      </c>
      <c r="C727" s="13">
        <v>253059.0</v>
      </c>
      <c r="D727" s="12" t="s">
        <v>27</v>
      </c>
      <c r="E727" s="22" t="s">
        <v>111</v>
      </c>
      <c r="F727" s="108">
        <v>0.5208333333333334</v>
      </c>
      <c r="G727" s="22"/>
    </row>
    <row r="728" spans="8:8" ht="34.5" customHeight="1">
      <c r="A728" s="22">
        <v>18.0</v>
      </c>
      <c r="B728" s="21" t="s">
        <v>4148</v>
      </c>
      <c r="C728" s="22">
        <v>251520.0</v>
      </c>
      <c r="D728" s="107" t="s">
        <v>1868</v>
      </c>
      <c r="E728" s="22" t="s">
        <v>111</v>
      </c>
      <c r="F728" s="108">
        <v>0.5208333333333334</v>
      </c>
      <c r="G728" s="22"/>
    </row>
    <row r="729" spans="8:8" ht="34.5" customHeight="1">
      <c r="A729" s="13">
        <v>19.0</v>
      </c>
      <c r="B729" s="21" t="s">
        <v>4149</v>
      </c>
      <c r="C729" s="22">
        <v>251510.0</v>
      </c>
      <c r="D729" s="107" t="s">
        <v>1868</v>
      </c>
      <c r="E729" s="22" t="s">
        <v>111</v>
      </c>
      <c r="F729" s="108">
        <v>0.5208333333333334</v>
      </c>
      <c r="G729" s="22"/>
    </row>
    <row r="730" spans="8:8" ht="34.5" customHeight="1">
      <c r="A730" s="22">
        <v>20.0</v>
      </c>
      <c r="B730" s="21" t="s">
        <v>4150</v>
      </c>
      <c r="C730" s="22">
        <v>241953.0</v>
      </c>
      <c r="D730" s="23" t="s">
        <v>1369</v>
      </c>
      <c r="E730" s="22" t="s">
        <v>111</v>
      </c>
      <c r="F730" s="108">
        <v>0.5208333333333334</v>
      </c>
      <c r="G730" s="22"/>
    </row>
    <row r="731" spans="8:8" ht="34.5" customHeight="1">
      <c r="A731" s="13">
        <v>21.0</v>
      </c>
      <c r="B731" s="21" t="s">
        <v>4151</v>
      </c>
      <c r="C731" s="22">
        <v>241945.0</v>
      </c>
      <c r="D731" s="23" t="s">
        <v>1369</v>
      </c>
      <c r="E731" s="22" t="s">
        <v>111</v>
      </c>
      <c r="F731" s="108">
        <v>0.5208333333333334</v>
      </c>
      <c r="G731" s="22"/>
    </row>
    <row r="732" spans="8:8" ht="34.5" customHeight="1">
      <c r="A732" s="8" t="s">
        <v>18</v>
      </c>
      <c r="B732" s="9" t="s">
        <v>19</v>
      </c>
      <c r="C732" s="9" t="s">
        <v>20</v>
      </c>
      <c r="D732" s="9" t="s">
        <v>21</v>
      </c>
      <c r="E732" s="9" t="s">
        <v>22</v>
      </c>
      <c r="F732" s="9" t="s">
        <v>23</v>
      </c>
      <c r="G732" s="9" t="s">
        <v>162</v>
      </c>
    </row>
    <row r="733" spans="8:8" ht="34.5" customHeight="1">
      <c r="A733" s="113">
        <v>1.0</v>
      </c>
      <c r="B733" s="21" t="s">
        <v>4152</v>
      </c>
      <c r="C733" s="22">
        <v>251646.0</v>
      </c>
      <c r="D733" s="107" t="s">
        <v>1868</v>
      </c>
      <c r="E733" s="22" t="s">
        <v>580</v>
      </c>
      <c r="F733" s="108">
        <v>0.5208333333333334</v>
      </c>
      <c r="G733" s="13"/>
    </row>
    <row r="734" spans="8:8" ht="34.5" customHeight="1">
      <c r="A734" s="113">
        <v>2.0</v>
      </c>
      <c r="B734" s="21" t="s">
        <v>4153</v>
      </c>
      <c r="C734" s="22">
        <v>251676.0</v>
      </c>
      <c r="D734" s="107" t="s">
        <v>1868</v>
      </c>
      <c r="E734" s="22" t="s">
        <v>580</v>
      </c>
      <c r="F734" s="108">
        <v>0.5208333333333334</v>
      </c>
      <c r="G734" s="22"/>
    </row>
    <row r="735" spans="8:8" ht="34.5" customHeight="1">
      <c r="A735" s="113">
        <v>3.0</v>
      </c>
      <c r="B735" s="21" t="s">
        <v>4154</v>
      </c>
      <c r="C735" s="22">
        <v>251707.0</v>
      </c>
      <c r="D735" s="107" t="s">
        <v>1868</v>
      </c>
      <c r="E735" s="22" t="s">
        <v>580</v>
      </c>
      <c r="F735" s="108">
        <v>0.5208333333333334</v>
      </c>
      <c r="G735" s="22"/>
    </row>
    <row r="736" spans="8:8" ht="34.5" customHeight="1">
      <c r="A736" s="113">
        <v>4.0</v>
      </c>
      <c r="B736" s="21" t="s">
        <v>4155</v>
      </c>
      <c r="C736" s="22">
        <v>251709.0</v>
      </c>
      <c r="D736" s="107" t="s">
        <v>1868</v>
      </c>
      <c r="E736" s="22" t="s">
        <v>580</v>
      </c>
      <c r="F736" s="108">
        <v>0.5208333333333334</v>
      </c>
      <c r="G736" s="22"/>
    </row>
    <row r="737" spans="8:8" ht="34.5" customHeight="1">
      <c r="A737" s="113">
        <v>5.0</v>
      </c>
      <c r="B737" s="21" t="s">
        <v>4156</v>
      </c>
      <c r="C737" s="22">
        <v>251498.0</v>
      </c>
      <c r="D737" s="107" t="s">
        <v>1868</v>
      </c>
      <c r="E737" s="22" t="s">
        <v>580</v>
      </c>
      <c r="F737" s="108">
        <v>0.5208333333333334</v>
      </c>
      <c r="G737" s="22"/>
    </row>
    <row r="738" spans="8:8" ht="34.5" customHeight="1">
      <c r="A738" s="113">
        <v>6.0</v>
      </c>
      <c r="B738" s="21" t="s">
        <v>4157</v>
      </c>
      <c r="C738" s="22">
        <v>253135.0</v>
      </c>
      <c r="D738" s="107" t="s">
        <v>1868</v>
      </c>
      <c r="E738" s="22" t="s">
        <v>580</v>
      </c>
      <c r="F738" s="108">
        <v>0.5208333333333334</v>
      </c>
      <c r="G738" s="22"/>
    </row>
    <row r="739" spans="8:8" ht="34.5" customHeight="1">
      <c r="A739" s="113">
        <v>7.0</v>
      </c>
      <c r="B739" s="21" t="s">
        <v>4158</v>
      </c>
      <c r="C739" s="22">
        <v>251718.0</v>
      </c>
      <c r="D739" s="107" t="s">
        <v>1868</v>
      </c>
      <c r="E739" s="22" t="s">
        <v>580</v>
      </c>
      <c r="F739" s="108">
        <v>0.5208333333333334</v>
      </c>
      <c r="G739" s="22"/>
    </row>
    <row r="740" spans="8:8" ht="34.5" customHeight="1">
      <c r="A740" s="113">
        <v>8.0</v>
      </c>
      <c r="B740" s="21" t="s">
        <v>4159</v>
      </c>
      <c r="C740" s="22">
        <v>251727.0</v>
      </c>
      <c r="D740" s="107" t="s">
        <v>1868</v>
      </c>
      <c r="E740" s="22" t="s">
        <v>580</v>
      </c>
      <c r="F740" s="108">
        <v>0.5208333333333334</v>
      </c>
      <c r="G740" s="22"/>
    </row>
    <row r="741" spans="8:8" ht="34.5" customHeight="1">
      <c r="A741" s="113">
        <v>9.0</v>
      </c>
      <c r="B741" s="21" t="s">
        <v>4160</v>
      </c>
      <c r="C741" s="22">
        <v>251729.0</v>
      </c>
      <c r="D741" s="107" t="s">
        <v>1868</v>
      </c>
      <c r="E741" s="22" t="s">
        <v>580</v>
      </c>
      <c r="F741" s="108">
        <v>0.5208333333333334</v>
      </c>
      <c r="G741" s="22"/>
    </row>
    <row r="742" spans="8:8" ht="34.5" customHeight="1">
      <c r="A742" s="113">
        <v>10.0</v>
      </c>
      <c r="B742" s="21" t="s">
        <v>4161</v>
      </c>
      <c r="C742" s="22">
        <v>251754.0</v>
      </c>
      <c r="D742" s="107" t="s">
        <v>1868</v>
      </c>
      <c r="E742" s="22" t="s">
        <v>580</v>
      </c>
      <c r="F742" s="108">
        <v>0.5208333333333334</v>
      </c>
      <c r="G742" s="22"/>
    </row>
    <row r="743" spans="8:8" ht="34.5" customHeight="1">
      <c r="A743" s="113">
        <v>11.0</v>
      </c>
      <c r="B743" s="21" t="s">
        <v>4162</v>
      </c>
      <c r="C743" s="22">
        <v>251769.0</v>
      </c>
      <c r="D743" s="107" t="s">
        <v>1868</v>
      </c>
      <c r="E743" s="22" t="s">
        <v>580</v>
      </c>
      <c r="F743" s="108">
        <v>0.5208333333333334</v>
      </c>
      <c r="G743" s="22"/>
    </row>
    <row r="744" spans="8:8" ht="34.5" customHeight="1">
      <c r="A744" s="113">
        <v>12.0</v>
      </c>
      <c r="B744" s="21" t="s">
        <v>4163</v>
      </c>
      <c r="C744" s="22">
        <v>251771.0</v>
      </c>
      <c r="D744" s="107" t="s">
        <v>1868</v>
      </c>
      <c r="E744" s="22" t="s">
        <v>580</v>
      </c>
      <c r="F744" s="108">
        <v>0.5208333333333334</v>
      </c>
      <c r="G744" s="22"/>
    </row>
    <row r="745" spans="8:8" ht="34.5" customHeight="1">
      <c r="A745" s="113">
        <v>13.0</v>
      </c>
      <c r="B745" s="21" t="s">
        <v>4164</v>
      </c>
      <c r="C745" s="22">
        <v>251776.0</v>
      </c>
      <c r="D745" s="107" t="s">
        <v>1868</v>
      </c>
      <c r="E745" s="22" t="s">
        <v>580</v>
      </c>
      <c r="F745" s="108">
        <v>0.5208333333333334</v>
      </c>
      <c r="G745" s="22"/>
    </row>
    <row r="746" spans="8:8" ht="34.5" customHeight="1">
      <c r="A746" s="113">
        <v>14.0</v>
      </c>
      <c r="B746" s="21" t="s">
        <v>4165</v>
      </c>
      <c r="C746" s="22">
        <v>251781.0</v>
      </c>
      <c r="D746" s="107" t="s">
        <v>1868</v>
      </c>
      <c r="E746" s="22" t="s">
        <v>580</v>
      </c>
      <c r="F746" s="108">
        <v>0.5208333333333334</v>
      </c>
      <c r="G746" s="22"/>
    </row>
    <row r="747" spans="8:8" ht="34.5" customHeight="1">
      <c r="A747" s="113">
        <v>15.0</v>
      </c>
      <c r="B747" s="21" t="s">
        <v>4166</v>
      </c>
      <c r="C747" s="22">
        <v>251786.0</v>
      </c>
      <c r="D747" s="107" t="s">
        <v>1868</v>
      </c>
      <c r="E747" s="22" t="s">
        <v>580</v>
      </c>
      <c r="F747" s="108">
        <v>0.5208333333333334</v>
      </c>
      <c r="G747" s="22"/>
    </row>
    <row r="748" spans="8:8" ht="34.5" customHeight="1">
      <c r="A748" s="113">
        <v>16.0</v>
      </c>
      <c r="B748" s="21" t="s">
        <v>4167</v>
      </c>
      <c r="C748" s="22">
        <v>252922.0</v>
      </c>
      <c r="D748" s="107" t="s">
        <v>1868</v>
      </c>
      <c r="E748" s="22" t="s">
        <v>580</v>
      </c>
      <c r="F748" s="108">
        <v>0.5208333333333334</v>
      </c>
      <c r="G748" s="22"/>
    </row>
    <row r="749" spans="8:8" ht="34.5" customHeight="1">
      <c r="A749" s="113">
        <v>17.0</v>
      </c>
      <c r="B749" s="12" t="s">
        <v>4168</v>
      </c>
      <c r="C749" s="13">
        <v>251484.0</v>
      </c>
      <c r="D749" s="107" t="s">
        <v>1868</v>
      </c>
      <c r="E749" s="22" t="s">
        <v>580</v>
      </c>
      <c r="F749" s="108">
        <v>0.5208333333333334</v>
      </c>
      <c r="G749" s="22"/>
    </row>
    <row r="750" spans="8:8" ht="34.5" customHeight="1">
      <c r="A750" s="113">
        <v>18.0</v>
      </c>
      <c r="B750" s="12" t="s">
        <v>4169</v>
      </c>
      <c r="C750" s="13">
        <v>251513.0</v>
      </c>
      <c r="D750" s="107" t="s">
        <v>1868</v>
      </c>
      <c r="E750" s="22" t="s">
        <v>580</v>
      </c>
      <c r="F750" s="108">
        <v>0.5208333333333334</v>
      </c>
      <c r="G750" s="22"/>
    </row>
    <row r="751" spans="8:8" ht="34.5" customHeight="1">
      <c r="A751" s="113">
        <v>19.0</v>
      </c>
      <c r="B751" s="12" t="s">
        <v>4170</v>
      </c>
      <c r="C751" s="13">
        <v>241952.0</v>
      </c>
      <c r="D751" s="23" t="s">
        <v>1369</v>
      </c>
      <c r="E751" s="22" t="s">
        <v>580</v>
      </c>
      <c r="F751" s="108">
        <v>0.5208333333333334</v>
      </c>
      <c r="G751" s="22"/>
    </row>
    <row r="752" spans="8:8" ht="34.5" customHeight="1">
      <c r="A752" s="113">
        <v>20.0</v>
      </c>
      <c r="B752" s="12" t="s">
        <v>4171</v>
      </c>
      <c r="C752" s="13">
        <v>241163.0</v>
      </c>
      <c r="D752" s="23" t="s">
        <v>1369</v>
      </c>
      <c r="E752" s="22" t="s">
        <v>580</v>
      </c>
      <c r="F752" s="108">
        <v>0.5208333333333334</v>
      </c>
      <c r="G752" s="22"/>
    </row>
    <row r="753" spans="8:8" ht="34.5" customHeight="1">
      <c r="A753" s="113">
        <v>21.0</v>
      </c>
      <c r="B753" s="12" t="s">
        <v>4172</v>
      </c>
      <c r="C753" s="13">
        <v>241148.0</v>
      </c>
      <c r="D753" s="23" t="s">
        <v>1369</v>
      </c>
      <c r="E753" s="22" t="s">
        <v>580</v>
      </c>
      <c r="F753" s="108">
        <v>0.5208333333333334</v>
      </c>
      <c r="G753" s="22"/>
    </row>
    <row r="754" spans="8:8" ht="34.5" customHeight="1">
      <c r="A754" s="113">
        <v>22.0</v>
      </c>
      <c r="B754" s="12" t="s">
        <v>4173</v>
      </c>
      <c r="C754" s="13">
        <v>241898.0</v>
      </c>
      <c r="D754" s="23" t="s">
        <v>1369</v>
      </c>
      <c r="E754" s="22" t="s">
        <v>580</v>
      </c>
      <c r="F754" s="108">
        <v>0.5208333333333334</v>
      </c>
      <c r="G754" s="22"/>
    </row>
    <row r="755" spans="8:8" ht="34.5" customHeight="1">
      <c r="A755" s="113">
        <v>23.0</v>
      </c>
      <c r="B755" s="21" t="s">
        <v>4174</v>
      </c>
      <c r="C755" s="22">
        <v>251519.0</v>
      </c>
      <c r="D755" s="107" t="s">
        <v>1868</v>
      </c>
      <c r="E755" s="22" t="s">
        <v>580</v>
      </c>
      <c r="F755" s="108">
        <v>0.5208333333333334</v>
      </c>
      <c r="G755" s="22"/>
    </row>
    <row r="756" spans="8:8" ht="34.5" customHeight="1">
      <c r="A756" s="113">
        <v>24.0</v>
      </c>
      <c r="B756" s="21" t="s">
        <v>4175</v>
      </c>
      <c r="C756" s="22">
        <v>251770.0</v>
      </c>
      <c r="D756" s="107" t="s">
        <v>1868</v>
      </c>
      <c r="E756" s="22" t="s">
        <v>580</v>
      </c>
      <c r="F756" s="108">
        <v>0.5208333333333334</v>
      </c>
      <c r="G756" s="22"/>
    </row>
    <row r="757" spans="8:8" ht="34.5" customHeight="1">
      <c r="A757" s="113">
        <v>25.0</v>
      </c>
      <c r="B757" s="12" t="s">
        <v>4176</v>
      </c>
      <c r="C757" s="13">
        <v>241555.0</v>
      </c>
      <c r="D757" s="23" t="s">
        <v>1369</v>
      </c>
      <c r="E757" s="22" t="s">
        <v>1364</v>
      </c>
      <c r="F757" s="108">
        <v>0.5208333333333334</v>
      </c>
      <c r="G757" s="22"/>
    </row>
    <row r="758" spans="8:8" ht="34.5" customHeight="1">
      <c r="A758" s="8" t="s">
        <v>18</v>
      </c>
      <c r="B758" s="9" t="s">
        <v>19</v>
      </c>
      <c r="C758" s="9" t="s">
        <v>20</v>
      </c>
      <c r="D758" s="9" t="s">
        <v>21</v>
      </c>
      <c r="E758" s="9" t="s">
        <v>22</v>
      </c>
      <c r="F758" s="9" t="s">
        <v>23</v>
      </c>
      <c r="G758" s="9" t="s">
        <v>3598</v>
      </c>
    </row>
    <row r="759" spans="8:8" ht="34.5" customHeight="1">
      <c r="A759" s="13">
        <v>1.0</v>
      </c>
      <c r="B759" s="23" t="s">
        <v>4177</v>
      </c>
      <c r="C759" s="24">
        <v>241467.0</v>
      </c>
      <c r="D759" s="19" t="s">
        <v>1369</v>
      </c>
      <c r="E759" s="24" t="s">
        <v>580</v>
      </c>
      <c r="F759" s="108">
        <v>0.5208333333333334</v>
      </c>
      <c r="G759" s="24"/>
    </row>
    <row r="760" spans="8:8" ht="34.5" customHeight="1">
      <c r="A760" s="22">
        <v>2.0</v>
      </c>
      <c r="B760" s="21" t="s">
        <v>4178</v>
      </c>
      <c r="C760" s="22">
        <v>241182.0</v>
      </c>
      <c r="D760" s="23" t="s">
        <v>1369</v>
      </c>
      <c r="E760" s="22" t="s">
        <v>580</v>
      </c>
      <c r="F760" s="108">
        <v>0.5208333333333334</v>
      </c>
      <c r="G760" s="22"/>
    </row>
    <row r="761" spans="8:8" ht="34.5" customHeight="1">
      <c r="A761" s="13">
        <v>3.0</v>
      </c>
      <c r="B761" s="21" t="s">
        <v>4179</v>
      </c>
      <c r="C761" s="22">
        <v>241198.0</v>
      </c>
      <c r="D761" s="23" t="s">
        <v>1369</v>
      </c>
      <c r="E761" s="22" t="s">
        <v>580</v>
      </c>
      <c r="F761" s="108">
        <v>0.5208333333333334</v>
      </c>
      <c r="G761" s="22"/>
    </row>
    <row r="762" spans="8:8" ht="34.5" customHeight="1">
      <c r="A762" s="22">
        <v>4.0</v>
      </c>
      <c r="B762" s="21" t="s">
        <v>4180</v>
      </c>
      <c r="C762" s="22">
        <v>241209.0</v>
      </c>
      <c r="D762" s="23" t="s">
        <v>1369</v>
      </c>
      <c r="E762" s="22" t="s">
        <v>580</v>
      </c>
      <c r="F762" s="108">
        <v>0.5208333333333334</v>
      </c>
      <c r="G762" s="22"/>
    </row>
    <row r="763" spans="8:8" ht="34.5" customHeight="1">
      <c r="A763" s="13">
        <v>5.0</v>
      </c>
      <c r="B763" s="21" t="s">
        <v>4181</v>
      </c>
      <c r="C763" s="22">
        <v>241219.0</v>
      </c>
      <c r="D763" s="23" t="s">
        <v>1369</v>
      </c>
      <c r="E763" s="22" t="s">
        <v>580</v>
      </c>
      <c r="F763" s="108">
        <v>0.5208333333333334</v>
      </c>
      <c r="G763" s="22"/>
    </row>
    <row r="764" spans="8:8" ht="34.5" customHeight="1">
      <c r="A764" s="22">
        <v>6.0</v>
      </c>
      <c r="B764" s="21" t="s">
        <v>4182</v>
      </c>
      <c r="C764" s="22">
        <v>241220.0</v>
      </c>
      <c r="D764" s="23" t="s">
        <v>1369</v>
      </c>
      <c r="E764" s="22" t="s">
        <v>580</v>
      </c>
      <c r="F764" s="108">
        <v>0.5208333333333334</v>
      </c>
      <c r="G764" s="22"/>
    </row>
    <row r="765" spans="8:8" ht="34.5" customHeight="1">
      <c r="A765" s="13">
        <v>7.0</v>
      </c>
      <c r="B765" s="21" t="s">
        <v>4183</v>
      </c>
      <c r="C765" s="22">
        <v>241146.0</v>
      </c>
      <c r="D765" s="23" t="s">
        <v>1369</v>
      </c>
      <c r="E765" s="22" t="s">
        <v>580</v>
      </c>
      <c r="F765" s="108">
        <v>0.5208333333333334</v>
      </c>
      <c r="G765" s="22"/>
    </row>
    <row r="766" spans="8:8" ht="34.5" customHeight="1">
      <c r="A766" s="22">
        <v>8.0</v>
      </c>
      <c r="B766" s="21" t="s">
        <v>4184</v>
      </c>
      <c r="C766" s="22">
        <v>241525.0</v>
      </c>
      <c r="D766" s="23" t="s">
        <v>1369</v>
      </c>
      <c r="E766" s="22" t="s">
        <v>580</v>
      </c>
      <c r="F766" s="108">
        <v>0.5208333333333334</v>
      </c>
      <c r="G766" s="22"/>
    </row>
    <row r="767" spans="8:8" ht="34.5" customHeight="1">
      <c r="A767" s="13">
        <v>9.0</v>
      </c>
      <c r="B767" s="21" t="s">
        <v>4185</v>
      </c>
      <c r="C767" s="22">
        <v>241271.0</v>
      </c>
      <c r="D767" s="23" t="s">
        <v>1369</v>
      </c>
      <c r="E767" s="13" t="s">
        <v>580</v>
      </c>
      <c r="F767" s="108">
        <v>0.5208333333333334</v>
      </c>
      <c r="G767" s="13"/>
    </row>
    <row r="768" spans="8:8" ht="34.5" customHeight="1">
      <c r="A768" s="22">
        <v>10.0</v>
      </c>
      <c r="B768" s="21" t="s">
        <v>4186</v>
      </c>
      <c r="C768" s="13">
        <v>241162.0</v>
      </c>
      <c r="D768" s="21" t="s">
        <v>1369</v>
      </c>
      <c r="E768" s="22" t="s">
        <v>580</v>
      </c>
      <c r="F768" s="108">
        <v>0.5208333333333334</v>
      </c>
      <c r="G768" s="22"/>
    </row>
    <row r="769" spans="8:8" ht="34.5" customHeight="1">
      <c r="A769" s="13">
        <v>11.0</v>
      </c>
      <c r="B769" s="21" t="s">
        <v>4187</v>
      </c>
      <c r="C769" s="22">
        <v>241538.0</v>
      </c>
      <c r="D769" s="23" t="s">
        <v>1369</v>
      </c>
      <c r="E769" s="22" t="s">
        <v>580</v>
      </c>
      <c r="F769" s="108">
        <v>0.5208333333333334</v>
      </c>
      <c r="G769" s="22"/>
    </row>
    <row r="770" spans="8:8" ht="34.5" customHeight="1">
      <c r="A770" s="22">
        <v>12.0</v>
      </c>
      <c r="B770" s="21" t="s">
        <v>4188</v>
      </c>
      <c r="C770" s="22">
        <v>241539.0</v>
      </c>
      <c r="D770" s="23" t="s">
        <v>1369</v>
      </c>
      <c r="E770" s="22" t="s">
        <v>580</v>
      </c>
      <c r="F770" s="108">
        <v>0.5208333333333334</v>
      </c>
      <c r="G770" s="22"/>
    </row>
    <row r="771" spans="8:8" ht="34.5" customHeight="1">
      <c r="A771" s="13">
        <v>13.0</v>
      </c>
      <c r="B771" s="21" t="s">
        <v>4189</v>
      </c>
      <c r="C771" s="22">
        <v>241542.0</v>
      </c>
      <c r="D771" s="23" t="s">
        <v>1369</v>
      </c>
      <c r="E771" s="22" t="s">
        <v>580</v>
      </c>
      <c r="F771" s="108">
        <v>0.5208333333333334</v>
      </c>
      <c r="G771" s="22"/>
    </row>
    <row r="772" spans="8:8" ht="34.5" customHeight="1">
      <c r="A772" s="22">
        <v>14.0</v>
      </c>
      <c r="B772" s="21" t="s">
        <v>4190</v>
      </c>
      <c r="C772" s="22">
        <v>241543.0</v>
      </c>
      <c r="D772" s="23" t="s">
        <v>1369</v>
      </c>
      <c r="E772" s="22" t="s">
        <v>580</v>
      </c>
      <c r="F772" s="108">
        <v>0.5208333333333334</v>
      </c>
      <c r="G772" s="22"/>
    </row>
    <row r="773" spans="8:8" ht="34.5" customHeight="1">
      <c r="A773" s="13">
        <v>15.0</v>
      </c>
      <c r="B773" s="21" t="s">
        <v>4191</v>
      </c>
      <c r="C773" s="22">
        <v>241546.0</v>
      </c>
      <c r="D773" s="23" t="s">
        <v>1369</v>
      </c>
      <c r="E773" s="22" t="s">
        <v>580</v>
      </c>
      <c r="F773" s="108">
        <v>0.5208333333333334</v>
      </c>
      <c r="G773" s="22"/>
    </row>
    <row r="774" spans="8:8" ht="34.5" customHeight="1">
      <c r="A774" s="22">
        <v>16.0</v>
      </c>
      <c r="B774" s="21" t="s">
        <v>4192</v>
      </c>
      <c r="C774" s="22">
        <v>241554.0</v>
      </c>
      <c r="D774" s="23" t="s">
        <v>1369</v>
      </c>
      <c r="E774" s="22" t="s">
        <v>580</v>
      </c>
      <c r="F774" s="108">
        <v>0.5208333333333334</v>
      </c>
      <c r="G774" s="22"/>
    </row>
    <row r="775" spans="8:8" ht="34.5" customHeight="1">
      <c r="A775" s="13">
        <v>17.0</v>
      </c>
      <c r="B775" s="21" t="s">
        <v>4193</v>
      </c>
      <c r="C775" s="22">
        <v>241563.0</v>
      </c>
      <c r="D775" s="23" t="s">
        <v>1369</v>
      </c>
      <c r="E775" s="22" t="s">
        <v>580</v>
      </c>
      <c r="F775" s="108">
        <v>0.5208333333333334</v>
      </c>
      <c r="G775" s="22"/>
    </row>
    <row r="776" spans="8:8" ht="34.5" customHeight="1">
      <c r="A776" s="22">
        <v>18.0</v>
      </c>
      <c r="B776" s="21" t="s">
        <v>4194</v>
      </c>
      <c r="C776" s="22">
        <v>241564.0</v>
      </c>
      <c r="D776" s="23" t="s">
        <v>1369</v>
      </c>
      <c r="E776" s="22" t="s">
        <v>580</v>
      </c>
      <c r="F776" s="108">
        <v>0.5208333333333334</v>
      </c>
      <c r="G776" s="22"/>
    </row>
    <row r="777" spans="8:8" ht="34.5" customHeight="1">
      <c r="A777" s="13">
        <v>19.0</v>
      </c>
      <c r="B777" s="21" t="s">
        <v>4195</v>
      </c>
      <c r="C777" s="22">
        <v>241571.0</v>
      </c>
      <c r="D777" s="23" t="s">
        <v>1369</v>
      </c>
      <c r="E777" s="22" t="s">
        <v>580</v>
      </c>
      <c r="F777" s="108">
        <v>0.5208333333333334</v>
      </c>
      <c r="G777" s="22"/>
    </row>
    <row r="778" spans="8:8" ht="34.5" customHeight="1">
      <c r="A778" s="22">
        <v>20.0</v>
      </c>
      <c r="B778" s="21" t="s">
        <v>4196</v>
      </c>
      <c r="C778" s="22">
        <v>241575.0</v>
      </c>
      <c r="D778" s="23" t="s">
        <v>1369</v>
      </c>
      <c r="E778" s="22" t="s">
        <v>580</v>
      </c>
      <c r="F778" s="108">
        <v>0.5208333333333334</v>
      </c>
      <c r="G778" s="22"/>
    </row>
    <row r="779" spans="8:8" ht="34.5" customHeight="1">
      <c r="A779" s="13">
        <v>21.0</v>
      </c>
      <c r="B779" s="21" t="s">
        <v>4197</v>
      </c>
      <c r="C779" s="22">
        <v>241579.0</v>
      </c>
      <c r="D779" s="23" t="s">
        <v>1369</v>
      </c>
      <c r="E779" s="22" t="s">
        <v>580</v>
      </c>
      <c r="F779" s="108">
        <v>0.5208333333333334</v>
      </c>
      <c r="G779" s="22"/>
    </row>
    <row r="780" spans="8:8" ht="34.5" customHeight="1">
      <c r="A780" s="8" t="s">
        <v>18</v>
      </c>
      <c r="B780" s="9" t="s">
        <v>19</v>
      </c>
      <c r="C780" s="9" t="s">
        <v>20</v>
      </c>
      <c r="D780" s="9" t="s">
        <v>21</v>
      </c>
      <c r="E780" s="9" t="s">
        <v>22</v>
      </c>
      <c r="F780" s="9" t="s">
        <v>23</v>
      </c>
      <c r="G780" s="9" t="s">
        <v>3624</v>
      </c>
    </row>
    <row r="781" spans="8:8" ht="34.5" customHeight="1">
      <c r="A781" s="13">
        <v>1.0</v>
      </c>
      <c r="B781" s="21" t="s">
        <v>4198</v>
      </c>
      <c r="C781" s="22">
        <v>241580.0</v>
      </c>
      <c r="D781" s="23" t="s">
        <v>1369</v>
      </c>
      <c r="E781" s="22" t="s">
        <v>580</v>
      </c>
      <c r="F781" s="108">
        <v>0.5208333333333334</v>
      </c>
      <c r="G781" s="13"/>
    </row>
    <row r="782" spans="8:8" ht="34.5" customHeight="1">
      <c r="A782" s="13">
        <v>2.0</v>
      </c>
      <c r="B782" s="21" t="s">
        <v>4199</v>
      </c>
      <c r="C782" s="22">
        <v>241583.0</v>
      </c>
      <c r="D782" s="23" t="s">
        <v>1369</v>
      </c>
      <c r="E782" s="22" t="s">
        <v>580</v>
      </c>
      <c r="F782" s="108">
        <v>0.5208333333333334</v>
      </c>
      <c r="G782" s="22"/>
    </row>
    <row r="783" spans="8:8" ht="34.5" customHeight="1">
      <c r="A783" s="13">
        <v>3.0</v>
      </c>
      <c r="B783" s="21" t="s">
        <v>4200</v>
      </c>
      <c r="C783" s="22">
        <v>241584.0</v>
      </c>
      <c r="D783" s="23" t="s">
        <v>1369</v>
      </c>
      <c r="E783" s="22" t="s">
        <v>580</v>
      </c>
      <c r="F783" s="108">
        <v>0.5208333333333334</v>
      </c>
      <c r="G783" s="22"/>
    </row>
    <row r="784" spans="8:8" ht="34.5" customHeight="1">
      <c r="A784" s="13">
        <v>4.0</v>
      </c>
      <c r="B784" s="21" t="s">
        <v>4201</v>
      </c>
      <c r="C784" s="22">
        <v>241586.0</v>
      </c>
      <c r="D784" s="23" t="s">
        <v>1369</v>
      </c>
      <c r="E784" s="22" t="s">
        <v>580</v>
      </c>
      <c r="F784" s="108">
        <v>0.5208333333333334</v>
      </c>
      <c r="G784" s="22"/>
    </row>
    <row r="785" spans="8:8" ht="34.5" customHeight="1">
      <c r="A785" s="13">
        <v>5.0</v>
      </c>
      <c r="B785" s="21" t="s">
        <v>4202</v>
      </c>
      <c r="C785" s="22">
        <v>241588.0</v>
      </c>
      <c r="D785" s="23" t="s">
        <v>1369</v>
      </c>
      <c r="E785" s="22" t="s">
        <v>580</v>
      </c>
      <c r="F785" s="108">
        <v>0.5208333333333334</v>
      </c>
      <c r="G785" s="22"/>
    </row>
    <row r="786" spans="8:8" ht="34.5" customHeight="1">
      <c r="A786" s="13">
        <v>6.0</v>
      </c>
      <c r="B786" s="21" t="s">
        <v>4203</v>
      </c>
      <c r="C786" s="22">
        <v>251526.0</v>
      </c>
      <c r="D786" s="107" t="s">
        <v>1868</v>
      </c>
      <c r="E786" s="13" t="s">
        <v>580</v>
      </c>
      <c r="F786" s="108">
        <v>0.5208333333333334</v>
      </c>
      <c r="G786" s="13"/>
    </row>
    <row r="787" spans="8:8" ht="34.5" customHeight="1">
      <c r="A787" s="13">
        <v>7.0</v>
      </c>
      <c r="B787" s="21" t="s">
        <v>4204</v>
      </c>
      <c r="C787" s="22">
        <v>241604.0</v>
      </c>
      <c r="D787" s="23" t="s">
        <v>1369</v>
      </c>
      <c r="E787" s="22" t="s">
        <v>580</v>
      </c>
      <c r="F787" s="108">
        <v>0.5208333333333334</v>
      </c>
      <c r="G787" s="22"/>
    </row>
    <row r="788" spans="8:8" ht="34.5" customHeight="1">
      <c r="A788" s="13">
        <v>8.0</v>
      </c>
      <c r="B788" s="21" t="s">
        <v>4205</v>
      </c>
      <c r="C788" s="22">
        <v>241582.0</v>
      </c>
      <c r="D788" s="23" t="s">
        <v>1369</v>
      </c>
      <c r="E788" s="22" t="s">
        <v>580</v>
      </c>
      <c r="F788" s="108">
        <v>0.5208333333333334</v>
      </c>
      <c r="G788" s="22"/>
    </row>
    <row r="789" spans="8:8" ht="34.5" customHeight="1">
      <c r="A789" s="13">
        <v>9.0</v>
      </c>
      <c r="B789" s="21" t="s">
        <v>4206</v>
      </c>
      <c r="C789" s="22">
        <v>241226.0</v>
      </c>
      <c r="D789" s="23" t="s">
        <v>1369</v>
      </c>
      <c r="E789" s="22" t="s">
        <v>580</v>
      </c>
      <c r="F789" s="108">
        <v>0.5208333333333334</v>
      </c>
      <c r="G789" s="22"/>
    </row>
    <row r="790" spans="8:8" ht="34.5" customHeight="1">
      <c r="A790" s="13">
        <v>10.0</v>
      </c>
      <c r="B790" s="21" t="s">
        <v>4207</v>
      </c>
      <c r="C790" s="22">
        <v>241239.0</v>
      </c>
      <c r="D790" s="23" t="s">
        <v>1369</v>
      </c>
      <c r="E790" s="22" t="s">
        <v>580</v>
      </c>
      <c r="F790" s="108">
        <v>0.5208333333333334</v>
      </c>
      <c r="G790" s="22"/>
    </row>
    <row r="791" spans="8:8" ht="34.5" customHeight="1">
      <c r="A791" s="13">
        <v>11.0</v>
      </c>
      <c r="B791" s="21" t="s">
        <v>4208</v>
      </c>
      <c r="C791" s="22">
        <v>241241.0</v>
      </c>
      <c r="D791" s="23" t="s">
        <v>1369</v>
      </c>
      <c r="E791" s="22" t="s">
        <v>580</v>
      </c>
      <c r="F791" s="108">
        <v>0.5208333333333334</v>
      </c>
      <c r="G791" s="22"/>
    </row>
    <row r="792" spans="8:8" ht="34.5" customHeight="1">
      <c r="A792" s="13">
        <v>12.0</v>
      </c>
      <c r="B792" s="21" t="s">
        <v>4209</v>
      </c>
      <c r="C792" s="22">
        <v>241242.0</v>
      </c>
      <c r="D792" s="23" t="s">
        <v>1369</v>
      </c>
      <c r="E792" s="22" t="s">
        <v>580</v>
      </c>
      <c r="F792" s="108">
        <v>0.5208333333333334</v>
      </c>
      <c r="G792" s="22"/>
    </row>
    <row r="793" spans="8:8" ht="34.5" customHeight="1">
      <c r="A793" s="13">
        <v>13.0</v>
      </c>
      <c r="B793" s="21" t="s">
        <v>4210</v>
      </c>
      <c r="C793" s="22">
        <v>241243.0</v>
      </c>
      <c r="D793" s="23" t="s">
        <v>1369</v>
      </c>
      <c r="E793" s="22" t="s">
        <v>580</v>
      </c>
      <c r="F793" s="108">
        <v>0.5208333333333334</v>
      </c>
      <c r="G793" s="22"/>
    </row>
    <row r="794" spans="8:8" ht="34.5" customHeight="1">
      <c r="A794" s="13">
        <v>14.0</v>
      </c>
      <c r="B794" s="21" t="s">
        <v>4211</v>
      </c>
      <c r="C794" s="22">
        <v>241248.0</v>
      </c>
      <c r="D794" s="23" t="s">
        <v>1369</v>
      </c>
      <c r="E794" s="22" t="s">
        <v>580</v>
      </c>
      <c r="F794" s="108">
        <v>0.5208333333333334</v>
      </c>
      <c r="G794" s="22"/>
    </row>
    <row r="795" spans="8:8" ht="34.5" customHeight="1">
      <c r="A795" s="13">
        <v>15.0</v>
      </c>
      <c r="B795" s="21" t="s">
        <v>4212</v>
      </c>
      <c r="C795" s="22">
        <v>241251.0</v>
      </c>
      <c r="D795" s="23" t="s">
        <v>1369</v>
      </c>
      <c r="E795" s="22" t="s">
        <v>580</v>
      </c>
      <c r="F795" s="108">
        <v>0.5208333333333334</v>
      </c>
      <c r="G795" s="22"/>
    </row>
    <row r="796" spans="8:8" ht="34.5" customHeight="1">
      <c r="A796" s="13">
        <v>16.0</v>
      </c>
      <c r="B796" s="21" t="s">
        <v>4213</v>
      </c>
      <c r="C796" s="22">
        <v>241253.0</v>
      </c>
      <c r="D796" s="23" t="s">
        <v>1369</v>
      </c>
      <c r="E796" s="22" t="s">
        <v>580</v>
      </c>
      <c r="F796" s="108">
        <v>0.5208333333333334</v>
      </c>
      <c r="G796" s="22"/>
    </row>
    <row r="797" spans="8:8" ht="34.5" customHeight="1">
      <c r="A797" s="13">
        <v>17.0</v>
      </c>
      <c r="B797" s="21" t="s">
        <v>4214</v>
      </c>
      <c r="C797" s="22">
        <v>241255.0</v>
      </c>
      <c r="D797" s="23" t="s">
        <v>1369</v>
      </c>
      <c r="E797" s="22" t="s">
        <v>580</v>
      </c>
      <c r="F797" s="108">
        <v>0.5208333333333334</v>
      </c>
      <c r="G797" s="22"/>
    </row>
    <row r="798" spans="8:8" ht="34.5" customHeight="1">
      <c r="A798" s="13">
        <v>18.0</v>
      </c>
      <c r="B798" s="21" t="s">
        <v>4215</v>
      </c>
      <c r="C798" s="22">
        <v>241258.0</v>
      </c>
      <c r="D798" s="23" t="s">
        <v>1369</v>
      </c>
      <c r="E798" s="22" t="s">
        <v>580</v>
      </c>
      <c r="F798" s="108">
        <v>0.5208333333333334</v>
      </c>
      <c r="G798" s="22"/>
    </row>
    <row r="799" spans="8:8" ht="34.5" customHeight="1">
      <c r="A799" s="13">
        <v>19.0</v>
      </c>
      <c r="B799" s="21" t="s">
        <v>4216</v>
      </c>
      <c r="C799" s="22">
        <v>241259.0</v>
      </c>
      <c r="D799" s="23" t="s">
        <v>1369</v>
      </c>
      <c r="E799" s="22" t="s">
        <v>580</v>
      </c>
      <c r="F799" s="108">
        <v>0.5208333333333334</v>
      </c>
      <c r="G799" s="22"/>
    </row>
    <row r="800" spans="8:8" ht="34.5" customHeight="1">
      <c r="A800" s="13">
        <v>20.0</v>
      </c>
      <c r="B800" s="21" t="s">
        <v>4217</v>
      </c>
      <c r="C800" s="22">
        <v>241263.0</v>
      </c>
      <c r="D800" s="23" t="s">
        <v>1369</v>
      </c>
      <c r="E800" s="22" t="s">
        <v>580</v>
      </c>
      <c r="F800" s="108">
        <v>0.5208333333333334</v>
      </c>
      <c r="G800" s="22"/>
    </row>
    <row r="801" spans="8:8" ht="34.5" customHeight="1">
      <c r="A801" s="13">
        <v>21.0</v>
      </c>
      <c r="B801" s="21" t="s">
        <v>4218</v>
      </c>
      <c r="C801" s="22">
        <v>241150.0</v>
      </c>
      <c r="D801" s="23" t="s">
        <v>1369</v>
      </c>
      <c r="E801" s="22" t="s">
        <v>580</v>
      </c>
      <c r="F801" s="108">
        <v>0.5208333333333334</v>
      </c>
      <c r="G801" s="22"/>
    </row>
    <row r="802" spans="8:8" ht="34.5" customHeight="1">
      <c r="A802" s="13">
        <v>22.0</v>
      </c>
      <c r="B802" s="21" t="s">
        <v>4219</v>
      </c>
      <c r="C802" s="22">
        <v>241151.0</v>
      </c>
      <c r="D802" s="23" t="s">
        <v>1369</v>
      </c>
      <c r="E802" s="22" t="s">
        <v>580</v>
      </c>
      <c r="F802" s="108">
        <v>0.5208333333333334</v>
      </c>
      <c r="G802" s="22"/>
    </row>
    <row r="803" spans="8:8" ht="34.5" customHeight="1">
      <c r="A803" s="13">
        <v>23.0</v>
      </c>
      <c r="B803" s="21" t="s">
        <v>4220</v>
      </c>
      <c r="C803" s="22">
        <v>241174.0</v>
      </c>
      <c r="D803" s="23" t="s">
        <v>1369</v>
      </c>
      <c r="E803" s="22" t="s">
        <v>580</v>
      </c>
      <c r="F803" s="108">
        <v>0.5208333333333334</v>
      </c>
      <c r="G803" s="22"/>
    </row>
    <row r="804" spans="8:8" ht="34.5" customHeight="1">
      <c r="A804" s="13">
        <v>24.0</v>
      </c>
      <c r="B804" s="21" t="s">
        <v>4221</v>
      </c>
      <c r="C804" s="22">
        <v>241177.0</v>
      </c>
      <c r="D804" s="23" t="s">
        <v>1369</v>
      </c>
      <c r="E804" s="22" t="s">
        <v>580</v>
      </c>
      <c r="F804" s="108">
        <v>0.5208333333333334</v>
      </c>
      <c r="G804" s="22"/>
    </row>
    <row r="805" spans="8:8" ht="34.5" customHeight="1">
      <c r="A805" s="13">
        <v>25.0</v>
      </c>
      <c r="B805" s="21" t="s">
        <v>4222</v>
      </c>
      <c r="C805" s="22">
        <v>241274.0</v>
      </c>
      <c r="D805" s="23" t="s">
        <v>1369</v>
      </c>
      <c r="E805" s="22" t="s">
        <v>580</v>
      </c>
      <c r="F805" s="108">
        <v>0.5208333333333334</v>
      </c>
      <c r="G805" s="22"/>
    </row>
    <row r="806" spans="8:8" ht="34.5" customHeight="1">
      <c r="A806" s="8" t="s">
        <v>18</v>
      </c>
      <c r="B806" s="9" t="s">
        <v>19</v>
      </c>
      <c r="C806" s="9" t="s">
        <v>20</v>
      </c>
      <c r="D806" s="9" t="s">
        <v>21</v>
      </c>
      <c r="E806" s="9" t="s">
        <v>22</v>
      </c>
      <c r="F806" s="9" t="s">
        <v>23</v>
      </c>
      <c r="G806" s="9" t="s">
        <v>3149</v>
      </c>
    </row>
    <row r="807" spans="8:8" ht="34.5" customHeight="1">
      <c r="A807" s="22">
        <v>1.0</v>
      </c>
      <c r="B807" s="21" t="s">
        <v>4223</v>
      </c>
      <c r="C807" s="22">
        <v>241277.0</v>
      </c>
      <c r="D807" s="23" t="s">
        <v>1369</v>
      </c>
      <c r="E807" s="22" t="s">
        <v>580</v>
      </c>
      <c r="F807" s="108">
        <v>0.5208333333333334</v>
      </c>
      <c r="G807" s="13"/>
    </row>
    <row r="808" spans="8:8" ht="34.5" customHeight="1">
      <c r="A808" s="22">
        <v>2.0</v>
      </c>
      <c r="B808" s="21" t="s">
        <v>4224</v>
      </c>
      <c r="C808" s="22">
        <v>251516.0</v>
      </c>
      <c r="D808" s="107" t="s">
        <v>1868</v>
      </c>
      <c r="E808" s="22" t="s">
        <v>580</v>
      </c>
      <c r="F808" s="108">
        <v>0.5208333333333334</v>
      </c>
      <c r="G808" s="22"/>
    </row>
    <row r="809" spans="8:8" ht="34.5" customHeight="1">
      <c r="A809" s="22">
        <v>3.0</v>
      </c>
      <c r="B809" s="21" t="s">
        <v>4225</v>
      </c>
      <c r="C809" s="22">
        <v>251440.0</v>
      </c>
      <c r="D809" s="107" t="s">
        <v>1868</v>
      </c>
      <c r="E809" s="13" t="s">
        <v>580</v>
      </c>
      <c r="F809" s="108">
        <v>0.5208333333333334</v>
      </c>
      <c r="G809" s="13"/>
    </row>
    <row r="810" spans="8:8" ht="34.5" customHeight="1">
      <c r="A810" s="22">
        <v>4.0</v>
      </c>
      <c r="B810" s="21" t="s">
        <v>4226</v>
      </c>
      <c r="C810" s="22">
        <v>241625.0</v>
      </c>
      <c r="D810" s="23" t="s">
        <v>1369</v>
      </c>
      <c r="E810" s="22" t="s">
        <v>580</v>
      </c>
      <c r="F810" s="108">
        <v>0.5208333333333334</v>
      </c>
      <c r="G810" s="22"/>
    </row>
    <row r="811" spans="8:8" ht="34.5" customHeight="1">
      <c r="A811" s="22">
        <v>5.0</v>
      </c>
      <c r="B811" s="21" t="s">
        <v>4227</v>
      </c>
      <c r="C811" s="22">
        <v>241629.0</v>
      </c>
      <c r="D811" s="23" t="s">
        <v>1369</v>
      </c>
      <c r="E811" s="22" t="s">
        <v>580</v>
      </c>
      <c r="F811" s="108">
        <v>0.5208333333333334</v>
      </c>
      <c r="G811" s="22"/>
    </row>
    <row r="812" spans="8:8" ht="34.5" customHeight="1">
      <c r="A812" s="22">
        <v>6.0</v>
      </c>
      <c r="B812" s="21" t="s">
        <v>4228</v>
      </c>
      <c r="C812" s="22">
        <v>241624.0</v>
      </c>
      <c r="D812" s="23" t="s">
        <v>1369</v>
      </c>
      <c r="E812" s="22" t="s">
        <v>580</v>
      </c>
      <c r="F812" s="108">
        <v>0.5208333333333334</v>
      </c>
      <c r="G812" s="22"/>
    </row>
    <row r="813" spans="8:8" ht="34.5" customHeight="1">
      <c r="A813" s="22">
        <v>7.0</v>
      </c>
      <c r="B813" s="21" t="s">
        <v>4229</v>
      </c>
      <c r="C813" s="22">
        <v>241619.0</v>
      </c>
      <c r="D813" s="23" t="s">
        <v>1369</v>
      </c>
      <c r="E813" s="22" t="s">
        <v>580</v>
      </c>
      <c r="F813" s="108">
        <v>0.5208333333333334</v>
      </c>
      <c r="G813" s="22"/>
    </row>
    <row r="814" spans="8:8" ht="34.5" customHeight="1">
      <c r="A814" s="22">
        <v>8.0</v>
      </c>
      <c r="B814" s="21" t="s">
        <v>4230</v>
      </c>
      <c r="C814" s="22">
        <v>241636.0</v>
      </c>
      <c r="D814" s="23" t="s">
        <v>1369</v>
      </c>
      <c r="E814" s="22" t="s">
        <v>580</v>
      </c>
      <c r="F814" s="108">
        <v>0.5208333333333334</v>
      </c>
      <c r="G814" s="22"/>
    </row>
    <row r="815" spans="8:8" ht="34.5" customHeight="1">
      <c r="A815" s="22">
        <v>9.0</v>
      </c>
      <c r="B815" s="21" t="s">
        <v>4231</v>
      </c>
      <c r="C815" s="22">
        <v>241614.0</v>
      </c>
      <c r="D815" s="23" t="s">
        <v>1369</v>
      </c>
      <c r="E815" s="22" t="s">
        <v>580</v>
      </c>
      <c r="F815" s="108">
        <v>0.5208333333333334</v>
      </c>
      <c r="G815" s="22"/>
    </row>
    <row r="816" spans="8:8" ht="34.5" customHeight="1">
      <c r="A816" s="22">
        <v>10.0</v>
      </c>
      <c r="B816" s="21" t="s">
        <v>4232</v>
      </c>
      <c r="C816" s="22">
        <v>241638.0</v>
      </c>
      <c r="D816" s="23" t="s">
        <v>1369</v>
      </c>
      <c r="E816" s="22" t="s">
        <v>580</v>
      </c>
      <c r="F816" s="108">
        <v>0.5208333333333334</v>
      </c>
      <c r="G816" s="22"/>
    </row>
    <row r="817" spans="8:8" ht="34.5" customHeight="1">
      <c r="A817" s="22">
        <v>11.0</v>
      </c>
      <c r="B817" s="21" t="s">
        <v>4233</v>
      </c>
      <c r="C817" s="22">
        <v>241639.0</v>
      </c>
      <c r="D817" s="23" t="s">
        <v>1369</v>
      </c>
      <c r="E817" s="22" t="s">
        <v>580</v>
      </c>
      <c r="F817" s="108">
        <v>0.5208333333333334</v>
      </c>
      <c r="G817" s="22"/>
    </row>
    <row r="818" spans="8:8" ht="34.5" customHeight="1">
      <c r="A818" s="22">
        <v>12.0</v>
      </c>
      <c r="B818" s="21" t="s">
        <v>4234</v>
      </c>
      <c r="C818" s="22">
        <v>241646.0</v>
      </c>
      <c r="D818" s="23" t="s">
        <v>1369</v>
      </c>
      <c r="E818" s="22" t="s">
        <v>580</v>
      </c>
      <c r="F818" s="108">
        <v>0.5208333333333334</v>
      </c>
      <c r="G818" s="22"/>
    </row>
    <row r="819" spans="8:8" ht="34.5" customHeight="1">
      <c r="A819" s="22">
        <v>13.0</v>
      </c>
      <c r="B819" s="21" t="s">
        <v>4235</v>
      </c>
      <c r="C819" s="22">
        <v>241612.0</v>
      </c>
      <c r="D819" s="23" t="s">
        <v>1369</v>
      </c>
      <c r="E819" s="22" t="s">
        <v>580</v>
      </c>
      <c r="F819" s="108">
        <v>0.5208333333333334</v>
      </c>
      <c r="G819" s="22"/>
    </row>
    <row r="820" spans="8:8" ht="34.5" customHeight="1">
      <c r="A820" s="22">
        <v>14.0</v>
      </c>
      <c r="B820" s="21" t="s">
        <v>4236</v>
      </c>
      <c r="C820" s="22">
        <v>241656.0</v>
      </c>
      <c r="D820" s="23" t="s">
        <v>1369</v>
      </c>
      <c r="E820" s="22" t="s">
        <v>580</v>
      </c>
      <c r="F820" s="108">
        <v>0.5208333333333334</v>
      </c>
      <c r="G820" s="22"/>
    </row>
    <row r="821" spans="8:8" ht="34.5" customHeight="1">
      <c r="A821" s="22">
        <v>15.0</v>
      </c>
      <c r="B821" s="21" t="s">
        <v>4237</v>
      </c>
      <c r="C821" s="22">
        <v>241278.0</v>
      </c>
      <c r="D821" s="23" t="s">
        <v>1369</v>
      </c>
      <c r="E821" s="22" t="s">
        <v>580</v>
      </c>
      <c r="F821" s="108">
        <v>0.5208333333333334</v>
      </c>
      <c r="G821" s="22"/>
    </row>
    <row r="822" spans="8:8" ht="34.5" customHeight="1">
      <c r="A822" s="22">
        <v>16.0</v>
      </c>
      <c r="B822" s="21" t="s">
        <v>4238</v>
      </c>
      <c r="C822" s="22">
        <v>241279.0</v>
      </c>
      <c r="D822" s="23" t="s">
        <v>1369</v>
      </c>
      <c r="E822" s="22" t="s">
        <v>580</v>
      </c>
      <c r="F822" s="108">
        <v>0.5208333333333334</v>
      </c>
      <c r="G822" s="22"/>
    </row>
    <row r="823" spans="8:8" ht="34.5" customHeight="1">
      <c r="A823" s="22">
        <v>17.0</v>
      </c>
      <c r="B823" s="21" t="s">
        <v>4239</v>
      </c>
      <c r="C823" s="22">
        <v>241282.0</v>
      </c>
      <c r="D823" s="23" t="s">
        <v>1369</v>
      </c>
      <c r="E823" s="22" t="s">
        <v>580</v>
      </c>
      <c r="F823" s="108">
        <v>0.5208333333333334</v>
      </c>
      <c r="G823" s="22"/>
    </row>
    <row r="824" spans="8:8" ht="34.5" customHeight="1">
      <c r="A824" s="22">
        <v>18.0</v>
      </c>
      <c r="B824" s="21" t="s">
        <v>4240</v>
      </c>
      <c r="C824" s="22">
        <v>241284.0</v>
      </c>
      <c r="D824" s="23" t="s">
        <v>1369</v>
      </c>
      <c r="E824" s="22" t="s">
        <v>580</v>
      </c>
      <c r="F824" s="108">
        <v>0.5208333333333334</v>
      </c>
      <c r="G824" s="22"/>
    </row>
    <row r="825" spans="8:8" ht="34.5" customHeight="1">
      <c r="A825" s="22">
        <v>19.0</v>
      </c>
      <c r="B825" s="21" t="s">
        <v>4241</v>
      </c>
      <c r="C825" s="22">
        <v>241286.0</v>
      </c>
      <c r="D825" s="23" t="s">
        <v>1369</v>
      </c>
      <c r="E825" s="22" t="s">
        <v>580</v>
      </c>
      <c r="F825" s="108">
        <v>0.5208333333333334</v>
      </c>
      <c r="G825" s="22"/>
    </row>
    <row r="826" spans="8:8" ht="34.5" customHeight="1">
      <c r="A826" s="22">
        <v>20.0</v>
      </c>
      <c r="B826" s="21" t="s">
        <v>4242</v>
      </c>
      <c r="C826" s="22">
        <v>241288.0</v>
      </c>
      <c r="D826" s="23" t="s">
        <v>1369</v>
      </c>
      <c r="E826" s="22" t="s">
        <v>580</v>
      </c>
      <c r="F826" s="108">
        <v>0.5208333333333334</v>
      </c>
      <c r="G826" s="22"/>
    </row>
    <row r="827" spans="8:8" ht="34.5" customHeight="1">
      <c r="A827" s="22">
        <v>21.0</v>
      </c>
      <c r="B827" s="21" t="s">
        <v>4243</v>
      </c>
      <c r="C827" s="22">
        <v>241289.0</v>
      </c>
      <c r="D827" s="23" t="s">
        <v>1369</v>
      </c>
      <c r="E827" s="22" t="s">
        <v>580</v>
      </c>
      <c r="F827" s="108">
        <v>0.5208333333333334</v>
      </c>
      <c r="G827" s="22"/>
    </row>
    <row r="828" spans="8:8" ht="34.5" customHeight="1">
      <c r="A828" s="22">
        <v>22.0</v>
      </c>
      <c r="B828" s="21" t="s">
        <v>4244</v>
      </c>
      <c r="C828" s="22">
        <v>241154.0</v>
      </c>
      <c r="D828" s="23" t="s">
        <v>1369</v>
      </c>
      <c r="E828" s="22" t="s">
        <v>580</v>
      </c>
      <c r="F828" s="108">
        <v>0.5208333333333334</v>
      </c>
      <c r="G828" s="22"/>
    </row>
    <row r="829" spans="8:8" ht="34.5" customHeight="1">
      <c r="A829" s="22">
        <v>23.0</v>
      </c>
      <c r="B829" s="21" t="s">
        <v>4245</v>
      </c>
      <c r="C829" s="22">
        <v>241159.0</v>
      </c>
      <c r="D829" s="23" t="s">
        <v>1369</v>
      </c>
      <c r="E829" s="22" t="s">
        <v>580</v>
      </c>
      <c r="F829" s="108">
        <v>0.5208333333333334</v>
      </c>
      <c r="G829" s="22"/>
    </row>
    <row r="830" spans="8:8" ht="34.5" customHeight="1">
      <c r="A830" s="22">
        <v>24.0</v>
      </c>
      <c r="B830" s="21" t="s">
        <v>4246</v>
      </c>
      <c r="C830" s="22">
        <v>241514.0</v>
      </c>
      <c r="D830" s="23" t="s">
        <v>1369</v>
      </c>
      <c r="E830" s="22" t="s">
        <v>580</v>
      </c>
      <c r="F830" s="108">
        <v>0.5208333333333334</v>
      </c>
      <c r="G830" s="22"/>
    </row>
    <row r="831" spans="8:8" ht="34.5" customHeight="1">
      <c r="A831" s="22">
        <v>25.0</v>
      </c>
      <c r="B831" s="21" t="s">
        <v>4247</v>
      </c>
      <c r="C831" s="22">
        <v>241161.0</v>
      </c>
      <c r="D831" s="23" t="s">
        <v>1369</v>
      </c>
      <c r="E831" s="22" t="s">
        <v>580</v>
      </c>
      <c r="F831" s="108">
        <v>0.5208333333333334</v>
      </c>
      <c r="G831" s="22"/>
    </row>
    <row r="832" spans="8:8" ht="34.5" customHeight="1">
      <c r="A832" s="8" t="s">
        <v>18</v>
      </c>
      <c r="B832" s="9" t="s">
        <v>19</v>
      </c>
      <c r="C832" s="9" t="s">
        <v>20</v>
      </c>
      <c r="D832" s="9" t="s">
        <v>21</v>
      </c>
      <c r="E832" s="9" t="s">
        <v>22</v>
      </c>
      <c r="F832" s="9" t="s">
        <v>23</v>
      </c>
      <c r="G832" s="9" t="s">
        <v>3675</v>
      </c>
    </row>
    <row r="833" spans="8:8" ht="34.5" customHeight="1">
      <c r="A833" s="22">
        <v>1.0</v>
      </c>
      <c r="B833" s="21" t="s">
        <v>4248</v>
      </c>
      <c r="C833" s="22">
        <v>241285.0</v>
      </c>
      <c r="D833" s="23" t="s">
        <v>1369</v>
      </c>
      <c r="E833" s="22" t="s">
        <v>580</v>
      </c>
      <c r="F833" s="108">
        <v>0.5208333333333334</v>
      </c>
      <c r="G833" s="13"/>
    </row>
    <row r="834" spans="8:8" ht="34.5" customHeight="1">
      <c r="A834" s="22">
        <v>2.0</v>
      </c>
      <c r="B834" s="21" t="s">
        <v>4249</v>
      </c>
      <c r="C834" s="22">
        <v>241170.0</v>
      </c>
      <c r="D834" s="23" t="s">
        <v>1369</v>
      </c>
      <c r="E834" s="22" t="s">
        <v>580</v>
      </c>
      <c r="F834" s="108">
        <v>0.5208333333333334</v>
      </c>
      <c r="G834" s="22"/>
    </row>
    <row r="835" spans="8:8" ht="34.5" customHeight="1">
      <c r="A835" s="22">
        <v>3.0</v>
      </c>
      <c r="B835" s="21" t="s">
        <v>4250</v>
      </c>
      <c r="C835" s="22">
        <v>241593.0</v>
      </c>
      <c r="D835" s="23" t="s">
        <v>1369</v>
      </c>
      <c r="E835" s="22" t="s">
        <v>580</v>
      </c>
      <c r="F835" s="108">
        <v>0.5208333333333334</v>
      </c>
      <c r="G835" s="22"/>
    </row>
    <row r="836" spans="8:8" ht="34.5" customHeight="1">
      <c r="A836" s="22">
        <v>4.0</v>
      </c>
      <c r="B836" s="21" t="s">
        <v>4251</v>
      </c>
      <c r="C836" s="22">
        <v>241457.0</v>
      </c>
      <c r="D836" s="23" t="s">
        <v>1369</v>
      </c>
      <c r="E836" s="22" t="s">
        <v>580</v>
      </c>
      <c r="F836" s="108">
        <v>0.5208333333333334</v>
      </c>
      <c r="G836" s="22"/>
    </row>
    <row r="837" spans="8:8" ht="34.5" customHeight="1">
      <c r="A837" s="22">
        <v>5.0</v>
      </c>
      <c r="B837" s="21" t="s">
        <v>4252</v>
      </c>
      <c r="C837" s="22">
        <v>241474.0</v>
      </c>
      <c r="D837" s="23" t="s">
        <v>1369</v>
      </c>
      <c r="E837" s="22" t="s">
        <v>580</v>
      </c>
      <c r="F837" s="108">
        <v>0.5208333333333334</v>
      </c>
      <c r="G837" s="22"/>
    </row>
    <row r="838" spans="8:8" ht="34.5" customHeight="1">
      <c r="A838" s="22">
        <v>6.0</v>
      </c>
      <c r="B838" s="21" t="s">
        <v>4253</v>
      </c>
      <c r="C838" s="22">
        <v>241476.0</v>
      </c>
      <c r="D838" s="23" t="s">
        <v>1369</v>
      </c>
      <c r="E838" s="22" t="s">
        <v>580</v>
      </c>
      <c r="F838" s="108">
        <v>0.5208333333333334</v>
      </c>
      <c r="G838" s="22"/>
    </row>
    <row r="839" spans="8:8" ht="34.5" customHeight="1">
      <c r="A839" s="22">
        <v>7.0</v>
      </c>
      <c r="B839" s="21" t="s">
        <v>4254</v>
      </c>
      <c r="C839" s="22">
        <v>241276.0</v>
      </c>
      <c r="D839" s="23" t="s">
        <v>1369</v>
      </c>
      <c r="E839" s="13" t="s">
        <v>580</v>
      </c>
      <c r="F839" s="108">
        <v>0.5208333333333334</v>
      </c>
      <c r="G839" s="13"/>
    </row>
    <row r="840" spans="8:8" ht="34.5" customHeight="1">
      <c r="A840" s="22">
        <v>8.0</v>
      </c>
      <c r="B840" s="21" t="s">
        <v>4255</v>
      </c>
      <c r="C840" s="22">
        <v>241637.0</v>
      </c>
      <c r="D840" s="23" t="s">
        <v>1369</v>
      </c>
      <c r="E840" s="22" t="s">
        <v>580</v>
      </c>
      <c r="F840" s="108">
        <v>0.5208333333333334</v>
      </c>
      <c r="G840" s="22"/>
    </row>
    <row r="841" spans="8:8" ht="34.5" customHeight="1">
      <c r="A841" s="22">
        <v>9.0</v>
      </c>
      <c r="B841" s="21" t="s">
        <v>4256</v>
      </c>
      <c r="C841" s="22">
        <v>241302.0</v>
      </c>
      <c r="D841" s="23" t="s">
        <v>1369</v>
      </c>
      <c r="E841" s="22" t="s">
        <v>580</v>
      </c>
      <c r="F841" s="108">
        <v>0.5208333333333334</v>
      </c>
      <c r="G841" s="22"/>
    </row>
    <row r="842" spans="8:8" ht="34.5" customHeight="1">
      <c r="A842" s="22">
        <v>10.0</v>
      </c>
      <c r="B842" s="21" t="s">
        <v>4257</v>
      </c>
      <c r="C842" s="22">
        <v>241292.0</v>
      </c>
      <c r="D842" s="23" t="s">
        <v>1369</v>
      </c>
      <c r="E842" s="22" t="s">
        <v>580</v>
      </c>
      <c r="F842" s="108">
        <v>0.5208333333333334</v>
      </c>
      <c r="G842" s="22"/>
    </row>
    <row r="843" spans="8:8" ht="34.5" customHeight="1">
      <c r="A843" s="22">
        <v>11.0</v>
      </c>
      <c r="B843" s="21" t="s">
        <v>4258</v>
      </c>
      <c r="C843" s="22">
        <v>241622.0</v>
      </c>
      <c r="D843" s="23" t="s">
        <v>1369</v>
      </c>
      <c r="E843" s="22" t="s">
        <v>580</v>
      </c>
      <c r="F843" s="108">
        <v>0.5208333333333334</v>
      </c>
      <c r="G843" s="22"/>
    </row>
    <row r="844" spans="8:8" ht="34.5" customHeight="1">
      <c r="A844" s="22">
        <v>12.0</v>
      </c>
      <c r="B844" s="21" t="s">
        <v>4259</v>
      </c>
      <c r="C844" s="22">
        <v>241477.0</v>
      </c>
      <c r="D844" s="23" t="s">
        <v>1369</v>
      </c>
      <c r="E844" s="22" t="s">
        <v>580</v>
      </c>
      <c r="F844" s="108">
        <v>0.5208333333333334</v>
      </c>
      <c r="G844" s="22"/>
    </row>
    <row r="845" spans="8:8" ht="34.5" customHeight="1">
      <c r="A845" s="22">
        <v>13.0</v>
      </c>
      <c r="B845" s="21" t="s">
        <v>4260</v>
      </c>
      <c r="C845" s="22">
        <v>241599.0</v>
      </c>
      <c r="D845" s="23" t="s">
        <v>1369</v>
      </c>
      <c r="E845" s="22" t="s">
        <v>580</v>
      </c>
      <c r="F845" s="108">
        <v>0.5208333333333334</v>
      </c>
      <c r="G845" s="22"/>
    </row>
    <row r="846" spans="8:8" ht="34.5" customHeight="1">
      <c r="A846" s="22">
        <v>14.0</v>
      </c>
      <c r="B846" s="21" t="s">
        <v>4261</v>
      </c>
      <c r="C846" s="22">
        <v>241597.0</v>
      </c>
      <c r="D846" s="23" t="s">
        <v>1369</v>
      </c>
      <c r="E846" s="22" t="s">
        <v>580</v>
      </c>
      <c r="F846" s="108">
        <v>0.5208333333333334</v>
      </c>
      <c r="G846" s="22"/>
    </row>
    <row r="847" spans="8:8" ht="34.5" customHeight="1">
      <c r="A847" s="22">
        <v>15.0</v>
      </c>
      <c r="B847" s="21" t="s">
        <v>4262</v>
      </c>
      <c r="C847" s="22">
        <v>241480.0</v>
      </c>
      <c r="D847" s="23" t="s">
        <v>1369</v>
      </c>
      <c r="E847" s="22" t="s">
        <v>580</v>
      </c>
      <c r="F847" s="108">
        <v>0.5208333333333334</v>
      </c>
      <c r="G847" s="22"/>
    </row>
    <row r="848" spans="8:8" ht="34.5" customHeight="1">
      <c r="A848" s="22">
        <v>16.0</v>
      </c>
      <c r="B848" s="21" t="s">
        <v>4263</v>
      </c>
      <c r="C848" s="22">
        <v>241481.0</v>
      </c>
      <c r="D848" s="23" t="s">
        <v>1369</v>
      </c>
      <c r="E848" s="22" t="s">
        <v>580</v>
      </c>
      <c r="F848" s="108">
        <v>0.5208333333333334</v>
      </c>
      <c r="G848" s="22"/>
    </row>
    <row r="849" spans="8:8" ht="34.5" customHeight="1">
      <c r="A849" s="22">
        <v>17.0</v>
      </c>
      <c r="B849" s="21" t="s">
        <v>4264</v>
      </c>
      <c r="C849" s="22">
        <v>241487.0</v>
      </c>
      <c r="D849" s="23" t="s">
        <v>1369</v>
      </c>
      <c r="E849" s="22" t="s">
        <v>580</v>
      </c>
      <c r="F849" s="108">
        <v>0.5208333333333334</v>
      </c>
      <c r="G849" s="22"/>
    </row>
    <row r="850" spans="8:8" ht="34.5" customHeight="1">
      <c r="A850" s="22">
        <v>18.0</v>
      </c>
      <c r="B850" s="21" t="s">
        <v>4265</v>
      </c>
      <c r="C850" s="22">
        <v>241488.0</v>
      </c>
      <c r="D850" s="23" t="s">
        <v>1369</v>
      </c>
      <c r="E850" s="22" t="s">
        <v>580</v>
      </c>
      <c r="F850" s="108">
        <v>0.5208333333333334</v>
      </c>
      <c r="G850" s="22"/>
    </row>
    <row r="851" spans="8:8" ht="34.5" customHeight="1">
      <c r="A851" s="22">
        <v>19.0</v>
      </c>
      <c r="B851" s="21" t="s">
        <v>4266</v>
      </c>
      <c r="C851" s="22">
        <v>241490.0</v>
      </c>
      <c r="D851" s="23" t="s">
        <v>1369</v>
      </c>
      <c r="E851" s="22" t="s">
        <v>580</v>
      </c>
      <c r="F851" s="108">
        <v>0.5208333333333334</v>
      </c>
      <c r="G851" s="22"/>
    </row>
    <row r="852" spans="8:8" ht="34.5" customHeight="1">
      <c r="A852" s="22">
        <v>20.0</v>
      </c>
      <c r="B852" s="21" t="s">
        <v>4267</v>
      </c>
      <c r="C852" s="22">
        <v>241493.0</v>
      </c>
      <c r="D852" s="23" t="s">
        <v>1369</v>
      </c>
      <c r="E852" s="22" t="s">
        <v>580</v>
      </c>
      <c r="F852" s="108">
        <v>0.5208333333333334</v>
      </c>
      <c r="G852" s="22"/>
    </row>
    <row r="853" spans="8:8" ht="34.5" customHeight="1">
      <c r="A853" s="22">
        <v>21.0</v>
      </c>
      <c r="B853" s="21" t="s">
        <v>4268</v>
      </c>
      <c r="C853" s="22">
        <v>241494.0</v>
      </c>
      <c r="D853" s="23" t="s">
        <v>1369</v>
      </c>
      <c r="E853" s="22" t="s">
        <v>580</v>
      </c>
      <c r="F853" s="108">
        <v>0.5208333333333334</v>
      </c>
      <c r="G853" s="22"/>
    </row>
    <row r="854" spans="8:8" ht="34.5" customHeight="1">
      <c r="A854" s="22">
        <v>22.0</v>
      </c>
      <c r="B854" s="21" t="s">
        <v>4269</v>
      </c>
      <c r="C854" s="22">
        <v>241499.0</v>
      </c>
      <c r="D854" s="23" t="s">
        <v>1369</v>
      </c>
      <c r="E854" s="22" t="s">
        <v>580</v>
      </c>
      <c r="F854" s="108">
        <v>0.5208333333333334</v>
      </c>
      <c r="G854" s="22"/>
    </row>
    <row r="855" spans="8:8" ht="34.5" customHeight="1">
      <c r="A855" s="8" t="s">
        <v>18</v>
      </c>
      <c r="B855" s="9" t="s">
        <v>19</v>
      </c>
      <c r="C855" s="9" t="s">
        <v>20</v>
      </c>
      <c r="D855" s="9" t="s">
        <v>21</v>
      </c>
      <c r="E855" s="9" t="s">
        <v>22</v>
      </c>
      <c r="F855" s="9" t="s">
        <v>23</v>
      </c>
      <c r="G855" s="9" t="s">
        <v>3201</v>
      </c>
    </row>
    <row r="856" spans="8:8" ht="34.5" customHeight="1">
      <c r="A856" s="17">
        <v>1.0</v>
      </c>
      <c r="B856" s="16" t="s">
        <v>4270</v>
      </c>
      <c r="C856" s="17">
        <v>241157.0</v>
      </c>
      <c r="D856" s="26" t="s">
        <v>1369</v>
      </c>
      <c r="E856" s="17" t="s">
        <v>580</v>
      </c>
      <c r="F856" s="108">
        <v>0.5208333333333334</v>
      </c>
      <c r="G856" s="13"/>
    </row>
    <row r="857" spans="8:8" ht="34.5" customHeight="1">
      <c r="A857" s="17">
        <v>2.0</v>
      </c>
      <c r="B857" s="16" t="s">
        <v>4271</v>
      </c>
      <c r="C857" s="17">
        <v>251497.0</v>
      </c>
      <c r="D857" s="114" t="s">
        <v>1868</v>
      </c>
      <c r="E857" s="17" t="s">
        <v>580</v>
      </c>
      <c r="F857" s="108">
        <v>0.5208333333333334</v>
      </c>
      <c r="G857" s="17"/>
    </row>
    <row r="858" spans="8:8" ht="34.5" customHeight="1">
      <c r="A858" s="17">
        <v>3.0</v>
      </c>
      <c r="B858" s="16" t="s">
        <v>4272</v>
      </c>
      <c r="C858" s="17">
        <v>241632.0</v>
      </c>
      <c r="D858" s="26" t="s">
        <v>1369</v>
      </c>
      <c r="E858" s="17" t="s">
        <v>580</v>
      </c>
      <c r="F858" s="108">
        <v>0.5208333333333334</v>
      </c>
      <c r="G858" s="17"/>
    </row>
    <row r="859" spans="8:8" ht="34.5" customHeight="1">
      <c r="A859" s="17">
        <v>4.0</v>
      </c>
      <c r="B859" s="16" t="s">
        <v>4273</v>
      </c>
      <c r="C859" s="17">
        <v>251745.0</v>
      </c>
      <c r="D859" s="114" t="s">
        <v>1868</v>
      </c>
      <c r="E859" s="17" t="s">
        <v>580</v>
      </c>
      <c r="F859" s="108">
        <v>0.5208333333333334</v>
      </c>
      <c r="G859" s="17"/>
    </row>
    <row r="860" spans="8:8" ht="34.5" customHeight="1">
      <c r="A860" s="17">
        <v>5.0</v>
      </c>
      <c r="B860" s="16" t="s">
        <v>4274</v>
      </c>
      <c r="C860" s="17">
        <v>241444.0</v>
      </c>
      <c r="D860" s="26" t="s">
        <v>1369</v>
      </c>
      <c r="E860" s="17" t="s">
        <v>580</v>
      </c>
      <c r="F860" s="108">
        <v>0.5208333333333334</v>
      </c>
      <c r="G860" s="17"/>
    </row>
    <row r="861" spans="8:8" ht="34.5" customHeight="1">
      <c r="A861" s="17">
        <v>6.0</v>
      </c>
      <c r="B861" s="12" t="s">
        <v>4275</v>
      </c>
      <c r="C861" s="13">
        <v>241194.0</v>
      </c>
      <c r="D861" s="23" t="s">
        <v>1369</v>
      </c>
      <c r="E861" s="13" t="s">
        <v>580</v>
      </c>
      <c r="F861" s="58">
        <v>0.5208333333333334</v>
      </c>
      <c r="G861" s="13"/>
    </row>
    <row r="862" spans="8:8" ht="34.5" customHeight="1">
      <c r="A862" s="17">
        <v>7.0</v>
      </c>
      <c r="B862" s="12" t="s">
        <v>4276</v>
      </c>
      <c r="C862" s="13">
        <v>241484.0</v>
      </c>
      <c r="D862" s="23" t="s">
        <v>1369</v>
      </c>
      <c r="E862" s="13" t="s">
        <v>580</v>
      </c>
      <c r="F862" s="58">
        <v>0.5208333333333334</v>
      </c>
      <c r="G862" s="13"/>
    </row>
    <row r="863" spans="8:8" ht="34.5" customHeight="1">
      <c r="A863" s="17">
        <v>8.0</v>
      </c>
      <c r="B863" s="12" t="s">
        <v>4277</v>
      </c>
      <c r="C863" s="13">
        <v>241478.0</v>
      </c>
      <c r="D863" s="23" t="s">
        <v>1369</v>
      </c>
      <c r="E863" s="13" t="s">
        <v>580</v>
      </c>
      <c r="F863" s="58">
        <v>0.5208333333333334</v>
      </c>
      <c r="G863" s="13"/>
    </row>
    <row r="864" spans="8:8" ht="34.5" customHeight="1">
      <c r="A864" s="17">
        <v>9.0</v>
      </c>
      <c r="B864" s="12" t="s">
        <v>4278</v>
      </c>
      <c r="C864" s="13">
        <v>241483.0</v>
      </c>
      <c r="D864" s="23" t="s">
        <v>1369</v>
      </c>
      <c r="E864" s="13" t="s">
        <v>580</v>
      </c>
      <c r="F864" s="58">
        <v>0.5208333333333334</v>
      </c>
      <c r="G864" s="13"/>
    </row>
    <row r="865" spans="8:8" ht="34.5" customHeight="1">
      <c r="A865" s="17">
        <v>10.0</v>
      </c>
      <c r="B865" s="12" t="s">
        <v>4279</v>
      </c>
      <c r="C865" s="13">
        <v>241496.0</v>
      </c>
      <c r="D865" s="23" t="s">
        <v>1369</v>
      </c>
      <c r="E865" s="13" t="s">
        <v>580</v>
      </c>
      <c r="F865" s="58">
        <v>0.5208333333333334</v>
      </c>
      <c r="G865" s="13"/>
    </row>
    <row r="866" spans="8:8" ht="34.5" customHeight="1">
      <c r="A866" s="17">
        <v>11.0</v>
      </c>
      <c r="B866" s="12" t="s">
        <v>4280</v>
      </c>
      <c r="C866" s="13">
        <v>241479.0</v>
      </c>
      <c r="D866" s="23" t="s">
        <v>1369</v>
      </c>
      <c r="E866" s="13" t="s">
        <v>580</v>
      </c>
      <c r="F866" s="58">
        <v>0.5208333333333334</v>
      </c>
      <c r="G866" s="13"/>
    </row>
    <row r="867" spans="8:8" ht="34.5" customHeight="1">
      <c r="A867" s="17">
        <v>12.0</v>
      </c>
      <c r="B867" s="12" t="s">
        <v>4281</v>
      </c>
      <c r="C867" s="13">
        <v>241425.0</v>
      </c>
      <c r="D867" s="12" t="s">
        <v>1369</v>
      </c>
      <c r="E867" s="13" t="s">
        <v>580</v>
      </c>
      <c r="F867" s="58">
        <v>0.5208333333333334</v>
      </c>
      <c r="G867" s="13"/>
    </row>
    <row r="868" spans="8:8" ht="34.5" customHeight="1">
      <c r="A868" s="17">
        <v>13.0</v>
      </c>
      <c r="B868" s="12" t="s">
        <v>4282</v>
      </c>
      <c r="C868" s="13">
        <v>241504.0</v>
      </c>
      <c r="D868" s="23" t="s">
        <v>1369</v>
      </c>
      <c r="E868" s="13" t="s">
        <v>580</v>
      </c>
      <c r="F868" s="58">
        <v>0.5208333333333334</v>
      </c>
      <c r="G868" s="13"/>
    </row>
    <row r="869" spans="8:8" ht="34.5" customHeight="1">
      <c r="A869" s="17">
        <v>14.0</v>
      </c>
      <c r="B869" s="12" t="s">
        <v>4283</v>
      </c>
      <c r="C869" s="13">
        <v>251512.0</v>
      </c>
      <c r="D869" s="52" t="s">
        <v>1868</v>
      </c>
      <c r="E869" s="13" t="s">
        <v>580</v>
      </c>
      <c r="F869" s="58">
        <v>0.5208333333333334</v>
      </c>
      <c r="G869" s="13"/>
    </row>
    <row r="870" spans="8:8" ht="34.5" customHeight="1">
      <c r="A870" s="17">
        <v>15.0</v>
      </c>
      <c r="B870" s="12" t="s">
        <v>4284</v>
      </c>
      <c r="C870" s="13">
        <v>251501.0</v>
      </c>
      <c r="D870" s="52" t="s">
        <v>1868</v>
      </c>
      <c r="E870" s="13" t="s">
        <v>580</v>
      </c>
      <c r="F870" s="58">
        <v>0.5208333333333334</v>
      </c>
      <c r="G870" s="13"/>
    </row>
    <row r="871" spans="8:8" ht="34.5" customHeight="1">
      <c r="A871" s="17">
        <v>16.0</v>
      </c>
      <c r="B871" s="12" t="s">
        <v>4285</v>
      </c>
      <c r="C871" s="13">
        <v>241942.0</v>
      </c>
      <c r="D871" s="23" t="s">
        <v>1369</v>
      </c>
      <c r="E871" s="13" t="s">
        <v>580</v>
      </c>
      <c r="F871" s="58">
        <v>0.5208333333333334</v>
      </c>
      <c r="G871" s="13"/>
    </row>
    <row r="872" spans="8:8" ht="34.5" customHeight="1">
      <c r="A872" s="17">
        <v>17.0</v>
      </c>
      <c r="B872" s="21" t="s">
        <v>4286</v>
      </c>
      <c r="C872" s="22">
        <v>241459.0</v>
      </c>
      <c r="D872" s="107" t="s">
        <v>1369</v>
      </c>
      <c r="E872" s="22" t="s">
        <v>580</v>
      </c>
      <c r="F872" s="108">
        <v>0.5208333333333334</v>
      </c>
      <c r="G872" s="13"/>
    </row>
    <row r="873" spans="8:8" ht="34.5" customHeight="1">
      <c r="A873" s="17">
        <v>18.0</v>
      </c>
      <c r="B873" s="21" t="s">
        <v>4287</v>
      </c>
      <c r="C873" s="22">
        <v>241383.0</v>
      </c>
      <c r="D873" s="107" t="s">
        <v>1369</v>
      </c>
      <c r="E873" s="112" t="s">
        <v>580</v>
      </c>
      <c r="F873" s="108">
        <v>0.5208333333333334</v>
      </c>
      <c r="G873" s="13"/>
    </row>
    <row r="874" spans="8:8" ht="34.5" customHeight="1">
      <c r="A874" s="17">
        <v>19.0</v>
      </c>
      <c r="B874" s="21" t="s">
        <v>4288</v>
      </c>
      <c r="C874" s="22">
        <v>241526.0</v>
      </c>
      <c r="D874" s="107" t="s">
        <v>1369</v>
      </c>
      <c r="E874" s="112" t="s">
        <v>580</v>
      </c>
      <c r="F874" s="108">
        <v>0.5208333333333334</v>
      </c>
      <c r="G874" s="13"/>
    </row>
    <row r="875" spans="8:8" ht="34.5" customHeight="1">
      <c r="A875" s="8" t="s">
        <v>18</v>
      </c>
      <c r="B875" s="9" t="s">
        <v>19</v>
      </c>
      <c r="C875" s="9" t="s">
        <v>20</v>
      </c>
      <c r="D875" s="9" t="s">
        <v>21</v>
      </c>
      <c r="E875" s="9" t="s">
        <v>22</v>
      </c>
      <c r="F875" s="9" t="s">
        <v>23</v>
      </c>
      <c r="G875" s="9" t="s">
        <v>3223</v>
      </c>
    </row>
    <row r="876" spans="8:8" ht="34.5" customHeight="1">
      <c r="A876" s="22">
        <v>1.0</v>
      </c>
      <c r="B876" s="21" t="s">
        <v>4289</v>
      </c>
      <c r="C876" s="22">
        <v>251705.0</v>
      </c>
      <c r="D876" s="107" t="s">
        <v>1868</v>
      </c>
      <c r="E876" s="22" t="s">
        <v>781</v>
      </c>
      <c r="F876" s="108">
        <v>0.5208333333333334</v>
      </c>
      <c r="G876" s="13"/>
    </row>
    <row r="877" spans="8:8" ht="34.5" customHeight="1">
      <c r="A877" s="13">
        <v>2.0</v>
      </c>
      <c r="B877" s="21" t="s">
        <v>4290</v>
      </c>
      <c r="C877" s="22">
        <v>251479.0</v>
      </c>
      <c r="D877" s="107" t="s">
        <v>1868</v>
      </c>
      <c r="E877" s="22" t="s">
        <v>781</v>
      </c>
      <c r="F877" s="108">
        <v>0.5208333333333334</v>
      </c>
      <c r="G877" s="22"/>
    </row>
    <row r="878" spans="8:8" ht="34.5" customHeight="1">
      <c r="A878" s="22">
        <v>3.0</v>
      </c>
      <c r="B878" s="21" t="s">
        <v>4291</v>
      </c>
      <c r="C878" s="22">
        <v>241172.0</v>
      </c>
      <c r="D878" s="23" t="s">
        <v>1369</v>
      </c>
      <c r="E878" s="22" t="s">
        <v>781</v>
      </c>
      <c r="F878" s="108">
        <v>0.5208333333333334</v>
      </c>
      <c r="G878" s="22"/>
    </row>
    <row r="879" spans="8:8" ht="34.5" customHeight="1">
      <c r="A879" s="13">
        <v>4.0</v>
      </c>
      <c r="B879" s="21" t="s">
        <v>4292</v>
      </c>
      <c r="C879" s="22">
        <v>241197.0</v>
      </c>
      <c r="D879" s="23" t="s">
        <v>1369</v>
      </c>
      <c r="E879" s="22" t="s">
        <v>781</v>
      </c>
      <c r="F879" s="108">
        <v>0.5208333333333334</v>
      </c>
      <c r="G879" s="22"/>
    </row>
    <row r="880" spans="8:8" ht="34.5" customHeight="1">
      <c r="A880" s="22">
        <v>5.0</v>
      </c>
      <c r="B880" s="21" t="s">
        <v>4293</v>
      </c>
      <c r="C880" s="22">
        <v>241202.0</v>
      </c>
      <c r="D880" s="23" t="s">
        <v>1369</v>
      </c>
      <c r="E880" s="22" t="s">
        <v>781</v>
      </c>
      <c r="F880" s="108">
        <v>0.5208333333333334</v>
      </c>
      <c r="G880" s="22"/>
    </row>
    <row r="881" spans="8:8" ht="34.5" customHeight="1">
      <c r="A881" s="13">
        <v>6.0</v>
      </c>
      <c r="B881" s="21" t="s">
        <v>4294</v>
      </c>
      <c r="C881" s="22">
        <v>241203.0</v>
      </c>
      <c r="D881" s="23" t="s">
        <v>1369</v>
      </c>
      <c r="E881" s="22" t="s">
        <v>781</v>
      </c>
      <c r="F881" s="108">
        <v>0.5208333333333334</v>
      </c>
      <c r="G881" s="22"/>
    </row>
    <row r="882" spans="8:8" ht="34.5" customHeight="1">
      <c r="A882" s="22">
        <v>7.0</v>
      </c>
      <c r="B882" s="21" t="s">
        <v>4295</v>
      </c>
      <c r="C882" s="22">
        <v>241208.0</v>
      </c>
      <c r="D882" s="23" t="s">
        <v>1369</v>
      </c>
      <c r="E882" s="22" t="s">
        <v>781</v>
      </c>
      <c r="F882" s="108">
        <v>0.5208333333333334</v>
      </c>
      <c r="G882" s="22"/>
    </row>
    <row r="883" spans="8:8" ht="34.5" customHeight="1">
      <c r="A883" s="13">
        <v>8.0</v>
      </c>
      <c r="B883" s="21" t="s">
        <v>4296</v>
      </c>
      <c r="C883" s="22">
        <v>241217.0</v>
      </c>
      <c r="D883" s="23" t="s">
        <v>1369</v>
      </c>
      <c r="E883" s="22" t="s">
        <v>781</v>
      </c>
      <c r="F883" s="108">
        <v>0.5208333333333334</v>
      </c>
      <c r="G883" s="22"/>
    </row>
    <row r="884" spans="8:8" ht="34.5" customHeight="1">
      <c r="A884" s="22">
        <v>9.0</v>
      </c>
      <c r="B884" s="21" t="s">
        <v>4297</v>
      </c>
      <c r="C884" s="22">
        <v>241223.0</v>
      </c>
      <c r="D884" s="23" t="s">
        <v>1369</v>
      </c>
      <c r="E884" s="22" t="s">
        <v>781</v>
      </c>
      <c r="F884" s="108">
        <v>0.5208333333333334</v>
      </c>
      <c r="G884" s="22"/>
    </row>
    <row r="885" spans="8:8" ht="34.5" customHeight="1">
      <c r="A885" s="13">
        <v>10.0</v>
      </c>
      <c r="B885" s="21" t="s">
        <v>4298</v>
      </c>
      <c r="C885" s="22">
        <v>241225.0</v>
      </c>
      <c r="D885" s="23" t="s">
        <v>1369</v>
      </c>
      <c r="E885" s="22" t="s">
        <v>781</v>
      </c>
      <c r="F885" s="108">
        <v>0.5208333333333334</v>
      </c>
      <c r="G885" s="22"/>
    </row>
    <row r="886" spans="8:8" ht="34.5" customHeight="1">
      <c r="A886" s="22">
        <v>11.0</v>
      </c>
      <c r="B886" s="21" t="s">
        <v>4299</v>
      </c>
      <c r="C886" s="22">
        <v>241227.0</v>
      </c>
      <c r="D886" s="23" t="s">
        <v>1369</v>
      </c>
      <c r="E886" s="22" t="s">
        <v>781</v>
      </c>
      <c r="F886" s="108">
        <v>0.5208333333333334</v>
      </c>
      <c r="G886" s="22"/>
    </row>
    <row r="887" spans="8:8" ht="34.5" customHeight="1">
      <c r="A887" s="13">
        <v>12.0</v>
      </c>
      <c r="B887" s="21" t="s">
        <v>4300</v>
      </c>
      <c r="C887" s="22">
        <v>241228.0</v>
      </c>
      <c r="D887" s="23" t="s">
        <v>1369</v>
      </c>
      <c r="E887" s="22" t="s">
        <v>781</v>
      </c>
      <c r="F887" s="108">
        <v>0.5208333333333334</v>
      </c>
      <c r="G887" s="22"/>
    </row>
    <row r="888" spans="8:8" ht="34.5" customHeight="1">
      <c r="A888" s="22">
        <v>13.0</v>
      </c>
      <c r="B888" s="21" t="s">
        <v>4301</v>
      </c>
      <c r="C888" s="22">
        <v>241229.0</v>
      </c>
      <c r="D888" s="23" t="s">
        <v>1369</v>
      </c>
      <c r="E888" s="22" t="s">
        <v>781</v>
      </c>
      <c r="F888" s="108">
        <v>0.5208333333333334</v>
      </c>
      <c r="G888" s="22"/>
    </row>
    <row r="889" spans="8:8" ht="34.5" customHeight="1">
      <c r="A889" s="13">
        <v>14.0</v>
      </c>
      <c r="B889" s="21" t="s">
        <v>4302</v>
      </c>
      <c r="C889" s="22">
        <v>241230.0</v>
      </c>
      <c r="D889" s="23" t="s">
        <v>1369</v>
      </c>
      <c r="E889" s="22" t="s">
        <v>781</v>
      </c>
      <c r="F889" s="108">
        <v>0.5208333333333334</v>
      </c>
      <c r="G889" s="22"/>
    </row>
    <row r="890" spans="8:8" ht="34.5" customHeight="1">
      <c r="A890" s="22">
        <v>15.0</v>
      </c>
      <c r="B890" s="21" t="s">
        <v>4303</v>
      </c>
      <c r="C890" s="22">
        <v>241231.0</v>
      </c>
      <c r="D890" s="23" t="s">
        <v>1369</v>
      </c>
      <c r="E890" s="22" t="s">
        <v>781</v>
      </c>
      <c r="F890" s="108">
        <v>0.5208333333333334</v>
      </c>
      <c r="G890" s="22"/>
    </row>
    <row r="891" spans="8:8" ht="34.5" customHeight="1">
      <c r="A891" s="13">
        <v>16.0</v>
      </c>
      <c r="B891" s="21" t="s">
        <v>4304</v>
      </c>
      <c r="C891" s="22">
        <v>241240.0</v>
      </c>
      <c r="D891" s="23" t="s">
        <v>1369</v>
      </c>
      <c r="E891" s="22" t="s">
        <v>781</v>
      </c>
      <c r="F891" s="108">
        <v>0.5208333333333334</v>
      </c>
      <c r="G891" s="22"/>
    </row>
    <row r="892" spans="8:8" ht="34.5" customHeight="1">
      <c r="A892" s="22">
        <v>17.0</v>
      </c>
      <c r="B892" s="21" t="s">
        <v>4305</v>
      </c>
      <c r="C892" s="22">
        <v>241245.0</v>
      </c>
      <c r="D892" s="23" t="s">
        <v>1369</v>
      </c>
      <c r="E892" s="22" t="s">
        <v>781</v>
      </c>
      <c r="F892" s="108">
        <v>0.5208333333333334</v>
      </c>
      <c r="G892" s="22"/>
    </row>
    <row r="893" spans="8:8" ht="34.5" customHeight="1">
      <c r="A893" s="13">
        <v>18.0</v>
      </c>
      <c r="B893" s="21" t="s">
        <v>4306</v>
      </c>
      <c r="C893" s="22">
        <v>241246.0</v>
      </c>
      <c r="D893" s="23" t="s">
        <v>1369</v>
      </c>
      <c r="E893" s="22" t="s">
        <v>781</v>
      </c>
      <c r="F893" s="108">
        <v>0.5208333333333334</v>
      </c>
      <c r="G893" s="22"/>
    </row>
    <row r="894" spans="8:8" ht="34.5" customHeight="1">
      <c r="A894" s="22">
        <v>19.0</v>
      </c>
      <c r="B894" s="21" t="s">
        <v>4307</v>
      </c>
      <c r="C894" s="22">
        <v>241262.0</v>
      </c>
      <c r="D894" s="23" t="s">
        <v>1369</v>
      </c>
      <c r="E894" s="22" t="s">
        <v>781</v>
      </c>
      <c r="F894" s="108">
        <v>0.5208333333333334</v>
      </c>
      <c r="G894" s="22"/>
    </row>
    <row r="895" spans="8:8" ht="34.5" customHeight="1">
      <c r="A895" s="13">
        <v>20.0</v>
      </c>
      <c r="B895" s="21" t="s">
        <v>4308</v>
      </c>
      <c r="C895" s="22">
        <v>241265.0</v>
      </c>
      <c r="D895" s="23" t="s">
        <v>1369</v>
      </c>
      <c r="E895" s="22" t="s">
        <v>781</v>
      </c>
      <c r="F895" s="108">
        <v>0.5208333333333334</v>
      </c>
      <c r="G895" s="22"/>
    </row>
    <row r="896" spans="8:8" ht="34.5" customHeight="1">
      <c r="A896" s="22">
        <v>21.0</v>
      </c>
      <c r="B896" s="21" t="s">
        <v>4309</v>
      </c>
      <c r="C896" s="22">
        <v>241280.0</v>
      </c>
      <c r="D896" s="23" t="s">
        <v>1369</v>
      </c>
      <c r="E896" s="22" t="s">
        <v>4310</v>
      </c>
      <c r="F896" s="108">
        <v>0.5208333333333334</v>
      </c>
      <c r="G896" s="22"/>
    </row>
    <row r="897" spans="8:8" ht="34.5" customHeight="1">
      <c r="A897" s="13">
        <v>22.0</v>
      </c>
      <c r="B897" s="21" t="s">
        <v>4311</v>
      </c>
      <c r="C897" s="22">
        <v>252338.0</v>
      </c>
      <c r="D897" s="21" t="s">
        <v>104</v>
      </c>
      <c r="E897" s="22" t="s">
        <v>781</v>
      </c>
      <c r="F897" s="108">
        <v>0.5208333333333334</v>
      </c>
      <c r="G897" s="22"/>
    </row>
    <row r="898" spans="8:8" ht="34.5" customHeight="1">
      <c r="A898" s="22">
        <v>23.0</v>
      </c>
      <c r="B898" s="21" t="s">
        <v>4312</v>
      </c>
      <c r="C898" s="22">
        <v>252057.0</v>
      </c>
      <c r="D898" s="21" t="s">
        <v>104</v>
      </c>
      <c r="E898" s="22" t="s">
        <v>781</v>
      </c>
      <c r="F898" s="108">
        <v>0.5208333333333334</v>
      </c>
      <c r="G898" s="22"/>
    </row>
    <row r="899" spans="8:8" ht="34.5" customHeight="1">
      <c r="A899" s="13">
        <v>24.0</v>
      </c>
      <c r="B899" s="21" t="s">
        <v>4313</v>
      </c>
      <c r="C899" s="22">
        <v>252340.0</v>
      </c>
      <c r="D899" s="21" t="s">
        <v>104</v>
      </c>
      <c r="E899" s="22" t="s">
        <v>781</v>
      </c>
      <c r="F899" s="108">
        <v>0.5208333333333334</v>
      </c>
      <c r="G899" s="22"/>
    </row>
    <row r="900" spans="8:8" ht="34.5" customHeight="1">
      <c r="A900" s="8" t="s">
        <v>18</v>
      </c>
      <c r="B900" s="9" t="s">
        <v>19</v>
      </c>
      <c r="C900" s="9" t="s">
        <v>20</v>
      </c>
      <c r="D900" s="9" t="s">
        <v>21</v>
      </c>
      <c r="E900" s="9" t="s">
        <v>22</v>
      </c>
      <c r="F900" s="9" t="s">
        <v>23</v>
      </c>
      <c r="G900" s="9" t="s">
        <v>3747</v>
      </c>
    </row>
    <row r="901" spans="8:8" ht="34.5" customHeight="1">
      <c r="A901" s="17">
        <v>1.0</v>
      </c>
      <c r="B901" s="16" t="s">
        <v>4314</v>
      </c>
      <c r="C901" s="17">
        <v>241634.0</v>
      </c>
      <c r="D901" s="26" t="s">
        <v>1369</v>
      </c>
      <c r="E901" s="17" t="s">
        <v>781</v>
      </c>
      <c r="F901" s="108">
        <v>0.5208333333333334</v>
      </c>
      <c r="G901" s="13"/>
    </row>
    <row r="902" spans="8:8" ht="34.5" customHeight="1">
      <c r="A902" s="17">
        <v>2.0</v>
      </c>
      <c r="B902" s="16" t="s">
        <v>4315</v>
      </c>
      <c r="C902" s="17">
        <v>241600.0</v>
      </c>
      <c r="D902" s="26" t="s">
        <v>1369</v>
      </c>
      <c r="E902" s="17" t="s">
        <v>781</v>
      </c>
      <c r="F902" s="108">
        <v>0.5208333333333334</v>
      </c>
      <c r="G902" s="17"/>
    </row>
    <row r="903" spans="8:8" ht="34.5" customHeight="1">
      <c r="A903" s="17">
        <v>3.0</v>
      </c>
      <c r="B903" s="16" t="s">
        <v>4316</v>
      </c>
      <c r="C903" s="17">
        <v>241820.0</v>
      </c>
      <c r="D903" s="26" t="s">
        <v>1369</v>
      </c>
      <c r="E903" s="17" t="s">
        <v>781</v>
      </c>
      <c r="F903" s="108">
        <v>0.5208333333333334</v>
      </c>
      <c r="G903" s="17"/>
    </row>
    <row r="904" spans="8:8" ht="34.5" customHeight="1">
      <c r="A904" s="17">
        <v>4.0</v>
      </c>
      <c r="B904" s="16" t="s">
        <v>4317</v>
      </c>
      <c r="C904" s="17">
        <v>241853.0</v>
      </c>
      <c r="D904" s="26" t="s">
        <v>1369</v>
      </c>
      <c r="E904" s="17" t="s">
        <v>781</v>
      </c>
      <c r="F904" s="108">
        <v>0.5208333333333334</v>
      </c>
      <c r="G904" s="17"/>
    </row>
    <row r="905" spans="8:8" ht="34.5" customHeight="1">
      <c r="A905" s="17">
        <v>5.0</v>
      </c>
      <c r="B905" s="16" t="s">
        <v>4318</v>
      </c>
      <c r="C905" s="17">
        <v>241663.0</v>
      </c>
      <c r="D905" s="26" t="s">
        <v>1369</v>
      </c>
      <c r="E905" s="17" t="s">
        <v>781</v>
      </c>
      <c r="F905" s="108">
        <v>0.5208333333333334</v>
      </c>
      <c r="G905" s="17"/>
    </row>
    <row r="906" spans="8:8" ht="34.5" customHeight="1">
      <c r="A906" s="17">
        <v>6.0</v>
      </c>
      <c r="B906" s="16" t="s">
        <v>4319</v>
      </c>
      <c r="C906" s="17">
        <v>241398.0</v>
      </c>
      <c r="D906" s="26" t="s">
        <v>1369</v>
      </c>
      <c r="E906" s="17" t="s">
        <v>781</v>
      </c>
      <c r="F906" s="108">
        <v>0.5208333333333334</v>
      </c>
      <c r="G906" s="17"/>
    </row>
    <row r="907" spans="8:8" ht="34.5" customHeight="1">
      <c r="A907" s="17">
        <v>7.0</v>
      </c>
      <c r="B907" s="16" t="s">
        <v>4320</v>
      </c>
      <c r="C907" s="17">
        <v>241635.0</v>
      </c>
      <c r="D907" s="26" t="s">
        <v>1369</v>
      </c>
      <c r="E907" s="17" t="s">
        <v>781</v>
      </c>
      <c r="F907" s="108">
        <v>0.5208333333333334</v>
      </c>
      <c r="G907" s="17"/>
    </row>
    <row r="908" spans="8:8" ht="34.5" customHeight="1">
      <c r="A908" s="17">
        <v>8.0</v>
      </c>
      <c r="B908" s="16" t="s">
        <v>4321</v>
      </c>
      <c r="C908" s="17">
        <v>241627.0</v>
      </c>
      <c r="D908" s="26" t="s">
        <v>1369</v>
      </c>
      <c r="E908" s="17" t="s">
        <v>781</v>
      </c>
      <c r="F908" s="108">
        <v>0.5208333333333334</v>
      </c>
      <c r="G908" s="17"/>
    </row>
    <row r="909" spans="8:8" ht="34.5" customHeight="1">
      <c r="A909" s="17">
        <v>9.0</v>
      </c>
      <c r="B909" s="16" t="s">
        <v>4322</v>
      </c>
      <c r="C909" s="17">
        <v>241819.0</v>
      </c>
      <c r="D909" s="26" t="s">
        <v>1369</v>
      </c>
      <c r="E909" s="17" t="s">
        <v>781</v>
      </c>
      <c r="F909" s="108">
        <v>0.5208333333333334</v>
      </c>
      <c r="G909" s="17"/>
    </row>
    <row r="910" spans="8:8" ht="34.5" customHeight="1">
      <c r="A910" s="17">
        <v>10.0</v>
      </c>
      <c r="B910" s="16" t="s">
        <v>4323</v>
      </c>
      <c r="C910" s="17">
        <v>241607.0</v>
      </c>
      <c r="D910" s="26" t="s">
        <v>1369</v>
      </c>
      <c r="E910" s="17" t="s">
        <v>4310</v>
      </c>
      <c r="F910" s="108">
        <v>0.5208333333333334</v>
      </c>
      <c r="G910" s="17"/>
    </row>
    <row r="911" spans="8:8" ht="34.5" customHeight="1">
      <c r="A911" s="17">
        <v>11.0</v>
      </c>
      <c r="B911" s="21" t="s">
        <v>4324</v>
      </c>
      <c r="C911" s="22">
        <v>241515.0</v>
      </c>
      <c r="D911" s="23" t="s">
        <v>1369</v>
      </c>
      <c r="E911" s="22" t="s">
        <v>781</v>
      </c>
      <c r="F911" s="108">
        <v>0.5208333333333334</v>
      </c>
      <c r="G911" s="22"/>
    </row>
    <row r="912" spans="8:8" ht="34.5" customHeight="1">
      <c r="A912" s="17">
        <v>12.0</v>
      </c>
      <c r="B912" s="21" t="s">
        <v>4325</v>
      </c>
      <c r="C912" s="22">
        <v>241520.0</v>
      </c>
      <c r="D912" s="23" t="s">
        <v>1369</v>
      </c>
      <c r="E912" s="22" t="s">
        <v>781</v>
      </c>
      <c r="F912" s="108">
        <v>0.5208333333333334</v>
      </c>
      <c r="G912" s="22"/>
    </row>
    <row r="913" spans="8:8" ht="34.5" customHeight="1">
      <c r="A913" s="17">
        <v>13.0</v>
      </c>
      <c r="B913" s="21" t="s">
        <v>4326</v>
      </c>
      <c r="C913" s="22">
        <v>241529.0</v>
      </c>
      <c r="D913" s="23" t="s">
        <v>1369</v>
      </c>
      <c r="E913" s="22" t="s">
        <v>781</v>
      </c>
      <c r="F913" s="108">
        <v>0.5208333333333334</v>
      </c>
      <c r="G913" s="22"/>
    </row>
    <row r="914" spans="8:8" ht="34.5" customHeight="1">
      <c r="A914" s="17">
        <v>14.0</v>
      </c>
      <c r="B914" s="21" t="s">
        <v>4327</v>
      </c>
      <c r="C914" s="22">
        <v>241537.0</v>
      </c>
      <c r="D914" s="23" t="s">
        <v>1369</v>
      </c>
      <c r="E914" s="22" t="s">
        <v>781</v>
      </c>
      <c r="F914" s="108">
        <v>0.5208333333333334</v>
      </c>
      <c r="G914" s="22"/>
    </row>
    <row r="915" spans="8:8" ht="34.5" customHeight="1">
      <c r="A915" s="17">
        <v>15.0</v>
      </c>
      <c r="B915" s="21" t="s">
        <v>4328</v>
      </c>
      <c r="C915" s="22">
        <v>241553.0</v>
      </c>
      <c r="D915" s="23" t="s">
        <v>1369</v>
      </c>
      <c r="E915" s="22" t="s">
        <v>781</v>
      </c>
      <c r="F915" s="108">
        <v>0.5208333333333334</v>
      </c>
      <c r="G915" s="22"/>
    </row>
    <row r="916" spans="8:8" ht="34.5" customHeight="1">
      <c r="A916" s="17">
        <v>16.0</v>
      </c>
      <c r="B916" s="21" t="s">
        <v>4329</v>
      </c>
      <c r="C916" s="22">
        <v>241570.0</v>
      </c>
      <c r="D916" s="23" t="s">
        <v>1369</v>
      </c>
      <c r="E916" s="22" t="s">
        <v>781</v>
      </c>
      <c r="F916" s="108">
        <v>0.5208333333333334</v>
      </c>
      <c r="G916" s="22"/>
    </row>
    <row r="917" spans="8:8" ht="34.5" customHeight="1">
      <c r="A917" s="17">
        <v>17.0</v>
      </c>
      <c r="B917" s="21" t="s">
        <v>4330</v>
      </c>
      <c r="C917" s="22">
        <v>241587.0</v>
      </c>
      <c r="D917" s="23" t="s">
        <v>1369</v>
      </c>
      <c r="E917" s="22" t="s">
        <v>781</v>
      </c>
      <c r="F917" s="108">
        <v>0.5208333333333334</v>
      </c>
      <c r="G917" s="22"/>
    </row>
    <row r="918" spans="8:8" ht="34.5" customHeight="1">
      <c r="A918" s="17">
        <v>18.0</v>
      </c>
      <c r="B918" s="21" t="s">
        <v>4331</v>
      </c>
      <c r="C918" s="22">
        <v>241591.0</v>
      </c>
      <c r="D918" s="23" t="s">
        <v>1369</v>
      </c>
      <c r="E918" s="22" t="s">
        <v>781</v>
      </c>
      <c r="F918" s="108">
        <v>0.5208333333333334</v>
      </c>
      <c r="G918" s="22"/>
    </row>
    <row r="919" spans="8:8" ht="34.5" customHeight="1">
      <c r="A919" s="17">
        <v>19.0</v>
      </c>
      <c r="B919" s="21" t="s">
        <v>4332</v>
      </c>
      <c r="C919" s="22">
        <v>241837.0</v>
      </c>
      <c r="D919" s="23" t="s">
        <v>1369</v>
      </c>
      <c r="E919" s="22" t="s">
        <v>781</v>
      </c>
      <c r="F919" s="108">
        <v>0.5208333333333334</v>
      </c>
      <c r="G919" s="22"/>
    </row>
    <row r="920" spans="8:8" ht="34.5" customHeight="1">
      <c r="A920" s="17">
        <v>20.0</v>
      </c>
      <c r="B920" s="21" t="s">
        <v>4333</v>
      </c>
      <c r="C920" s="22">
        <v>241594.0</v>
      </c>
      <c r="D920" s="23" t="s">
        <v>1369</v>
      </c>
      <c r="E920" s="22" t="s">
        <v>781</v>
      </c>
      <c r="F920" s="108">
        <v>0.5208333333333334</v>
      </c>
      <c r="G920" s="22"/>
    </row>
    <row r="921" spans="8:8" ht="34.5" customHeight="1">
      <c r="A921" s="17">
        <v>21.0</v>
      </c>
      <c r="B921" s="21" t="s">
        <v>4334</v>
      </c>
      <c r="C921" s="22">
        <v>241598.0</v>
      </c>
      <c r="D921" s="23" t="s">
        <v>1369</v>
      </c>
      <c r="E921" s="22" t="s">
        <v>781</v>
      </c>
      <c r="F921" s="108">
        <v>0.5208333333333334</v>
      </c>
      <c r="G921" s="22"/>
    </row>
    <row r="922" spans="8:8" ht="34.5" customHeight="1">
      <c r="A922" s="17">
        <v>22.0</v>
      </c>
      <c r="B922" s="21" t="s">
        <v>4335</v>
      </c>
      <c r="C922" s="22">
        <v>241273.0</v>
      </c>
      <c r="D922" s="23" t="s">
        <v>1369</v>
      </c>
      <c r="E922" s="22" t="s">
        <v>781</v>
      </c>
      <c r="F922" s="108">
        <v>0.5208333333333334</v>
      </c>
      <c r="G922" s="22"/>
    </row>
    <row r="923" spans="8:8" ht="34.5" customHeight="1">
      <c r="A923" s="17">
        <v>23.0</v>
      </c>
      <c r="B923" s="21" t="s">
        <v>4336</v>
      </c>
      <c r="C923" s="22">
        <v>241275.0</v>
      </c>
      <c r="D923" s="23" t="s">
        <v>1369</v>
      </c>
      <c r="E923" s="22" t="s">
        <v>781</v>
      </c>
      <c r="F923" s="108">
        <v>0.5208333333333334</v>
      </c>
      <c r="G923" s="22"/>
    </row>
    <row r="924" spans="8:8" ht="34.5" customHeight="1">
      <c r="A924" s="8" t="s">
        <v>18</v>
      </c>
      <c r="B924" s="9" t="s">
        <v>19</v>
      </c>
      <c r="C924" s="9" t="s">
        <v>20</v>
      </c>
      <c r="D924" s="9" t="s">
        <v>21</v>
      </c>
      <c r="E924" s="9" t="s">
        <v>22</v>
      </c>
      <c r="F924" s="9" t="s">
        <v>23</v>
      </c>
      <c r="G924" s="9" t="s">
        <v>3248</v>
      </c>
    </row>
    <row r="925" spans="8:8" ht="34.5" customHeight="1">
      <c r="A925" s="22">
        <v>1.0</v>
      </c>
      <c r="B925" s="21" t="s">
        <v>4337</v>
      </c>
      <c r="C925" s="22">
        <v>241266.0</v>
      </c>
      <c r="D925" s="23" t="s">
        <v>1369</v>
      </c>
      <c r="E925" s="22" t="s">
        <v>580</v>
      </c>
      <c r="F925" s="108">
        <v>0.5208333333333334</v>
      </c>
      <c r="G925" s="13"/>
    </row>
    <row r="926" spans="8:8" ht="34.5" customHeight="1">
      <c r="A926" s="22">
        <v>2.0</v>
      </c>
      <c r="B926" s="21" t="s">
        <v>4338</v>
      </c>
      <c r="C926" s="22">
        <v>241267.0</v>
      </c>
      <c r="D926" s="23" t="s">
        <v>1369</v>
      </c>
      <c r="E926" s="22" t="s">
        <v>580</v>
      </c>
      <c r="F926" s="108">
        <v>0.5208333333333334</v>
      </c>
      <c r="G926" s="22"/>
    </row>
    <row r="927" spans="8:8" ht="34.5" customHeight="1">
      <c r="A927" s="22">
        <v>3.0</v>
      </c>
      <c r="B927" s="21" t="s">
        <v>4339</v>
      </c>
      <c r="C927" s="22">
        <v>241195.0</v>
      </c>
      <c r="D927" s="23" t="s">
        <v>1369</v>
      </c>
      <c r="E927" s="22" t="s">
        <v>580</v>
      </c>
      <c r="F927" s="108">
        <v>0.5208333333333334</v>
      </c>
      <c r="G927" s="22"/>
    </row>
    <row r="928" spans="8:8" ht="34.5" customHeight="1">
      <c r="A928" s="22">
        <v>4.0</v>
      </c>
      <c r="B928" s="21" t="s">
        <v>4340</v>
      </c>
      <c r="C928" s="22">
        <v>241141.0</v>
      </c>
      <c r="D928" s="23" t="s">
        <v>1369</v>
      </c>
      <c r="E928" s="22" t="s">
        <v>580</v>
      </c>
      <c r="F928" s="108">
        <v>0.5208333333333334</v>
      </c>
      <c r="G928" s="22"/>
    </row>
    <row r="929" spans="8:8" ht="34.5" customHeight="1">
      <c r="A929" s="22">
        <v>5.0</v>
      </c>
      <c r="B929" s="21" t="s">
        <v>4341</v>
      </c>
      <c r="C929" s="22">
        <v>241144.0</v>
      </c>
      <c r="D929" s="23" t="s">
        <v>1369</v>
      </c>
      <c r="E929" s="22" t="s">
        <v>580</v>
      </c>
      <c r="F929" s="108">
        <v>0.5208333333333334</v>
      </c>
      <c r="G929" s="22"/>
    </row>
    <row r="930" spans="8:8" ht="34.5" customHeight="1">
      <c r="A930" s="22">
        <v>6.0</v>
      </c>
      <c r="B930" s="21" t="s">
        <v>4342</v>
      </c>
      <c r="C930" s="22">
        <v>241149.0</v>
      </c>
      <c r="D930" s="23" t="s">
        <v>1369</v>
      </c>
      <c r="E930" s="22" t="s">
        <v>580</v>
      </c>
      <c r="F930" s="108">
        <v>0.5208333333333334</v>
      </c>
      <c r="G930" s="22"/>
    </row>
    <row r="931" spans="8:8" ht="34.5" customHeight="1">
      <c r="A931" s="22">
        <v>7.0</v>
      </c>
      <c r="B931" s="21" t="s">
        <v>4343</v>
      </c>
      <c r="C931" s="22">
        <v>241152.0</v>
      </c>
      <c r="D931" s="23" t="s">
        <v>1369</v>
      </c>
      <c r="E931" s="22" t="s">
        <v>580</v>
      </c>
      <c r="F931" s="108">
        <v>0.5208333333333334</v>
      </c>
      <c r="G931" s="22"/>
    </row>
    <row r="932" spans="8:8" ht="34.5" customHeight="1">
      <c r="A932" s="22">
        <v>8.0</v>
      </c>
      <c r="B932" s="21" t="s">
        <v>4344</v>
      </c>
      <c r="C932" s="22">
        <v>241153.0</v>
      </c>
      <c r="D932" s="23" t="s">
        <v>1369</v>
      </c>
      <c r="E932" s="22" t="s">
        <v>580</v>
      </c>
      <c r="F932" s="108">
        <v>0.5208333333333334</v>
      </c>
      <c r="G932" s="22"/>
    </row>
    <row r="933" spans="8:8" ht="34.5" customHeight="1">
      <c r="A933" s="22">
        <v>9.0</v>
      </c>
      <c r="B933" s="21" t="s">
        <v>4345</v>
      </c>
      <c r="C933" s="22">
        <v>241158.0</v>
      </c>
      <c r="D933" s="23" t="s">
        <v>1369</v>
      </c>
      <c r="E933" s="22" t="s">
        <v>580</v>
      </c>
      <c r="F933" s="108">
        <v>0.5208333333333334</v>
      </c>
      <c r="G933" s="22"/>
    </row>
    <row r="934" spans="8:8" ht="34.5" customHeight="1">
      <c r="A934" s="22">
        <v>10.0</v>
      </c>
      <c r="B934" s="21" t="s">
        <v>4346</v>
      </c>
      <c r="C934" s="22">
        <v>241164.0</v>
      </c>
      <c r="D934" s="23" t="s">
        <v>1369</v>
      </c>
      <c r="E934" s="22" t="s">
        <v>580</v>
      </c>
      <c r="F934" s="108">
        <v>0.5208333333333334</v>
      </c>
      <c r="G934" s="22"/>
    </row>
    <row r="935" spans="8:8" ht="34.5" customHeight="1">
      <c r="A935" s="22">
        <v>11.0</v>
      </c>
      <c r="B935" s="21" t="s">
        <v>4347</v>
      </c>
      <c r="C935" s="22">
        <v>241167.0</v>
      </c>
      <c r="D935" s="23" t="s">
        <v>1369</v>
      </c>
      <c r="E935" s="22" t="s">
        <v>580</v>
      </c>
      <c r="F935" s="108">
        <v>0.5208333333333334</v>
      </c>
      <c r="G935" s="22"/>
    </row>
    <row r="936" spans="8:8" ht="34.5" customHeight="1">
      <c r="A936" s="22">
        <v>12.0</v>
      </c>
      <c r="B936" s="21" t="s">
        <v>4348</v>
      </c>
      <c r="C936" s="22">
        <v>241169.0</v>
      </c>
      <c r="D936" s="23" t="s">
        <v>1369</v>
      </c>
      <c r="E936" s="22" t="s">
        <v>580</v>
      </c>
      <c r="F936" s="108">
        <v>0.5208333333333334</v>
      </c>
      <c r="G936" s="22"/>
    </row>
    <row r="937" spans="8:8" ht="34.5" customHeight="1">
      <c r="A937" s="22">
        <v>13.0</v>
      </c>
      <c r="B937" s="21" t="s">
        <v>4349</v>
      </c>
      <c r="C937" s="22">
        <v>241171.0</v>
      </c>
      <c r="D937" s="23" t="s">
        <v>1369</v>
      </c>
      <c r="E937" s="22" t="s">
        <v>580</v>
      </c>
      <c r="F937" s="108">
        <v>0.5208333333333334</v>
      </c>
      <c r="G937" s="22"/>
    </row>
    <row r="938" spans="8:8" ht="34.5" customHeight="1">
      <c r="A938" s="22">
        <v>14.0</v>
      </c>
      <c r="B938" s="21" t="s">
        <v>4350</v>
      </c>
      <c r="C938" s="22">
        <v>241173.0</v>
      </c>
      <c r="D938" s="23" t="s">
        <v>1369</v>
      </c>
      <c r="E938" s="22" t="s">
        <v>580</v>
      </c>
      <c r="F938" s="108">
        <v>0.5208333333333334</v>
      </c>
      <c r="G938" s="22"/>
    </row>
    <row r="939" spans="8:8" ht="34.5" customHeight="1">
      <c r="A939" s="22">
        <v>15.0</v>
      </c>
      <c r="B939" s="21" t="s">
        <v>4351</v>
      </c>
      <c r="C939" s="22">
        <v>241175.0</v>
      </c>
      <c r="D939" s="23" t="s">
        <v>1369</v>
      </c>
      <c r="E939" s="22" t="s">
        <v>580</v>
      </c>
      <c r="F939" s="108">
        <v>0.5208333333333334</v>
      </c>
      <c r="G939" s="22"/>
    </row>
    <row r="940" spans="8:8" ht="34.5" customHeight="1">
      <c r="A940" s="22">
        <v>16.0</v>
      </c>
      <c r="B940" s="21" t="s">
        <v>4352</v>
      </c>
      <c r="C940" s="22">
        <v>241176.0</v>
      </c>
      <c r="D940" s="23" t="s">
        <v>1369</v>
      </c>
      <c r="E940" s="22" t="s">
        <v>580</v>
      </c>
      <c r="F940" s="108">
        <v>0.5208333333333334</v>
      </c>
      <c r="G940" s="22"/>
    </row>
    <row r="941" spans="8:8" ht="34.5" customHeight="1">
      <c r="A941" s="22">
        <v>17.0</v>
      </c>
      <c r="B941" s="21" t="s">
        <v>4353</v>
      </c>
      <c r="C941" s="22">
        <v>241179.0</v>
      </c>
      <c r="D941" s="23" t="s">
        <v>1369</v>
      </c>
      <c r="E941" s="22" t="s">
        <v>580</v>
      </c>
      <c r="F941" s="108">
        <v>0.5208333333333334</v>
      </c>
      <c r="G941" s="22"/>
    </row>
    <row r="942" spans="8:8" ht="34.5" customHeight="1">
      <c r="A942" s="22">
        <v>18.0</v>
      </c>
      <c r="B942" s="21" t="s">
        <v>4354</v>
      </c>
      <c r="C942" s="22">
        <v>241247.0</v>
      </c>
      <c r="D942" s="23" t="s">
        <v>1369</v>
      </c>
      <c r="E942" s="22" t="s">
        <v>580</v>
      </c>
      <c r="F942" s="108">
        <v>0.5208333333333334</v>
      </c>
      <c r="G942" s="22"/>
    </row>
    <row r="943" spans="8:8" ht="34.5" customHeight="1">
      <c r="A943" s="22">
        <v>19.0</v>
      </c>
      <c r="B943" s="21" t="s">
        <v>4355</v>
      </c>
      <c r="C943" s="22">
        <v>241250.0</v>
      </c>
      <c r="D943" s="23" t="s">
        <v>1369</v>
      </c>
      <c r="E943" s="22" t="s">
        <v>580</v>
      </c>
      <c r="F943" s="108">
        <v>0.5208333333333334</v>
      </c>
      <c r="G943" s="22"/>
    </row>
    <row r="944" spans="8:8" ht="34.5" customHeight="1">
      <c r="A944" s="22">
        <v>20.0</v>
      </c>
      <c r="B944" s="21" t="s">
        <v>4356</v>
      </c>
      <c r="C944" s="22">
        <v>241260.0</v>
      </c>
      <c r="D944" s="23" t="s">
        <v>1369</v>
      </c>
      <c r="E944" s="22" t="s">
        <v>580</v>
      </c>
      <c r="F944" s="108">
        <v>0.5208333333333334</v>
      </c>
      <c r="G944" s="22"/>
    </row>
    <row r="945" spans="8:8" ht="34.5" customHeight="1">
      <c r="A945" s="22">
        <v>21.0</v>
      </c>
      <c r="B945" s="21" t="s">
        <v>4357</v>
      </c>
      <c r="C945" s="22">
        <v>241497.0</v>
      </c>
      <c r="D945" s="23" t="s">
        <v>1369</v>
      </c>
      <c r="E945" s="13" t="s">
        <v>580</v>
      </c>
      <c r="F945" s="108">
        <v>0.5208333333333334</v>
      </c>
      <c r="G945" s="13"/>
    </row>
    <row r="946" spans="8:8" ht="34.5" customHeight="1">
      <c r="A946" s="22">
        <v>22.0</v>
      </c>
      <c r="B946" s="16" t="s">
        <v>4358</v>
      </c>
      <c r="C946" s="17">
        <v>241506.0</v>
      </c>
      <c r="D946" s="26" t="s">
        <v>1369</v>
      </c>
      <c r="E946" s="17" t="s">
        <v>580</v>
      </c>
      <c r="F946" s="108">
        <v>0.5208333333333334</v>
      </c>
      <c r="G946" s="17"/>
    </row>
    <row r="947" spans="8:8" ht="34.5" customHeight="1">
      <c r="A947" s="22">
        <v>23.0</v>
      </c>
      <c r="B947" s="16" t="s">
        <v>4359</v>
      </c>
      <c r="C947" s="17">
        <v>241947.0</v>
      </c>
      <c r="D947" s="26" t="s">
        <v>1369</v>
      </c>
      <c r="E947" s="17" t="s">
        <v>580</v>
      </c>
      <c r="F947" s="108">
        <v>0.5208333333333334</v>
      </c>
      <c r="G947" s="17"/>
    </row>
    <row r="948" spans="8:8" ht="34.5" customHeight="1">
      <c r="A948" s="22">
        <v>24.0</v>
      </c>
      <c r="B948" s="16" t="s">
        <v>4360</v>
      </c>
      <c r="C948" s="17">
        <v>241244.0</v>
      </c>
      <c r="D948" s="26" t="s">
        <v>1369</v>
      </c>
      <c r="E948" s="17" t="s">
        <v>580</v>
      </c>
      <c r="F948" s="108">
        <v>0.5208333333333334</v>
      </c>
      <c r="G948" s="17"/>
    </row>
    <row r="949" spans="8:8" ht="34.5" customHeight="1">
      <c r="A949" s="8" t="s">
        <v>18</v>
      </c>
      <c r="B949" s="9" t="s">
        <v>19</v>
      </c>
      <c r="C949" s="9" t="s">
        <v>20</v>
      </c>
      <c r="D949" s="9" t="s">
        <v>21</v>
      </c>
      <c r="E949" s="9" t="s">
        <v>22</v>
      </c>
      <c r="F949" s="9" t="s">
        <v>23</v>
      </c>
      <c r="G949" s="9" t="s">
        <v>3796</v>
      </c>
    </row>
    <row r="950" spans="8:8" ht="34.5" customHeight="1">
      <c r="A950" s="11">
        <v>1.0</v>
      </c>
      <c r="B950" s="21" t="s">
        <v>4361</v>
      </c>
      <c r="C950" s="22">
        <v>241454.0</v>
      </c>
      <c r="D950" s="23" t="s">
        <v>1369</v>
      </c>
      <c r="E950" s="22" t="s">
        <v>781</v>
      </c>
      <c r="F950" s="108">
        <v>0.5208333333333334</v>
      </c>
      <c r="G950" s="13"/>
    </row>
    <row r="951" spans="8:8" ht="34.5" customHeight="1">
      <c r="A951" s="11">
        <v>2.0</v>
      </c>
      <c r="B951" s="21" t="s">
        <v>4362</v>
      </c>
      <c r="C951" s="22">
        <v>241184.0</v>
      </c>
      <c r="D951" s="23" t="s">
        <v>1369</v>
      </c>
      <c r="E951" s="22" t="s">
        <v>781</v>
      </c>
      <c r="F951" s="108">
        <v>0.5208333333333334</v>
      </c>
      <c r="G951" s="22"/>
    </row>
    <row r="952" spans="8:8" ht="34.5" customHeight="1">
      <c r="A952" s="11">
        <v>3.0</v>
      </c>
      <c r="B952" s="21" t="s">
        <v>4363</v>
      </c>
      <c r="C952" s="22">
        <v>241183.0</v>
      </c>
      <c r="D952" s="23" t="s">
        <v>1369</v>
      </c>
      <c r="E952" s="22" t="s">
        <v>781</v>
      </c>
      <c r="F952" s="108">
        <v>0.5208333333333334</v>
      </c>
      <c r="G952" s="22"/>
    </row>
    <row r="953" spans="8:8" ht="34.5" customHeight="1">
      <c r="A953" s="11">
        <v>4.0</v>
      </c>
      <c r="B953" s="21" t="s">
        <v>4364</v>
      </c>
      <c r="C953" s="22">
        <v>241264.0</v>
      </c>
      <c r="D953" s="23" t="s">
        <v>1369</v>
      </c>
      <c r="E953" s="22" t="s">
        <v>781</v>
      </c>
      <c r="F953" s="108">
        <v>0.5208333333333334</v>
      </c>
      <c r="G953" s="22"/>
    </row>
    <row r="954" spans="8:8" ht="34.5" customHeight="1">
      <c r="A954" s="11">
        <v>5.0</v>
      </c>
      <c r="B954" s="21" t="s">
        <v>4365</v>
      </c>
      <c r="C954" s="22">
        <v>251700.0</v>
      </c>
      <c r="D954" s="107" t="s">
        <v>1868</v>
      </c>
      <c r="E954" s="22" t="s">
        <v>781</v>
      </c>
      <c r="F954" s="108">
        <v>0.5208333333333334</v>
      </c>
      <c r="G954" s="22"/>
    </row>
    <row r="955" spans="8:8" ht="34.5" customHeight="1">
      <c r="A955" s="11">
        <v>6.0</v>
      </c>
      <c r="B955" s="21" t="s">
        <v>4366</v>
      </c>
      <c r="C955" s="22">
        <v>251522.0</v>
      </c>
      <c r="D955" s="107" t="s">
        <v>1868</v>
      </c>
      <c r="E955" s="13" t="s">
        <v>781</v>
      </c>
      <c r="F955" s="108">
        <v>0.5208333333333334</v>
      </c>
      <c r="G955" s="13"/>
    </row>
    <row r="956" spans="8:8" ht="34.5" customHeight="1">
      <c r="A956" s="11">
        <v>7.0</v>
      </c>
      <c r="B956" s="21" t="s">
        <v>4367</v>
      </c>
      <c r="C956" s="22">
        <v>241626.0</v>
      </c>
      <c r="D956" s="23" t="s">
        <v>1369</v>
      </c>
      <c r="E956" s="22" t="s">
        <v>781</v>
      </c>
      <c r="F956" s="108">
        <v>0.5208333333333334</v>
      </c>
      <c r="G956" s="22"/>
    </row>
    <row r="957" spans="8:8" ht="34.5" customHeight="1">
      <c r="A957" s="11">
        <v>8.0</v>
      </c>
      <c r="B957" s="21" t="s">
        <v>4368</v>
      </c>
      <c r="C957" s="22">
        <v>241666.0</v>
      </c>
      <c r="D957" s="23" t="s">
        <v>1369</v>
      </c>
      <c r="E957" s="22" t="s">
        <v>781</v>
      </c>
      <c r="F957" s="108">
        <v>0.5208333333333334</v>
      </c>
      <c r="G957" s="22"/>
    </row>
    <row r="958" spans="8:8" ht="34.5" customHeight="1">
      <c r="A958" s="11">
        <v>9.0</v>
      </c>
      <c r="B958" s="21" t="s">
        <v>4369</v>
      </c>
      <c r="C958" s="22">
        <v>241901.0</v>
      </c>
      <c r="D958" s="23" t="s">
        <v>1369</v>
      </c>
      <c r="E958" s="22" t="s">
        <v>781</v>
      </c>
      <c r="F958" s="108">
        <v>0.5208333333333334</v>
      </c>
      <c r="G958" s="22"/>
    </row>
    <row r="959" spans="8:8" ht="34.5" customHeight="1">
      <c r="A959" s="11">
        <v>10.0</v>
      </c>
      <c r="B959" s="21" t="s">
        <v>4370</v>
      </c>
      <c r="C959" s="22">
        <v>241611.0</v>
      </c>
      <c r="D959" s="23" t="s">
        <v>1369</v>
      </c>
      <c r="E959" s="22" t="s">
        <v>781</v>
      </c>
      <c r="F959" s="108">
        <v>0.5208333333333334</v>
      </c>
      <c r="G959" s="22"/>
    </row>
    <row r="960" spans="8:8" ht="34.5" customHeight="1">
      <c r="A960" s="11">
        <v>11.0</v>
      </c>
      <c r="B960" s="21" t="s">
        <v>4371</v>
      </c>
      <c r="C960" s="22">
        <v>241623.0</v>
      </c>
      <c r="D960" s="23" t="s">
        <v>1369</v>
      </c>
      <c r="E960" s="22" t="s">
        <v>781</v>
      </c>
      <c r="F960" s="108">
        <v>0.5208333333333334</v>
      </c>
      <c r="G960" s="22"/>
    </row>
    <row r="961" spans="8:8" ht="34.5" customHeight="1">
      <c r="A961" s="11">
        <v>12.0</v>
      </c>
      <c r="B961" s="12" t="s">
        <v>4372</v>
      </c>
      <c r="C961" s="13">
        <v>240243.0</v>
      </c>
      <c r="D961" s="12" t="s">
        <v>2932</v>
      </c>
      <c r="E961" s="13" t="s">
        <v>781</v>
      </c>
      <c r="F961" s="108">
        <v>0.5208333333333334</v>
      </c>
      <c r="G961" s="13"/>
    </row>
    <row r="962" spans="8:8" ht="34.5" customHeight="1">
      <c r="A962" s="11">
        <v>13.0</v>
      </c>
      <c r="B962" s="21" t="s">
        <v>4373</v>
      </c>
      <c r="C962" s="22">
        <v>241295.0</v>
      </c>
      <c r="D962" s="23" t="s">
        <v>1369</v>
      </c>
      <c r="E962" s="22" t="s">
        <v>781</v>
      </c>
      <c r="F962" s="108">
        <v>0.5208333333333334</v>
      </c>
      <c r="G962" s="22"/>
    </row>
    <row r="963" spans="8:8" ht="34.5" customHeight="1">
      <c r="A963" s="11">
        <v>14.0</v>
      </c>
      <c r="B963" s="21" t="s">
        <v>4374</v>
      </c>
      <c r="C963" s="22">
        <v>241658.0</v>
      </c>
      <c r="D963" s="23" t="s">
        <v>1369</v>
      </c>
      <c r="E963" s="22" t="s">
        <v>781</v>
      </c>
      <c r="F963" s="108">
        <v>0.5208333333333334</v>
      </c>
      <c r="G963" s="22"/>
    </row>
    <row r="964" spans="8:8" ht="34.5" customHeight="1">
      <c r="A964" s="11">
        <v>15.0</v>
      </c>
      <c r="B964" s="21" t="s">
        <v>4375</v>
      </c>
      <c r="C964" s="22">
        <v>241661.0</v>
      </c>
      <c r="D964" s="23" t="s">
        <v>1369</v>
      </c>
      <c r="E964" s="22" t="s">
        <v>781</v>
      </c>
      <c r="F964" s="108">
        <v>0.5208333333333334</v>
      </c>
      <c r="G964" s="22"/>
    </row>
    <row r="965" spans="8:8" ht="34.5" customHeight="1">
      <c r="A965" s="11">
        <v>16.0</v>
      </c>
      <c r="B965" s="21" t="s">
        <v>4376</v>
      </c>
      <c r="C965" s="22">
        <v>241293.0</v>
      </c>
      <c r="D965" s="23" t="s">
        <v>1369</v>
      </c>
      <c r="E965" s="22" t="s">
        <v>781</v>
      </c>
      <c r="F965" s="108">
        <v>0.5208333333333334</v>
      </c>
      <c r="G965" s="22"/>
    </row>
    <row r="966" spans="8:8" ht="34.5" customHeight="1">
      <c r="A966" s="11">
        <v>17.0</v>
      </c>
      <c r="B966" s="21" t="s">
        <v>4377</v>
      </c>
      <c r="C966" s="22">
        <v>241306.0</v>
      </c>
      <c r="D966" s="23" t="s">
        <v>1369</v>
      </c>
      <c r="E966" s="22" t="s">
        <v>781</v>
      </c>
      <c r="F966" s="108">
        <v>0.5208333333333334</v>
      </c>
      <c r="G966" s="22"/>
    </row>
    <row r="967" spans="8:8" ht="34.5" customHeight="1">
      <c r="A967" s="11">
        <v>18.0</v>
      </c>
      <c r="B967" s="21" t="s">
        <v>4378</v>
      </c>
      <c r="C967" s="22">
        <v>241451.0</v>
      </c>
      <c r="D967" s="23" t="s">
        <v>1369</v>
      </c>
      <c r="E967" s="22" t="s">
        <v>781</v>
      </c>
      <c r="F967" s="108">
        <v>0.5208333333333334</v>
      </c>
      <c r="G967" s="22"/>
    </row>
    <row r="968" spans="8:8" ht="34.5" customHeight="1">
      <c r="A968" s="11">
        <v>19.0</v>
      </c>
      <c r="B968" s="21" t="s">
        <v>4379</v>
      </c>
      <c r="C968" s="22">
        <v>241891.0</v>
      </c>
      <c r="D968" s="23" t="s">
        <v>1369</v>
      </c>
      <c r="E968" s="22" t="s">
        <v>781</v>
      </c>
      <c r="F968" s="108">
        <v>0.5208333333333334</v>
      </c>
      <c r="G968" s="22"/>
    </row>
    <row r="969" spans="8:8" ht="34.5" customHeight="1">
      <c r="A969" s="11">
        <v>20.0</v>
      </c>
      <c r="B969" s="12" t="s">
        <v>4380</v>
      </c>
      <c r="C969" s="13">
        <v>241393.0</v>
      </c>
      <c r="D969" s="23" t="s">
        <v>1369</v>
      </c>
      <c r="E969" s="13" t="s">
        <v>781</v>
      </c>
      <c r="F969" s="58">
        <v>0.5208333333333334</v>
      </c>
      <c r="G969" s="13"/>
    </row>
    <row r="970" spans="8:8" ht="34.5" customHeight="1">
      <c r="A970" s="11">
        <v>21.0</v>
      </c>
      <c r="B970" s="12" t="s">
        <v>4381</v>
      </c>
      <c r="C970" s="13">
        <v>241407.0</v>
      </c>
      <c r="D970" s="23" t="s">
        <v>1369</v>
      </c>
      <c r="E970" s="13" t="s">
        <v>781</v>
      </c>
      <c r="F970" s="58">
        <v>0.5208333333333334</v>
      </c>
      <c r="G970" s="13"/>
    </row>
    <row r="971" spans="8:8" ht="34.5" customHeight="1">
      <c r="A971" s="8" t="s">
        <v>18</v>
      </c>
      <c r="B971" s="9" t="s">
        <v>19</v>
      </c>
      <c r="C971" s="9" t="s">
        <v>20</v>
      </c>
      <c r="D971" s="9" t="s">
        <v>21</v>
      </c>
      <c r="E971" s="9" t="s">
        <v>22</v>
      </c>
      <c r="F971" s="9" t="s">
        <v>23</v>
      </c>
      <c r="G971" s="9" t="s">
        <v>3261</v>
      </c>
    </row>
    <row r="972" spans="8:8" ht="34.5" customHeight="1">
      <c r="A972" s="22">
        <v>1.0</v>
      </c>
      <c r="B972" s="21" t="s">
        <v>4382</v>
      </c>
      <c r="C972" s="22">
        <v>251701.0</v>
      </c>
      <c r="D972" s="107" t="s">
        <v>1868</v>
      </c>
      <c r="E972" s="22" t="s">
        <v>1645</v>
      </c>
      <c r="F972" s="108">
        <v>0.5208333333333334</v>
      </c>
      <c r="G972" s="13"/>
    </row>
    <row r="973" spans="8:8" ht="34.5" customHeight="1">
      <c r="A973" s="22">
        <v>2.0</v>
      </c>
      <c r="B973" s="21" t="s">
        <v>4383</v>
      </c>
      <c r="C973" s="22">
        <v>251702.0</v>
      </c>
      <c r="D973" s="107" t="s">
        <v>1868</v>
      </c>
      <c r="E973" s="22" t="s">
        <v>1645</v>
      </c>
      <c r="F973" s="108">
        <v>0.5208333333333334</v>
      </c>
      <c r="G973" s="22"/>
    </row>
    <row r="974" spans="8:8" ht="34.5" customHeight="1">
      <c r="A974" s="22">
        <v>3.0</v>
      </c>
      <c r="B974" s="21" t="s">
        <v>4384</v>
      </c>
      <c r="C974" s="22">
        <v>241287.0</v>
      </c>
      <c r="D974" s="23" t="s">
        <v>1369</v>
      </c>
      <c r="E974" s="22" t="s">
        <v>1645</v>
      </c>
      <c r="F974" s="108">
        <v>0.5208333333333334</v>
      </c>
      <c r="G974" s="22"/>
    </row>
    <row r="975" spans="8:8" ht="34.5" customHeight="1">
      <c r="A975" s="22">
        <v>4.0</v>
      </c>
      <c r="B975" s="21" t="s">
        <v>4385</v>
      </c>
      <c r="C975" s="22">
        <v>241572.0</v>
      </c>
      <c r="D975" s="23" t="s">
        <v>1369</v>
      </c>
      <c r="E975" s="22" t="s">
        <v>1645</v>
      </c>
      <c r="F975" s="108">
        <v>0.5208333333333334</v>
      </c>
      <c r="G975" s="22"/>
    </row>
    <row r="976" spans="8:8" ht="34.5" customHeight="1">
      <c r="A976" s="22">
        <v>5.0</v>
      </c>
      <c r="B976" s="21" t="s">
        <v>4386</v>
      </c>
      <c r="C976" s="22">
        <v>241573.0</v>
      </c>
      <c r="D976" s="23" t="s">
        <v>1369</v>
      </c>
      <c r="E976" s="22" t="s">
        <v>1645</v>
      </c>
      <c r="F976" s="108">
        <v>0.5208333333333334</v>
      </c>
      <c r="G976" s="22"/>
    </row>
    <row r="977" spans="8:8" ht="34.5" customHeight="1">
      <c r="A977" s="22">
        <v>6.0</v>
      </c>
      <c r="B977" s="21" t="s">
        <v>4387</v>
      </c>
      <c r="C977" s="22">
        <v>241574.0</v>
      </c>
      <c r="D977" s="23" t="s">
        <v>1369</v>
      </c>
      <c r="E977" s="22" t="s">
        <v>1645</v>
      </c>
      <c r="F977" s="108">
        <v>0.5208333333333334</v>
      </c>
      <c r="G977" s="22"/>
    </row>
    <row r="978" spans="8:8" ht="34.5" customHeight="1">
      <c r="A978" s="22">
        <v>7.0</v>
      </c>
      <c r="B978" s="21" t="s">
        <v>4388</v>
      </c>
      <c r="C978" s="22">
        <v>241581.0</v>
      </c>
      <c r="D978" s="23" t="s">
        <v>1369</v>
      </c>
      <c r="E978" s="22" t="s">
        <v>1645</v>
      </c>
      <c r="F978" s="108">
        <v>0.5208333333333334</v>
      </c>
      <c r="G978" s="22"/>
    </row>
    <row r="979" spans="8:8" ht="34.5" customHeight="1">
      <c r="A979" s="22">
        <v>8.0</v>
      </c>
      <c r="B979" s="21" t="s">
        <v>4389</v>
      </c>
      <c r="C979" s="22">
        <v>241595.0</v>
      </c>
      <c r="D979" s="23" t="s">
        <v>1369</v>
      </c>
      <c r="E979" s="22" t="s">
        <v>1645</v>
      </c>
      <c r="F979" s="108">
        <v>0.5208333333333334</v>
      </c>
      <c r="G979" s="22"/>
    </row>
    <row r="980" spans="8:8" ht="34.5" customHeight="1">
      <c r="A980" s="22">
        <v>9.0</v>
      </c>
      <c r="B980" s="21" t="s">
        <v>4390</v>
      </c>
      <c r="C980" s="22">
        <v>241606.0</v>
      </c>
      <c r="D980" s="23" t="s">
        <v>1369</v>
      </c>
      <c r="E980" s="22" t="s">
        <v>1645</v>
      </c>
      <c r="F980" s="108">
        <v>0.5208333333333334</v>
      </c>
      <c r="G980" s="22"/>
    </row>
    <row r="981" spans="8:8" ht="34.5" customHeight="1">
      <c r="A981" s="22">
        <v>10.0</v>
      </c>
      <c r="B981" s="21" t="s">
        <v>4391</v>
      </c>
      <c r="C981" s="22">
        <v>241643.0</v>
      </c>
      <c r="D981" s="23" t="s">
        <v>1369</v>
      </c>
      <c r="E981" s="22" t="s">
        <v>1645</v>
      </c>
      <c r="F981" s="108">
        <v>0.5208333333333334</v>
      </c>
      <c r="G981" s="22"/>
    </row>
    <row r="982" spans="8:8" ht="34.5" customHeight="1">
      <c r="A982" s="22">
        <v>11.0</v>
      </c>
      <c r="B982" s="21" t="s">
        <v>4392</v>
      </c>
      <c r="C982" s="22">
        <v>241653.0</v>
      </c>
      <c r="D982" s="23" t="s">
        <v>1369</v>
      </c>
      <c r="E982" s="22" t="s">
        <v>1645</v>
      </c>
      <c r="F982" s="108">
        <v>0.5208333333333334</v>
      </c>
      <c r="G982" s="22"/>
    </row>
    <row r="983" spans="8:8" ht="34.5" customHeight="1">
      <c r="A983" s="22">
        <v>12.0</v>
      </c>
      <c r="B983" s="12" t="s">
        <v>4393</v>
      </c>
      <c r="C983" s="13">
        <v>241458.0</v>
      </c>
      <c r="D983" s="23" t="s">
        <v>1369</v>
      </c>
      <c r="E983" s="13" t="s">
        <v>1645</v>
      </c>
      <c r="F983" s="58">
        <v>0.5208333333333334</v>
      </c>
      <c r="G983" s="13"/>
    </row>
    <row r="984" spans="8:8" ht="34.5" customHeight="1">
      <c r="A984" s="22">
        <v>13.0</v>
      </c>
      <c r="B984" s="12" t="s">
        <v>4394</v>
      </c>
      <c r="C984" s="13">
        <v>241471.0</v>
      </c>
      <c r="D984" s="23" t="s">
        <v>1369</v>
      </c>
      <c r="E984" s="13" t="s">
        <v>1645</v>
      </c>
      <c r="F984" s="58">
        <v>0.5208333333333334</v>
      </c>
      <c r="G984" s="13"/>
    </row>
    <row r="985" spans="8:8" ht="34.5" customHeight="1">
      <c r="A985" s="22">
        <v>14.0</v>
      </c>
      <c r="B985" s="12" t="s">
        <v>4395</v>
      </c>
      <c r="C985" s="13">
        <v>241541.0</v>
      </c>
      <c r="D985" s="23" t="s">
        <v>1369</v>
      </c>
      <c r="E985" s="13" t="s">
        <v>1645</v>
      </c>
      <c r="F985" s="58">
        <v>0.5208333333333334</v>
      </c>
      <c r="G985" s="13"/>
    </row>
    <row r="986" spans="8:8" ht="34.5" customHeight="1">
      <c r="A986" s="22">
        <v>15.0</v>
      </c>
      <c r="B986" s="12" t="s">
        <v>4396</v>
      </c>
      <c r="C986" s="13">
        <v>241470.0</v>
      </c>
      <c r="D986" s="23" t="s">
        <v>1369</v>
      </c>
      <c r="E986" s="13" t="s">
        <v>1645</v>
      </c>
      <c r="F986" s="58">
        <v>0.5208333333333334</v>
      </c>
      <c r="G986" s="13"/>
    </row>
    <row r="987" spans="8:8" ht="34.5" customHeight="1">
      <c r="A987" s="22">
        <v>16.0</v>
      </c>
      <c r="B987" s="12" t="s">
        <v>4397</v>
      </c>
      <c r="C987" s="13">
        <v>241576.0</v>
      </c>
      <c r="D987" s="23" t="s">
        <v>1369</v>
      </c>
      <c r="E987" s="13" t="s">
        <v>1645</v>
      </c>
      <c r="F987" s="58">
        <v>0.5208333333333334</v>
      </c>
      <c r="G987" s="13"/>
    </row>
    <row r="988" spans="8:8" ht="34.5" customHeight="1">
      <c r="A988" s="22">
        <v>17.0</v>
      </c>
      <c r="B988" s="12" t="s">
        <v>4398</v>
      </c>
      <c r="C988" s="13">
        <v>241558.0</v>
      </c>
      <c r="D988" s="23" t="s">
        <v>1369</v>
      </c>
      <c r="E988" s="13" t="s">
        <v>1645</v>
      </c>
      <c r="F988" s="58">
        <v>0.5208333333333334</v>
      </c>
      <c r="G988" s="13"/>
    </row>
    <row r="989" spans="8:8" ht="34.5" customHeight="1">
      <c r="A989" s="22">
        <v>18.0</v>
      </c>
      <c r="B989" s="12" t="s">
        <v>4399</v>
      </c>
      <c r="C989" s="13">
        <v>241532.0</v>
      </c>
      <c r="D989" s="23" t="s">
        <v>1369</v>
      </c>
      <c r="E989" s="13" t="s">
        <v>1645</v>
      </c>
      <c r="F989" s="58">
        <v>0.5208333333333334</v>
      </c>
      <c r="G989" s="13"/>
    </row>
    <row r="990" spans="8:8" ht="34.5" customHeight="1">
      <c r="A990" s="8" t="s">
        <v>18</v>
      </c>
      <c r="B990" s="9" t="s">
        <v>19</v>
      </c>
      <c r="C990" s="9" t="s">
        <v>20</v>
      </c>
      <c r="D990" s="9" t="s">
        <v>21</v>
      </c>
      <c r="E990" s="9" t="s">
        <v>22</v>
      </c>
      <c r="F990" s="9" t="s">
        <v>23</v>
      </c>
      <c r="G990" s="9" t="s">
        <v>3276</v>
      </c>
    </row>
    <row r="991" spans="8:8" ht="34.5" customHeight="1">
      <c r="A991" s="113">
        <v>1.0</v>
      </c>
      <c r="B991" s="21" t="s">
        <v>4400</v>
      </c>
      <c r="C991" s="22">
        <v>251641.0</v>
      </c>
      <c r="D991" s="107" t="s">
        <v>1868</v>
      </c>
      <c r="E991" s="22" t="s">
        <v>1512</v>
      </c>
      <c r="F991" s="108">
        <v>0.5208333333333334</v>
      </c>
      <c r="G991" s="13"/>
    </row>
    <row r="992" spans="8:8" ht="34.5" customHeight="1">
      <c r="A992" s="22">
        <v>2.0</v>
      </c>
      <c r="B992" s="12" t="s">
        <v>4401</v>
      </c>
      <c r="C992" s="13">
        <v>251561.0</v>
      </c>
      <c r="D992" s="107" t="s">
        <v>1868</v>
      </c>
      <c r="E992" s="22" t="s">
        <v>1512</v>
      </c>
      <c r="F992" s="108">
        <v>0.5208333333333334</v>
      </c>
      <c r="G992" s="22"/>
    </row>
    <row r="993" spans="8:8" ht="34.5" customHeight="1">
      <c r="A993" s="113">
        <v>3.0</v>
      </c>
      <c r="B993" s="21" t="s">
        <v>4402</v>
      </c>
      <c r="C993" s="22">
        <v>251442.0</v>
      </c>
      <c r="D993" s="107" t="s">
        <v>1868</v>
      </c>
      <c r="E993" s="22" t="s">
        <v>1512</v>
      </c>
      <c r="F993" s="108">
        <v>0.5208333333333334</v>
      </c>
      <c r="G993" s="22"/>
    </row>
    <row r="994" spans="8:8" ht="34.5" customHeight="1">
      <c r="A994" s="22">
        <v>4.0</v>
      </c>
      <c r="B994" s="21" t="s">
        <v>4403</v>
      </c>
      <c r="C994" s="22">
        <v>251491.0</v>
      </c>
      <c r="D994" s="107" t="s">
        <v>1868</v>
      </c>
      <c r="E994" s="22" t="s">
        <v>1512</v>
      </c>
      <c r="F994" s="108">
        <v>0.5208333333333334</v>
      </c>
      <c r="G994" s="22"/>
    </row>
    <row r="995" spans="8:8" ht="34.5" customHeight="1">
      <c r="A995" s="113">
        <v>5.0</v>
      </c>
      <c r="B995" s="21" t="s">
        <v>4404</v>
      </c>
      <c r="C995" s="22">
        <v>241951.0</v>
      </c>
      <c r="D995" s="23" t="s">
        <v>1369</v>
      </c>
      <c r="E995" s="22" t="s">
        <v>1512</v>
      </c>
      <c r="F995" s="108">
        <v>0.5208333333333334</v>
      </c>
      <c r="G995" s="22"/>
    </row>
    <row r="996" spans="8:8" ht="34.5" customHeight="1">
      <c r="A996" s="22">
        <v>6.0</v>
      </c>
      <c r="B996" s="21" t="s">
        <v>4405</v>
      </c>
      <c r="C996" s="22">
        <v>251639.0</v>
      </c>
      <c r="D996" s="107" t="s">
        <v>1868</v>
      </c>
      <c r="E996" s="22" t="s">
        <v>1512</v>
      </c>
      <c r="F996" s="108">
        <v>0.5208333333333334</v>
      </c>
      <c r="G996" s="22"/>
    </row>
    <row r="997" spans="8:8" ht="34.5" customHeight="1">
      <c r="A997" s="113">
        <v>7.0</v>
      </c>
      <c r="B997" s="21" t="s">
        <v>4406</v>
      </c>
      <c r="C997" s="22">
        <v>251474.0</v>
      </c>
      <c r="D997" s="107" t="s">
        <v>1868</v>
      </c>
      <c r="E997" s="22" t="s">
        <v>1512</v>
      </c>
      <c r="F997" s="108">
        <v>0.5208333333333334</v>
      </c>
      <c r="G997" s="22"/>
    </row>
    <row r="998" spans="8:8" ht="34.5" customHeight="1">
      <c r="A998" s="22">
        <v>8.0</v>
      </c>
      <c r="B998" s="21" t="s">
        <v>4407</v>
      </c>
      <c r="C998" s="22">
        <v>251493.0</v>
      </c>
      <c r="D998" s="107" t="s">
        <v>1868</v>
      </c>
      <c r="E998" s="22" t="s">
        <v>1512</v>
      </c>
      <c r="F998" s="108">
        <v>0.5208333333333334</v>
      </c>
      <c r="G998" s="22"/>
    </row>
    <row r="999" spans="8:8" ht="34.5" customHeight="1">
      <c r="A999" s="113">
        <v>9.0</v>
      </c>
      <c r="B999" s="21" t="s">
        <v>4408</v>
      </c>
      <c r="C999" s="22">
        <v>241281.0</v>
      </c>
      <c r="D999" s="23" t="s">
        <v>1369</v>
      </c>
      <c r="E999" s="22" t="s">
        <v>1512</v>
      </c>
      <c r="F999" s="108">
        <v>0.5208333333333334</v>
      </c>
      <c r="G999" s="22"/>
    </row>
    <row r="1000" spans="8:8" ht="34.5" customHeight="1">
      <c r="A1000" s="22">
        <v>10.0</v>
      </c>
      <c r="B1000" s="21" t="s">
        <v>4409</v>
      </c>
      <c r="C1000" s="22">
        <v>251669.0</v>
      </c>
      <c r="D1000" s="107" t="s">
        <v>1868</v>
      </c>
      <c r="E1000" s="22" t="s">
        <v>1512</v>
      </c>
      <c r="F1000" s="108">
        <v>0.5208333333333334</v>
      </c>
      <c r="G1000" s="22"/>
    </row>
    <row r="1001" spans="8:8" ht="34.5" customHeight="1">
      <c r="A1001" s="113">
        <v>11.0</v>
      </c>
      <c r="B1001" s="21" t="s">
        <v>4410</v>
      </c>
      <c r="C1001" s="22">
        <v>251486.0</v>
      </c>
      <c r="D1001" s="107" t="s">
        <v>1868</v>
      </c>
      <c r="E1001" s="22" t="s">
        <v>1512</v>
      </c>
      <c r="F1001" s="108">
        <v>0.5208333333333334</v>
      </c>
      <c r="G1001" s="22"/>
    </row>
    <row r="1002" spans="8:8" ht="34.5" customHeight="1">
      <c r="A1002" s="22">
        <v>12.0</v>
      </c>
      <c r="B1002" s="21" t="s">
        <v>4411</v>
      </c>
      <c r="C1002" s="22">
        <v>241272.0</v>
      </c>
      <c r="D1002" s="23" t="s">
        <v>1369</v>
      </c>
      <c r="E1002" s="22" t="s">
        <v>1512</v>
      </c>
      <c r="F1002" s="108">
        <v>0.5208333333333334</v>
      </c>
      <c r="G1002" s="22"/>
    </row>
    <row r="1003" spans="8:8" ht="34.5" customHeight="1">
      <c r="A1003" s="113">
        <v>13.0</v>
      </c>
      <c r="B1003" s="21" t="s">
        <v>4412</v>
      </c>
      <c r="C1003" s="22">
        <v>241235.0</v>
      </c>
      <c r="D1003" s="23" t="s">
        <v>1369</v>
      </c>
      <c r="E1003" s="22" t="s">
        <v>1512</v>
      </c>
      <c r="F1003" s="108">
        <v>0.5208333333333334</v>
      </c>
      <c r="G1003" s="22"/>
    </row>
    <row r="1004" spans="8:8" ht="34.5" customHeight="1">
      <c r="A1004" s="22">
        <v>14.0</v>
      </c>
      <c r="B1004" s="21" t="s">
        <v>4413</v>
      </c>
      <c r="C1004" s="22">
        <v>251662.0</v>
      </c>
      <c r="D1004" s="107" t="s">
        <v>1868</v>
      </c>
      <c r="E1004" s="22" t="s">
        <v>1512</v>
      </c>
      <c r="F1004" s="108">
        <v>0.5208333333333334</v>
      </c>
      <c r="G1004" s="22"/>
    </row>
    <row r="1005" spans="8:8" ht="34.5" customHeight="1">
      <c r="A1005" s="113">
        <v>15.0</v>
      </c>
      <c r="B1005" s="21" t="s">
        <v>4414</v>
      </c>
      <c r="C1005" s="22">
        <v>251672.0</v>
      </c>
      <c r="D1005" s="107" t="s">
        <v>1868</v>
      </c>
      <c r="E1005" s="22" t="s">
        <v>1512</v>
      </c>
      <c r="F1005" s="108">
        <v>0.5208333333333334</v>
      </c>
      <c r="G1005" s="22"/>
    </row>
    <row r="1006" spans="8:8" ht="34.5" customHeight="1">
      <c r="A1006" s="22">
        <v>16.0</v>
      </c>
      <c r="B1006" s="21" t="s">
        <v>4415</v>
      </c>
      <c r="C1006" s="22">
        <v>252936.0</v>
      </c>
      <c r="D1006" s="21" t="s">
        <v>104</v>
      </c>
      <c r="E1006" s="22" t="s">
        <v>1512</v>
      </c>
      <c r="F1006" s="108">
        <v>0.5208333333333334</v>
      </c>
      <c r="G1006" s="22"/>
    </row>
    <row r="1007" spans="8:8" ht="34.5" customHeight="1">
      <c r="A1007" s="113">
        <v>17.0</v>
      </c>
      <c r="B1007" s="21" t="s">
        <v>4416</v>
      </c>
      <c r="C1007" s="22">
        <v>252134.0</v>
      </c>
      <c r="D1007" s="21" t="s">
        <v>104</v>
      </c>
      <c r="E1007" s="22" t="s">
        <v>1512</v>
      </c>
      <c r="F1007" s="108">
        <v>0.5208333333333334</v>
      </c>
      <c r="G1007" s="22"/>
    </row>
    <row r="1008" spans="8:8" ht="34.5" customHeight="1">
      <c r="A1008" s="22">
        <v>18.0</v>
      </c>
      <c r="B1008" s="21" t="s">
        <v>4417</v>
      </c>
      <c r="C1008" s="22">
        <v>252141.0</v>
      </c>
      <c r="D1008" s="21" t="s">
        <v>104</v>
      </c>
      <c r="E1008" s="22" t="s">
        <v>1512</v>
      </c>
      <c r="F1008" s="108">
        <v>0.5208333333333334</v>
      </c>
      <c r="G1008" s="22"/>
    </row>
    <row r="1009" spans="8:8" ht="34.5" customHeight="1">
      <c r="A1009" s="113">
        <v>19.0</v>
      </c>
      <c r="B1009" s="21" t="s">
        <v>4418</v>
      </c>
      <c r="C1009" s="22">
        <v>252977.0</v>
      </c>
      <c r="D1009" s="21" t="s">
        <v>90</v>
      </c>
      <c r="E1009" s="13" t="s">
        <v>1512</v>
      </c>
      <c r="F1009" s="108">
        <v>0.5208333333333334</v>
      </c>
      <c r="G1009" s="13"/>
    </row>
    <row r="1010" spans="8:8" ht="34.5" customHeight="1">
      <c r="A1010" s="22">
        <v>20.0</v>
      </c>
      <c r="B1010" s="21" t="s">
        <v>4419</v>
      </c>
      <c r="C1010" s="22">
        <v>253066.0</v>
      </c>
      <c r="D1010" s="21" t="s">
        <v>104</v>
      </c>
      <c r="E1010" s="22" t="s">
        <v>1512</v>
      </c>
      <c r="F1010" s="108">
        <v>0.5208333333333334</v>
      </c>
      <c r="G1010" s="22"/>
    </row>
    <row r="1011" spans="8:8" ht="34.5" customHeight="1">
      <c r="A1011" s="113">
        <v>21.0</v>
      </c>
      <c r="B1011" s="21" t="s">
        <v>4420</v>
      </c>
      <c r="C1011" s="22">
        <v>253208.0</v>
      </c>
      <c r="D1011" s="107" t="s">
        <v>1868</v>
      </c>
      <c r="E1011" s="22" t="s">
        <v>1512</v>
      </c>
      <c r="F1011" s="108">
        <v>0.5208333333333334</v>
      </c>
      <c r="G1011" s="22"/>
    </row>
    <row r="1012" spans="8:8" ht="34.5" customHeight="1">
      <c r="A1012" s="22">
        <v>22.0</v>
      </c>
      <c r="B1012" s="21" t="s">
        <v>4421</v>
      </c>
      <c r="C1012" s="22">
        <v>252127.0</v>
      </c>
      <c r="D1012" s="21" t="s">
        <v>104</v>
      </c>
      <c r="E1012" s="22" t="s">
        <v>1512</v>
      </c>
      <c r="F1012" s="108">
        <v>0.5208333333333334</v>
      </c>
      <c r="G1012" s="22"/>
    </row>
    <row r="1013" spans="8:8" ht="34.5" customHeight="1">
      <c r="A1013" s="22">
        <v>23.0</v>
      </c>
      <c r="B1013" s="21" t="s">
        <v>4422</v>
      </c>
      <c r="C1013" s="22">
        <v>252110.0</v>
      </c>
      <c r="D1013" s="21" t="s">
        <v>104</v>
      </c>
      <c r="E1013" s="22" t="s">
        <v>1512</v>
      </c>
      <c r="F1013" s="108">
        <v>0.5208333333333334</v>
      </c>
      <c r="G1013" s="22"/>
    </row>
    <row r="1014" spans="8:8" ht="34.5" customHeight="1">
      <c r="A1014" s="8" t="s">
        <v>18</v>
      </c>
      <c r="B1014" s="9" t="s">
        <v>19</v>
      </c>
      <c r="C1014" s="9" t="s">
        <v>20</v>
      </c>
      <c r="D1014" s="9" t="s">
        <v>21</v>
      </c>
      <c r="E1014" s="9" t="s">
        <v>22</v>
      </c>
      <c r="F1014" s="9" t="s">
        <v>23</v>
      </c>
      <c r="G1014" s="9" t="s">
        <v>3866</v>
      </c>
    </row>
    <row r="1015" spans="8:8" ht="34.5" customHeight="1">
      <c r="A1015" s="22">
        <v>1.0</v>
      </c>
      <c r="B1015" s="21" t="s">
        <v>4423</v>
      </c>
      <c r="C1015" s="22">
        <v>251785.0</v>
      </c>
      <c r="D1015" s="107" t="s">
        <v>1868</v>
      </c>
      <c r="E1015" s="22" t="s">
        <v>984</v>
      </c>
      <c r="F1015" s="108">
        <v>0.5208333333333334</v>
      </c>
      <c r="G1015" s="13"/>
    </row>
    <row r="1016" spans="8:8" ht="34.5" customHeight="1">
      <c r="A1016" s="22">
        <v>2.0</v>
      </c>
      <c r="B1016" s="21" t="s">
        <v>4424</v>
      </c>
      <c r="C1016" s="22">
        <v>241550.0</v>
      </c>
      <c r="D1016" s="23" t="s">
        <v>1369</v>
      </c>
      <c r="E1016" s="22" t="s">
        <v>984</v>
      </c>
      <c r="F1016" s="108">
        <v>0.5208333333333334</v>
      </c>
      <c r="G1016" s="22"/>
    </row>
    <row r="1017" spans="8:8" ht="34.5" customHeight="1">
      <c r="A1017" s="22">
        <v>3.0</v>
      </c>
      <c r="B1017" s="21" t="s">
        <v>4425</v>
      </c>
      <c r="C1017" s="22">
        <v>251628.0</v>
      </c>
      <c r="D1017" s="107" t="s">
        <v>1868</v>
      </c>
      <c r="E1017" s="22" t="s">
        <v>984</v>
      </c>
      <c r="F1017" s="108">
        <v>0.5208333333333334</v>
      </c>
      <c r="G1017" s="22"/>
    </row>
    <row r="1018" spans="8:8" ht="34.5" customHeight="1">
      <c r="A1018" s="22">
        <v>4.0</v>
      </c>
      <c r="B1018" s="12" t="s">
        <v>4426</v>
      </c>
      <c r="C1018" s="13">
        <v>253215.0</v>
      </c>
      <c r="D1018" s="107" t="s">
        <v>1868</v>
      </c>
      <c r="E1018" s="13" t="s">
        <v>984</v>
      </c>
      <c r="F1018" s="108">
        <v>0.5208333333333334</v>
      </c>
      <c r="G1018" s="13"/>
    </row>
    <row r="1019" spans="8:8" ht="34.5" customHeight="1">
      <c r="A1019" s="22">
        <v>5.0</v>
      </c>
      <c r="B1019" s="12" t="s">
        <v>4427</v>
      </c>
      <c r="C1019" s="13">
        <v>253290.0</v>
      </c>
      <c r="D1019" s="21" t="s">
        <v>90</v>
      </c>
      <c r="E1019" s="13" t="s">
        <v>984</v>
      </c>
      <c r="F1019" s="108">
        <v>0.5208333333333334</v>
      </c>
      <c r="G1019" s="13"/>
    </row>
    <row r="1020" spans="8:8" ht="34.5" customHeight="1">
      <c r="A1020" s="22">
        <v>6.0</v>
      </c>
      <c r="B1020" s="12" t="s">
        <v>4428</v>
      </c>
      <c r="C1020" s="13">
        <v>253212.0</v>
      </c>
      <c r="D1020" s="107" t="s">
        <v>1868</v>
      </c>
      <c r="E1020" s="13" t="s">
        <v>984</v>
      </c>
      <c r="F1020" s="108">
        <v>0.5208333333333334</v>
      </c>
      <c r="G1020" s="13"/>
    </row>
    <row r="1021" spans="8:8" ht="34.5" customHeight="1">
      <c r="A1021" s="22">
        <v>7.0</v>
      </c>
      <c r="B1021" s="12" t="s">
        <v>4429</v>
      </c>
      <c r="C1021" s="13">
        <v>253250.0</v>
      </c>
      <c r="D1021" s="21" t="s">
        <v>104</v>
      </c>
      <c r="E1021" s="13" t="s">
        <v>984</v>
      </c>
      <c r="F1021" s="108">
        <v>0.5208333333333334</v>
      </c>
      <c r="G1021" s="13"/>
    </row>
    <row r="1022" spans="8:8" ht="34.5" customHeight="1">
      <c r="A1022" s="22">
        <v>8.0</v>
      </c>
      <c r="B1022" s="12" t="s">
        <v>4430</v>
      </c>
      <c r="C1022" s="13">
        <v>253248.0</v>
      </c>
      <c r="D1022" s="21" t="s">
        <v>104</v>
      </c>
      <c r="E1022" s="13" t="s">
        <v>984</v>
      </c>
      <c r="F1022" s="108">
        <v>0.5208333333333334</v>
      </c>
      <c r="G1022" s="13"/>
    </row>
    <row r="1023" spans="8:8" ht="34.5" customHeight="1">
      <c r="A1023" s="22">
        <v>9.0</v>
      </c>
      <c r="B1023" s="12" t="s">
        <v>4431</v>
      </c>
      <c r="C1023" s="13">
        <v>253214.0</v>
      </c>
      <c r="D1023" s="107" t="s">
        <v>1868</v>
      </c>
      <c r="E1023" s="13" t="s">
        <v>984</v>
      </c>
      <c r="F1023" s="108">
        <v>0.5208333333333334</v>
      </c>
      <c r="G1023" s="13"/>
    </row>
    <row r="1024" spans="8:8" ht="34.5" customHeight="1">
      <c r="A1024" s="22">
        <v>10.0</v>
      </c>
      <c r="B1024" s="12" t="s">
        <v>4432</v>
      </c>
      <c r="C1024" s="13">
        <v>241870.0</v>
      </c>
      <c r="D1024" s="23" t="s">
        <v>1369</v>
      </c>
      <c r="E1024" s="13" t="s">
        <v>984</v>
      </c>
      <c r="F1024" s="58">
        <v>0.5208333333333334</v>
      </c>
      <c r="G1024" s="13"/>
    </row>
    <row r="1025" spans="8:8" ht="34.5" customHeight="1">
      <c r="A1025" s="22">
        <v>11.0</v>
      </c>
      <c r="B1025" s="12" t="s">
        <v>4433</v>
      </c>
      <c r="C1025" s="13">
        <v>241299.0</v>
      </c>
      <c r="D1025" s="23" t="s">
        <v>1369</v>
      </c>
      <c r="E1025" s="13" t="s">
        <v>984</v>
      </c>
      <c r="F1025" s="58">
        <v>0.5208333333333334</v>
      </c>
      <c r="G1025" s="13"/>
    </row>
    <row r="1026" spans="8:8" ht="34.5" customHeight="1">
      <c r="A1026" s="22">
        <v>12.0</v>
      </c>
      <c r="B1026" s="12" t="s">
        <v>4434</v>
      </c>
      <c r="C1026" s="13">
        <v>241874.0</v>
      </c>
      <c r="D1026" s="23" t="s">
        <v>1369</v>
      </c>
      <c r="E1026" s="13" t="s">
        <v>984</v>
      </c>
      <c r="F1026" s="58">
        <v>0.5208333333333334</v>
      </c>
      <c r="G1026" s="13"/>
    </row>
    <row r="1027" spans="8:8" ht="34.5" customHeight="1">
      <c r="A1027" s="22">
        <v>13.0</v>
      </c>
      <c r="B1027" s="12" t="s">
        <v>4435</v>
      </c>
      <c r="C1027" s="13">
        <v>252754.0</v>
      </c>
      <c r="D1027" s="12" t="s">
        <v>90</v>
      </c>
      <c r="E1027" s="13" t="s">
        <v>984</v>
      </c>
      <c r="F1027" s="58">
        <v>0.5208333333333334</v>
      </c>
      <c r="G1027" s="13"/>
    </row>
    <row r="1028" spans="8:8" ht="34.5" customHeight="1">
      <c r="A1028" s="22">
        <v>14.0</v>
      </c>
      <c r="B1028" s="12" t="s">
        <v>4436</v>
      </c>
      <c r="C1028" s="13">
        <v>252931.0</v>
      </c>
      <c r="D1028" s="12" t="s">
        <v>90</v>
      </c>
      <c r="E1028" s="13" t="s">
        <v>984</v>
      </c>
      <c r="F1028" s="58">
        <v>0.5208333333333334</v>
      </c>
      <c r="G1028" s="13"/>
    </row>
    <row r="1029" spans="8:8" ht="34.5" customHeight="1">
      <c r="A1029" s="22">
        <v>15.0</v>
      </c>
      <c r="B1029" s="115" t="s">
        <v>4437</v>
      </c>
      <c r="C1029" s="11">
        <v>253183.0</v>
      </c>
      <c r="D1029" s="12" t="s">
        <v>27</v>
      </c>
      <c r="E1029" s="116" t="s">
        <v>984</v>
      </c>
      <c r="F1029" s="58">
        <v>0.5208333333333334</v>
      </c>
      <c r="G1029" s="116"/>
    </row>
    <row r="1030" spans="8:8" ht="34.5" customHeight="1">
      <c r="A1030" s="22">
        <v>16.0</v>
      </c>
      <c r="B1030" s="115" t="s">
        <v>4438</v>
      </c>
      <c r="C1030" s="11">
        <v>253287.0</v>
      </c>
      <c r="D1030" s="12" t="s">
        <v>90</v>
      </c>
      <c r="E1030" s="116" t="s">
        <v>984</v>
      </c>
      <c r="F1030" s="58">
        <v>0.5208333333333334</v>
      </c>
      <c r="G1030" s="116"/>
    </row>
    <row r="1031" spans="8:8" ht="34.5" customHeight="1">
      <c r="A1031" s="22">
        <v>17.0</v>
      </c>
      <c r="B1031" s="115" t="s">
        <v>4439</v>
      </c>
      <c r="C1031" s="11">
        <v>252458.0</v>
      </c>
      <c r="D1031" s="12" t="s">
        <v>104</v>
      </c>
      <c r="E1031" s="116" t="s">
        <v>984</v>
      </c>
      <c r="F1031" s="58">
        <v>0.5208333333333334</v>
      </c>
      <c r="G1031" s="116"/>
    </row>
    <row r="1032" spans="8:8" ht="34.5" customHeight="1">
      <c r="A1032" s="22">
        <v>18.0</v>
      </c>
      <c r="B1032" s="115" t="s">
        <v>4440</v>
      </c>
      <c r="C1032" s="11">
        <v>253144.0</v>
      </c>
      <c r="D1032" s="12" t="s">
        <v>27</v>
      </c>
      <c r="E1032" s="116" t="s">
        <v>984</v>
      </c>
      <c r="F1032" s="58">
        <v>0.5208333333333334</v>
      </c>
      <c r="G1032" s="116"/>
    </row>
    <row r="1033" spans="8:8" ht="34.5" customHeight="1">
      <c r="A1033" s="22">
        <v>19.0</v>
      </c>
      <c r="B1033" s="115" t="s">
        <v>4441</v>
      </c>
      <c r="C1033" s="11">
        <v>253157.0</v>
      </c>
      <c r="D1033" s="12" t="s">
        <v>104</v>
      </c>
      <c r="E1033" s="116" t="s">
        <v>984</v>
      </c>
      <c r="F1033" s="58">
        <v>0.5208333333333334</v>
      </c>
      <c r="G1033" s="116"/>
    </row>
    <row r="1034" spans="8:8" ht="34.5" customHeight="1">
      <c r="A1034" s="22">
        <v>20.0</v>
      </c>
      <c r="B1034" s="12" t="s">
        <v>4442</v>
      </c>
      <c r="C1034" s="13">
        <v>240242.0</v>
      </c>
      <c r="D1034" s="12" t="s">
        <v>2932</v>
      </c>
      <c r="E1034" s="13" t="s">
        <v>984</v>
      </c>
      <c r="F1034" s="58">
        <v>0.5208333333333334</v>
      </c>
      <c r="G1034" s="13"/>
    </row>
    <row r="1035" spans="8:8" ht="34.5" customHeight="1">
      <c r="A1035" s="22">
        <v>21.0</v>
      </c>
      <c r="B1035" s="12" t="s">
        <v>4443</v>
      </c>
      <c r="C1035" s="13">
        <v>253185.0</v>
      </c>
      <c r="D1035" s="12" t="s">
        <v>27</v>
      </c>
      <c r="E1035" s="13" t="s">
        <v>984</v>
      </c>
      <c r="F1035" s="58">
        <v>0.5208333333333334</v>
      </c>
      <c r="G1035" s="13"/>
    </row>
    <row r="1036" spans="8:8" ht="34.5" customHeight="1">
      <c r="A1036" s="22">
        <v>22.0</v>
      </c>
      <c r="B1036" s="12" t="s">
        <v>4444</v>
      </c>
      <c r="C1036" s="13">
        <v>253207.0</v>
      </c>
      <c r="D1036" s="12" t="s">
        <v>1868</v>
      </c>
      <c r="E1036" s="13" t="s">
        <v>984</v>
      </c>
      <c r="F1036" s="58">
        <v>0.5208333333333334</v>
      </c>
      <c r="G1036" s="13"/>
    </row>
    <row r="1037" spans="8:8" ht="34.5" customHeight="1">
      <c r="A1037" s="22">
        <v>23.0</v>
      </c>
      <c r="B1037" s="117" t="s">
        <v>4445</v>
      </c>
      <c r="C1037" s="11">
        <v>253226.0</v>
      </c>
      <c r="D1037" s="12" t="s">
        <v>2971</v>
      </c>
      <c r="E1037" s="118" t="s">
        <v>984</v>
      </c>
      <c r="F1037" s="58">
        <v>0.5208333333333334</v>
      </c>
      <c r="G1037" s="13"/>
    </row>
    <row r="1038" spans="8:8" ht="34.5" customHeight="1">
      <c r="A1038" s="22">
        <v>24.0</v>
      </c>
      <c r="B1038" s="117" t="s">
        <v>4446</v>
      </c>
      <c r="C1038" s="11">
        <v>241505.0</v>
      </c>
      <c r="D1038" s="12" t="s">
        <v>1369</v>
      </c>
      <c r="E1038" s="13" t="s">
        <v>984</v>
      </c>
      <c r="F1038" s="58">
        <v>0.5208333333333334</v>
      </c>
      <c r="G1038" s="13"/>
    </row>
    <row r="1039" spans="8:8" ht="34.5" customHeight="1">
      <c r="A1039" s="22">
        <v>25.0</v>
      </c>
      <c r="B1039" s="117" t="s">
        <v>4447</v>
      </c>
      <c r="C1039" s="11">
        <v>253224.0</v>
      </c>
      <c r="D1039" s="12" t="s">
        <v>1868</v>
      </c>
      <c r="E1039" s="13" t="s">
        <v>984</v>
      </c>
      <c r="F1039" s="58">
        <v>0.5208333333333334</v>
      </c>
      <c r="G1039" s="13"/>
    </row>
    <row r="1040" spans="8:8" ht="34.5" customHeight="1">
      <c r="A1040" s="8" t="s">
        <v>18</v>
      </c>
      <c r="B1040" s="9" t="s">
        <v>19</v>
      </c>
      <c r="C1040" s="9" t="s">
        <v>20</v>
      </c>
      <c r="D1040" s="9" t="s">
        <v>21</v>
      </c>
      <c r="E1040" s="9" t="s">
        <v>22</v>
      </c>
      <c r="F1040" s="9" t="s">
        <v>23</v>
      </c>
      <c r="G1040" s="9" t="s">
        <v>3891</v>
      </c>
    </row>
    <row r="1041" spans="8:8" ht="34.5" customHeight="1">
      <c r="A1041" s="22">
        <v>1.0</v>
      </c>
      <c r="B1041" s="21" t="s">
        <v>4448</v>
      </c>
      <c r="C1041" s="22">
        <v>251629.0</v>
      </c>
      <c r="D1041" s="107" t="s">
        <v>1868</v>
      </c>
      <c r="E1041" s="22" t="s">
        <v>1490</v>
      </c>
      <c r="F1041" s="108">
        <v>0.5208333333333334</v>
      </c>
      <c r="G1041" s="13"/>
    </row>
    <row r="1042" spans="8:8" ht="34.5" customHeight="1">
      <c r="A1042" s="22">
        <v>2.0</v>
      </c>
      <c r="B1042" s="12" t="s">
        <v>4449</v>
      </c>
      <c r="C1042" s="13">
        <v>241534.0</v>
      </c>
      <c r="D1042" s="23" t="s">
        <v>1369</v>
      </c>
      <c r="E1042" s="22" t="s">
        <v>1490</v>
      </c>
      <c r="F1042" s="108">
        <v>0.5208333333333334</v>
      </c>
      <c r="G1042" s="22"/>
    </row>
    <row r="1043" spans="8:8" ht="34.5" customHeight="1">
      <c r="A1043" s="22">
        <v>3.0</v>
      </c>
      <c r="B1043" s="12" t="s">
        <v>4450</v>
      </c>
      <c r="C1043" s="13">
        <v>241548.0</v>
      </c>
      <c r="D1043" s="23" t="s">
        <v>1369</v>
      </c>
      <c r="E1043" s="22" t="s">
        <v>1490</v>
      </c>
      <c r="F1043" s="108">
        <v>0.5208333333333334</v>
      </c>
      <c r="G1043" s="22"/>
    </row>
    <row r="1044" spans="8:8" ht="34.5" customHeight="1">
      <c r="A1044" s="22">
        <v>4.0</v>
      </c>
      <c r="B1044" s="12" t="s">
        <v>4451</v>
      </c>
      <c r="C1044" s="13">
        <v>241585.0</v>
      </c>
      <c r="D1044" s="23" t="s">
        <v>1369</v>
      </c>
      <c r="E1044" s="22" t="s">
        <v>1490</v>
      </c>
      <c r="F1044" s="108">
        <v>0.5208333333333334</v>
      </c>
      <c r="G1044" s="22"/>
    </row>
    <row r="1045" spans="8:8" ht="34.5" customHeight="1">
      <c r="A1045" s="22">
        <v>5.0</v>
      </c>
      <c r="B1045" s="12" t="s">
        <v>4452</v>
      </c>
      <c r="C1045" s="13">
        <v>241464.0</v>
      </c>
      <c r="D1045" s="23" t="s">
        <v>1369</v>
      </c>
      <c r="E1045" s="22" t="s">
        <v>1490</v>
      </c>
      <c r="F1045" s="108">
        <v>0.5208333333333334</v>
      </c>
      <c r="G1045" s="22"/>
    </row>
    <row r="1046" spans="8:8" ht="34.5" customHeight="1">
      <c r="A1046" s="22">
        <v>6.0</v>
      </c>
      <c r="B1046" s="21" t="s">
        <v>4453</v>
      </c>
      <c r="C1046" s="22">
        <v>241189.0</v>
      </c>
      <c r="D1046" s="23" t="s">
        <v>1369</v>
      </c>
      <c r="E1046" s="22" t="s">
        <v>1490</v>
      </c>
      <c r="F1046" s="108">
        <v>0.5208333333333334</v>
      </c>
      <c r="G1046" s="22"/>
    </row>
    <row r="1047" spans="8:8" ht="34.5" customHeight="1">
      <c r="A1047" s="22">
        <v>7.0</v>
      </c>
      <c r="B1047" s="21" t="s">
        <v>4454</v>
      </c>
      <c r="C1047" s="22">
        <v>241190.0</v>
      </c>
      <c r="D1047" s="23" t="s">
        <v>1369</v>
      </c>
      <c r="E1047" s="22" t="s">
        <v>1490</v>
      </c>
      <c r="F1047" s="108">
        <v>0.5208333333333334</v>
      </c>
      <c r="G1047" s="22"/>
    </row>
    <row r="1048" spans="8:8" ht="34.5" customHeight="1">
      <c r="A1048" s="22">
        <v>8.0</v>
      </c>
      <c r="B1048" s="21" t="s">
        <v>4455</v>
      </c>
      <c r="C1048" s="22">
        <v>241191.0</v>
      </c>
      <c r="D1048" s="23" t="s">
        <v>1369</v>
      </c>
      <c r="E1048" s="22" t="s">
        <v>1490</v>
      </c>
      <c r="F1048" s="108">
        <v>0.5208333333333334</v>
      </c>
      <c r="G1048" s="22"/>
    </row>
    <row r="1049" spans="8:8" ht="34.5" customHeight="1">
      <c r="A1049" s="22">
        <v>9.0</v>
      </c>
      <c r="B1049" s="21" t="s">
        <v>4456</v>
      </c>
      <c r="C1049" s="22">
        <v>241207.0</v>
      </c>
      <c r="D1049" s="23" t="s">
        <v>1369</v>
      </c>
      <c r="E1049" s="22" t="s">
        <v>1490</v>
      </c>
      <c r="F1049" s="108">
        <v>0.5208333333333334</v>
      </c>
      <c r="G1049" s="22"/>
    </row>
    <row r="1050" spans="8:8" ht="34.5" customHeight="1">
      <c r="A1050" s="22">
        <v>10.0</v>
      </c>
      <c r="B1050" s="21" t="s">
        <v>4457</v>
      </c>
      <c r="C1050" s="22">
        <v>241214.0</v>
      </c>
      <c r="D1050" s="23" t="s">
        <v>1369</v>
      </c>
      <c r="E1050" s="22" t="s">
        <v>1490</v>
      </c>
      <c r="F1050" s="108">
        <v>0.5208333333333334</v>
      </c>
      <c r="G1050" s="22"/>
    </row>
    <row r="1051" spans="8:8" ht="34.5" customHeight="1">
      <c r="A1051" s="22">
        <v>11.0</v>
      </c>
      <c r="B1051" s="21" t="s">
        <v>4458</v>
      </c>
      <c r="C1051" s="22">
        <v>241139.0</v>
      </c>
      <c r="D1051" s="23" t="s">
        <v>1369</v>
      </c>
      <c r="E1051" s="22" t="s">
        <v>1490</v>
      </c>
      <c r="F1051" s="108">
        <v>0.5208333333333334</v>
      </c>
      <c r="G1051" s="22"/>
    </row>
    <row r="1052" spans="8:8" ht="34.5" customHeight="1">
      <c r="A1052" s="22">
        <v>12.0</v>
      </c>
      <c r="B1052" s="21" t="s">
        <v>4459</v>
      </c>
      <c r="C1052" s="22">
        <v>241513.0</v>
      </c>
      <c r="D1052" s="23" t="s">
        <v>1369</v>
      </c>
      <c r="E1052" s="22" t="s">
        <v>1490</v>
      </c>
      <c r="F1052" s="108">
        <v>0.5208333333333334</v>
      </c>
      <c r="G1052" s="22"/>
    </row>
    <row r="1053" spans="8:8" ht="34.5" customHeight="1">
      <c r="A1053" s="22">
        <v>13.0</v>
      </c>
      <c r="B1053" s="21" t="s">
        <v>4460</v>
      </c>
      <c r="C1053" s="22">
        <v>241518.0</v>
      </c>
      <c r="D1053" s="23" t="s">
        <v>1369</v>
      </c>
      <c r="E1053" s="22" t="s">
        <v>1490</v>
      </c>
      <c r="F1053" s="108">
        <v>0.5208333333333334</v>
      </c>
      <c r="G1053" s="22"/>
    </row>
    <row r="1054" spans="8:8" ht="34.5" customHeight="1">
      <c r="A1054" s="22">
        <v>14.0</v>
      </c>
      <c r="B1054" s="21" t="s">
        <v>4461</v>
      </c>
      <c r="C1054" s="22">
        <v>241523.0</v>
      </c>
      <c r="D1054" s="23" t="s">
        <v>1369</v>
      </c>
      <c r="E1054" s="13" t="s">
        <v>1490</v>
      </c>
      <c r="F1054" s="108">
        <v>0.5208333333333334</v>
      </c>
      <c r="G1054" s="13"/>
    </row>
    <row r="1055" spans="8:8" ht="34.5" customHeight="1">
      <c r="A1055" s="22">
        <v>15.0</v>
      </c>
      <c r="B1055" s="12" t="s">
        <v>4462</v>
      </c>
      <c r="C1055" s="13">
        <v>253239.0</v>
      </c>
      <c r="D1055" s="21" t="s">
        <v>104</v>
      </c>
      <c r="E1055" s="13" t="s">
        <v>1490</v>
      </c>
      <c r="F1055" s="108">
        <v>0.5208333333333334</v>
      </c>
      <c r="G1055" s="13"/>
    </row>
    <row r="1056" spans="8:8" ht="34.5" customHeight="1">
      <c r="A1056" s="22">
        <v>16.0</v>
      </c>
      <c r="B1056" s="12" t="s">
        <v>4463</v>
      </c>
      <c r="C1056" s="13">
        <v>251275.0</v>
      </c>
      <c r="D1056" s="52" t="s">
        <v>1868</v>
      </c>
      <c r="E1056" s="13" t="s">
        <v>1490</v>
      </c>
      <c r="F1056" s="58">
        <v>0.5208333333333334</v>
      </c>
      <c r="G1056" s="13"/>
    </row>
    <row r="1057" spans="8:8" ht="34.5" customHeight="1">
      <c r="A1057" s="22">
        <v>17.0</v>
      </c>
      <c r="B1057" s="12" t="s">
        <v>4464</v>
      </c>
      <c r="C1057" s="13">
        <v>241826.0</v>
      </c>
      <c r="D1057" s="23" t="s">
        <v>1369</v>
      </c>
      <c r="E1057" s="13" t="s">
        <v>1490</v>
      </c>
      <c r="F1057" s="58">
        <v>0.5208333333333334</v>
      </c>
      <c r="G1057" s="13"/>
    </row>
    <row r="1058" spans="8:8" ht="34.5" customHeight="1">
      <c r="A1058" s="22">
        <v>18.0</v>
      </c>
      <c r="B1058" s="12" t="s">
        <v>4465</v>
      </c>
      <c r="C1058" s="13">
        <v>241305.0</v>
      </c>
      <c r="D1058" s="23" t="s">
        <v>1369</v>
      </c>
      <c r="E1058" s="13" t="s">
        <v>1490</v>
      </c>
      <c r="F1058" s="58">
        <v>0.5208333333333334</v>
      </c>
      <c r="G1058" s="13"/>
    </row>
    <row r="1059" spans="8:8" ht="34.5" customHeight="1">
      <c r="A1059" s="22">
        <v>19.0</v>
      </c>
      <c r="B1059" s="12" t="s">
        <v>4466</v>
      </c>
      <c r="C1059" s="13">
        <v>241415.0</v>
      </c>
      <c r="D1059" s="23" t="s">
        <v>1369</v>
      </c>
      <c r="E1059" s="13" t="s">
        <v>1490</v>
      </c>
      <c r="F1059" s="58">
        <v>0.5208333333333334</v>
      </c>
      <c r="G1059" s="13"/>
    </row>
    <row r="1060" spans="8:8" ht="34.5" customHeight="1">
      <c r="A1060" s="22">
        <v>20.0</v>
      </c>
      <c r="B1060" s="12" t="s">
        <v>4467</v>
      </c>
      <c r="C1060" s="13">
        <v>241423.0</v>
      </c>
      <c r="D1060" s="23" t="s">
        <v>1369</v>
      </c>
      <c r="E1060" s="13" t="s">
        <v>1490</v>
      </c>
      <c r="F1060" s="58">
        <v>0.5208333333333334</v>
      </c>
      <c r="G1060" s="13"/>
    </row>
    <row r="1061" spans="8:8" ht="34.5" customHeight="1">
      <c r="A1061" s="22">
        <v>21.0</v>
      </c>
      <c r="B1061" s="12" t="s">
        <v>4468</v>
      </c>
      <c r="C1061" s="13">
        <v>241424.0</v>
      </c>
      <c r="D1061" s="23" t="s">
        <v>1369</v>
      </c>
      <c r="E1061" s="13" t="s">
        <v>1490</v>
      </c>
      <c r="F1061" s="58">
        <v>0.5208333333333334</v>
      </c>
      <c r="G1061" s="13"/>
    </row>
    <row r="1062" spans="8:8" ht="34.5" customHeight="1">
      <c r="A1062" s="22">
        <v>22.0</v>
      </c>
      <c r="B1062" s="12" t="s">
        <v>4469</v>
      </c>
      <c r="C1062" s="13">
        <v>241369.0</v>
      </c>
      <c r="D1062" s="23" t="s">
        <v>1369</v>
      </c>
      <c r="E1062" s="13" t="s">
        <v>1490</v>
      </c>
      <c r="F1062" s="58">
        <v>0.5208333333333334</v>
      </c>
      <c r="G1062" s="13"/>
    </row>
    <row r="1063" spans="8:8" ht="34.5" customHeight="1">
      <c r="A1063" s="22">
        <v>23.0</v>
      </c>
      <c r="B1063" s="12" t="s">
        <v>4470</v>
      </c>
      <c r="C1063" s="13">
        <v>241439.0</v>
      </c>
      <c r="D1063" s="23" t="s">
        <v>1369</v>
      </c>
      <c r="E1063" s="13" t="s">
        <v>1490</v>
      </c>
      <c r="F1063" s="58">
        <v>0.5208333333333334</v>
      </c>
      <c r="G1063" s="13"/>
    </row>
    <row r="1064" spans="8:8" ht="34.5" customHeight="1">
      <c r="A1064" s="8" t="s">
        <v>18</v>
      </c>
      <c r="B1064" s="9" t="s">
        <v>19</v>
      </c>
      <c r="C1064" s="9" t="s">
        <v>20</v>
      </c>
      <c r="D1064" s="9" t="s">
        <v>21</v>
      </c>
      <c r="E1064" s="9" t="s">
        <v>22</v>
      </c>
      <c r="F1064" s="9" t="s">
        <v>23</v>
      </c>
      <c r="G1064" s="9" t="s">
        <v>3330</v>
      </c>
    </row>
    <row r="1065" spans="8:8" ht="34.5" customHeight="1">
      <c r="A1065" s="13">
        <v>1.0</v>
      </c>
      <c r="B1065" s="21" t="s">
        <v>4471</v>
      </c>
      <c r="C1065" s="13">
        <v>251475.0</v>
      </c>
      <c r="D1065" s="107" t="s">
        <v>1868</v>
      </c>
      <c r="E1065" s="22" t="s">
        <v>1477</v>
      </c>
      <c r="F1065" s="108">
        <v>0.5208333333333334</v>
      </c>
      <c r="G1065" s="13"/>
    </row>
    <row r="1066" spans="8:8" ht="34.5" customHeight="1">
      <c r="A1066" s="22">
        <v>2.0</v>
      </c>
      <c r="B1066" s="21" t="s">
        <v>4472</v>
      </c>
      <c r="C1066" s="13">
        <v>241472.0</v>
      </c>
      <c r="D1066" s="23" t="s">
        <v>1369</v>
      </c>
      <c r="E1066" s="22" t="s">
        <v>1477</v>
      </c>
      <c r="F1066" s="108">
        <v>0.5208333333333334</v>
      </c>
      <c r="G1066" s="22"/>
    </row>
    <row r="1067" spans="8:8" ht="34.5" customHeight="1">
      <c r="A1067" s="13">
        <v>3.0</v>
      </c>
      <c r="B1067" s="21" t="s">
        <v>4473</v>
      </c>
      <c r="C1067" s="13">
        <v>241200.0</v>
      </c>
      <c r="D1067" s="23" t="s">
        <v>1369</v>
      </c>
      <c r="E1067" s="22" t="s">
        <v>1477</v>
      </c>
      <c r="F1067" s="108">
        <v>0.5208333333333334</v>
      </c>
      <c r="G1067" s="22"/>
    </row>
    <row r="1068" spans="8:8" ht="34.5" customHeight="1">
      <c r="A1068" s="22">
        <v>4.0</v>
      </c>
      <c r="B1068" s="21" t="s">
        <v>4474</v>
      </c>
      <c r="C1068" s="13">
        <v>241222.0</v>
      </c>
      <c r="D1068" s="23" t="s">
        <v>1369</v>
      </c>
      <c r="E1068" s="22" t="s">
        <v>1477</v>
      </c>
      <c r="F1068" s="108">
        <v>0.5208333333333334</v>
      </c>
      <c r="G1068" s="22"/>
    </row>
    <row r="1069" spans="8:8" ht="34.5" customHeight="1">
      <c r="A1069" s="13">
        <v>5.0</v>
      </c>
      <c r="B1069" s="12" t="s">
        <v>4475</v>
      </c>
      <c r="C1069" s="13">
        <v>241178.0</v>
      </c>
      <c r="D1069" s="23" t="s">
        <v>1369</v>
      </c>
      <c r="E1069" s="13" t="s">
        <v>1477</v>
      </c>
      <c r="F1069" s="108">
        <v>0.5208333333333334</v>
      </c>
      <c r="G1069" s="13"/>
    </row>
    <row r="1070" spans="8:8" ht="34.5" customHeight="1">
      <c r="A1070" s="22">
        <v>6.0</v>
      </c>
      <c r="B1070" s="21" t="s">
        <v>4476</v>
      </c>
      <c r="C1070" s="13">
        <v>241449.0</v>
      </c>
      <c r="D1070" s="23" t="s">
        <v>1369</v>
      </c>
      <c r="E1070" s="22" t="s">
        <v>1477</v>
      </c>
      <c r="F1070" s="108">
        <v>0.5208333333333334</v>
      </c>
      <c r="G1070" s="22"/>
    </row>
    <row r="1071" spans="8:8" ht="34.5" customHeight="1">
      <c r="A1071" s="13">
        <v>7.0</v>
      </c>
      <c r="B1071" s="107" t="s">
        <v>4477</v>
      </c>
      <c r="C1071" s="112">
        <v>253231.0</v>
      </c>
      <c r="D1071" s="107" t="s">
        <v>2971</v>
      </c>
      <c r="E1071" s="22" t="s">
        <v>1477</v>
      </c>
      <c r="F1071" s="108">
        <v>0.5208333333333334</v>
      </c>
      <c r="G1071" s="22"/>
    </row>
    <row r="1072" spans="8:8" ht="34.5" customHeight="1">
      <c r="A1072" s="22">
        <v>8.0</v>
      </c>
      <c r="B1072" s="12" t="s">
        <v>4478</v>
      </c>
      <c r="C1072" s="13">
        <v>241659.0</v>
      </c>
      <c r="D1072" s="23" t="s">
        <v>1369</v>
      </c>
      <c r="E1072" s="13" t="s">
        <v>1477</v>
      </c>
      <c r="F1072" s="58">
        <v>0.5208333333333334</v>
      </c>
      <c r="G1072" s="13"/>
    </row>
    <row r="1073" spans="8:8" ht="34.5" customHeight="1">
      <c r="A1073" s="13">
        <v>9.0</v>
      </c>
      <c r="B1073" s="12" t="s">
        <v>4479</v>
      </c>
      <c r="C1073" s="13">
        <v>241899.0</v>
      </c>
      <c r="D1073" s="23" t="s">
        <v>1369</v>
      </c>
      <c r="E1073" s="13" t="s">
        <v>1477</v>
      </c>
      <c r="F1073" s="58">
        <v>0.5208333333333334</v>
      </c>
      <c r="G1073" s="13"/>
    </row>
    <row r="1074" spans="8:8" ht="34.5" customHeight="1">
      <c r="A1074" s="22">
        <v>10.0</v>
      </c>
      <c r="B1074" s="12" t="s">
        <v>4480</v>
      </c>
      <c r="C1074" s="13">
        <v>241390.0</v>
      </c>
      <c r="D1074" s="23" t="s">
        <v>1369</v>
      </c>
      <c r="E1074" s="13" t="s">
        <v>1477</v>
      </c>
      <c r="F1074" s="58">
        <v>0.5208333333333334</v>
      </c>
      <c r="G1074" s="13"/>
    </row>
    <row r="1075" spans="8:8" ht="34.5" customHeight="1">
      <c r="A1075" s="13">
        <v>11.0</v>
      </c>
      <c r="B1075" s="12" t="s">
        <v>4481</v>
      </c>
      <c r="C1075" s="13">
        <v>253184.0</v>
      </c>
      <c r="D1075" s="12" t="s">
        <v>27</v>
      </c>
      <c r="E1075" s="13" t="s">
        <v>1477</v>
      </c>
      <c r="F1075" s="58">
        <v>0.5208333333333334</v>
      </c>
      <c r="G1075" s="13"/>
    </row>
    <row r="1076" spans="8:8" ht="34.5" customHeight="1">
      <c r="A1076" s="22">
        <v>12.0</v>
      </c>
      <c r="B1076" s="12" t="s">
        <v>4482</v>
      </c>
      <c r="C1076" s="13">
        <v>253276.0</v>
      </c>
      <c r="D1076" s="12" t="s">
        <v>90</v>
      </c>
      <c r="E1076" s="13" t="s">
        <v>1477</v>
      </c>
      <c r="F1076" s="58">
        <v>0.5208333333333334</v>
      </c>
      <c r="G1076" s="13"/>
    </row>
    <row r="1077" spans="8:8" ht="34.5" customHeight="1">
      <c r="A1077" s="13">
        <v>13.0</v>
      </c>
      <c r="B1077" s="12" t="s">
        <v>4483</v>
      </c>
      <c r="C1077" s="13">
        <v>241461.0</v>
      </c>
      <c r="D1077" s="23" t="s">
        <v>1369</v>
      </c>
      <c r="E1077" s="13" t="s">
        <v>1477</v>
      </c>
      <c r="F1077" s="58">
        <v>0.5208333333333334</v>
      </c>
      <c r="G1077" s="13"/>
    </row>
    <row r="1078" spans="8:8" ht="34.5" customHeight="1">
      <c r="A1078" s="22">
        <v>14.0</v>
      </c>
      <c r="B1078" s="23" t="s">
        <v>4484</v>
      </c>
      <c r="C1078" s="24">
        <v>253009.0</v>
      </c>
      <c r="D1078" s="23" t="s">
        <v>104</v>
      </c>
      <c r="E1078" s="24" t="s">
        <v>1477</v>
      </c>
      <c r="F1078" s="58">
        <v>0.5208333333333334</v>
      </c>
      <c r="G1078" s="24"/>
    </row>
    <row r="1079" spans="8:8" ht="34.5" customHeight="1">
      <c r="A1079" s="13">
        <v>15.0</v>
      </c>
      <c r="B1079" s="12" t="s">
        <v>4485</v>
      </c>
      <c r="C1079" s="13">
        <v>251836.0</v>
      </c>
      <c r="D1079" s="23" t="s">
        <v>4486</v>
      </c>
      <c r="E1079" s="13" t="s">
        <v>1477</v>
      </c>
      <c r="F1079" s="58">
        <v>0.5208333333333334</v>
      </c>
      <c r="G1079" s="13"/>
    </row>
    <row r="1080" spans="8:8" ht="34.5" customHeight="1">
      <c r="A1080" s="22">
        <v>16.0</v>
      </c>
      <c r="B1080" s="12" t="s">
        <v>4487</v>
      </c>
      <c r="C1080" s="13">
        <v>252186.0</v>
      </c>
      <c r="D1080" s="23" t="s">
        <v>90</v>
      </c>
      <c r="E1080" s="24" t="s">
        <v>1477</v>
      </c>
      <c r="F1080" s="58">
        <v>0.5208333333333334</v>
      </c>
      <c r="G1080" s="13"/>
    </row>
    <row r="1081" spans="8:8" ht="34.5" customHeight="1">
      <c r="A1081" s="8" t="s">
        <v>18</v>
      </c>
      <c r="B1081" s="9" t="s">
        <v>19</v>
      </c>
      <c r="C1081" s="9" t="s">
        <v>20</v>
      </c>
      <c r="D1081" s="9" t="s">
        <v>21</v>
      </c>
      <c r="E1081" s="9" t="s">
        <v>22</v>
      </c>
      <c r="F1081" s="9" t="s">
        <v>23</v>
      </c>
      <c r="G1081" s="9" t="s">
        <v>552</v>
      </c>
    </row>
    <row r="1082" spans="8:8" ht="34.5" customHeight="1">
      <c r="A1082" s="8" t="s">
        <v>18</v>
      </c>
      <c r="B1082" s="9" t="s">
        <v>19</v>
      </c>
      <c r="C1082" s="9" t="s">
        <v>20</v>
      </c>
      <c r="D1082" s="9" t="s">
        <v>21</v>
      </c>
      <c r="E1082" s="9" t="s">
        <v>22</v>
      </c>
      <c r="F1082" s="9" t="s">
        <v>23</v>
      </c>
      <c r="G1082" s="9" t="s">
        <v>611</v>
      </c>
    </row>
    <row r="1083" spans="8:8" ht="34.5" customHeight="1">
      <c r="A1083" s="11">
        <v>1.0</v>
      </c>
      <c r="B1083" s="12" t="s">
        <v>4488</v>
      </c>
      <c r="C1083" s="13">
        <v>241418.0</v>
      </c>
      <c r="D1083" s="23" t="s">
        <v>1369</v>
      </c>
      <c r="E1083" s="13" t="s">
        <v>781</v>
      </c>
      <c r="F1083" s="58">
        <v>0.5208333333333334</v>
      </c>
      <c r="G1083" s="13"/>
    </row>
    <row r="1084" spans="8:8" ht="34.5" customHeight="1">
      <c r="A1084" s="11">
        <v>2.0</v>
      </c>
      <c r="B1084" s="12" t="s">
        <v>4489</v>
      </c>
      <c r="C1084" s="13">
        <v>241355.0</v>
      </c>
      <c r="D1084" s="23" t="s">
        <v>1369</v>
      </c>
      <c r="E1084" s="13" t="s">
        <v>781</v>
      </c>
      <c r="F1084" s="58">
        <v>0.5208333333333334</v>
      </c>
      <c r="G1084" s="13"/>
    </row>
    <row r="1085" spans="8:8" ht="34.5" customHeight="1">
      <c r="A1085" s="11">
        <v>3.0</v>
      </c>
      <c r="B1085" s="12" t="s">
        <v>4490</v>
      </c>
      <c r="C1085" s="13">
        <v>241422.0</v>
      </c>
      <c r="D1085" s="23" t="s">
        <v>1369</v>
      </c>
      <c r="E1085" s="13" t="s">
        <v>781</v>
      </c>
      <c r="F1085" s="58">
        <v>0.5208333333333334</v>
      </c>
      <c r="G1085" s="13"/>
    </row>
    <row r="1086" spans="8:8" ht="34.5" customHeight="1">
      <c r="A1086" s="11">
        <v>4.0</v>
      </c>
      <c r="B1086" s="12" t="s">
        <v>4491</v>
      </c>
      <c r="C1086" s="13">
        <v>241431.0</v>
      </c>
      <c r="D1086" s="23" t="s">
        <v>1369</v>
      </c>
      <c r="E1086" s="13" t="s">
        <v>781</v>
      </c>
      <c r="F1086" s="58">
        <v>0.5208333333333334</v>
      </c>
      <c r="G1086" s="13"/>
    </row>
    <row r="1087" spans="8:8" ht="34.5" customHeight="1">
      <c r="A1087" s="11">
        <v>5.0</v>
      </c>
      <c r="B1087" s="12" t="s">
        <v>4492</v>
      </c>
      <c r="C1087" s="13">
        <v>241433.0</v>
      </c>
      <c r="D1087" s="23" t="s">
        <v>1369</v>
      </c>
      <c r="E1087" s="13" t="s">
        <v>781</v>
      </c>
      <c r="F1087" s="58">
        <v>0.5208333333333334</v>
      </c>
      <c r="G1087" s="13"/>
    </row>
    <row r="1088" spans="8:8" ht="34.5" customHeight="1">
      <c r="A1088" s="11">
        <v>6.0</v>
      </c>
      <c r="B1088" s="12" t="s">
        <v>4493</v>
      </c>
      <c r="C1088" s="13">
        <v>241531.0</v>
      </c>
      <c r="D1088" s="23" t="s">
        <v>1369</v>
      </c>
      <c r="E1088" s="13" t="s">
        <v>781</v>
      </c>
      <c r="F1088" s="58">
        <v>0.5208333333333334</v>
      </c>
      <c r="G1088" s="13"/>
    </row>
    <row r="1089" spans="8:8" ht="34.5" customHeight="1">
      <c r="A1089" s="11">
        <v>7.0</v>
      </c>
      <c r="B1089" s="12" t="s">
        <v>4494</v>
      </c>
      <c r="C1089" s="13">
        <v>251352.0</v>
      </c>
      <c r="D1089" s="52" t="s">
        <v>1868</v>
      </c>
      <c r="E1089" s="13" t="s">
        <v>781</v>
      </c>
      <c r="F1089" s="58">
        <v>0.5208333333333334</v>
      </c>
      <c r="G1089" s="13"/>
    </row>
    <row r="1090" spans="8:8" ht="34.5" customHeight="1">
      <c r="A1090" s="11">
        <v>8.0</v>
      </c>
      <c r="B1090" s="12" t="s">
        <v>4495</v>
      </c>
      <c r="C1090" s="13">
        <v>241565.0</v>
      </c>
      <c r="D1090" s="23" t="s">
        <v>1369</v>
      </c>
      <c r="E1090" s="13" t="s">
        <v>781</v>
      </c>
      <c r="F1090" s="58">
        <v>0.5208333333333334</v>
      </c>
      <c r="G1090" s="13"/>
    </row>
    <row r="1091" spans="8:8" ht="34.5" customHeight="1">
      <c r="A1091" s="11">
        <v>9.0</v>
      </c>
      <c r="B1091" s="12" t="s">
        <v>4496</v>
      </c>
      <c r="C1091" s="13">
        <v>241216.0</v>
      </c>
      <c r="D1091" s="23" t="s">
        <v>1369</v>
      </c>
      <c r="E1091" s="13" t="s">
        <v>781</v>
      </c>
      <c r="F1091" s="58">
        <v>0.5208333333333334</v>
      </c>
      <c r="G1091" s="13"/>
    </row>
    <row r="1092" spans="8:8" ht="34.5" customHeight="1">
      <c r="A1092" s="11">
        <v>10.0</v>
      </c>
      <c r="B1092" s="12" t="s">
        <v>4497</v>
      </c>
      <c r="C1092" s="13">
        <v>241524.0</v>
      </c>
      <c r="D1092" s="23" t="s">
        <v>1369</v>
      </c>
      <c r="E1092" s="13" t="s">
        <v>781</v>
      </c>
      <c r="F1092" s="58">
        <v>0.5208333333333334</v>
      </c>
      <c r="G1092" s="13"/>
    </row>
    <row r="1093" spans="8:8" ht="34.5" customHeight="1">
      <c r="A1093" s="8" t="s">
        <v>18</v>
      </c>
      <c r="B1093" s="9" t="s">
        <v>19</v>
      </c>
      <c r="C1093" s="9" t="s">
        <v>20</v>
      </c>
      <c r="D1093" s="9" t="s">
        <v>21</v>
      </c>
      <c r="E1093" s="9" t="s">
        <v>22</v>
      </c>
      <c r="F1093" s="9" t="s">
        <v>23</v>
      </c>
      <c r="G1093" s="9" t="s">
        <v>578</v>
      </c>
    </row>
    <row r="1094" spans="8:8" ht="34.5" customHeight="1">
      <c r="A1094" s="11">
        <v>1.0</v>
      </c>
      <c r="B1094" s="12" t="s">
        <v>4498</v>
      </c>
      <c r="C1094" s="13">
        <v>252090.0</v>
      </c>
      <c r="D1094" s="12" t="s">
        <v>104</v>
      </c>
      <c r="E1094" s="13" t="s">
        <v>1512</v>
      </c>
      <c r="F1094" s="58">
        <v>0.5208333333333334</v>
      </c>
      <c r="G1094" s="13"/>
    </row>
    <row r="1095" spans="8:8" ht="34.5" customHeight="1">
      <c r="A1095" s="11">
        <v>2.0</v>
      </c>
      <c r="B1095" s="12" t="s">
        <v>4499</v>
      </c>
      <c r="C1095" s="13">
        <v>252975.0</v>
      </c>
      <c r="D1095" s="52" t="s">
        <v>1868</v>
      </c>
      <c r="E1095" s="13" t="s">
        <v>1512</v>
      </c>
      <c r="F1095" s="58">
        <v>0.5208333333333334</v>
      </c>
      <c r="G1095" s="13"/>
    </row>
    <row r="1096" spans="8:8" ht="34.5" customHeight="1">
      <c r="A1096" s="11">
        <v>3.0</v>
      </c>
      <c r="B1096" s="12" t="s">
        <v>4500</v>
      </c>
      <c r="C1096" s="13">
        <v>253268.0</v>
      </c>
      <c r="D1096" s="12" t="s">
        <v>90</v>
      </c>
      <c r="E1096" s="13" t="s">
        <v>1512</v>
      </c>
      <c r="F1096" s="58">
        <v>0.5208333333333334</v>
      </c>
      <c r="G1096" s="13"/>
    </row>
    <row r="1097" spans="8:8" ht="34.5" customHeight="1">
      <c r="A1097" s="11">
        <v>4.0</v>
      </c>
      <c r="B1097" s="12" t="s">
        <v>4501</v>
      </c>
      <c r="C1097" s="13">
        <v>253282.0</v>
      </c>
      <c r="D1097" s="12" t="s">
        <v>90</v>
      </c>
      <c r="E1097" s="13" t="s">
        <v>1512</v>
      </c>
      <c r="F1097" s="58">
        <v>0.5208333333333334</v>
      </c>
      <c r="G1097" s="13"/>
    </row>
    <row r="1098" spans="8:8" ht="34.5" customHeight="1">
      <c r="A1098" s="11">
        <v>5.0</v>
      </c>
      <c r="B1098" s="12" t="s">
        <v>4502</v>
      </c>
      <c r="C1098" s="13">
        <v>253279.0</v>
      </c>
      <c r="D1098" s="12" t="s">
        <v>90</v>
      </c>
      <c r="E1098" s="13" t="s">
        <v>1512</v>
      </c>
      <c r="F1098" s="58">
        <v>0.5208333333333334</v>
      </c>
      <c r="G1098" s="13"/>
    </row>
    <row r="1099" spans="8:8" ht="34.5" customHeight="1">
      <c r="A1099" s="11">
        <v>6.0</v>
      </c>
      <c r="B1099" s="12" t="s">
        <v>4503</v>
      </c>
      <c r="C1099" s="13">
        <v>253265.0</v>
      </c>
      <c r="D1099" s="12" t="s">
        <v>90</v>
      </c>
      <c r="E1099" s="13" t="s">
        <v>1512</v>
      </c>
      <c r="F1099" s="58">
        <v>0.5208333333333334</v>
      </c>
      <c r="G1099" s="13"/>
    </row>
    <row r="1100" spans="8:8" ht="34.5" customHeight="1">
      <c r="A1100" s="11">
        <v>7.0</v>
      </c>
      <c r="B1100" s="12" t="s">
        <v>4504</v>
      </c>
      <c r="C1100" s="13">
        <v>251494.0</v>
      </c>
      <c r="D1100" s="52" t="s">
        <v>1868</v>
      </c>
      <c r="E1100" s="13" t="s">
        <v>1512</v>
      </c>
      <c r="F1100" s="58">
        <v>0.5208333333333334</v>
      </c>
      <c r="G1100" s="13"/>
    </row>
    <row r="1101" spans="8:8" ht="34.5" customHeight="1">
      <c r="A1101" s="11">
        <v>8.0</v>
      </c>
      <c r="B1101" s="12" t="s">
        <v>4505</v>
      </c>
      <c r="C1101" s="13">
        <v>252948.0</v>
      </c>
      <c r="D1101" s="12" t="s">
        <v>90</v>
      </c>
      <c r="E1101" s="13" t="s">
        <v>1512</v>
      </c>
      <c r="F1101" s="58">
        <v>0.5208333333333334</v>
      </c>
      <c r="G1101" s="13"/>
    </row>
    <row r="1102" spans="8:8" ht="34.5" customHeight="1">
      <c r="A1102" s="11">
        <v>9.0</v>
      </c>
      <c r="B1102" s="12" t="s">
        <v>4506</v>
      </c>
      <c r="C1102" s="13">
        <v>253288.0</v>
      </c>
      <c r="D1102" s="12" t="s">
        <v>90</v>
      </c>
      <c r="E1102" s="13" t="s">
        <v>1512</v>
      </c>
      <c r="F1102" s="58">
        <v>0.5208333333333334</v>
      </c>
      <c r="G1102" s="13"/>
    </row>
    <row r="1103" spans="8:8" ht="34.5" customHeight="1">
      <c r="A1103" s="11">
        <v>10.0</v>
      </c>
      <c r="B1103" s="12" t="s">
        <v>4507</v>
      </c>
      <c r="C1103" s="13">
        <v>253063.0</v>
      </c>
      <c r="D1103" s="12" t="s">
        <v>104</v>
      </c>
      <c r="E1103" s="13" t="s">
        <v>1512</v>
      </c>
      <c r="F1103" s="58">
        <v>0.5208333333333334</v>
      </c>
      <c r="G1103" s="13"/>
    </row>
    <row r="1104" spans="8:8" ht="34.5" customHeight="1">
      <c r="A1104" s="11">
        <v>11.0</v>
      </c>
      <c r="B1104" s="12" t="s">
        <v>4508</v>
      </c>
      <c r="C1104" s="13">
        <v>253266.0</v>
      </c>
      <c r="D1104" s="12" t="s">
        <v>90</v>
      </c>
      <c r="E1104" s="13" t="s">
        <v>1512</v>
      </c>
      <c r="F1104" s="58">
        <v>0.5208333333333334</v>
      </c>
      <c r="G1104" s="13"/>
    </row>
    <row r="1105" spans="8:8" ht="34.5" customHeight="1">
      <c r="A1105" s="11">
        <v>12.0</v>
      </c>
      <c r="B1105" s="12" t="s">
        <v>4509</v>
      </c>
      <c r="C1105" s="13">
        <v>252125.0</v>
      </c>
      <c r="D1105" s="12" t="s">
        <v>104</v>
      </c>
      <c r="E1105" s="13" t="s">
        <v>1512</v>
      </c>
      <c r="F1105" s="58">
        <v>0.5208333333333334</v>
      </c>
      <c r="G1105" s="13"/>
    </row>
    <row r="1106" spans="8:8" ht="34.5" customHeight="1">
      <c r="A1106" s="11">
        <v>13.0</v>
      </c>
      <c r="B1106" s="12" t="s">
        <v>4510</v>
      </c>
      <c r="C1106" s="13">
        <v>253263.0</v>
      </c>
      <c r="D1106" s="12" t="s">
        <v>90</v>
      </c>
      <c r="E1106" s="13" t="s">
        <v>1512</v>
      </c>
      <c r="F1106" s="58">
        <v>0.5208333333333334</v>
      </c>
      <c r="G1106" s="13"/>
    </row>
    <row r="1107" spans="8:8" ht="34.5" customHeight="1">
      <c r="A1107" s="11">
        <v>14.0</v>
      </c>
      <c r="B1107" s="12" t="s">
        <v>4511</v>
      </c>
      <c r="C1107" s="13">
        <v>253267.0</v>
      </c>
      <c r="D1107" s="12" t="s">
        <v>2922</v>
      </c>
      <c r="E1107" s="13" t="s">
        <v>1512</v>
      </c>
      <c r="F1107" s="58">
        <v>0.5208333333333334</v>
      </c>
      <c r="G1107" s="13"/>
    </row>
    <row r="1108" spans="8:8" ht="34.5" customHeight="1">
      <c r="A1108" s="11">
        <v>15.0</v>
      </c>
      <c r="B1108" s="12" t="s">
        <v>4512</v>
      </c>
      <c r="C1108" s="13">
        <v>253079.0</v>
      </c>
      <c r="D1108" s="12" t="s">
        <v>94</v>
      </c>
      <c r="E1108" s="13" t="s">
        <v>1512</v>
      </c>
      <c r="F1108" s="58">
        <v>0.5208333333333334</v>
      </c>
      <c r="G1108" s="13"/>
    </row>
    <row r="1109" spans="8:8" ht="34.5" customHeight="1">
      <c r="A1109" s="11">
        <v>16.0</v>
      </c>
      <c r="B1109" s="12" t="s">
        <v>4513</v>
      </c>
      <c r="C1109" s="13">
        <v>253280.0</v>
      </c>
      <c r="D1109" s="12" t="s">
        <v>2922</v>
      </c>
      <c r="E1109" s="13" t="s">
        <v>1512</v>
      </c>
      <c r="F1109" s="58">
        <v>0.5208333333333334</v>
      </c>
      <c r="G1109" s="13"/>
    </row>
    <row r="1110" spans="8:8" ht="34.5" customHeight="1">
      <c r="A1110" s="11">
        <v>17.0</v>
      </c>
      <c r="B1110" s="12" t="s">
        <v>4514</v>
      </c>
      <c r="C1110" s="13">
        <v>252149.0</v>
      </c>
      <c r="D1110" s="12" t="s">
        <v>104</v>
      </c>
      <c r="E1110" s="13" t="s">
        <v>1512</v>
      </c>
      <c r="F1110" s="58">
        <v>0.5208333333333334</v>
      </c>
      <c r="G1110" s="13"/>
    </row>
    <row r="1111" spans="8:8" ht="34.5" customHeight="1">
      <c r="A1111" s="11">
        <v>18.0</v>
      </c>
      <c r="B1111" s="12" t="s">
        <v>4515</v>
      </c>
      <c r="C1111" s="13">
        <v>253272.0</v>
      </c>
      <c r="D1111" s="12" t="s">
        <v>90</v>
      </c>
      <c r="E1111" s="13" t="s">
        <v>1512</v>
      </c>
      <c r="F1111" s="58">
        <v>0.5208333333333334</v>
      </c>
      <c r="G1111" s="13"/>
    </row>
    <row r="1112" spans="8:8" ht="34.5" customHeight="1">
      <c r="A1112" s="11">
        <v>19.0</v>
      </c>
      <c r="B1112" s="12" t="s">
        <v>4516</v>
      </c>
      <c r="C1112" s="13">
        <v>253284.0</v>
      </c>
      <c r="D1112" s="12" t="s">
        <v>90</v>
      </c>
      <c r="E1112" s="13" t="s">
        <v>1512</v>
      </c>
      <c r="F1112" s="58">
        <v>0.5208333333333334</v>
      </c>
      <c r="G1112" s="13"/>
    </row>
    <row r="1113" spans="8:8" ht="34.5" customHeight="1">
      <c r="A1113" s="11">
        <v>20.0</v>
      </c>
      <c r="B1113" s="12" t="s">
        <v>4517</v>
      </c>
      <c r="C1113" s="13">
        <v>253269.0</v>
      </c>
      <c r="D1113" s="12" t="s">
        <v>90</v>
      </c>
      <c r="E1113" s="13" t="s">
        <v>1512</v>
      </c>
      <c r="F1113" s="58">
        <v>0.5208333333333334</v>
      </c>
      <c r="G1113" s="13"/>
    </row>
    <row r="1114" spans="8:8" ht="34.5" customHeight="1">
      <c r="A1114" s="8" t="s">
        <v>18</v>
      </c>
      <c r="B1114" s="9" t="s">
        <v>19</v>
      </c>
      <c r="C1114" s="9" t="s">
        <v>20</v>
      </c>
      <c r="D1114" s="9" t="s">
        <v>21</v>
      </c>
      <c r="E1114" s="9" t="s">
        <v>22</v>
      </c>
      <c r="F1114" s="9" t="s">
        <v>23</v>
      </c>
      <c r="G1114" s="9" t="s">
        <v>3417</v>
      </c>
    </row>
    <row r="1115" spans="8:8" ht="34.5" customHeight="1">
      <c r="A1115" s="11">
        <v>1.0</v>
      </c>
      <c r="B1115" s="12" t="s">
        <v>4518</v>
      </c>
      <c r="C1115" s="13">
        <v>241527.0</v>
      </c>
      <c r="D1115" s="23" t="s">
        <v>1369</v>
      </c>
      <c r="E1115" s="13" t="s">
        <v>1490</v>
      </c>
      <c r="F1115" s="58">
        <v>0.5208333333333334</v>
      </c>
      <c r="G1115" s="13"/>
    </row>
    <row r="1116" spans="8:8" ht="34.5" customHeight="1">
      <c r="A1116" s="11">
        <v>2.0</v>
      </c>
      <c r="B1116" s="12" t="s">
        <v>4519</v>
      </c>
      <c r="C1116" s="13">
        <v>241530.0</v>
      </c>
      <c r="D1116" s="23" t="s">
        <v>1369</v>
      </c>
      <c r="E1116" s="13" t="s">
        <v>1490</v>
      </c>
      <c r="F1116" s="58">
        <v>0.5208333333333334</v>
      </c>
      <c r="G1116" s="13"/>
    </row>
    <row r="1117" spans="8:8" ht="34.5" customHeight="1">
      <c r="A1117" s="11">
        <v>3.0</v>
      </c>
      <c r="B1117" s="12" t="s">
        <v>4520</v>
      </c>
      <c r="C1117" s="13">
        <v>241193.0</v>
      </c>
      <c r="D1117" s="23" t="s">
        <v>1369</v>
      </c>
      <c r="E1117" s="13" t="s">
        <v>1490</v>
      </c>
      <c r="F1117" s="58">
        <v>0.5208333333333334</v>
      </c>
      <c r="G1117" s="13"/>
    </row>
    <row r="1118" spans="8:8" ht="34.5" customHeight="1">
      <c r="A1118" s="11">
        <v>4.0</v>
      </c>
      <c r="B1118" s="12" t="s">
        <v>4521</v>
      </c>
      <c r="C1118" s="13">
        <v>241268.0</v>
      </c>
      <c r="D1118" s="23" t="s">
        <v>1369</v>
      </c>
      <c r="E1118" s="13" t="s">
        <v>1490</v>
      </c>
      <c r="F1118" s="58">
        <v>0.5208333333333334</v>
      </c>
      <c r="G1118" s="13"/>
    </row>
    <row r="1119" spans="8:8" ht="34.5" customHeight="1">
      <c r="A1119" s="11">
        <v>5.0</v>
      </c>
      <c r="B1119" s="12" t="s">
        <v>4522</v>
      </c>
      <c r="C1119" s="13">
        <v>253190.0</v>
      </c>
      <c r="D1119" s="12" t="s">
        <v>1065</v>
      </c>
      <c r="E1119" s="13" t="s">
        <v>1490</v>
      </c>
      <c r="F1119" s="58">
        <v>0.5208333333333334</v>
      </c>
      <c r="G1119" s="13"/>
    </row>
    <row r="1120" spans="8:8" ht="34.5" customHeight="1">
      <c r="A1120" s="11">
        <v>6.0</v>
      </c>
      <c r="B1120" s="12" t="s">
        <v>4523</v>
      </c>
      <c r="C1120" s="13">
        <v>240259.0</v>
      </c>
      <c r="D1120" s="12" t="s">
        <v>2932</v>
      </c>
      <c r="E1120" s="13" t="s">
        <v>1490</v>
      </c>
      <c r="F1120" s="58">
        <v>0.5208333333333334</v>
      </c>
      <c r="G1120" s="13"/>
    </row>
    <row r="1121" spans="8:8" ht="34.5" customHeight="1">
      <c r="A1121" s="11">
        <v>7.0</v>
      </c>
      <c r="B1121" s="12" t="s">
        <v>4524</v>
      </c>
      <c r="C1121" s="13">
        <v>240137.0</v>
      </c>
      <c r="D1121" s="12" t="s">
        <v>1065</v>
      </c>
      <c r="E1121" s="13" t="s">
        <v>1490</v>
      </c>
      <c r="F1121" s="58">
        <v>0.5208333333333334</v>
      </c>
      <c r="G1121" s="13"/>
    </row>
    <row r="1122" spans="8:8" ht="34.5" customHeight="1">
      <c r="A1122" s="11">
        <v>8.0</v>
      </c>
      <c r="B1122" s="12" t="s">
        <v>4525</v>
      </c>
      <c r="C1122" s="13">
        <v>241212.0</v>
      </c>
      <c r="D1122" s="23" t="s">
        <v>1369</v>
      </c>
      <c r="E1122" s="13" t="s">
        <v>1490</v>
      </c>
      <c r="F1122" s="58">
        <v>0.5208333333333334</v>
      </c>
      <c r="G1122" s="13"/>
    </row>
    <row r="1123" spans="8:8" ht="34.5" customHeight="1">
      <c r="A1123" s="11">
        <v>9.0</v>
      </c>
      <c r="B1123" s="12" t="s">
        <v>4526</v>
      </c>
      <c r="C1123" s="13">
        <v>241192.0</v>
      </c>
      <c r="D1123" s="23" t="s">
        <v>1369</v>
      </c>
      <c r="E1123" s="13" t="s">
        <v>1490</v>
      </c>
      <c r="F1123" s="58">
        <v>0.5208333333333334</v>
      </c>
      <c r="G1123" s="13"/>
    </row>
    <row r="1124" spans="8:8" ht="34.5" customHeight="1">
      <c r="A1124" s="11">
        <v>10.0</v>
      </c>
      <c r="B1124" s="12" t="s">
        <v>4527</v>
      </c>
      <c r="C1124" s="13">
        <v>241181.0</v>
      </c>
      <c r="D1124" s="23" t="s">
        <v>1369</v>
      </c>
      <c r="E1124" s="13" t="s">
        <v>1490</v>
      </c>
      <c r="F1124" s="58">
        <v>0.5208333333333334</v>
      </c>
      <c r="G1124" s="13"/>
    </row>
    <row r="1125" spans="8:8" ht="34.5" customHeight="1">
      <c r="A1125" s="11">
        <v>11.0</v>
      </c>
      <c r="B1125" s="23" t="s">
        <v>4528</v>
      </c>
      <c r="C1125" s="24">
        <v>241880.0</v>
      </c>
      <c r="D1125" s="23" t="s">
        <v>27</v>
      </c>
      <c r="E1125" s="24" t="s">
        <v>1490</v>
      </c>
      <c r="F1125" s="58">
        <v>0.5208333333333334</v>
      </c>
      <c r="G1125" s="24"/>
    </row>
    <row r="1126" spans="8:8" ht="34.5" customHeight="1">
      <c r="A1126" s="8" t="s">
        <v>18</v>
      </c>
      <c r="B1126" s="9" t="s">
        <v>19</v>
      </c>
      <c r="C1126" s="9" t="s">
        <v>20</v>
      </c>
      <c r="D1126" s="9" t="s">
        <v>21</v>
      </c>
      <c r="E1126" s="9" t="s">
        <v>22</v>
      </c>
      <c r="F1126" s="9" t="s">
        <v>23</v>
      </c>
      <c r="G1126" s="9" t="s">
        <v>982</v>
      </c>
    </row>
    <row r="1127" spans="8:8" ht="34.5" customHeight="1">
      <c r="A1127" s="24"/>
      <c r="B1127" s="119"/>
      <c r="C1127" s="119"/>
      <c r="D1127" s="119"/>
      <c r="E1127" s="119"/>
      <c r="F1127" s="58">
        <v>0.5208333333333334</v>
      </c>
      <c r="G1127" s="20"/>
    </row>
    <row r="1128" spans="8:8" ht="34.5" customHeight="1">
      <c r="A1128" s="24"/>
      <c r="B1128" s="119"/>
      <c r="C1128" s="119"/>
      <c r="D1128" s="119"/>
      <c r="E1128" s="119"/>
      <c r="F1128" s="58">
        <v>0.5208333333333334</v>
      </c>
      <c r="G1128" s="119"/>
    </row>
    <row r="1129" spans="8:8" ht="34.5" customHeight="1">
      <c r="A1129" s="24"/>
      <c r="B1129" s="119"/>
      <c r="C1129" s="119"/>
      <c r="D1129" s="119"/>
      <c r="E1129" s="119"/>
      <c r="F1129" s="58">
        <v>0.5208333333333334</v>
      </c>
      <c r="G1129" s="119"/>
    </row>
    <row r="1130" spans="8:8" ht="34.5" customHeight="1">
      <c r="A1130" s="24"/>
      <c r="B1130" s="119"/>
      <c r="C1130" s="119"/>
      <c r="D1130" s="119"/>
      <c r="E1130" s="119"/>
      <c r="F1130" s="58">
        <v>0.5208333333333334</v>
      </c>
      <c r="G1130" s="119"/>
    </row>
    <row r="1131" spans="8:8" ht="34.5" customHeight="1">
      <c r="A1131" s="24"/>
      <c r="B1131" s="119"/>
      <c r="C1131" s="119"/>
      <c r="D1131" s="119"/>
      <c r="E1131" s="119"/>
      <c r="F1131" s="119"/>
      <c r="G1131" s="119"/>
    </row>
    <row r="1132" spans="8:8" ht="34.5" customHeight="1">
      <c r="A1132" s="24"/>
      <c r="B1132" s="119"/>
      <c r="C1132" s="119"/>
      <c r="D1132" s="119"/>
      <c r="E1132" s="119"/>
      <c r="F1132" s="119"/>
      <c r="G1132" s="119"/>
    </row>
    <row r="1133" spans="8:8" ht="34.5" customHeight="1">
      <c r="A1133" s="24"/>
      <c r="B1133" s="119"/>
      <c r="C1133" s="119"/>
      <c r="D1133" s="119"/>
      <c r="E1133" s="119"/>
      <c r="F1133" s="119"/>
      <c r="G1133" s="119"/>
    </row>
    <row r="1134" spans="8:8" ht="34.5" customHeight="1">
      <c r="A1134" s="24"/>
      <c r="B1134" s="119"/>
      <c r="C1134" s="119"/>
      <c r="D1134" s="119"/>
      <c r="E1134" s="119"/>
      <c r="F1134" s="119"/>
      <c r="G1134" s="119"/>
    </row>
    <row r="1135" spans="8:8" ht="34.5" customHeight="1">
      <c r="A1135" s="24"/>
      <c r="B1135" s="119"/>
      <c r="C1135" s="119"/>
      <c r="D1135" s="119"/>
      <c r="E1135" s="119"/>
      <c r="F1135" s="119"/>
      <c r="G1135" s="119"/>
    </row>
    <row r="1136" spans="8:8" ht="34.5" customHeight="1">
      <c r="A1136" s="24"/>
      <c r="B1136" s="119"/>
      <c r="C1136" s="119"/>
      <c r="D1136" s="119"/>
      <c r="E1136" s="119"/>
      <c r="F1136" s="119"/>
      <c r="G1136" s="119"/>
    </row>
    <row r="1137" spans="8:8" ht="34.5" customHeight="1">
      <c r="A1137" s="24"/>
      <c r="B1137" s="119"/>
      <c r="C1137" s="119"/>
      <c r="D1137" s="119"/>
      <c r="E1137" s="119"/>
      <c r="F1137" s="119"/>
      <c r="G1137" s="119"/>
    </row>
    <row r="1138" spans="8:8" ht="34.5" customHeight="1">
      <c r="A1138" s="24"/>
      <c r="B1138" s="119"/>
      <c r="C1138" s="119"/>
      <c r="D1138" s="119"/>
      <c r="E1138" s="119"/>
      <c r="F1138" s="119"/>
      <c r="G1138" s="119"/>
    </row>
    <row r="1139" spans="8:8" ht="34.5" customHeight="1">
      <c r="A1139" s="24"/>
      <c r="B1139" s="119"/>
      <c r="C1139" s="119"/>
      <c r="D1139" s="119"/>
      <c r="E1139" s="119"/>
      <c r="F1139" s="119"/>
      <c r="G1139" s="119"/>
    </row>
    <row r="1140" spans="8:8" ht="34.5" customHeight="1">
      <c r="A1140" s="24"/>
      <c r="B1140" s="119"/>
      <c r="C1140" s="119"/>
      <c r="D1140" s="119"/>
      <c r="E1140" s="119"/>
      <c r="F1140" s="119"/>
      <c r="G1140" s="119"/>
    </row>
    <row r="1141" spans="8:8" ht="34.5" customHeight="1">
      <c r="A1141" s="24"/>
      <c r="B1141" s="119"/>
      <c r="C1141" s="119"/>
      <c r="D1141" s="119"/>
      <c r="E1141" s="119"/>
      <c r="F1141" s="119"/>
      <c r="G1141" s="119"/>
    </row>
    <row r="1142" spans="8:8" ht="34.5" customHeight="1">
      <c r="A1142" s="24"/>
      <c r="B1142" s="119"/>
      <c r="C1142" s="119"/>
      <c r="D1142" s="119"/>
      <c r="E1142" s="119"/>
      <c r="F1142" s="119"/>
      <c r="G1142" s="119"/>
    </row>
    <row r="1143" spans="8:8" ht="34.5" customHeight="1">
      <c r="A1143" s="24"/>
      <c r="B1143" s="119"/>
      <c r="C1143" s="119"/>
      <c r="D1143" s="119"/>
      <c r="E1143" s="119"/>
      <c r="F1143" s="119"/>
      <c r="G1143" s="119"/>
    </row>
    <row r="1144" spans="8:8" ht="34.5" customHeight="1">
      <c r="A1144" s="24"/>
      <c r="B1144" s="119"/>
      <c r="C1144" s="119"/>
      <c r="D1144" s="119"/>
      <c r="E1144" s="119"/>
      <c r="F1144" s="119"/>
      <c r="G1144" s="119"/>
    </row>
    <row r="1145" spans="8:8" ht="34.5" customHeight="1">
      <c r="A1145" s="20"/>
      <c r="B1145" s="119"/>
      <c r="C1145" s="119"/>
      <c r="D1145" s="119"/>
      <c r="E1145" s="119"/>
      <c r="F1145" s="119"/>
      <c r="G1145" s="119"/>
    </row>
    <row r="1146" spans="8:8" ht="34.5" customHeight="1">
      <c r="A1146" s="20"/>
      <c r="B1146" s="119"/>
      <c r="C1146" s="119"/>
      <c r="D1146" s="119"/>
      <c r="E1146" s="119"/>
      <c r="F1146" s="119"/>
      <c r="G1146" s="119"/>
    </row>
    <row r="1147" spans="8:8" ht="34.5" customHeight="1">
      <c r="A1147" s="20"/>
      <c r="B1147" s="119"/>
      <c r="C1147" s="119"/>
      <c r="D1147" s="119"/>
      <c r="E1147" s="119"/>
      <c r="F1147" s="119"/>
      <c r="G1147" s="119"/>
    </row>
    <row r="1148" spans="8:8" ht="34.5" customHeight="1">
      <c r="A1148" s="20"/>
      <c r="B1148" s="119"/>
      <c r="C1148" s="119"/>
      <c r="D1148" s="119"/>
      <c r="E1148" s="119"/>
      <c r="F1148" s="119"/>
      <c r="G1148" s="119"/>
    </row>
    <row r="1149" spans="8:8" ht="34.5" customHeight="1">
      <c r="A1149" s="20"/>
      <c r="B1149" s="119"/>
      <c r="C1149" s="119"/>
      <c r="D1149" s="119"/>
      <c r="E1149" s="119"/>
      <c r="F1149" s="119"/>
      <c r="G1149" s="119"/>
    </row>
    <row r="1150" spans="8:8" ht="34.5" customHeight="1">
      <c r="A1150" s="20"/>
      <c r="B1150" s="119"/>
      <c r="C1150" s="119"/>
      <c r="D1150" s="119"/>
      <c r="E1150" s="119"/>
      <c r="F1150" s="119"/>
      <c r="G1150" s="119"/>
    </row>
    <row r="1151" spans="8:8" ht="34.5" customHeight="1">
      <c r="A1151" s="20"/>
      <c r="B1151" s="119"/>
      <c r="C1151" s="119"/>
      <c r="D1151" s="119"/>
      <c r="E1151" s="119"/>
      <c r="F1151" s="119"/>
      <c r="G1151" s="119"/>
    </row>
    <row r="1152" spans="8:8" ht="34.5" customHeight="1">
      <c r="A1152" s="20"/>
      <c r="B1152" s="119"/>
      <c r="C1152" s="119"/>
      <c r="D1152" s="119"/>
      <c r="E1152" s="119"/>
      <c r="F1152" s="119"/>
      <c r="G1152" s="119"/>
    </row>
    <row r="1153" spans="8:8" ht="34.5" customHeight="1">
      <c r="A1153" s="20"/>
      <c r="B1153" s="119"/>
      <c r="C1153" s="119"/>
      <c r="D1153" s="119"/>
      <c r="E1153" s="119"/>
      <c r="F1153" s="119"/>
      <c r="G1153" s="119"/>
    </row>
    <row r="1154" spans="8:8" ht="34.5" customHeight="1">
      <c r="A1154" s="20"/>
      <c r="B1154" s="119"/>
      <c r="C1154" s="119"/>
      <c r="D1154" s="119"/>
      <c r="E1154" s="119"/>
      <c r="F1154" s="119"/>
      <c r="G1154" s="119"/>
    </row>
    <row r="1155" spans="8:8" ht="34.5" customHeight="1">
      <c r="A1155" s="20"/>
      <c r="B1155" s="119"/>
      <c r="C1155" s="119"/>
      <c r="D1155" s="119"/>
      <c r="E1155" s="119"/>
      <c r="F1155" s="119"/>
      <c r="G1155" s="119"/>
    </row>
    <row r="1156" spans="8:8" ht="34.5" customHeight="1">
      <c r="A1156" s="20"/>
      <c r="B1156" s="119"/>
      <c r="C1156" s="119"/>
      <c r="D1156" s="119"/>
      <c r="E1156" s="119"/>
      <c r="F1156" s="119"/>
      <c r="G1156" s="119"/>
    </row>
    <row r="1157" spans="8:8" ht="34.5" customHeight="1">
      <c r="A1157" s="20"/>
      <c r="B1157" s="119"/>
      <c r="C1157" s="119"/>
      <c r="D1157" s="119"/>
      <c r="E1157" s="119"/>
      <c r="F1157" s="119"/>
      <c r="G1157" s="119"/>
    </row>
    <row r="1158" spans="8:8" ht="34.5" customHeight="1">
      <c r="A1158" s="20"/>
      <c r="B1158" s="119"/>
      <c r="C1158" s="119"/>
      <c r="D1158" s="119"/>
      <c r="E1158" s="119"/>
      <c r="F1158" s="119"/>
      <c r="G1158" s="119"/>
    </row>
    <row r="1159" spans="8:8" ht="34.5" customHeight="1">
      <c r="A1159" s="20"/>
      <c r="B1159" s="119"/>
      <c r="C1159" s="119"/>
      <c r="D1159" s="119"/>
      <c r="E1159" s="119"/>
      <c r="F1159" s="119"/>
      <c r="G1159" s="119"/>
    </row>
    <row r="1160" spans="8:8" ht="34.5" customHeight="1">
      <c r="A1160" s="20"/>
      <c r="B1160" s="119"/>
      <c r="C1160" s="119"/>
      <c r="D1160" s="119"/>
      <c r="E1160" s="119"/>
      <c r="F1160" s="119"/>
      <c r="G1160" s="119"/>
    </row>
    <row r="1161" spans="8:8" ht="34.5" customHeight="1">
      <c r="A1161" s="20"/>
      <c r="B1161" s="112"/>
      <c r="C1161" s="112"/>
      <c r="D1161" s="112"/>
      <c r="E1161" s="112"/>
      <c r="F1161" s="112"/>
      <c r="G1161" s="112"/>
    </row>
    <row r="1162" spans="8:8" ht="34.5" customHeight="1">
      <c r="A1162" s="20"/>
      <c r="B1162" s="112"/>
      <c r="C1162" s="112"/>
      <c r="D1162" s="112"/>
      <c r="E1162" s="112"/>
      <c r="F1162" s="112"/>
      <c r="G1162" s="112"/>
    </row>
    <row r="1163" spans="8:8" ht="34.5" customHeight="1">
      <c r="A1163" s="20"/>
      <c r="B1163" s="112"/>
      <c r="C1163" s="112"/>
      <c r="D1163" s="112"/>
      <c r="E1163" s="112"/>
      <c r="F1163" s="112"/>
      <c r="G1163" s="112"/>
    </row>
    <row r="1164" spans="8:8" ht="34.5" customHeight="1">
      <c r="A1164" s="20"/>
      <c r="B1164" s="112"/>
      <c r="C1164" s="112"/>
      <c r="D1164" s="112"/>
      <c r="E1164" s="112"/>
      <c r="F1164" s="112"/>
      <c r="G1164" s="112"/>
    </row>
    <row r="1165" spans="8:8" ht="34.5" customHeight="1">
      <c r="A1165" s="20"/>
      <c r="B1165" s="112"/>
      <c r="C1165" s="112"/>
      <c r="D1165" s="112"/>
      <c r="E1165" s="112"/>
      <c r="F1165" s="112"/>
      <c r="G1165" s="112"/>
    </row>
    <row r="1166" spans="8:8" ht="34.5" customHeight="1">
      <c r="A1166" s="20"/>
      <c r="B1166" s="112"/>
      <c r="C1166" s="112"/>
      <c r="D1166" s="112"/>
      <c r="E1166" s="112"/>
      <c r="F1166" s="112"/>
      <c r="G1166" s="112"/>
    </row>
    <row r="1167" spans="8:8" ht="34.5" customHeight="1">
      <c r="A1167" s="20"/>
      <c r="B1167" s="112"/>
      <c r="C1167" s="112"/>
      <c r="D1167" s="112"/>
      <c r="E1167" s="112"/>
      <c r="F1167" s="112"/>
      <c r="G1167" s="112"/>
    </row>
    <row r="1168" spans="8:8" ht="34.5" customHeight="1">
      <c r="A1168" s="20"/>
      <c r="B1168" s="112"/>
      <c r="C1168" s="112"/>
      <c r="D1168" s="112"/>
      <c r="E1168" s="112"/>
      <c r="F1168" s="112"/>
      <c r="G1168" s="112"/>
    </row>
    <row r="1169" spans="8:8" ht="34.5" customHeight="1">
      <c r="A1169" s="20"/>
      <c r="B1169" s="112"/>
      <c r="C1169" s="112"/>
      <c r="D1169" s="112"/>
      <c r="E1169" s="112"/>
      <c r="F1169" s="112"/>
      <c r="G1169" s="112"/>
    </row>
    <row r="1170" spans="8:8" ht="34.5" customHeight="1">
      <c r="A1170" s="20"/>
      <c r="B1170" s="112"/>
      <c r="C1170" s="112"/>
      <c r="D1170" s="112"/>
      <c r="E1170" s="112"/>
      <c r="F1170" s="112"/>
      <c r="G1170" s="112"/>
    </row>
    <row r="1171" spans="8:8" ht="34.5" customHeight="1">
      <c r="A1171" s="20"/>
      <c r="B1171" s="112"/>
      <c r="C1171" s="112"/>
      <c r="D1171" s="112"/>
      <c r="E1171" s="112"/>
      <c r="F1171" s="112"/>
      <c r="G1171" s="112"/>
    </row>
    <row r="1172" spans="8:8" ht="34.5" customHeight="1">
      <c r="A1172" s="20"/>
      <c r="B1172" s="112"/>
      <c r="C1172" s="112"/>
      <c r="D1172" s="112"/>
      <c r="E1172" s="112"/>
      <c r="F1172" s="112"/>
      <c r="G1172" s="112"/>
    </row>
    <row r="1173" spans="8:8" ht="34.5" customHeight="1">
      <c r="A1173" s="20"/>
      <c r="B1173" s="112"/>
      <c r="C1173" s="112"/>
      <c r="D1173" s="112"/>
      <c r="E1173" s="112"/>
      <c r="F1173" s="112"/>
      <c r="G1173" s="112"/>
    </row>
    <row r="1174" spans="8:8" ht="34.5" customHeight="1">
      <c r="A1174" s="20"/>
      <c r="B1174" s="112"/>
      <c r="C1174" s="112"/>
      <c r="D1174" s="112"/>
      <c r="E1174" s="112"/>
      <c r="F1174" s="112"/>
      <c r="G1174" s="112"/>
    </row>
    <row r="1175" spans="8:8" ht="34.5" customHeight="1">
      <c r="A1175" s="20"/>
      <c r="B1175" s="112"/>
      <c r="C1175" s="112"/>
      <c r="D1175" s="112"/>
      <c r="E1175" s="112"/>
      <c r="F1175" s="112"/>
      <c r="G1175" s="112"/>
    </row>
    <row r="1176" spans="8:8" ht="34.5" customHeight="1">
      <c r="A1176" s="20"/>
      <c r="B1176" s="112"/>
      <c r="C1176" s="112"/>
      <c r="D1176" s="112"/>
      <c r="E1176" s="112"/>
      <c r="F1176" s="112"/>
      <c r="G1176" s="112"/>
    </row>
    <row r="1177" spans="8:8" ht="34.5" customHeight="1">
      <c r="A1177" s="20"/>
      <c r="B1177" s="112"/>
      <c r="C1177" s="112"/>
      <c r="D1177" s="112"/>
      <c r="E1177" s="112"/>
      <c r="F1177" s="112"/>
      <c r="G1177" s="112"/>
    </row>
    <row r="1178" spans="8:8" ht="34.5" customHeight="1">
      <c r="A1178" s="20"/>
      <c r="B1178" s="112"/>
      <c r="C1178" s="112"/>
      <c r="D1178" s="112"/>
      <c r="E1178" s="112"/>
      <c r="F1178" s="112"/>
      <c r="G1178" s="112"/>
    </row>
    <row r="1179" spans="8:8" ht="34.5" customHeight="1">
      <c r="A1179" s="20"/>
      <c r="B1179" s="112"/>
      <c r="C1179" s="112"/>
      <c r="D1179" s="112"/>
      <c r="E1179" s="112"/>
      <c r="F1179" s="112"/>
      <c r="G1179" s="112"/>
    </row>
    <row r="1180" spans="8:8" ht="34.5" customHeight="1">
      <c r="A1180" s="20"/>
      <c r="B1180" s="112"/>
      <c r="C1180" s="112"/>
      <c r="D1180" s="112"/>
      <c r="E1180" s="112"/>
      <c r="F1180" s="112"/>
      <c r="G1180" s="112"/>
    </row>
    <row r="1181" spans="8:8" ht="34.5" customHeight="1">
      <c r="A1181" s="20"/>
      <c r="B1181" s="112"/>
      <c r="C1181" s="112"/>
      <c r="D1181" s="112"/>
      <c r="E1181" s="112"/>
      <c r="F1181" s="112"/>
      <c r="G1181" s="112"/>
    </row>
    <row r="1182" spans="8:8" ht="34.5" customHeight="1">
      <c r="A1182" s="20"/>
      <c r="B1182" s="112"/>
      <c r="C1182" s="112"/>
      <c r="D1182" s="112"/>
      <c r="E1182" s="112"/>
      <c r="F1182" s="112"/>
      <c r="G1182" s="112"/>
    </row>
    <row r="1183" spans="8:8" ht="34.5" customHeight="1">
      <c r="A1183" s="20"/>
      <c r="B1183" s="119"/>
      <c r="C1183" s="119"/>
      <c r="D1183" s="119"/>
      <c r="E1183" s="119"/>
      <c r="F1183" s="119"/>
      <c r="G1183" s="119"/>
    </row>
    <row r="1184" spans="8:8" ht="34.5" customHeight="1">
      <c r="A1184" s="20"/>
      <c r="B1184" s="119"/>
      <c r="C1184" s="119"/>
      <c r="D1184" s="119"/>
      <c r="E1184" s="119"/>
      <c r="F1184" s="119"/>
      <c r="G1184" s="119"/>
    </row>
    <row r="1185" spans="8:8" ht="34.5" customHeight="1">
      <c r="A1185" s="20"/>
      <c r="B1185" s="119"/>
      <c r="C1185" s="119"/>
      <c r="D1185" s="119"/>
      <c r="E1185" s="119"/>
      <c r="F1185" s="119"/>
      <c r="G1185" s="119"/>
    </row>
    <row r="1186" spans="8:8" ht="34.5" customHeight="1">
      <c r="A1186" s="20"/>
      <c r="B1186" s="119"/>
      <c r="C1186" s="119"/>
      <c r="D1186" s="119"/>
      <c r="E1186" s="119"/>
      <c r="F1186" s="119"/>
      <c r="G1186" s="119"/>
    </row>
    <row r="1187" spans="8:8" ht="34.5" customHeight="1">
      <c r="A1187" s="20"/>
      <c r="B1187" s="119"/>
      <c r="C1187" s="119"/>
      <c r="D1187" s="119"/>
      <c r="E1187" s="119"/>
      <c r="F1187" s="119"/>
      <c r="G1187" s="119"/>
    </row>
    <row r="1188" spans="8:8" ht="34.5" customHeight="1">
      <c r="A1188" s="20"/>
      <c r="B1188" s="119"/>
      <c r="C1188" s="119"/>
      <c r="D1188" s="119"/>
      <c r="E1188" s="119"/>
      <c r="F1188" s="119"/>
      <c r="G1188" s="119"/>
    </row>
    <row r="1189" spans="8:8" ht="34.5" customHeight="1">
      <c r="A1189" s="20"/>
      <c r="B1189" s="119"/>
      <c r="C1189" s="119"/>
      <c r="D1189" s="119"/>
      <c r="E1189" s="119"/>
      <c r="F1189" s="119"/>
      <c r="G1189" s="119"/>
    </row>
    <row r="1190" spans="8:8" ht="34.5" customHeight="1">
      <c r="A1190" s="20"/>
      <c r="B1190" s="119"/>
      <c r="C1190" s="119"/>
      <c r="D1190" s="119"/>
      <c r="E1190" s="119"/>
      <c r="F1190" s="119"/>
      <c r="G1190" s="119"/>
    </row>
    <row r="1191" spans="8:8" ht="34.5" customHeight="1">
      <c r="A1191" s="20"/>
      <c r="B1191" s="119"/>
      <c r="C1191" s="119"/>
      <c r="D1191" s="119"/>
      <c r="E1191" s="119"/>
      <c r="F1191" s="119"/>
      <c r="G1191" s="119"/>
    </row>
    <row r="1192" spans="8:8" ht="34.5" customHeight="1">
      <c r="A1192" s="20"/>
      <c r="B1192" s="119"/>
      <c r="C1192" s="119"/>
      <c r="D1192" s="119"/>
      <c r="E1192" s="119"/>
      <c r="F1192" s="119"/>
      <c r="G1192" s="119"/>
    </row>
    <row r="1193" spans="8:8" ht="34.5" customHeight="1">
      <c r="A1193" s="20"/>
      <c r="B1193" s="119"/>
      <c r="C1193" s="119"/>
      <c r="D1193" s="119"/>
      <c r="E1193" s="119"/>
      <c r="F1193" s="119"/>
      <c r="G1193" s="119"/>
    </row>
    <row r="1194" spans="8:8" ht="34.5" customHeight="1">
      <c r="A1194" s="20"/>
      <c r="B1194" s="112"/>
      <c r="C1194" s="112"/>
      <c r="D1194" s="112"/>
      <c r="E1194" s="112"/>
      <c r="F1194" s="112"/>
      <c r="G1194" s="112"/>
    </row>
    <row r="1195" spans="8:8" ht="34.5" customHeight="1">
      <c r="A1195" s="20"/>
      <c r="B1195" s="112"/>
      <c r="C1195" s="112"/>
      <c r="D1195" s="112"/>
      <c r="E1195" s="112"/>
      <c r="F1195" s="112"/>
      <c r="G1195" s="112"/>
    </row>
    <row r="1196" spans="8:8" ht="34.5" customHeight="1">
      <c r="A1196" s="20"/>
      <c r="B1196" s="112"/>
      <c r="C1196" s="112"/>
      <c r="D1196" s="112"/>
      <c r="E1196" s="112"/>
      <c r="F1196" s="112"/>
      <c r="G1196" s="112"/>
    </row>
    <row r="1197" spans="8:8" ht="34.5" customHeight="1">
      <c r="A1197" s="20"/>
      <c r="B1197" s="112"/>
      <c r="C1197" s="112"/>
      <c r="D1197" s="112"/>
      <c r="E1197" s="112"/>
      <c r="F1197" s="112"/>
      <c r="G1197" s="112"/>
    </row>
    <row r="1198" spans="8:8" ht="34.5" customHeight="1">
      <c r="A1198" s="20"/>
      <c r="B1198" s="112"/>
      <c r="C1198" s="112"/>
      <c r="D1198" s="112"/>
      <c r="E1198" s="112"/>
      <c r="F1198" s="112"/>
      <c r="G1198" s="112"/>
    </row>
    <row r="1199" spans="8:8" ht="34.5" customHeight="1">
      <c r="A1199" s="20"/>
      <c r="B1199" s="112"/>
      <c r="C1199" s="112"/>
      <c r="D1199" s="112"/>
      <c r="E1199" s="112"/>
      <c r="F1199" s="112"/>
      <c r="G1199" s="112"/>
    </row>
    <row r="1200" spans="8:8" ht="34.5" customHeight="1">
      <c r="A1200" s="20"/>
      <c r="B1200" s="112"/>
      <c r="C1200" s="112"/>
      <c r="D1200" s="112"/>
      <c r="E1200" s="112"/>
      <c r="F1200" s="112"/>
      <c r="G1200" s="112"/>
    </row>
    <row r="1201" spans="8:8" ht="34.5" customHeight="1">
      <c r="A1201" s="20"/>
      <c r="B1201" s="112"/>
      <c r="C1201" s="112"/>
      <c r="D1201" s="112"/>
      <c r="E1201" s="112"/>
      <c r="F1201" s="112"/>
      <c r="G1201" s="112"/>
    </row>
    <row r="1202" spans="8:8" ht="34.5" customHeight="1">
      <c r="A1202" s="20"/>
      <c r="B1202" s="112"/>
      <c r="C1202" s="112"/>
      <c r="D1202" s="112"/>
      <c r="E1202" s="112"/>
      <c r="F1202" s="112"/>
      <c r="G1202" s="112"/>
    </row>
    <row r="1203" spans="8:8" ht="34.5" customHeight="1">
      <c r="A1203" s="20"/>
      <c r="B1203" s="112"/>
      <c r="C1203" s="112"/>
      <c r="D1203" s="112"/>
      <c r="E1203" s="112"/>
      <c r="F1203" s="112"/>
      <c r="G1203" s="112"/>
    </row>
    <row r="1204" spans="8:8" ht="34.5" customHeight="1">
      <c r="A1204" s="20"/>
      <c r="B1204" s="112"/>
      <c r="C1204" s="112"/>
      <c r="D1204" s="112"/>
      <c r="E1204" s="112"/>
      <c r="F1204" s="112"/>
      <c r="G1204" s="112"/>
    </row>
    <row r="1205" spans="8:8" ht="34.5" customHeight="1">
      <c r="A1205" s="20"/>
      <c r="B1205" s="112"/>
      <c r="C1205" s="112"/>
      <c r="D1205" s="112"/>
      <c r="E1205" s="112"/>
      <c r="F1205" s="112"/>
      <c r="G1205" s="112"/>
    </row>
    <row r="1206" spans="8:8" ht="34.5" customHeight="1">
      <c r="A1206" s="20"/>
      <c r="B1206" s="112"/>
      <c r="C1206" s="112"/>
      <c r="D1206" s="112"/>
      <c r="E1206" s="112"/>
      <c r="F1206" s="112"/>
      <c r="G1206" s="112"/>
    </row>
    <row r="1207" spans="8:8" ht="34.5" customHeight="1">
      <c r="A1207" s="20"/>
      <c r="B1207" s="112"/>
      <c r="C1207" s="112"/>
      <c r="D1207" s="112"/>
      <c r="E1207" s="112"/>
      <c r="F1207" s="112"/>
      <c r="G1207" s="112"/>
    </row>
    <row r="1208" spans="8:8" ht="34.5" customHeight="1">
      <c r="A1208" s="20"/>
      <c r="B1208" s="112"/>
      <c r="C1208" s="112"/>
      <c r="D1208" s="112"/>
      <c r="E1208" s="112"/>
      <c r="F1208" s="112"/>
      <c r="G1208" s="112"/>
    </row>
    <row r="1209" spans="8:8" ht="34.5" customHeight="1">
      <c r="A1209" s="20"/>
      <c r="B1209" s="112"/>
      <c r="C1209" s="112"/>
      <c r="D1209" s="112"/>
      <c r="E1209" s="112"/>
      <c r="F1209" s="112"/>
      <c r="G1209" s="112"/>
    </row>
    <row r="1210" spans="8:8" ht="34.5" customHeight="1">
      <c r="A1210" s="20"/>
      <c r="B1210" s="112"/>
      <c r="C1210" s="112"/>
      <c r="D1210" s="112"/>
      <c r="E1210" s="112"/>
      <c r="F1210" s="112"/>
      <c r="G1210" s="112"/>
    </row>
    <row r="1211" spans="8:8" ht="34.5" customHeight="1">
      <c r="A1211" s="20"/>
      <c r="B1211" s="112"/>
      <c r="C1211" s="112"/>
      <c r="D1211" s="112"/>
      <c r="E1211" s="112"/>
      <c r="F1211" s="112"/>
      <c r="G1211" s="112"/>
    </row>
    <row r="1212" spans="8:8" ht="34.5" customHeight="1">
      <c r="A1212" s="20"/>
      <c r="B1212" s="112"/>
      <c r="C1212" s="112"/>
      <c r="D1212" s="112"/>
      <c r="E1212" s="112"/>
      <c r="F1212" s="112"/>
      <c r="G1212" s="112"/>
    </row>
    <row r="1213" spans="8:8" ht="34.5" customHeight="1">
      <c r="A1213" s="20"/>
      <c r="B1213" s="112"/>
      <c r="C1213" s="112"/>
      <c r="D1213" s="112"/>
      <c r="E1213" s="112"/>
      <c r="F1213" s="112"/>
      <c r="G1213" s="112"/>
    </row>
    <row r="1214" spans="8:8" ht="34.5" customHeight="1">
      <c r="A1214" s="20"/>
      <c r="B1214" s="112"/>
      <c r="C1214" s="112"/>
      <c r="D1214" s="112"/>
      <c r="E1214" s="112"/>
      <c r="F1214" s="112"/>
      <c r="G1214" s="112"/>
    </row>
    <row r="1215" spans="8:8" ht="34.5" customHeight="1">
      <c r="A1215" s="20"/>
      <c r="B1215" s="112"/>
      <c r="C1215" s="112"/>
      <c r="D1215" s="112"/>
      <c r="E1215" s="112"/>
      <c r="F1215" s="112"/>
      <c r="G1215" s="112"/>
    </row>
    <row r="1216" spans="8:8" ht="34.5" customHeight="1">
      <c r="A1216" s="20"/>
      <c r="B1216" s="112"/>
      <c r="C1216" s="112"/>
      <c r="D1216" s="112"/>
      <c r="E1216" s="112"/>
      <c r="F1216" s="112"/>
      <c r="G1216" s="112"/>
    </row>
    <row r="1217" spans="8:8" ht="34.5" customHeight="1">
      <c r="A1217" s="20"/>
      <c r="B1217" s="112"/>
      <c r="C1217" s="112"/>
      <c r="D1217" s="112"/>
      <c r="E1217" s="112"/>
      <c r="F1217" s="112"/>
      <c r="G1217" s="112"/>
    </row>
    <row r="1218" spans="8:8" ht="34.5" customHeight="1">
      <c r="A1218" s="20"/>
      <c r="B1218" s="112"/>
      <c r="C1218" s="112"/>
      <c r="D1218" s="112"/>
      <c r="E1218" s="112"/>
      <c r="F1218" s="112"/>
      <c r="G1218" s="112"/>
    </row>
    <row r="1219" spans="8:8" ht="34.5" customHeight="1">
      <c r="A1219" s="20"/>
      <c r="B1219" s="112"/>
      <c r="C1219" s="112"/>
      <c r="D1219" s="112"/>
      <c r="E1219" s="112"/>
      <c r="F1219" s="112"/>
      <c r="G1219" s="112"/>
    </row>
    <row r="1220" spans="8:8" ht="34.5" customHeight="1">
      <c r="A1220" s="20"/>
      <c r="B1220" s="112"/>
      <c r="C1220" s="112"/>
      <c r="D1220" s="112"/>
      <c r="E1220" s="112"/>
      <c r="F1220" s="112"/>
      <c r="G1220" s="112"/>
    </row>
    <row r="1221" spans="8:8" ht="34.5" customHeight="1">
      <c r="A1221" s="20"/>
      <c r="B1221" s="112"/>
      <c r="C1221" s="112"/>
      <c r="D1221" s="112"/>
      <c r="E1221" s="112"/>
      <c r="F1221" s="112"/>
      <c r="G1221" s="112"/>
    </row>
    <row r="1222" spans="8:8" ht="34.5" customHeight="1">
      <c r="A1222" s="20"/>
      <c r="B1222" s="112"/>
      <c r="C1222" s="112"/>
      <c r="D1222" s="112"/>
      <c r="E1222" s="112"/>
      <c r="F1222" s="112"/>
      <c r="G1222" s="112"/>
    </row>
    <row r="1223" spans="8:8" ht="34.5" customHeight="1">
      <c r="A1223" s="24"/>
      <c r="B1223" s="112"/>
      <c r="C1223" s="112"/>
      <c r="D1223" s="112"/>
      <c r="E1223" s="112"/>
      <c r="F1223" s="112"/>
      <c r="G1223" s="112"/>
    </row>
    <row r="1224" spans="8:8" ht="34.5" customHeight="1">
      <c r="A1224" s="24"/>
      <c r="B1224" s="112"/>
      <c r="C1224" s="112"/>
      <c r="D1224" s="112"/>
      <c r="E1224" s="112"/>
      <c r="F1224" s="112"/>
      <c r="G1224" s="112"/>
    </row>
    <row r="1225" spans="8:8" ht="34.5" customHeight="1">
      <c r="A1225" s="24"/>
      <c r="B1225" s="112"/>
      <c r="C1225" s="112"/>
      <c r="D1225" s="112"/>
      <c r="E1225" s="112"/>
      <c r="F1225" s="112"/>
      <c r="G1225" s="112"/>
    </row>
    <row r="1226" spans="8:8" ht="34.5" customHeight="1">
      <c r="A1226" s="24"/>
      <c r="B1226" s="112"/>
      <c r="C1226" s="112"/>
      <c r="D1226" s="112"/>
      <c r="E1226" s="112"/>
      <c r="F1226" s="112"/>
      <c r="G1226" s="112"/>
    </row>
    <row r="1227" spans="8:8" ht="34.5" customHeight="1">
      <c r="A1227" s="24"/>
      <c r="B1227" s="112"/>
      <c r="C1227" s="112"/>
      <c r="D1227" s="112"/>
      <c r="E1227" s="112"/>
      <c r="F1227" s="112"/>
      <c r="G1227" s="112"/>
    </row>
    <row r="1228" spans="8:8" ht="34.5" customHeight="1">
      <c r="A1228" s="24"/>
      <c r="B1228" s="112"/>
      <c r="C1228" s="112"/>
      <c r="D1228" s="112"/>
      <c r="E1228" s="112"/>
      <c r="F1228" s="112"/>
      <c r="G1228" s="112"/>
    </row>
    <row r="1229" spans="8:8" ht="34.5" customHeight="1">
      <c r="A1229" s="24"/>
      <c r="B1229" s="112"/>
      <c r="C1229" s="112"/>
      <c r="D1229" s="112"/>
      <c r="E1229" s="112"/>
      <c r="F1229" s="112"/>
      <c r="G1229" s="112"/>
    </row>
    <row r="1230" spans="8:8" ht="34.5" customHeight="1">
      <c r="A1230" s="24"/>
      <c r="B1230" s="112"/>
      <c r="C1230" s="112"/>
      <c r="D1230" s="112"/>
      <c r="E1230" s="112"/>
      <c r="F1230" s="112"/>
      <c r="G1230" s="112"/>
    </row>
    <row r="1231" spans="8:8" ht="34.5" customHeight="1">
      <c r="A1231" s="24"/>
      <c r="B1231" s="112"/>
      <c r="C1231" s="112"/>
      <c r="D1231" s="112"/>
      <c r="E1231" s="112"/>
      <c r="F1231" s="112"/>
      <c r="G1231" s="112"/>
    </row>
    <row r="1232" spans="8:8" ht="34.5" customHeight="1">
      <c r="A1232" s="24"/>
      <c r="B1232" s="112"/>
      <c r="C1232" s="112"/>
      <c r="D1232" s="112"/>
      <c r="E1232" s="112"/>
      <c r="F1232" s="112"/>
      <c r="G1232" s="112"/>
    </row>
    <row r="1233" spans="8:8" ht="34.5" customHeight="1">
      <c r="A1233" s="24"/>
      <c r="B1233" s="112"/>
      <c r="C1233" s="112"/>
      <c r="D1233" s="112"/>
      <c r="E1233" s="112"/>
      <c r="F1233" s="112"/>
      <c r="G1233" s="112"/>
    </row>
    <row r="1234" spans="8:8" ht="34.5" customHeight="1">
      <c r="A1234" s="20"/>
      <c r="B1234" s="112"/>
      <c r="C1234" s="112"/>
      <c r="D1234" s="112"/>
      <c r="E1234" s="112"/>
      <c r="F1234" s="112"/>
      <c r="G1234" s="112"/>
    </row>
    <row r="1235" spans="8:8" ht="34.5" customHeight="1">
      <c r="A1235" s="20"/>
      <c r="B1235" s="112"/>
      <c r="C1235" s="112"/>
      <c r="D1235" s="112"/>
      <c r="E1235" s="112"/>
      <c r="F1235" s="112"/>
      <c r="G1235" s="112"/>
    </row>
    <row r="1236" spans="8:8" ht="34.5" customHeight="1">
      <c r="A1236" s="20"/>
      <c r="B1236" s="112"/>
      <c r="C1236" s="112"/>
      <c r="D1236" s="112"/>
      <c r="E1236" s="112"/>
      <c r="F1236" s="112"/>
      <c r="G1236" s="112"/>
    </row>
    <row r="1237" spans="8:8" ht="34.5" customHeight="1">
      <c r="A1237" s="20"/>
      <c r="B1237" s="112"/>
      <c r="C1237" s="112"/>
      <c r="D1237" s="112"/>
      <c r="E1237" s="112"/>
      <c r="F1237" s="112"/>
      <c r="G1237" s="112"/>
    </row>
    <row r="1238" spans="8:8" ht="34.5" customHeight="1">
      <c r="A1238" s="20"/>
      <c r="B1238" s="112"/>
      <c r="C1238" s="112"/>
      <c r="D1238" s="112"/>
      <c r="E1238" s="112"/>
      <c r="F1238" s="112"/>
      <c r="G1238" s="112"/>
    </row>
    <row r="1239" spans="8:8" ht="34.5" customHeight="1">
      <c r="A1239" s="20"/>
      <c r="B1239" s="112"/>
      <c r="C1239" s="112"/>
      <c r="D1239" s="112"/>
      <c r="E1239" s="112"/>
      <c r="F1239" s="112"/>
      <c r="G1239" s="112"/>
    </row>
    <row r="1240" spans="8:8" ht="34.5" customHeight="1">
      <c r="A1240" s="20"/>
      <c r="B1240" s="112"/>
      <c r="C1240" s="112"/>
      <c r="D1240" s="112"/>
      <c r="E1240" s="112"/>
      <c r="F1240" s="112"/>
      <c r="G1240" s="112"/>
    </row>
    <row r="1241" spans="8:8" ht="34.5" customHeight="1">
      <c r="A1241" s="20"/>
      <c r="B1241" s="112"/>
      <c r="C1241" s="112"/>
      <c r="D1241" s="112"/>
      <c r="E1241" s="112"/>
      <c r="F1241" s="112"/>
      <c r="G1241" s="112"/>
    </row>
    <row r="1242" spans="8:8" ht="34.5" customHeight="1">
      <c r="A1242" s="20"/>
      <c r="B1242" s="112"/>
      <c r="C1242" s="112"/>
      <c r="D1242" s="112"/>
      <c r="E1242" s="112"/>
      <c r="F1242" s="112"/>
      <c r="G1242" s="112"/>
    </row>
    <row r="1243" spans="8:8" ht="34.5" customHeight="1">
      <c r="A1243" s="20"/>
      <c r="B1243" s="112"/>
      <c r="C1243" s="112"/>
      <c r="D1243" s="112"/>
      <c r="E1243" s="112"/>
      <c r="F1243" s="112"/>
      <c r="G1243" s="112"/>
    </row>
    <row r="1244" spans="8:8" ht="34.5" customHeight="1">
      <c r="A1244" s="20"/>
      <c r="B1244" s="112"/>
      <c r="C1244" s="112"/>
      <c r="D1244" s="112"/>
      <c r="E1244" s="112"/>
      <c r="F1244" s="112"/>
      <c r="G1244" s="112"/>
    </row>
    <row r="1245" spans="8:8" ht="34.5" customHeight="1">
      <c r="A1245" s="20"/>
      <c r="B1245" s="112"/>
      <c r="C1245" s="112"/>
      <c r="D1245" s="112"/>
      <c r="E1245" s="112"/>
      <c r="F1245" s="112"/>
      <c r="G1245" s="112"/>
    </row>
    <row r="1246" spans="8:8" ht="34.5" customHeight="1">
      <c r="A1246" s="20"/>
      <c r="B1246" s="112"/>
      <c r="C1246" s="112"/>
      <c r="D1246" s="112"/>
      <c r="E1246" s="112"/>
      <c r="F1246" s="112"/>
      <c r="G1246" s="112"/>
    </row>
    <row r="1247" spans="8:8" ht="34.5" customHeight="1">
      <c r="A1247" s="20"/>
      <c r="B1247" s="112"/>
      <c r="C1247" s="112"/>
      <c r="D1247" s="112"/>
      <c r="E1247" s="112"/>
      <c r="F1247" s="112"/>
      <c r="G1247" s="112"/>
    </row>
    <row r="1248" spans="8:8" ht="34.5" customHeight="1">
      <c r="A1248" s="20"/>
      <c r="B1248" s="112"/>
      <c r="C1248" s="112"/>
      <c r="D1248" s="112"/>
      <c r="E1248" s="112"/>
      <c r="F1248" s="112"/>
      <c r="G1248" s="112"/>
    </row>
    <row r="1249" spans="8:8" ht="34.5" customHeight="1">
      <c r="A1249" s="20"/>
      <c r="B1249" s="112"/>
      <c r="C1249" s="112"/>
      <c r="D1249" s="112"/>
      <c r="E1249" s="112"/>
      <c r="F1249" s="112"/>
      <c r="G1249" s="112"/>
    </row>
    <row r="1250" spans="8:8" ht="34.5" customHeight="1">
      <c r="A1250" s="20"/>
      <c r="B1250" s="112"/>
      <c r="C1250" s="112"/>
      <c r="D1250" s="112"/>
      <c r="E1250" s="112"/>
      <c r="F1250" s="112"/>
      <c r="G1250" s="112"/>
    </row>
    <row r="1251" spans="8:8" ht="34.5" customHeight="1">
      <c r="A1251" s="20"/>
      <c r="B1251" s="112"/>
      <c r="C1251" s="112"/>
      <c r="D1251" s="112"/>
      <c r="E1251" s="112"/>
      <c r="F1251" s="112"/>
      <c r="G1251" s="112"/>
    </row>
    <row r="1252" spans="8:8" ht="34.5" customHeight="1">
      <c r="A1252" s="20"/>
      <c r="B1252" s="112"/>
      <c r="C1252" s="112"/>
      <c r="D1252" s="112"/>
      <c r="E1252" s="112"/>
      <c r="F1252" s="112"/>
      <c r="G1252" s="112"/>
    </row>
    <row r="1253" spans="8:8" ht="34.5" customHeight="1">
      <c r="A1253" s="20"/>
      <c r="B1253" s="112"/>
      <c r="C1253" s="112"/>
      <c r="D1253" s="112"/>
      <c r="E1253" s="112"/>
      <c r="F1253" s="112"/>
      <c r="G1253" s="112"/>
    </row>
    <row r="1254" spans="8:8" ht="34.5" customHeight="1">
      <c r="A1254" s="20"/>
      <c r="B1254" s="112"/>
      <c r="C1254" s="112"/>
      <c r="D1254" s="112"/>
      <c r="E1254" s="112"/>
      <c r="F1254" s="112"/>
      <c r="G1254" s="112"/>
    </row>
    <row r="1255" spans="8:8" ht="34.5" customHeight="1">
      <c r="A1255" s="20"/>
      <c r="B1255" s="112"/>
      <c r="C1255" s="112"/>
      <c r="D1255" s="112"/>
      <c r="E1255" s="112"/>
      <c r="F1255" s="112"/>
      <c r="G1255" s="112"/>
    </row>
    <row r="1256" spans="8:8" ht="34.5" customHeight="1">
      <c r="A1256" s="20"/>
      <c r="B1256" s="112"/>
      <c r="C1256" s="112"/>
      <c r="D1256" s="112"/>
      <c r="E1256" s="112"/>
      <c r="F1256" s="112"/>
      <c r="G1256" s="112"/>
    </row>
    <row r="1257" spans="8:8" ht="34.5" customHeight="1">
      <c r="A1257" s="20"/>
      <c r="B1257" s="112"/>
      <c r="C1257" s="112"/>
      <c r="D1257" s="112"/>
      <c r="E1257" s="112"/>
      <c r="F1257" s="112"/>
      <c r="G1257" s="112"/>
    </row>
    <row r="1258" spans="8:8" ht="34.5" customHeight="1">
      <c r="A1258" s="20"/>
      <c r="B1258" s="112"/>
      <c r="C1258" s="112"/>
      <c r="D1258" s="112"/>
      <c r="E1258" s="112"/>
      <c r="F1258" s="112"/>
      <c r="G1258" s="112"/>
    </row>
    <row r="1259" spans="8:8" ht="34.5" customHeight="1">
      <c r="A1259" s="20"/>
      <c r="B1259" s="112"/>
      <c r="C1259" s="112"/>
      <c r="D1259" s="112"/>
      <c r="E1259" s="112"/>
      <c r="F1259" s="112"/>
      <c r="G1259" s="112"/>
    </row>
    <row r="1260" spans="8:8" ht="34.5" customHeight="1">
      <c r="A1260" s="20"/>
      <c r="B1260" s="112"/>
      <c r="C1260" s="112"/>
      <c r="D1260" s="112"/>
      <c r="E1260" s="112"/>
      <c r="F1260" s="112"/>
      <c r="G1260" s="112"/>
    </row>
    <row r="1261" spans="8:8" ht="34.5" customHeight="1">
      <c r="A1261" s="20"/>
      <c r="B1261" s="112"/>
      <c r="C1261" s="112"/>
      <c r="D1261" s="112"/>
      <c r="E1261" s="112"/>
      <c r="F1261" s="112"/>
      <c r="G1261" s="112"/>
    </row>
    <row r="1262" spans="8:8" ht="34.5" customHeight="1">
      <c r="A1262" s="20"/>
      <c r="B1262" s="112"/>
      <c r="C1262" s="112"/>
      <c r="D1262" s="112"/>
      <c r="E1262" s="112"/>
      <c r="F1262" s="112"/>
      <c r="G1262" s="112"/>
    </row>
    <row r="1263" spans="8:8" ht="34.5" customHeight="1">
      <c r="A1263" s="20"/>
      <c r="B1263" s="112"/>
      <c r="C1263" s="112"/>
      <c r="D1263" s="112"/>
      <c r="E1263" s="112"/>
      <c r="F1263" s="112"/>
      <c r="G1263" s="112"/>
    </row>
    <row r="1264" spans="8:8" ht="34.5" customHeight="1">
      <c r="A1264" s="20"/>
      <c r="B1264" s="112"/>
      <c r="C1264" s="112"/>
      <c r="D1264" s="112"/>
      <c r="E1264" s="112"/>
      <c r="F1264" s="112"/>
      <c r="G1264" s="112"/>
    </row>
    <row r="1265" spans="8:8" ht="34.5" customHeight="1">
      <c r="A1265" s="20"/>
      <c r="B1265" s="112"/>
      <c r="C1265" s="112"/>
      <c r="D1265" s="112"/>
      <c r="E1265" s="112"/>
      <c r="F1265" s="112"/>
      <c r="G1265" s="112"/>
    </row>
    <row r="1266" spans="8:8" ht="34.5" customHeight="1">
      <c r="A1266" s="20"/>
      <c r="B1266" s="112"/>
      <c r="C1266" s="112"/>
      <c r="D1266" s="112"/>
      <c r="E1266" s="112"/>
      <c r="F1266" s="112"/>
      <c r="G1266" s="112"/>
    </row>
    <row r="1267" spans="8:8" ht="34.5" customHeight="1">
      <c r="A1267" s="20"/>
      <c r="B1267" s="112"/>
      <c r="C1267" s="112"/>
      <c r="D1267" s="112"/>
      <c r="E1267" s="112"/>
      <c r="F1267" s="112"/>
      <c r="G1267" s="112"/>
    </row>
    <row r="1268" spans="8:8" ht="34.5" customHeight="1">
      <c r="A1268" s="20"/>
      <c r="B1268" s="112"/>
      <c r="C1268" s="112"/>
      <c r="D1268" s="112"/>
      <c r="E1268" s="112"/>
      <c r="F1268" s="112"/>
      <c r="G1268" s="112"/>
    </row>
    <row r="1269" spans="8:8" ht="34.5" customHeight="1">
      <c r="A1269" s="20"/>
      <c r="B1269" s="112"/>
      <c r="C1269" s="112"/>
      <c r="D1269" s="112"/>
      <c r="E1269" s="112"/>
      <c r="F1269" s="112"/>
      <c r="G1269" s="112"/>
    </row>
    <row r="1270" spans="8:8" ht="34.5" customHeight="1">
      <c r="A1270" s="20"/>
      <c r="B1270" s="112"/>
      <c r="C1270" s="112"/>
      <c r="D1270" s="112"/>
      <c r="E1270" s="112"/>
      <c r="F1270" s="112"/>
      <c r="G1270" s="112"/>
    </row>
    <row r="1271" spans="8:8" ht="34.5" customHeight="1">
      <c r="A1271" s="20"/>
      <c r="B1271" s="112"/>
      <c r="C1271" s="112"/>
      <c r="D1271" s="112"/>
      <c r="E1271" s="112"/>
      <c r="F1271" s="112"/>
      <c r="G1271" s="112"/>
    </row>
    <row r="1272" spans="8:8" ht="34.5" customHeight="1">
      <c r="A1272" s="20"/>
      <c r="B1272" s="112"/>
      <c r="C1272" s="112"/>
      <c r="D1272" s="112"/>
      <c r="E1272" s="112"/>
      <c r="F1272" s="112"/>
      <c r="G1272" s="112"/>
    </row>
    <row r="1273" spans="8:8" ht="34.5" customHeight="1">
      <c r="A1273" s="20"/>
      <c r="B1273" s="112"/>
      <c r="C1273" s="112"/>
      <c r="D1273" s="112"/>
      <c r="E1273" s="112"/>
      <c r="F1273" s="112"/>
      <c r="G1273" s="112"/>
    </row>
    <row r="1274" spans="8:8" ht="34.5" customHeight="1">
      <c r="A1274" s="20"/>
      <c r="B1274" s="112"/>
      <c r="C1274" s="112"/>
      <c r="D1274" s="112"/>
      <c r="E1274" s="112"/>
      <c r="F1274" s="112"/>
      <c r="G1274" s="112"/>
    </row>
    <row r="1275" spans="8:8" ht="34.5" customHeight="1">
      <c r="A1275" s="20"/>
      <c r="B1275" s="112"/>
      <c r="C1275" s="112"/>
      <c r="D1275" s="112"/>
      <c r="E1275" s="112"/>
      <c r="F1275" s="112"/>
      <c r="G1275" s="112"/>
    </row>
    <row r="1276" spans="8:8" ht="34.5" customHeight="1">
      <c r="A1276" s="20"/>
      <c r="B1276" s="112"/>
      <c r="C1276" s="112"/>
      <c r="D1276" s="112"/>
      <c r="E1276" s="112"/>
      <c r="F1276" s="112"/>
      <c r="G1276" s="112"/>
    </row>
    <row r="1277" spans="8:8" ht="34.5" customHeight="1">
      <c r="A1277" s="20"/>
      <c r="B1277" s="112"/>
      <c r="C1277" s="112"/>
      <c r="D1277" s="112"/>
      <c r="E1277" s="112"/>
      <c r="F1277" s="112"/>
      <c r="G1277" s="112"/>
    </row>
    <row r="1278" spans="8:8" ht="34.5" customHeight="1">
      <c r="A1278" s="20"/>
      <c r="B1278" s="112"/>
      <c r="C1278" s="112"/>
      <c r="D1278" s="112"/>
      <c r="E1278" s="112"/>
      <c r="F1278" s="112"/>
      <c r="G1278" s="112"/>
    </row>
    <row r="1279" spans="8:8" ht="34.5" customHeight="1">
      <c r="A1279" s="20"/>
      <c r="B1279" s="112"/>
      <c r="C1279" s="112"/>
      <c r="D1279" s="112"/>
      <c r="E1279" s="112"/>
      <c r="F1279" s="112"/>
      <c r="G1279" s="112"/>
    </row>
    <row r="1280" spans="8:8" ht="34.5" customHeight="1">
      <c r="A1280" s="20"/>
      <c r="B1280" s="112"/>
      <c r="C1280" s="112"/>
      <c r="D1280" s="112"/>
      <c r="E1280" s="112"/>
      <c r="F1280" s="112"/>
      <c r="G1280" s="112"/>
    </row>
    <row r="1281" spans="8:8" ht="34.5" customHeight="1">
      <c r="A1281" s="20"/>
      <c r="B1281" s="112"/>
      <c r="C1281" s="112"/>
      <c r="D1281" s="112"/>
      <c r="E1281" s="112"/>
      <c r="F1281" s="112"/>
      <c r="G1281" s="112"/>
    </row>
    <row r="1282" spans="8:8" ht="34.5" customHeight="1">
      <c r="A1282" s="20"/>
      <c r="B1282" s="112"/>
      <c r="C1282" s="112"/>
      <c r="D1282" s="112"/>
      <c r="E1282" s="112"/>
      <c r="F1282" s="112"/>
      <c r="G1282" s="112"/>
    </row>
    <row r="1283" spans="8:8" ht="34.5" customHeight="1">
      <c r="A1283" s="20"/>
      <c r="B1283" s="112"/>
      <c r="C1283" s="112"/>
      <c r="D1283" s="112"/>
      <c r="E1283" s="112"/>
      <c r="F1283" s="112"/>
      <c r="G1283" s="112"/>
    </row>
    <row r="1284" spans="8:8" ht="34.5" customHeight="1">
      <c r="A1284" s="20"/>
      <c r="B1284" s="112"/>
      <c r="C1284" s="112"/>
      <c r="D1284" s="112"/>
      <c r="E1284" s="112"/>
      <c r="F1284" s="112"/>
      <c r="G1284" s="112"/>
    </row>
    <row r="1285" spans="8:8" ht="34.5" customHeight="1">
      <c r="A1285" s="20"/>
      <c r="B1285" s="112"/>
      <c r="C1285" s="112"/>
      <c r="D1285" s="112"/>
      <c r="E1285" s="112"/>
      <c r="F1285" s="112"/>
      <c r="G1285" s="112"/>
    </row>
    <row r="1286" spans="8:8" ht="34.5" customHeight="1">
      <c r="A1286" s="20"/>
      <c r="B1286" s="112"/>
      <c r="C1286" s="112"/>
      <c r="D1286" s="112"/>
      <c r="E1286" s="112"/>
      <c r="F1286" s="112"/>
      <c r="G1286" s="112"/>
    </row>
    <row r="1287" spans="8:8" ht="34.5" customHeight="1">
      <c r="A1287" s="20"/>
      <c r="B1287" s="112"/>
      <c r="C1287" s="112"/>
      <c r="D1287" s="112"/>
      <c r="E1287" s="112"/>
      <c r="F1287" s="112"/>
      <c r="G1287" s="112"/>
    </row>
    <row r="1288" spans="8:8" ht="34.5" customHeight="1">
      <c r="A1288" s="20"/>
      <c r="B1288" s="112"/>
      <c r="C1288" s="112"/>
      <c r="D1288" s="112"/>
      <c r="E1288" s="112"/>
      <c r="F1288" s="112"/>
      <c r="G1288" s="112"/>
    </row>
    <row r="1289" spans="8:8" ht="34.5" customHeight="1">
      <c r="A1289" s="20"/>
      <c r="B1289" s="112"/>
      <c r="C1289" s="112"/>
      <c r="D1289" s="112"/>
      <c r="E1289" s="112"/>
      <c r="F1289" s="112"/>
      <c r="G1289" s="112"/>
    </row>
    <row r="1290" spans="8:8" ht="34.5" customHeight="1">
      <c r="A1290" s="20"/>
      <c r="B1290" s="112"/>
      <c r="C1290" s="112"/>
      <c r="D1290" s="112"/>
      <c r="E1290" s="112"/>
      <c r="F1290" s="112"/>
      <c r="G1290" s="112"/>
    </row>
    <row r="1291" spans="8:8" ht="34.5" customHeight="1">
      <c r="A1291" s="20"/>
      <c r="B1291" s="112"/>
      <c r="C1291" s="112"/>
      <c r="D1291" s="112"/>
      <c r="E1291" s="112"/>
      <c r="F1291" s="112"/>
      <c r="G1291" s="112"/>
    </row>
    <row r="1292" spans="8:8" ht="34.5" customHeight="1">
      <c r="A1292" s="20"/>
      <c r="B1292" s="112"/>
      <c r="C1292" s="112"/>
      <c r="D1292" s="112"/>
      <c r="E1292" s="112"/>
      <c r="F1292" s="112"/>
      <c r="G1292" s="112"/>
    </row>
    <row r="1293" spans="8:8" ht="34.5" customHeight="1">
      <c r="A1293" s="20"/>
      <c r="B1293" s="112"/>
      <c r="C1293" s="112"/>
      <c r="D1293" s="112"/>
      <c r="E1293" s="112"/>
      <c r="F1293" s="112"/>
      <c r="G1293" s="112"/>
    </row>
    <row r="1294" spans="8:8" ht="34.5" customHeight="1">
      <c r="A1294" s="20"/>
      <c r="B1294" s="112"/>
      <c r="C1294" s="112"/>
      <c r="D1294" s="112"/>
      <c r="E1294" s="112"/>
      <c r="F1294" s="112"/>
      <c r="G1294" s="112"/>
    </row>
    <row r="1295" spans="8:8" ht="34.5" customHeight="1">
      <c r="A1295" s="20"/>
      <c r="B1295" s="112"/>
      <c r="C1295" s="112"/>
      <c r="D1295" s="112"/>
      <c r="E1295" s="112"/>
      <c r="F1295" s="112"/>
      <c r="G1295" s="112"/>
    </row>
    <row r="1296" spans="8:8" ht="34.5" customHeight="1">
      <c r="A1296" s="20"/>
      <c r="B1296" s="112"/>
      <c r="C1296" s="112"/>
      <c r="D1296" s="112"/>
      <c r="E1296" s="112"/>
      <c r="F1296" s="112"/>
      <c r="G1296" s="112"/>
    </row>
    <row r="1297" spans="8:8" ht="34.5" customHeight="1">
      <c r="A1297" s="20"/>
      <c r="B1297" s="112"/>
      <c r="C1297" s="112"/>
      <c r="D1297" s="112"/>
      <c r="E1297" s="112"/>
      <c r="F1297" s="112"/>
      <c r="G1297" s="112"/>
    </row>
    <row r="1298" spans="8:8" ht="34.5" customHeight="1">
      <c r="A1298" s="20"/>
      <c r="B1298" s="112"/>
      <c r="C1298" s="112"/>
      <c r="D1298" s="112"/>
      <c r="E1298" s="112"/>
      <c r="F1298" s="112"/>
      <c r="G1298" s="112"/>
    </row>
    <row r="1299" spans="8:8" ht="34.5" customHeight="1">
      <c r="A1299" s="20"/>
      <c r="B1299" s="112"/>
      <c r="C1299" s="112"/>
      <c r="D1299" s="112"/>
      <c r="E1299" s="112"/>
      <c r="F1299" s="112"/>
      <c r="G1299" s="112"/>
    </row>
    <row r="1300" spans="8:8" ht="34.5" customHeight="1">
      <c r="A1300" s="20"/>
      <c r="B1300" s="112"/>
      <c r="C1300" s="112"/>
      <c r="D1300" s="112"/>
      <c r="E1300" s="112"/>
      <c r="F1300" s="112"/>
      <c r="G1300" s="112"/>
    </row>
    <row r="1301" spans="8:8" ht="34.5" customHeight="1">
      <c r="A1301" s="20"/>
      <c r="B1301" s="112"/>
      <c r="C1301" s="112"/>
      <c r="D1301" s="112"/>
      <c r="E1301" s="112"/>
      <c r="F1301" s="112"/>
      <c r="G1301" s="112"/>
    </row>
    <row r="1302" spans="8:8" ht="34.5" customHeight="1">
      <c r="A1302" s="20"/>
      <c r="B1302" s="112"/>
      <c r="C1302" s="112"/>
      <c r="D1302" s="112"/>
      <c r="E1302" s="112"/>
      <c r="F1302" s="112"/>
      <c r="G1302" s="112"/>
    </row>
    <row r="1303" spans="8:8" ht="34.5" customHeight="1">
      <c r="A1303" s="20"/>
      <c r="B1303" s="112"/>
      <c r="C1303" s="112"/>
      <c r="D1303" s="112"/>
      <c r="E1303" s="112"/>
      <c r="F1303" s="112"/>
      <c r="G1303" s="112"/>
    </row>
    <row r="1304" spans="8:8" ht="34.5" customHeight="1">
      <c r="A1304" s="20"/>
      <c r="B1304" s="112"/>
      <c r="C1304" s="112"/>
      <c r="D1304" s="112"/>
      <c r="E1304" s="112"/>
      <c r="F1304" s="112"/>
      <c r="G1304" s="112"/>
    </row>
    <row r="1305" spans="8:8" ht="34.5" customHeight="1">
      <c r="A1305" s="20"/>
      <c r="B1305" s="112"/>
      <c r="C1305" s="112"/>
      <c r="D1305" s="112"/>
      <c r="E1305" s="112"/>
      <c r="F1305" s="112"/>
      <c r="G1305" s="112"/>
    </row>
    <row r="1306" spans="8:8" ht="34.5" customHeight="1">
      <c r="A1306" s="20"/>
      <c r="B1306" s="112"/>
      <c r="C1306" s="112"/>
      <c r="D1306" s="112"/>
      <c r="E1306" s="112"/>
      <c r="F1306" s="112"/>
      <c r="G1306" s="112"/>
    </row>
    <row r="1307" spans="8:8" ht="34.5" customHeight="1">
      <c r="A1307" s="20"/>
      <c r="B1307" s="112"/>
      <c r="C1307" s="112"/>
      <c r="D1307" s="112"/>
      <c r="E1307" s="112"/>
      <c r="F1307" s="112"/>
      <c r="G1307" s="112"/>
    </row>
    <row r="1308" spans="8:8" ht="34.5" customHeight="1">
      <c r="A1308" s="20"/>
      <c r="B1308" s="112"/>
      <c r="C1308" s="112"/>
      <c r="D1308" s="112"/>
      <c r="E1308" s="112"/>
      <c r="F1308" s="112"/>
      <c r="G1308" s="112"/>
    </row>
    <row r="1309" spans="8:8" ht="34.5" customHeight="1">
      <c r="A1309" s="20"/>
      <c r="B1309" s="112"/>
      <c r="C1309" s="112"/>
      <c r="D1309" s="112"/>
      <c r="E1309" s="112"/>
      <c r="F1309" s="112"/>
      <c r="G1309" s="112"/>
    </row>
    <row r="1310" spans="8:8" ht="34.5" customHeight="1">
      <c r="A1310" s="20"/>
      <c r="B1310" s="112"/>
      <c r="C1310" s="112"/>
      <c r="D1310" s="112"/>
      <c r="E1310" s="112"/>
      <c r="F1310" s="112"/>
      <c r="G1310" s="112"/>
    </row>
    <row r="1311" spans="8:8" ht="34.5" customHeight="1">
      <c r="A1311" s="20"/>
      <c r="B1311" s="112"/>
      <c r="C1311" s="112"/>
      <c r="D1311" s="112"/>
      <c r="E1311" s="112"/>
      <c r="F1311" s="112"/>
      <c r="G1311" s="112"/>
    </row>
    <row r="1312" spans="8:8" ht="34.5" customHeight="1">
      <c r="A1312" s="20"/>
      <c r="B1312" s="112"/>
      <c r="C1312" s="112"/>
      <c r="D1312" s="112"/>
      <c r="E1312" s="112"/>
      <c r="F1312" s="112"/>
      <c r="G1312" s="112"/>
    </row>
    <row r="1313" spans="8:8" ht="34.5" customHeight="1">
      <c r="A1313" s="20"/>
      <c r="B1313" s="112"/>
      <c r="C1313" s="112"/>
      <c r="D1313" s="112"/>
      <c r="E1313" s="112"/>
      <c r="F1313" s="112"/>
      <c r="G1313" s="112"/>
    </row>
    <row r="1314" spans="8:8" ht="34.5" customHeight="1">
      <c r="A1314" s="20"/>
      <c r="B1314" s="112"/>
      <c r="C1314" s="112"/>
      <c r="D1314" s="112"/>
      <c r="E1314" s="112"/>
      <c r="F1314" s="112"/>
      <c r="G1314" s="112"/>
    </row>
    <row r="1315" spans="8:8" ht="34.5" customHeight="1">
      <c r="A1315" s="20"/>
      <c r="B1315" s="112"/>
      <c r="C1315" s="112"/>
      <c r="D1315" s="112"/>
      <c r="E1315" s="112"/>
      <c r="F1315" s="112"/>
      <c r="G1315" s="112"/>
    </row>
    <row r="1316" spans="8:8" ht="34.5" customHeight="1">
      <c r="A1316" s="20"/>
      <c r="B1316" s="112"/>
      <c r="C1316" s="112"/>
      <c r="D1316" s="112"/>
      <c r="E1316" s="112"/>
      <c r="F1316" s="112"/>
      <c r="G1316" s="112"/>
    </row>
    <row r="1317" spans="8:8" ht="34.5" customHeight="1">
      <c r="A1317" s="20"/>
      <c r="B1317" s="112"/>
      <c r="C1317" s="112"/>
      <c r="D1317" s="112"/>
      <c r="E1317" s="112"/>
      <c r="F1317" s="112"/>
      <c r="G1317" s="112"/>
    </row>
    <row r="1318" spans="8:8" ht="34.5" customHeight="1">
      <c r="A1318" s="20"/>
      <c r="B1318" s="112"/>
      <c r="C1318" s="112"/>
      <c r="D1318" s="112"/>
      <c r="E1318" s="112"/>
      <c r="F1318" s="112"/>
      <c r="G1318" s="112"/>
    </row>
    <row r="1319" spans="8:8" ht="34.5" customHeight="1">
      <c r="A1319" s="20"/>
      <c r="B1319" s="112"/>
      <c r="C1319" s="112"/>
      <c r="D1319" s="112"/>
      <c r="E1319" s="112"/>
      <c r="F1319" s="112"/>
      <c r="G1319" s="112"/>
    </row>
    <row r="1320" spans="8:8" ht="34.5" customHeight="1">
      <c r="A1320" s="20"/>
      <c r="B1320" s="112"/>
      <c r="C1320" s="112"/>
      <c r="D1320" s="112"/>
      <c r="E1320" s="112"/>
      <c r="F1320" s="112"/>
      <c r="G1320" s="112"/>
    </row>
    <row r="1321" spans="8:8" ht="34.5" customHeight="1">
      <c r="A1321" s="20"/>
      <c r="B1321" s="112"/>
      <c r="C1321" s="112"/>
      <c r="D1321" s="112"/>
      <c r="E1321" s="112"/>
      <c r="F1321" s="112"/>
      <c r="G1321" s="112"/>
    </row>
    <row r="1322" spans="8:8" ht="34.5" customHeight="1">
      <c r="A1322" s="20"/>
      <c r="B1322" s="112"/>
      <c r="C1322" s="112"/>
      <c r="D1322" s="112"/>
      <c r="E1322" s="112"/>
      <c r="F1322" s="112"/>
      <c r="G1322" s="112"/>
    </row>
    <row r="1323" spans="8:8" ht="34.5" customHeight="1">
      <c r="A1323" s="20"/>
      <c r="B1323" s="112"/>
      <c r="C1323" s="112"/>
      <c r="D1323" s="112"/>
      <c r="E1323" s="112"/>
      <c r="F1323" s="112"/>
      <c r="G1323" s="112"/>
    </row>
    <row r="1324" spans="8:8" ht="34.5" customHeight="1">
      <c r="A1324" s="20"/>
      <c r="B1324" s="112"/>
      <c r="C1324" s="112"/>
      <c r="D1324" s="112"/>
      <c r="E1324" s="112"/>
      <c r="F1324" s="112"/>
      <c r="G1324" s="112"/>
    </row>
    <row r="1325" spans="8:8" ht="34.5" customHeight="1">
      <c r="A1325" s="20"/>
      <c r="B1325" s="112"/>
      <c r="C1325" s="112"/>
      <c r="D1325" s="112"/>
      <c r="E1325" s="112"/>
      <c r="F1325" s="112"/>
      <c r="G1325" s="112"/>
    </row>
  </sheetData>
  <mergeCells count="1">
    <mergeCell ref="A1:G1"/>
  </mergeCells>
  <conditionalFormatting sqref="C1078">
    <cfRule type="expression" priority="14" dxfId="66">
      <formula>COUNTIF(#REF!,C1078)&gt;0</formula>
    </cfRule>
    <cfRule type="expression" priority="15" dxfId="67">
      <formula>COUNTIF(#REF!,C1078)&gt;0</formula>
    </cfRule>
    <cfRule type="expression" priority="16" dxfId="68">
      <formula>COUNTIF(#REF!,C1078)&gt;0</formula>
    </cfRule>
  </conditionalFormatting>
  <conditionalFormatting sqref="C100:C101">
    <cfRule type="expression" priority="7" dxfId="69">
      <formula>COUNTIF(#REF!,C100)&gt;0</formula>
    </cfRule>
  </conditionalFormatting>
  <conditionalFormatting sqref="C606">
    <cfRule type="expression" priority="2" dxfId="70">
      <formula>COUNTIF(#REF!,#REF!)&gt;0</formula>
    </cfRule>
  </conditionalFormatting>
  <conditionalFormatting sqref="C1079:C1081">
    <cfRule type="expression" priority="13" dxfId="71">
      <formula>COUNTIF(#REF!,C1079)&gt;0</formula>
    </cfRule>
    <cfRule type="expression" priority="11" dxfId="72">
      <formula>COUNTIF(#REF!,C1079)&gt;0</formula>
    </cfRule>
    <cfRule type="expression" priority="12" dxfId="73">
      <formula>COUNTIF(#REF!,C1079)&gt;0</formula>
    </cfRule>
  </conditionalFormatting>
  <conditionalFormatting sqref="C607">
    <cfRule type="expression" priority="1" dxfId="74">
      <formula>COUNTIF(#REF!,#REF!)&gt;0</formula>
    </cfRule>
  </conditionalFormatting>
  <conditionalFormatting sqref="C537">
    <cfRule type="expression" priority="10" dxfId="75">
      <formula>COUNTIF(#REF!,C537)&gt;0</formula>
    </cfRule>
    <cfRule type="expression" priority="8" dxfId="76">
      <formula>COUNTIF(#REF!,C537)&gt;0</formula>
    </cfRule>
    <cfRule type="expression" priority="9" dxfId="77">
      <formula>COUNTIF(#REF!,C537)&gt;0</formula>
    </cfRule>
  </conditionalFormatting>
  <conditionalFormatting sqref="C603:C604 C1056:C1064 C1079:C1080 C1082:C1151">
    <cfRule type="notContainsBlanks" priority="6" dxfId="78">
      <formula>LEN(TRIM(C603))&gt;0</formula>
    </cfRule>
  </conditionalFormatting>
  <conditionalFormatting sqref="C197 C603:C604 C620:C621 C632 C1079:C1080 C1082:C1093 C1108:C1114 C1125">
    <cfRule type="expression" priority="3" dxfId="79">
      <formula>COUNTIF(#REF!,C197)&gt;0</formula>
    </cfRule>
  </conditionalFormatting>
  <conditionalFormatting sqref="C1125">
    <cfRule type="expression" priority="4" dxfId="80">
      <formula>COUNTIF(#REF!,C1125)&gt;0</formula>
    </cfRule>
  </conditionalFormatting>
  <conditionalFormatting sqref="C445">
    <cfRule type="expression" priority="17" dxfId="81">
      <formula>COUNTIF(#REF!,C445)&gt;0</formula>
    </cfRule>
  </conditionalFormatting>
  <conditionalFormatting sqref="C2:C605 C608:C1131">
    <cfRule type="expression" priority="18" dxfId="82">
      <formula>COUNTIF(#REF!,C2)&gt;0</formula>
    </cfRule>
  </conditionalFormatting>
  <conditionalFormatting sqref="C1056:C1064">
    <cfRule type="expression" priority="5" dxfId="83">
      <formula>COUNTIF(#REF!,C1056)&gt;0</formula>
    </cfRule>
  </conditionalFormatting>
  <printOptions horizontalCentered="1" gridLines="1"/>
  <pageMargins left="0.7" right="0.7" top="0.75" bottom="0.75" header="0.0" footer="0.0"/>
  <pageSetup paperSize="9" fitToHeight="0" pageOrder="overThenDown" orientation="landscape" cellComments="atEnd"/>
</worksheet>
</file>

<file path=xl/worksheets/sheet6.xml><?xml version="1.0" encoding="utf-8"?>
<worksheet xmlns:r="http://schemas.openxmlformats.org/officeDocument/2006/relationships" xmlns="http://schemas.openxmlformats.org/spreadsheetml/2006/main">
  <dimension ref="A1:AB982"/>
  <sheetViews>
    <sheetView workbookViewId="0">
      <selection activeCell="A1" sqref="A1:E1"/>
    </sheetView>
  </sheetViews>
  <sheetFormatPr defaultRowHeight="15.0" customHeight="1" defaultColWidth="12"/>
  <cols>
    <col min="2" max="2" customWidth="1" width="82.12891" style="0"/>
    <col min="3" max="3" customWidth="1" width="11.5" style="0"/>
    <col min="4" max="4" customWidth="1" width="53.128906" style="0"/>
    <col min="5" max="5" customWidth="1" width="14.378906" style="0"/>
  </cols>
  <sheetData>
    <row r="1" spans="8:8" ht="87.0" customHeight="1">
      <c r="A1" s="120" t="s">
        <v>4529</v>
      </c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8:8" ht="15.0">
      <c r="A2" s="48" t="s">
        <v>18</v>
      </c>
      <c r="B2" s="48" t="s">
        <v>19</v>
      </c>
      <c r="C2" s="48" t="s">
        <v>1870</v>
      </c>
      <c r="D2" s="48" t="s">
        <v>4530</v>
      </c>
      <c r="E2" s="48" t="s">
        <v>22</v>
      </c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8:8" ht="15.0">
      <c r="A3" s="122">
        <v>1.0</v>
      </c>
      <c r="B3" s="48" t="s">
        <v>4531</v>
      </c>
      <c r="C3" s="122">
        <v>250167.0</v>
      </c>
      <c r="D3" s="48" t="s">
        <v>27</v>
      </c>
      <c r="E3" s="122" t="s">
        <v>111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8:8" ht="15.0">
      <c r="A4" s="122">
        <v>2.0</v>
      </c>
      <c r="B4" s="48" t="s">
        <v>4532</v>
      </c>
      <c r="C4" s="122">
        <v>250725.0</v>
      </c>
      <c r="D4" s="48" t="s">
        <v>56</v>
      </c>
      <c r="E4" s="122" t="s">
        <v>28</v>
      </c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8:8" ht="15.0">
      <c r="A5" s="122">
        <v>3.0</v>
      </c>
      <c r="B5" s="48" t="s">
        <v>4533</v>
      </c>
      <c r="C5" s="122">
        <v>250227.0</v>
      </c>
      <c r="D5" s="48" t="s">
        <v>27</v>
      </c>
      <c r="E5" s="122" t="s">
        <v>28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8:8" ht="15.0">
      <c r="A6" s="122">
        <v>4.0</v>
      </c>
      <c r="B6" s="48" t="s">
        <v>4534</v>
      </c>
      <c r="C6" s="122">
        <v>250700.0</v>
      </c>
      <c r="D6" s="48" t="s">
        <v>56</v>
      </c>
      <c r="E6" s="122" t="s">
        <v>28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8:8" ht="15.0">
      <c r="A7" s="122">
        <v>5.0</v>
      </c>
      <c r="B7" s="48" t="s">
        <v>4535</v>
      </c>
      <c r="C7" s="122">
        <v>250850.0</v>
      </c>
      <c r="D7" s="48" t="s">
        <v>56</v>
      </c>
      <c r="E7" s="122" t="s">
        <v>111</v>
      </c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8:8" ht="15.0">
      <c r="A8" s="122">
        <v>6.0</v>
      </c>
      <c r="B8" s="48" t="s">
        <v>4536</v>
      </c>
      <c r="C8" s="122">
        <v>250719.0</v>
      </c>
      <c r="D8" s="48" t="s">
        <v>56</v>
      </c>
      <c r="E8" s="122" t="s">
        <v>580</v>
      </c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8:8" ht="15.0">
      <c r="A9" s="122">
        <v>7.0</v>
      </c>
      <c r="B9" s="48" t="s">
        <v>4537</v>
      </c>
      <c r="C9" s="122">
        <v>250668.0</v>
      </c>
      <c r="D9" s="48" t="s">
        <v>56</v>
      </c>
      <c r="E9" s="122" t="s">
        <v>1512</v>
      </c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8:8" ht="15.0">
      <c r="A10" s="122">
        <v>8.0</v>
      </c>
      <c r="B10" s="48" t="s">
        <v>4538</v>
      </c>
      <c r="C10" s="122">
        <v>250818.0</v>
      </c>
      <c r="D10" s="48" t="s">
        <v>56</v>
      </c>
      <c r="E10" s="122" t="s">
        <v>1512</v>
      </c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8:8" ht="15.0">
      <c r="A11" s="122">
        <v>9.0</v>
      </c>
      <c r="B11" s="48" t="s">
        <v>4539</v>
      </c>
      <c r="C11" s="122">
        <v>250680.0</v>
      </c>
      <c r="D11" s="48" t="s">
        <v>56</v>
      </c>
      <c r="E11" s="122" t="s">
        <v>1512</v>
      </c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8:8" ht="15.0">
      <c r="A12" s="122">
        <v>10.0</v>
      </c>
      <c r="B12" s="48" t="s">
        <v>4540</v>
      </c>
      <c r="C12" s="122">
        <v>250911.0</v>
      </c>
      <c r="D12" s="48" t="s">
        <v>56</v>
      </c>
      <c r="E12" s="122" t="s">
        <v>1512</v>
      </c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8:8" ht="15.0">
      <c r="A13" s="122">
        <v>11.0</v>
      </c>
      <c r="B13" s="48" t="s">
        <v>4541</v>
      </c>
      <c r="C13" s="122">
        <v>250940.0</v>
      </c>
      <c r="D13" s="48" t="s">
        <v>56</v>
      </c>
      <c r="E13" s="122" t="s">
        <v>1512</v>
      </c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8:8" ht="15.0">
      <c r="A14" s="122">
        <v>12.0</v>
      </c>
      <c r="B14" s="48" t="s">
        <v>4542</v>
      </c>
      <c r="C14" s="122">
        <v>250963.0</v>
      </c>
      <c r="D14" s="48" t="s">
        <v>56</v>
      </c>
      <c r="E14" s="122" t="s">
        <v>1512</v>
      </c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8:8" ht="15.0">
      <c r="A15" s="122">
        <v>13.0</v>
      </c>
      <c r="B15" s="48" t="s">
        <v>4543</v>
      </c>
      <c r="C15" s="122">
        <v>250978.0</v>
      </c>
      <c r="D15" s="48" t="s">
        <v>56</v>
      </c>
      <c r="E15" s="122" t="s">
        <v>1512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8:8" ht="15.0">
      <c r="A16" s="122">
        <v>14.0</v>
      </c>
      <c r="B16" s="48" t="s">
        <v>4544</v>
      </c>
      <c r="C16" s="122">
        <v>240897.0</v>
      </c>
      <c r="D16" s="46" t="s">
        <v>606</v>
      </c>
      <c r="E16" s="122" t="s">
        <v>1512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8:8" ht="15.0">
      <c r="A17" s="122">
        <v>15.0</v>
      </c>
      <c r="B17" s="48" t="s">
        <v>4545</v>
      </c>
      <c r="C17" s="122">
        <v>253275.0</v>
      </c>
      <c r="D17" s="48" t="s">
        <v>90</v>
      </c>
      <c r="E17" s="122" t="s">
        <v>1512</v>
      </c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8:8" ht="15.0">
      <c r="A18" s="122">
        <v>16.0</v>
      </c>
      <c r="B18" s="48" t="s">
        <v>4546</v>
      </c>
      <c r="C18" s="122">
        <v>253281.0</v>
      </c>
      <c r="D18" s="48" t="s">
        <v>90</v>
      </c>
      <c r="E18" s="122" t="s">
        <v>1512</v>
      </c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8:8" ht="15.0">
      <c r="A19" s="122">
        <v>17.0</v>
      </c>
      <c r="B19" s="46" t="s">
        <v>4547</v>
      </c>
      <c r="C19" s="49">
        <v>241256.0</v>
      </c>
      <c r="D19" s="46" t="s">
        <v>1369</v>
      </c>
      <c r="E19" s="49" t="s">
        <v>1512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8:8" ht="15.0">
      <c r="A20" s="122">
        <v>18.0</v>
      </c>
      <c r="B20" s="46" t="s">
        <v>4548</v>
      </c>
      <c r="C20" s="49">
        <v>250177.0</v>
      </c>
      <c r="D20" s="48" t="s">
        <v>27</v>
      </c>
      <c r="E20" s="49" t="s">
        <v>1512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8:8" ht="15.0">
      <c r="A21" s="122">
        <v>19.0</v>
      </c>
      <c r="B21" s="48" t="s">
        <v>4549</v>
      </c>
      <c r="C21" s="122">
        <v>253074.0</v>
      </c>
      <c r="D21" s="48" t="s">
        <v>27</v>
      </c>
      <c r="E21" s="122" t="s">
        <v>1512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8:8" ht="15.0">
      <c r="A22" s="122">
        <v>20.0</v>
      </c>
      <c r="B22" s="48" t="s">
        <v>4550</v>
      </c>
      <c r="C22" s="122">
        <v>250218.0</v>
      </c>
      <c r="D22" s="48" t="s">
        <v>27</v>
      </c>
      <c r="E22" s="122" t="s">
        <v>1512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8:8" ht="15.0">
      <c r="A23" s="122">
        <v>21.0</v>
      </c>
      <c r="B23" s="48" t="s">
        <v>4551</v>
      </c>
      <c r="C23" s="122">
        <v>250223.0</v>
      </c>
      <c r="D23" s="48" t="s">
        <v>27</v>
      </c>
      <c r="E23" s="122" t="s">
        <v>1512</v>
      </c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8:8" ht="15.0">
      <c r="A24" s="122">
        <v>22.0</v>
      </c>
      <c r="B24" s="48" t="s">
        <v>4552</v>
      </c>
      <c r="C24" s="122">
        <v>240520.0</v>
      </c>
      <c r="D24" s="48" t="s">
        <v>606</v>
      </c>
      <c r="E24" s="122" t="s">
        <v>1512</v>
      </c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8:8" ht="15.0">
      <c r="A25" s="122">
        <v>23.0</v>
      </c>
      <c r="B25" s="48" t="s">
        <v>4553</v>
      </c>
      <c r="C25" s="122">
        <v>250697.0</v>
      </c>
      <c r="D25" s="48" t="s">
        <v>56</v>
      </c>
      <c r="E25" s="122" t="s">
        <v>1512</v>
      </c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8:8" ht="15.0">
      <c r="A26" s="122">
        <v>24.0</v>
      </c>
      <c r="B26" s="48" t="s">
        <v>4554</v>
      </c>
      <c r="C26" s="122">
        <v>250703.0</v>
      </c>
      <c r="D26" s="48" t="s">
        <v>56</v>
      </c>
      <c r="E26" s="122" t="s">
        <v>1512</v>
      </c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8:8" ht="15.0">
      <c r="A27" s="122">
        <v>25.0</v>
      </c>
      <c r="B27" s="46" t="s">
        <v>4555</v>
      </c>
      <c r="C27" s="49">
        <v>252276.0</v>
      </c>
      <c r="D27" s="46" t="s">
        <v>104</v>
      </c>
      <c r="E27" s="49" t="s">
        <v>1512</v>
      </c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8:8" ht="15.0">
      <c r="A28" s="122">
        <v>26.0</v>
      </c>
      <c r="B28" s="46" t="s">
        <v>4556</v>
      </c>
      <c r="C28" s="49">
        <v>240712.0</v>
      </c>
      <c r="D28" s="46" t="s">
        <v>606</v>
      </c>
      <c r="E28" s="49" t="s">
        <v>1512</v>
      </c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8:8" ht="15.0">
      <c r="A29" s="122">
        <v>27.0</v>
      </c>
      <c r="B29" s="48" t="s">
        <v>4557</v>
      </c>
      <c r="C29" s="122">
        <v>250036.0</v>
      </c>
      <c r="D29" s="48" t="s">
        <v>94</v>
      </c>
      <c r="E29" s="122" t="s">
        <v>28</v>
      </c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8:8" ht="15.0">
      <c r="A30" s="122">
        <v>28.0</v>
      </c>
      <c r="B30" s="48" t="s">
        <v>4558</v>
      </c>
      <c r="C30" s="122">
        <v>250370.0</v>
      </c>
      <c r="D30" s="48" t="s">
        <v>94</v>
      </c>
      <c r="E30" s="122" t="s">
        <v>28</v>
      </c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8:8" ht="15.0">
      <c r="A31" s="122">
        <v>29.0</v>
      </c>
      <c r="B31" s="48" t="s">
        <v>4559</v>
      </c>
      <c r="C31" s="122">
        <v>250924.0</v>
      </c>
      <c r="D31" s="48" t="s">
        <v>56</v>
      </c>
      <c r="E31" s="122" t="s">
        <v>28</v>
      </c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8:8" ht="15.0">
      <c r="A32" s="122">
        <v>30.0</v>
      </c>
      <c r="B32" s="48" t="s">
        <v>4560</v>
      </c>
      <c r="C32" s="122">
        <v>250566.0</v>
      </c>
      <c r="D32" s="48" t="s">
        <v>94</v>
      </c>
      <c r="E32" s="122" t="s">
        <v>28</v>
      </c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8:8" ht="15.0">
      <c r="A33" s="122">
        <v>31.0</v>
      </c>
      <c r="B33" s="48" t="s">
        <v>4561</v>
      </c>
      <c r="C33" s="122">
        <v>251032.0</v>
      </c>
      <c r="D33" s="48" t="s">
        <v>56</v>
      </c>
      <c r="E33" s="122" t="s">
        <v>28</v>
      </c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8:8" ht="15.0">
      <c r="A34" s="122">
        <v>32.0</v>
      </c>
      <c r="B34" s="48" t="s">
        <v>4562</v>
      </c>
      <c r="C34" s="122">
        <v>251034.0</v>
      </c>
      <c r="D34" s="48" t="s">
        <v>56</v>
      </c>
      <c r="E34" s="122" t="s">
        <v>28</v>
      </c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8:8" ht="15.0">
      <c r="A35" s="122">
        <v>33.0</v>
      </c>
      <c r="B35" s="48" t="s">
        <v>4563</v>
      </c>
      <c r="C35" s="122">
        <v>251060.0</v>
      </c>
      <c r="D35" s="48" t="s">
        <v>56</v>
      </c>
      <c r="E35" s="122" t="s">
        <v>28</v>
      </c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8:8" ht="15.0">
      <c r="A36" s="122">
        <v>34.0</v>
      </c>
      <c r="B36" s="48" t="s">
        <v>4564</v>
      </c>
      <c r="C36" s="122">
        <v>250933.0</v>
      </c>
      <c r="D36" s="48" t="s">
        <v>56</v>
      </c>
      <c r="E36" s="122" t="s">
        <v>28</v>
      </c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8:8" ht="15.0">
      <c r="A37" s="122">
        <v>35.0</v>
      </c>
      <c r="B37" s="48" t="s">
        <v>4565</v>
      </c>
      <c r="C37" s="122">
        <v>251161.0</v>
      </c>
      <c r="D37" s="48" t="s">
        <v>56</v>
      </c>
      <c r="E37" s="122" t="s">
        <v>28</v>
      </c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8:8" ht="15.0">
      <c r="A38" s="122">
        <v>36.0</v>
      </c>
      <c r="B38" s="48" t="s">
        <v>4566</v>
      </c>
      <c r="C38" s="122">
        <v>240922.0</v>
      </c>
      <c r="D38" s="48" t="s">
        <v>606</v>
      </c>
      <c r="E38" s="122" t="s">
        <v>580</v>
      </c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8:8" ht="15.0">
      <c r="A39" s="122">
        <v>37.0</v>
      </c>
      <c r="B39" s="48" t="s">
        <v>4567</v>
      </c>
      <c r="C39" s="122">
        <v>240574.0</v>
      </c>
      <c r="D39" s="48" t="s">
        <v>606</v>
      </c>
      <c r="E39" s="122" t="s">
        <v>1477</v>
      </c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8:8" ht="15.0">
      <c r="A40" s="122">
        <v>38.0</v>
      </c>
      <c r="B40" s="48" t="s">
        <v>4568</v>
      </c>
      <c r="C40" s="122">
        <v>240611.0</v>
      </c>
      <c r="D40" s="48" t="s">
        <v>606</v>
      </c>
      <c r="E40" s="122" t="s">
        <v>1477</v>
      </c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8:8" ht="15.0">
      <c r="A41" s="122">
        <v>39.0</v>
      </c>
      <c r="B41" s="48" t="s">
        <v>4569</v>
      </c>
      <c r="C41" s="122">
        <v>252986.0</v>
      </c>
      <c r="D41" s="48" t="s">
        <v>56</v>
      </c>
      <c r="E41" s="122" t="s">
        <v>1490</v>
      </c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8:8" ht="15.0">
      <c r="A42" s="122">
        <v>40.0</v>
      </c>
      <c r="B42" s="48" t="s">
        <v>4570</v>
      </c>
      <c r="C42" s="122">
        <v>240950.0</v>
      </c>
      <c r="D42" s="48" t="s">
        <v>606</v>
      </c>
      <c r="E42" s="122" t="s">
        <v>1490</v>
      </c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8:8" ht="15.0">
      <c r="A43" s="122">
        <v>41.0</v>
      </c>
      <c r="B43" s="48" t="s">
        <v>4571</v>
      </c>
      <c r="C43" s="122">
        <v>240908.0</v>
      </c>
      <c r="D43" s="48" t="s">
        <v>606</v>
      </c>
      <c r="E43" s="122" t="s">
        <v>1490</v>
      </c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8:8" ht="15.0">
      <c r="A44" s="122">
        <v>42.0</v>
      </c>
      <c r="B44" s="48" t="s">
        <v>4572</v>
      </c>
      <c r="C44" s="122">
        <v>250904.0</v>
      </c>
      <c r="D44" s="48" t="s">
        <v>56</v>
      </c>
      <c r="E44" s="122" t="s">
        <v>1490</v>
      </c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8:8" ht="15.0">
      <c r="A45" s="122">
        <v>43.0</v>
      </c>
      <c r="B45" s="48" t="s">
        <v>4573</v>
      </c>
      <c r="C45" s="122">
        <v>250114.0</v>
      </c>
      <c r="D45" s="48" t="s">
        <v>27</v>
      </c>
      <c r="E45" s="122" t="s">
        <v>1490</v>
      </c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8:8" ht="15.0">
      <c r="A46" s="122">
        <v>44.0</v>
      </c>
      <c r="B46" s="48" t="s">
        <v>4574</v>
      </c>
      <c r="C46" s="122">
        <v>250866.0</v>
      </c>
      <c r="D46" s="48" t="s">
        <v>56</v>
      </c>
      <c r="E46" s="122" t="s">
        <v>1490</v>
      </c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8:8" ht="15.0">
      <c r="A47" s="122">
        <v>45.0</v>
      </c>
      <c r="B47" s="48" t="s">
        <v>4575</v>
      </c>
      <c r="C47" s="122">
        <v>240666.0</v>
      </c>
      <c r="D47" s="48" t="s">
        <v>606</v>
      </c>
      <c r="E47" s="122" t="s">
        <v>1490</v>
      </c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8:8" ht="15.0">
      <c r="A48" s="122">
        <v>46.0</v>
      </c>
      <c r="B48" s="48" t="s">
        <v>4576</v>
      </c>
      <c r="C48" s="122">
        <v>253146.0</v>
      </c>
      <c r="D48" s="48" t="s">
        <v>27</v>
      </c>
      <c r="E48" s="122" t="s">
        <v>1490</v>
      </c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8:8" ht="15.0">
      <c r="A49" s="122">
        <v>47.0</v>
      </c>
      <c r="B49" s="48" t="s">
        <v>4577</v>
      </c>
      <c r="C49" s="122">
        <v>250380.0</v>
      </c>
      <c r="D49" s="48" t="s">
        <v>94</v>
      </c>
      <c r="E49" s="122" t="s">
        <v>1512</v>
      </c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8:8" ht="15.0">
      <c r="A50" s="122">
        <v>48.0</v>
      </c>
      <c r="B50" s="48" t="s">
        <v>4578</v>
      </c>
      <c r="C50" s="122">
        <v>250533.0</v>
      </c>
      <c r="D50" s="48" t="s">
        <v>94</v>
      </c>
      <c r="E50" s="122" t="s">
        <v>1512</v>
      </c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8:8" ht="15.0">
      <c r="A51" s="122">
        <v>49.0</v>
      </c>
      <c r="B51" s="48" t="s">
        <v>4579</v>
      </c>
      <c r="C51" s="122">
        <v>251070.0</v>
      </c>
      <c r="D51" s="48" t="s">
        <v>56</v>
      </c>
      <c r="E51" s="122" t="s">
        <v>1512</v>
      </c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8:8" ht="15.0">
      <c r="A52" s="122">
        <v>50.0</v>
      </c>
      <c r="B52" s="48" t="s">
        <v>4580</v>
      </c>
      <c r="C52" s="122">
        <v>251051.0</v>
      </c>
      <c r="D52" s="48" t="s">
        <v>56</v>
      </c>
      <c r="E52" s="122" t="s">
        <v>1512</v>
      </c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8:8" ht="15.0">
      <c r="A53" s="122">
        <v>51.0</v>
      </c>
      <c r="B53" s="48" t="s">
        <v>4581</v>
      </c>
      <c r="C53" s="122">
        <v>251072.0</v>
      </c>
      <c r="D53" s="48" t="s">
        <v>56</v>
      </c>
      <c r="E53" s="122" t="s">
        <v>1512</v>
      </c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8:8" ht="15.0">
      <c r="A54" s="122">
        <v>52.0</v>
      </c>
      <c r="B54" s="48" t="s">
        <v>4582</v>
      </c>
      <c r="C54" s="122">
        <v>251216.0</v>
      </c>
      <c r="D54" s="48" t="s">
        <v>56</v>
      </c>
      <c r="E54" s="122" t="s">
        <v>1512</v>
      </c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8:8" ht="15.0">
      <c r="A55" s="122">
        <v>53.0</v>
      </c>
      <c r="B55" s="48" t="s">
        <v>4583</v>
      </c>
      <c r="C55" s="122">
        <v>252987.0</v>
      </c>
      <c r="D55" s="48" t="s">
        <v>56</v>
      </c>
      <c r="E55" s="122" t="s">
        <v>1512</v>
      </c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8:8" ht="15.0">
      <c r="A56" s="122">
        <v>54.0</v>
      </c>
      <c r="B56" s="48" t="s">
        <v>4584</v>
      </c>
      <c r="C56" s="122">
        <v>240973.0</v>
      </c>
      <c r="D56" s="46" t="s">
        <v>606</v>
      </c>
      <c r="E56" s="122" t="s">
        <v>1512</v>
      </c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8:8" ht="15.0">
      <c r="A57" s="122">
        <v>55.0</v>
      </c>
      <c r="B57" s="46" t="s">
        <v>4585</v>
      </c>
      <c r="C57" s="49">
        <v>251989.0</v>
      </c>
      <c r="D57" s="46" t="s">
        <v>104</v>
      </c>
      <c r="E57" s="49" t="s">
        <v>28</v>
      </c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8:8" ht="15.0">
      <c r="A58" s="122">
        <v>56.0</v>
      </c>
      <c r="B58" s="46" t="s">
        <v>4586</v>
      </c>
      <c r="C58" s="49">
        <v>252355.0</v>
      </c>
      <c r="D58" s="46" t="s">
        <v>104</v>
      </c>
      <c r="E58" s="49" t="s">
        <v>28</v>
      </c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8:8" ht="15.0">
      <c r="A59" s="122">
        <v>57.0</v>
      </c>
      <c r="B59" s="46" t="s">
        <v>4587</v>
      </c>
      <c r="C59" s="49">
        <v>252831.0</v>
      </c>
      <c r="D59" s="48" t="s">
        <v>90</v>
      </c>
      <c r="E59" s="49" t="s">
        <v>28</v>
      </c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8:8" ht="15.0">
      <c r="A60" s="122">
        <v>58.0</v>
      </c>
      <c r="B60" s="46" t="s">
        <v>4588</v>
      </c>
      <c r="C60" s="49">
        <v>252791.0</v>
      </c>
      <c r="D60" s="48" t="s">
        <v>90</v>
      </c>
      <c r="E60" s="49" t="s">
        <v>28</v>
      </c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8:8" ht="15.0">
      <c r="A61" s="122">
        <v>59.0</v>
      </c>
      <c r="B61" s="46" t="s">
        <v>4589</v>
      </c>
      <c r="C61" s="49">
        <v>252131.0</v>
      </c>
      <c r="D61" s="46" t="s">
        <v>104</v>
      </c>
      <c r="E61" s="49" t="s">
        <v>580</v>
      </c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8:8" ht="15.0">
      <c r="A62" s="122">
        <v>60.0</v>
      </c>
      <c r="B62" s="46" t="s">
        <v>4590</v>
      </c>
      <c r="C62" s="49">
        <v>252887.0</v>
      </c>
      <c r="D62" s="46" t="s">
        <v>104</v>
      </c>
      <c r="E62" s="49" t="s">
        <v>28</v>
      </c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8:8" ht="15.0">
      <c r="A63" s="122">
        <v>61.0</v>
      </c>
      <c r="B63" s="46" t="s">
        <v>4591</v>
      </c>
      <c r="C63" s="49">
        <v>252746.0</v>
      </c>
      <c r="D63" s="48" t="s">
        <v>90</v>
      </c>
      <c r="E63" s="49" t="s">
        <v>111</v>
      </c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8:8" ht="15.0">
      <c r="A64" s="122">
        <v>62.0</v>
      </c>
      <c r="B64" s="46" t="s">
        <v>4592</v>
      </c>
      <c r="C64" s="49">
        <v>252723.0</v>
      </c>
      <c r="D64" s="48" t="s">
        <v>90</v>
      </c>
      <c r="E64" s="49" t="s">
        <v>1512</v>
      </c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8:8" ht="15.0">
      <c r="A65" s="122">
        <v>63.0</v>
      </c>
      <c r="B65" s="46" t="s">
        <v>4593</v>
      </c>
      <c r="C65" s="49">
        <v>251830.0</v>
      </c>
      <c r="D65" s="46" t="s">
        <v>104</v>
      </c>
      <c r="E65" s="49" t="s">
        <v>28</v>
      </c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8:8" ht="15.0">
      <c r="A66" s="122">
        <v>64.0</v>
      </c>
      <c r="B66" s="46" t="s">
        <v>4594</v>
      </c>
      <c r="C66" s="49">
        <v>251843.0</v>
      </c>
      <c r="D66" s="46" t="s">
        <v>104</v>
      </c>
      <c r="E66" s="49" t="s">
        <v>28</v>
      </c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8:8" ht="15.0">
      <c r="A67" s="122">
        <v>65.0</v>
      </c>
      <c r="B67" s="46" t="s">
        <v>4595</v>
      </c>
      <c r="C67" s="49">
        <v>251893.0</v>
      </c>
      <c r="D67" s="46" t="s">
        <v>104</v>
      </c>
      <c r="E67" s="49" t="s">
        <v>28</v>
      </c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8:8" ht="15.0">
      <c r="A68" s="122">
        <v>66.0</v>
      </c>
      <c r="B68" s="46" t="s">
        <v>4596</v>
      </c>
      <c r="C68" s="49">
        <v>251847.0</v>
      </c>
      <c r="D68" s="46" t="s">
        <v>104</v>
      </c>
      <c r="E68" s="49" t="s">
        <v>28</v>
      </c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8:8" ht="15.0">
      <c r="A69" s="122">
        <v>67.0</v>
      </c>
      <c r="B69" s="46" t="s">
        <v>4597</v>
      </c>
      <c r="C69" s="49">
        <v>251907.0</v>
      </c>
      <c r="D69" s="46" t="s">
        <v>104</v>
      </c>
      <c r="E69" s="49" t="s">
        <v>28</v>
      </c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8:8" ht="15.0">
      <c r="A70" s="122">
        <v>68.0</v>
      </c>
      <c r="B70" s="46" t="s">
        <v>4598</v>
      </c>
      <c r="C70" s="49">
        <v>252291.0</v>
      </c>
      <c r="D70" s="46" t="s">
        <v>104</v>
      </c>
      <c r="E70" s="49" t="s">
        <v>28</v>
      </c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8:8" ht="15.0">
      <c r="A71" s="122">
        <v>69.0</v>
      </c>
      <c r="B71" s="46" t="s">
        <v>4599</v>
      </c>
      <c r="C71" s="49">
        <v>252320.0</v>
      </c>
      <c r="D71" s="46" t="s">
        <v>104</v>
      </c>
      <c r="E71" s="49" t="s">
        <v>28</v>
      </c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8:8" ht="15.0">
      <c r="A72" s="122">
        <v>70.0</v>
      </c>
      <c r="B72" s="46" t="s">
        <v>4600</v>
      </c>
      <c r="C72" s="49">
        <v>252331.0</v>
      </c>
      <c r="D72" s="46" t="s">
        <v>104</v>
      </c>
      <c r="E72" s="49" t="s">
        <v>28</v>
      </c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8:8" ht="15.0">
      <c r="A73" s="122">
        <v>71.0</v>
      </c>
      <c r="B73" s="46" t="s">
        <v>4601</v>
      </c>
      <c r="C73" s="49">
        <v>241692.0</v>
      </c>
      <c r="D73" s="46" t="s">
        <v>2665</v>
      </c>
      <c r="E73" s="49" t="s">
        <v>580</v>
      </c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8:8" ht="15.0">
      <c r="A74" s="122">
        <v>72.0</v>
      </c>
      <c r="B74" s="50" t="s">
        <v>4602</v>
      </c>
      <c r="C74" s="47">
        <v>241910.0</v>
      </c>
      <c r="D74" s="46" t="s">
        <v>2665</v>
      </c>
      <c r="E74" s="49" t="s">
        <v>781</v>
      </c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8:8" ht="15.0">
      <c r="A75" s="122">
        <v>73.0</v>
      </c>
      <c r="B75" s="46" t="s">
        <v>4603</v>
      </c>
      <c r="C75" s="49">
        <v>241723.0</v>
      </c>
      <c r="D75" s="46" t="s">
        <v>2665</v>
      </c>
      <c r="E75" s="49" t="s">
        <v>580</v>
      </c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8:8" ht="15.0">
      <c r="A76" s="122">
        <v>74.0</v>
      </c>
      <c r="B76" s="46" t="s">
        <v>4604</v>
      </c>
      <c r="C76" s="49">
        <v>251839.0</v>
      </c>
      <c r="D76" s="46" t="s">
        <v>104</v>
      </c>
      <c r="E76" s="49" t="s">
        <v>1512</v>
      </c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8:8" ht="15.0">
      <c r="A77" s="122">
        <v>75.0</v>
      </c>
      <c r="B77" s="46" t="s">
        <v>4605</v>
      </c>
      <c r="C77" s="49">
        <v>252207.0</v>
      </c>
      <c r="D77" s="46" t="s">
        <v>104</v>
      </c>
      <c r="E77" s="49" t="s">
        <v>1512</v>
      </c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8:8" ht="15.0">
      <c r="A78" s="122">
        <v>76.0</v>
      </c>
      <c r="B78" s="46" t="s">
        <v>4606</v>
      </c>
      <c r="C78" s="49">
        <v>251832.0</v>
      </c>
      <c r="D78" s="46" t="s">
        <v>104</v>
      </c>
      <c r="E78" s="49" t="s">
        <v>1512</v>
      </c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8:8" ht="15.0">
      <c r="A79" s="122">
        <v>77.0</v>
      </c>
      <c r="B79" s="46" t="s">
        <v>4607</v>
      </c>
      <c r="C79" s="49">
        <v>251971.0</v>
      </c>
      <c r="D79" s="46" t="s">
        <v>104</v>
      </c>
      <c r="E79" s="47" t="s">
        <v>1512</v>
      </c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8:8" ht="15.0">
      <c r="A80" s="122">
        <v>78.0</v>
      </c>
      <c r="B80" s="46" t="s">
        <v>4608</v>
      </c>
      <c r="C80" s="49">
        <v>251544.0</v>
      </c>
      <c r="D80" s="46" t="s">
        <v>2971</v>
      </c>
      <c r="E80" s="47" t="s">
        <v>1512</v>
      </c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8:8" ht="15.0">
      <c r="A81" s="122">
        <v>79.0</v>
      </c>
      <c r="B81" s="46" t="s">
        <v>4609</v>
      </c>
      <c r="C81" s="49">
        <v>252703.0</v>
      </c>
      <c r="D81" s="48" t="s">
        <v>90</v>
      </c>
      <c r="E81" s="49" t="s">
        <v>1512</v>
      </c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8:8" ht="15.0">
      <c r="A82" s="122">
        <v>80.0</v>
      </c>
      <c r="B82" s="46" t="s">
        <v>4610</v>
      </c>
      <c r="C82" s="49">
        <v>252711.0</v>
      </c>
      <c r="D82" s="48" t="s">
        <v>90</v>
      </c>
      <c r="E82" s="49" t="s">
        <v>1512</v>
      </c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8:8" ht="15.0">
      <c r="A83" s="122">
        <v>81.0</v>
      </c>
      <c r="B83" s="46" t="s">
        <v>4611</v>
      </c>
      <c r="C83" s="49">
        <v>252579.0</v>
      </c>
      <c r="D83" s="48" t="s">
        <v>90</v>
      </c>
      <c r="E83" s="49" t="s">
        <v>1512</v>
      </c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8:8" ht="15.0">
      <c r="A84" s="122">
        <v>82.0</v>
      </c>
      <c r="B84" s="46" t="s">
        <v>4612</v>
      </c>
      <c r="C84" s="49">
        <v>252730.0</v>
      </c>
      <c r="D84" s="48" t="s">
        <v>90</v>
      </c>
      <c r="E84" s="49" t="s">
        <v>1512</v>
      </c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8:8" ht="15.0">
      <c r="A85" s="122">
        <v>83.0</v>
      </c>
      <c r="B85" s="46" t="s">
        <v>4613</v>
      </c>
      <c r="C85" s="49">
        <v>252735.0</v>
      </c>
      <c r="D85" s="48" t="s">
        <v>90</v>
      </c>
      <c r="E85" s="49" t="s">
        <v>1512</v>
      </c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8:8" ht="15.0">
      <c r="A86" s="122">
        <v>84.0</v>
      </c>
      <c r="B86" s="46" t="s">
        <v>4614</v>
      </c>
      <c r="C86" s="49">
        <v>252797.0</v>
      </c>
      <c r="D86" s="48" t="s">
        <v>90</v>
      </c>
      <c r="E86" s="49" t="s">
        <v>1512</v>
      </c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8:8" ht="15.0">
      <c r="A87" s="122">
        <v>85.0</v>
      </c>
      <c r="B87" s="46" t="s">
        <v>4615</v>
      </c>
      <c r="C87" s="49">
        <v>252002.0</v>
      </c>
      <c r="D87" s="46" t="s">
        <v>104</v>
      </c>
      <c r="E87" s="49" t="s">
        <v>1512</v>
      </c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8:8" ht="15.0">
      <c r="A88" s="122">
        <v>86.0</v>
      </c>
      <c r="B88" s="46" t="s">
        <v>4616</v>
      </c>
      <c r="C88" s="49">
        <v>252737.0</v>
      </c>
      <c r="D88" s="48" t="s">
        <v>90</v>
      </c>
      <c r="E88" s="49" t="s">
        <v>1512</v>
      </c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8:8" ht="15.0">
      <c r="A89" s="122">
        <v>87.0</v>
      </c>
      <c r="B89" s="46" t="s">
        <v>4617</v>
      </c>
      <c r="C89" s="49">
        <v>251936.0</v>
      </c>
      <c r="D89" s="46" t="s">
        <v>104</v>
      </c>
      <c r="E89" s="49" t="s">
        <v>1512</v>
      </c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8:8" ht="15.0">
      <c r="A90" s="122">
        <v>88.0</v>
      </c>
      <c r="B90" s="46" t="s">
        <v>4618</v>
      </c>
      <c r="C90" s="49">
        <v>252166.0</v>
      </c>
      <c r="D90" s="46" t="s">
        <v>104</v>
      </c>
      <c r="E90" s="49" t="s">
        <v>1512</v>
      </c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8:8" ht="15.0">
      <c r="A91" s="122">
        <v>89.0</v>
      </c>
      <c r="B91" s="46" t="s">
        <v>4619</v>
      </c>
      <c r="C91" s="49">
        <v>252182.0</v>
      </c>
      <c r="D91" s="46" t="s">
        <v>104</v>
      </c>
      <c r="E91" s="49" t="s">
        <v>1512</v>
      </c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8:8" ht="15.0">
      <c r="A92" s="122">
        <v>90.0</v>
      </c>
      <c r="B92" s="46" t="s">
        <v>4620</v>
      </c>
      <c r="C92" s="49">
        <v>252183.0</v>
      </c>
      <c r="D92" s="46" t="s">
        <v>104</v>
      </c>
      <c r="E92" s="49" t="s">
        <v>1512</v>
      </c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8:8" ht="15.0">
      <c r="A93" s="122">
        <v>91.0</v>
      </c>
      <c r="B93" s="46" t="s">
        <v>4621</v>
      </c>
      <c r="C93" s="49">
        <v>252193.0</v>
      </c>
      <c r="D93" s="46" t="s">
        <v>104</v>
      </c>
      <c r="E93" s="49" t="s">
        <v>1512</v>
      </c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8:8" ht="15.0">
      <c r="A94" s="122">
        <v>92.0</v>
      </c>
      <c r="B94" s="46" t="s">
        <v>4622</v>
      </c>
      <c r="C94" s="49">
        <v>252198.0</v>
      </c>
      <c r="D94" s="46" t="s">
        <v>104</v>
      </c>
      <c r="E94" s="49" t="s">
        <v>1512</v>
      </c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8:8" ht="15.0">
      <c r="A95" s="122">
        <v>93.0</v>
      </c>
      <c r="B95" s="46" t="s">
        <v>4623</v>
      </c>
      <c r="C95" s="49">
        <v>252222.0</v>
      </c>
      <c r="D95" s="46" t="s">
        <v>104</v>
      </c>
      <c r="E95" s="49" t="s">
        <v>1512</v>
      </c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8:8" ht="15.0">
      <c r="A96" s="122">
        <v>94.0</v>
      </c>
      <c r="B96" s="46" t="s">
        <v>4624</v>
      </c>
      <c r="C96" s="49">
        <v>252277.0</v>
      </c>
      <c r="D96" s="46" t="s">
        <v>104</v>
      </c>
      <c r="E96" s="49" t="s">
        <v>1512</v>
      </c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8:8" ht="15.0">
      <c r="A97" s="122">
        <v>95.0</v>
      </c>
      <c r="B97" s="46" t="s">
        <v>4625</v>
      </c>
      <c r="C97" s="49">
        <v>252202.0</v>
      </c>
      <c r="D97" s="46" t="s">
        <v>104</v>
      </c>
      <c r="E97" s="49" t="s">
        <v>1512</v>
      </c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8:8" ht="15.0">
      <c r="A98" s="122">
        <v>96.0</v>
      </c>
      <c r="B98" s="46" t="s">
        <v>4626</v>
      </c>
      <c r="C98" s="49">
        <v>252219.0</v>
      </c>
      <c r="D98" s="46" t="s">
        <v>104</v>
      </c>
      <c r="E98" s="49" t="s">
        <v>1512</v>
      </c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8:8" ht="15.0">
      <c r="A99" s="122">
        <v>97.0</v>
      </c>
      <c r="B99" s="46" t="s">
        <v>4627</v>
      </c>
      <c r="C99" s="49">
        <v>252334.0</v>
      </c>
      <c r="D99" s="46" t="s">
        <v>104</v>
      </c>
      <c r="E99" s="49" t="s">
        <v>1512</v>
      </c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8:8" ht="15.0">
      <c r="A100" s="122">
        <v>98.0</v>
      </c>
      <c r="B100" s="46" t="s">
        <v>4628</v>
      </c>
      <c r="C100" s="49">
        <v>241670.0</v>
      </c>
      <c r="D100" s="46" t="s">
        <v>2665</v>
      </c>
      <c r="E100" s="49" t="s">
        <v>1512</v>
      </c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8:8" ht="15.0">
      <c r="A101" s="122">
        <v>99.0</v>
      </c>
      <c r="B101" s="46" t="s">
        <v>4629</v>
      </c>
      <c r="C101" s="49">
        <v>241734.0</v>
      </c>
      <c r="D101" s="46" t="s">
        <v>2665</v>
      </c>
      <c r="E101" s="49" t="s">
        <v>1512</v>
      </c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8:8" ht="15.0">
      <c r="A102" s="122">
        <v>100.0</v>
      </c>
      <c r="B102" s="46" t="s">
        <v>4630</v>
      </c>
      <c r="C102" s="49">
        <v>241733.0</v>
      </c>
      <c r="D102" s="46" t="s">
        <v>2665</v>
      </c>
      <c r="E102" s="49" t="s">
        <v>1512</v>
      </c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8:8" ht="15.0">
      <c r="A103" s="122">
        <v>101.0</v>
      </c>
      <c r="B103" s="46" t="s">
        <v>4631</v>
      </c>
      <c r="C103" s="49">
        <v>241712.0</v>
      </c>
      <c r="D103" s="46" t="s">
        <v>2665</v>
      </c>
      <c r="E103" s="49" t="s">
        <v>1512</v>
      </c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8:8" ht="15.0">
      <c r="A104" s="122">
        <v>102.0</v>
      </c>
      <c r="B104" s="46" t="s">
        <v>4632</v>
      </c>
      <c r="C104" s="49">
        <v>251061.0</v>
      </c>
      <c r="D104" s="46" t="s">
        <v>56</v>
      </c>
      <c r="E104" s="49" t="s">
        <v>1512</v>
      </c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8:8" ht="15.0">
      <c r="A105" s="122">
        <v>103.0</v>
      </c>
      <c r="B105" s="46" t="s">
        <v>4633</v>
      </c>
      <c r="C105" s="49">
        <v>250995.0</v>
      </c>
      <c r="D105" s="46" t="s">
        <v>56</v>
      </c>
      <c r="E105" s="49" t="s">
        <v>1512</v>
      </c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8:8" ht="15.0">
      <c r="A106" s="122">
        <v>104.0</v>
      </c>
      <c r="B106" s="46" t="s">
        <v>4634</v>
      </c>
      <c r="C106" s="49">
        <v>252569.0</v>
      </c>
      <c r="D106" s="48" t="s">
        <v>90</v>
      </c>
      <c r="E106" s="49" t="s">
        <v>1512</v>
      </c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8:8" ht="15.0">
      <c r="A107" s="122">
        <v>105.0</v>
      </c>
      <c r="B107" s="46" t="s">
        <v>4635</v>
      </c>
      <c r="C107" s="49">
        <v>252673.0</v>
      </c>
      <c r="D107" s="48" t="s">
        <v>90</v>
      </c>
      <c r="E107" s="49" t="s">
        <v>1512</v>
      </c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8:8" ht="15.0">
      <c r="A108" s="122">
        <v>106.0</v>
      </c>
      <c r="B108" s="46" t="s">
        <v>4636</v>
      </c>
      <c r="C108" s="49">
        <v>253040.0</v>
      </c>
      <c r="D108" s="48" t="s">
        <v>90</v>
      </c>
      <c r="E108" s="49" t="s">
        <v>1512</v>
      </c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8:8" ht="15.0">
      <c r="A109" s="122">
        <v>107.0</v>
      </c>
      <c r="B109" s="46" t="s">
        <v>4637</v>
      </c>
      <c r="C109" s="49">
        <v>252653.0</v>
      </c>
      <c r="D109" s="48" t="s">
        <v>90</v>
      </c>
      <c r="E109" s="49" t="s">
        <v>1512</v>
      </c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8:8" ht="15.0">
      <c r="A110" s="122">
        <v>108.0</v>
      </c>
      <c r="B110" s="46" t="s">
        <v>4638</v>
      </c>
      <c r="C110" s="49">
        <v>253067.0</v>
      </c>
      <c r="D110" s="48" t="s">
        <v>90</v>
      </c>
      <c r="E110" s="49" t="s">
        <v>1512</v>
      </c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8:8" ht="15.0">
      <c r="A111" s="122">
        <v>109.0</v>
      </c>
      <c r="B111" s="46" t="s">
        <v>4639</v>
      </c>
      <c r="C111" s="49">
        <v>252943.0</v>
      </c>
      <c r="D111" s="48" t="s">
        <v>90</v>
      </c>
      <c r="E111" s="49" t="s">
        <v>1512</v>
      </c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8:8" ht="15.0">
      <c r="A112" s="122">
        <v>110.0</v>
      </c>
      <c r="B112" s="46" t="s">
        <v>4640</v>
      </c>
      <c r="C112" s="49">
        <v>252554.0</v>
      </c>
      <c r="D112" s="48" t="s">
        <v>90</v>
      </c>
      <c r="E112" s="49" t="s">
        <v>1512</v>
      </c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8:8" ht="15.0">
      <c r="A113" s="122">
        <v>111.0</v>
      </c>
      <c r="B113" s="46" t="s">
        <v>4641</v>
      </c>
      <c r="C113" s="49">
        <v>252289.0</v>
      </c>
      <c r="D113" s="46" t="s">
        <v>104</v>
      </c>
      <c r="E113" s="49" t="s">
        <v>984</v>
      </c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8:8" ht="15.0">
      <c r="A114" s="122">
        <v>112.0</v>
      </c>
      <c r="B114" s="46" t="s">
        <v>4642</v>
      </c>
      <c r="C114" s="49">
        <v>241958.0</v>
      </c>
      <c r="D114" s="46" t="s">
        <v>2665</v>
      </c>
      <c r="E114" s="49" t="s">
        <v>984</v>
      </c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8:8" ht="15.0">
      <c r="A115" s="122">
        <v>113.0</v>
      </c>
      <c r="B115" s="46" t="s">
        <v>4643</v>
      </c>
      <c r="C115" s="49">
        <v>241679.0</v>
      </c>
      <c r="D115" s="46" t="s">
        <v>2665</v>
      </c>
      <c r="E115" s="49" t="s">
        <v>984</v>
      </c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8:8" ht="15.0">
      <c r="A116" s="122">
        <v>114.0</v>
      </c>
      <c r="B116" s="46" t="s">
        <v>4644</v>
      </c>
      <c r="C116" s="49">
        <v>241722.0</v>
      </c>
      <c r="D116" s="46" t="s">
        <v>2665</v>
      </c>
      <c r="E116" s="49" t="s">
        <v>984</v>
      </c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8:8" ht="15.0">
      <c r="A117" s="122">
        <v>115.0</v>
      </c>
      <c r="B117" s="50" t="s">
        <v>4645</v>
      </c>
      <c r="C117" s="47">
        <v>250807.0</v>
      </c>
      <c r="D117" s="50" t="s">
        <v>56</v>
      </c>
      <c r="E117" s="47" t="s">
        <v>984</v>
      </c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8:8" ht="15.0">
      <c r="A118" s="122">
        <v>116.0</v>
      </c>
      <c r="B118" s="50" t="s">
        <v>4646</v>
      </c>
      <c r="C118" s="47">
        <v>250705.0</v>
      </c>
      <c r="D118" s="50" t="s">
        <v>56</v>
      </c>
      <c r="E118" s="47" t="s">
        <v>984</v>
      </c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8:8" ht="15.0">
      <c r="A119" s="122">
        <v>117.0</v>
      </c>
      <c r="B119" s="50" t="s">
        <v>4647</v>
      </c>
      <c r="C119" s="47">
        <v>250970.0</v>
      </c>
      <c r="D119" s="50" t="s">
        <v>56</v>
      </c>
      <c r="E119" s="47" t="s">
        <v>984</v>
      </c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8:8" ht="15.0">
      <c r="A120" s="122">
        <v>118.0</v>
      </c>
      <c r="B120" s="50" t="s">
        <v>4648</v>
      </c>
      <c r="C120" s="47">
        <v>250966.0</v>
      </c>
      <c r="D120" s="50" t="s">
        <v>56</v>
      </c>
      <c r="E120" s="47" t="s">
        <v>984</v>
      </c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8:8" ht="15.0">
      <c r="A121" s="122">
        <v>119.0</v>
      </c>
      <c r="B121" s="50" t="s">
        <v>4649</v>
      </c>
      <c r="C121" s="47">
        <v>240661.0</v>
      </c>
      <c r="D121" s="50" t="s">
        <v>606</v>
      </c>
      <c r="E121" s="47" t="s">
        <v>984</v>
      </c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8:8" ht="15.0">
      <c r="A122" s="122">
        <v>120.0</v>
      </c>
      <c r="B122" s="50" t="s">
        <v>4650</v>
      </c>
      <c r="C122" s="47">
        <v>240868.0</v>
      </c>
      <c r="D122" s="50" t="s">
        <v>606</v>
      </c>
      <c r="E122" s="47" t="s">
        <v>984</v>
      </c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8:8" ht="15.0">
      <c r="A123" s="122">
        <v>121.0</v>
      </c>
      <c r="B123" s="50" t="s">
        <v>4651</v>
      </c>
      <c r="C123" s="47">
        <v>240746.0</v>
      </c>
      <c r="D123" s="50" t="s">
        <v>606</v>
      </c>
      <c r="E123" s="47" t="s">
        <v>984</v>
      </c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8:8" ht="15.0">
      <c r="A124" s="122">
        <v>122.0</v>
      </c>
      <c r="B124" s="50" t="s">
        <v>4652</v>
      </c>
      <c r="C124" s="47">
        <v>253028.0</v>
      </c>
      <c r="D124" s="48" t="s">
        <v>90</v>
      </c>
      <c r="E124" s="47" t="s">
        <v>984</v>
      </c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8:8" ht="15.0">
      <c r="A125" s="122">
        <v>123.0</v>
      </c>
      <c r="B125" s="50" t="s">
        <v>4653</v>
      </c>
      <c r="C125" s="47">
        <v>253155.0</v>
      </c>
      <c r="D125" s="46" t="s">
        <v>104</v>
      </c>
      <c r="E125" s="47" t="s">
        <v>984</v>
      </c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8:8" ht="15.0">
      <c r="A126" s="122">
        <v>124.0</v>
      </c>
      <c r="B126" s="46" t="s">
        <v>4654</v>
      </c>
      <c r="C126" s="49">
        <v>251850.0</v>
      </c>
      <c r="D126" s="46" t="s">
        <v>104</v>
      </c>
      <c r="E126" s="49" t="s">
        <v>1490</v>
      </c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8:8" ht="15.0">
      <c r="A127" s="122">
        <v>125.0</v>
      </c>
      <c r="B127" s="46" t="s">
        <v>4655</v>
      </c>
      <c r="C127" s="49">
        <v>252311.0</v>
      </c>
      <c r="D127" s="46" t="s">
        <v>104</v>
      </c>
      <c r="E127" s="49" t="s">
        <v>1490</v>
      </c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8:8" ht="15.0">
      <c r="A128" s="122">
        <v>126.0</v>
      </c>
      <c r="B128" s="46" t="s">
        <v>4656</v>
      </c>
      <c r="C128" s="49">
        <v>252280.0</v>
      </c>
      <c r="D128" s="46" t="s">
        <v>104</v>
      </c>
      <c r="E128" s="49" t="s">
        <v>1490</v>
      </c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8:8" ht="15.0">
      <c r="A129" s="122">
        <v>127.0</v>
      </c>
      <c r="B129" s="46" t="s">
        <v>4657</v>
      </c>
      <c r="C129" s="49">
        <v>241906.0</v>
      </c>
      <c r="D129" s="46" t="s">
        <v>2665</v>
      </c>
      <c r="E129" s="49" t="s">
        <v>1490</v>
      </c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8:8" ht="15.0">
      <c r="A130" s="122">
        <v>128.0</v>
      </c>
      <c r="B130" s="46" t="s">
        <v>4658</v>
      </c>
      <c r="C130" s="49">
        <v>252958.0</v>
      </c>
      <c r="D130" s="46" t="s">
        <v>104</v>
      </c>
      <c r="E130" s="49" t="s">
        <v>1490</v>
      </c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8:8" ht="15.0">
      <c r="A131" s="122">
        <v>129.0</v>
      </c>
      <c r="B131" s="46" t="s">
        <v>4659</v>
      </c>
      <c r="C131" s="49">
        <v>241669.0</v>
      </c>
      <c r="D131" s="46" t="s">
        <v>2665</v>
      </c>
      <c r="E131" s="49" t="s">
        <v>1490</v>
      </c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8:8" ht="15.0">
      <c r="A132" s="122">
        <v>130.0</v>
      </c>
      <c r="B132" s="46" t="s">
        <v>4660</v>
      </c>
      <c r="C132" s="49">
        <v>241709.0</v>
      </c>
      <c r="D132" s="46" t="s">
        <v>2665</v>
      </c>
      <c r="E132" s="49" t="s">
        <v>1490</v>
      </c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8:8" ht="15.0">
      <c r="A133" s="122">
        <v>131.0</v>
      </c>
      <c r="B133" s="46" t="s">
        <v>4661</v>
      </c>
      <c r="C133" s="49">
        <v>251932.0</v>
      </c>
      <c r="D133" s="46" t="s">
        <v>104</v>
      </c>
      <c r="E133" s="49" t="s">
        <v>1490</v>
      </c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8:8" ht="15.0">
      <c r="A134" s="122">
        <v>132.0</v>
      </c>
      <c r="B134" s="46" t="s">
        <v>4662</v>
      </c>
      <c r="C134" s="49">
        <v>240517.0</v>
      </c>
      <c r="D134" s="46" t="s">
        <v>606</v>
      </c>
      <c r="E134" s="49" t="s">
        <v>1490</v>
      </c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8:8" ht="15.0">
      <c r="A135" s="122">
        <v>133.0</v>
      </c>
      <c r="B135" s="46" t="s">
        <v>4663</v>
      </c>
      <c r="C135" s="49">
        <v>252520.0</v>
      </c>
      <c r="D135" s="48" t="s">
        <v>90</v>
      </c>
      <c r="E135" s="49" t="s">
        <v>1490</v>
      </c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8:8" ht="15.0">
      <c r="A136" s="122">
        <v>134.0</v>
      </c>
      <c r="B136" s="46" t="s">
        <v>4664</v>
      </c>
      <c r="C136" s="49">
        <v>252811.0</v>
      </c>
      <c r="D136" s="48" t="s">
        <v>90</v>
      </c>
      <c r="E136" s="49" t="s">
        <v>1490</v>
      </c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8:8" ht="15.0">
      <c r="A137" s="122">
        <v>135.0</v>
      </c>
      <c r="B137" s="46" t="s">
        <v>4665</v>
      </c>
      <c r="C137" s="49">
        <v>241432.0</v>
      </c>
      <c r="D137" s="46" t="s">
        <v>1369</v>
      </c>
      <c r="E137" s="49" t="s">
        <v>1490</v>
      </c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8:8" ht="15.0">
      <c r="A138" s="122">
        <v>136.0</v>
      </c>
      <c r="B138" s="46" t="s">
        <v>4666</v>
      </c>
      <c r="C138" s="49">
        <v>240551.0</v>
      </c>
      <c r="D138" s="46" t="s">
        <v>606</v>
      </c>
      <c r="E138" s="49" t="s">
        <v>1490</v>
      </c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8:8" ht="15.0">
      <c r="A139" s="122">
        <v>137.0</v>
      </c>
      <c r="B139" s="46" t="s">
        <v>4667</v>
      </c>
      <c r="C139" s="49">
        <v>251947.0</v>
      </c>
      <c r="D139" s="46" t="s">
        <v>104</v>
      </c>
      <c r="E139" s="49" t="s">
        <v>111</v>
      </c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8:8" ht="15.0">
      <c r="A140" s="122">
        <v>138.0</v>
      </c>
      <c r="B140" s="123" t="s">
        <v>4668</v>
      </c>
      <c r="C140" s="124">
        <v>240878.0</v>
      </c>
      <c r="D140" s="123" t="s">
        <v>606</v>
      </c>
      <c r="E140" s="122" t="s">
        <v>781</v>
      </c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8:8" ht="15.0">
      <c r="A141" s="122">
        <v>139.0</v>
      </c>
      <c r="B141" s="123" t="s">
        <v>4669</v>
      </c>
      <c r="C141" s="122">
        <v>240010.0</v>
      </c>
      <c r="D141" s="123" t="s">
        <v>1065</v>
      </c>
      <c r="E141" s="124" t="s">
        <v>1512</v>
      </c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8:8" ht="15.0">
      <c r="A142" s="122">
        <v>140.0</v>
      </c>
      <c r="B142" s="123" t="s">
        <v>4670</v>
      </c>
      <c r="C142" s="122">
        <v>240240.0</v>
      </c>
      <c r="D142" s="123" t="s">
        <v>1065</v>
      </c>
      <c r="E142" s="124" t="s">
        <v>1512</v>
      </c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8:8" ht="15.0">
      <c r="A143" s="122">
        <v>141.0</v>
      </c>
      <c r="B143" s="123" t="s">
        <v>4671</v>
      </c>
      <c r="C143" s="122">
        <v>240154.0</v>
      </c>
      <c r="D143" s="123" t="s">
        <v>1065</v>
      </c>
      <c r="E143" s="124" t="s">
        <v>1512</v>
      </c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8:8" ht="15.0">
      <c r="A144" s="122">
        <v>142.0</v>
      </c>
      <c r="B144" s="123" t="s">
        <v>4672</v>
      </c>
      <c r="C144" s="122">
        <v>240552.0</v>
      </c>
      <c r="D144" s="123" t="s">
        <v>606</v>
      </c>
      <c r="E144" s="124" t="s">
        <v>1512</v>
      </c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8:8" ht="15.0">
      <c r="A145" s="122">
        <v>143.0</v>
      </c>
      <c r="B145" s="48" t="s">
        <v>4673</v>
      </c>
      <c r="C145" s="122">
        <v>251885.0</v>
      </c>
      <c r="D145" s="48" t="s">
        <v>104</v>
      </c>
      <c r="E145" s="124" t="s">
        <v>1512</v>
      </c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8:8" ht="15.0">
      <c r="A146" s="122">
        <v>144.0</v>
      </c>
      <c r="B146" s="123" t="s">
        <v>4674</v>
      </c>
      <c r="C146" s="124">
        <v>252861.0</v>
      </c>
      <c r="D146" s="123" t="s">
        <v>90</v>
      </c>
      <c r="E146" s="124" t="s">
        <v>1512</v>
      </c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8:8" ht="15.0">
      <c r="A147" s="122">
        <v>145.0</v>
      </c>
      <c r="B147" s="123" t="s">
        <v>4675</v>
      </c>
      <c r="C147" s="124">
        <v>252485.0</v>
      </c>
      <c r="D147" s="123" t="s">
        <v>90</v>
      </c>
      <c r="E147" s="124" t="s">
        <v>1512</v>
      </c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8:8" ht="15.0">
      <c r="A148" s="122">
        <v>146.0</v>
      </c>
      <c r="B148" s="123" t="s">
        <v>4676</v>
      </c>
      <c r="C148" s="124">
        <v>252757.0</v>
      </c>
      <c r="D148" s="123" t="s">
        <v>90</v>
      </c>
      <c r="E148" s="124" t="s">
        <v>1512</v>
      </c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8:8" ht="15.0">
      <c r="A149" s="122">
        <v>147.0</v>
      </c>
      <c r="B149" s="123" t="s">
        <v>4677</v>
      </c>
      <c r="C149" s="122">
        <v>253227.0</v>
      </c>
      <c r="D149" s="123" t="s">
        <v>2971</v>
      </c>
      <c r="E149" s="124" t="s">
        <v>1512</v>
      </c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8:8" ht="15.0">
      <c r="A150" s="122">
        <v>148.0</v>
      </c>
      <c r="B150" s="123" t="s">
        <v>4678</v>
      </c>
      <c r="C150" s="122">
        <v>240946.0</v>
      </c>
      <c r="D150" s="123" t="s">
        <v>606</v>
      </c>
      <c r="E150" s="124" t="s">
        <v>1512</v>
      </c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8:8" ht="15.0">
      <c r="A151" s="122">
        <v>149.0</v>
      </c>
      <c r="B151" s="123" t="s">
        <v>4679</v>
      </c>
      <c r="C151" s="122">
        <v>240579.0</v>
      </c>
      <c r="D151" s="123" t="s">
        <v>606</v>
      </c>
      <c r="E151" s="124" t="s">
        <v>1512</v>
      </c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8:8" ht="15.0">
      <c r="A152" s="122">
        <v>150.0</v>
      </c>
      <c r="B152" s="123" t="s">
        <v>4680</v>
      </c>
      <c r="C152" s="122">
        <v>240439.0</v>
      </c>
      <c r="D152" s="123" t="s">
        <v>2932</v>
      </c>
      <c r="E152" s="122" t="s">
        <v>1490</v>
      </c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8:8" ht="15.0">
      <c r="A153" s="122">
        <v>151.0</v>
      </c>
      <c r="B153" s="125" t="s">
        <v>4681</v>
      </c>
      <c r="C153" s="124">
        <v>253252.0</v>
      </c>
      <c r="D153" s="123" t="s">
        <v>90</v>
      </c>
      <c r="E153" s="124" t="s">
        <v>1490</v>
      </c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8:8" ht="15.0">
      <c r="A154" s="122">
        <v>152.0</v>
      </c>
      <c r="B154" s="48" t="s">
        <v>4682</v>
      </c>
      <c r="C154" s="122">
        <v>240537.0</v>
      </c>
      <c r="D154" s="123" t="s">
        <v>606</v>
      </c>
      <c r="E154" s="124" t="s">
        <v>1490</v>
      </c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8:8" ht="15.0">
      <c r="A155" s="122">
        <v>153.0</v>
      </c>
      <c r="B155" s="123" t="s">
        <v>4683</v>
      </c>
      <c r="C155" s="122">
        <v>240918.0</v>
      </c>
      <c r="D155" s="123" t="s">
        <v>606</v>
      </c>
      <c r="E155" s="124" t="s">
        <v>1490</v>
      </c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8:8" ht="15.0">
      <c r="A156" s="122">
        <v>154.0</v>
      </c>
      <c r="B156" s="123" t="s">
        <v>4684</v>
      </c>
      <c r="C156" s="122">
        <v>241882.0</v>
      </c>
      <c r="D156" s="123" t="s">
        <v>606</v>
      </c>
      <c r="E156" s="124" t="s">
        <v>1490</v>
      </c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8:8" ht="15.0">
      <c r="A157" s="122">
        <v>155.0</v>
      </c>
      <c r="B157" s="48" t="s">
        <v>4685</v>
      </c>
      <c r="C157" s="122">
        <v>253234.0</v>
      </c>
      <c r="D157" s="48" t="s">
        <v>2971</v>
      </c>
      <c r="E157" s="122" t="s">
        <v>1490</v>
      </c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8:8" ht="15.0">
      <c r="A158" s="122">
        <v>156.0</v>
      </c>
      <c r="B158" s="46" t="s">
        <v>4686</v>
      </c>
      <c r="C158" s="47">
        <v>241827.0</v>
      </c>
      <c r="D158" s="50" t="s">
        <v>1369</v>
      </c>
      <c r="E158" s="49" t="s">
        <v>1490</v>
      </c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8:8" ht="15.0">
      <c r="A159" s="122">
        <v>157.0</v>
      </c>
      <c r="B159" s="48" t="s">
        <v>4687</v>
      </c>
      <c r="C159" s="122">
        <v>240025.0</v>
      </c>
      <c r="D159" s="48" t="s">
        <v>1065</v>
      </c>
      <c r="E159" s="122" t="s">
        <v>1477</v>
      </c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8:8" ht="15.0">
      <c r="A160" s="122">
        <v>158.0</v>
      </c>
      <c r="B160" s="48" t="s">
        <v>4688</v>
      </c>
      <c r="C160" s="122">
        <v>240195.0</v>
      </c>
      <c r="D160" s="48" t="s">
        <v>1065</v>
      </c>
      <c r="E160" s="122" t="s">
        <v>1477</v>
      </c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8:8" ht="15.0">
      <c r="A161" s="122">
        <v>159.0</v>
      </c>
      <c r="B161" s="48" t="s">
        <v>4689</v>
      </c>
      <c r="C161" s="122">
        <v>240083.0</v>
      </c>
      <c r="D161" s="48" t="s">
        <v>1065</v>
      </c>
      <c r="E161" s="122" t="s">
        <v>1477</v>
      </c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8:8" ht="15.0">
      <c r="A162" s="122">
        <v>160.0</v>
      </c>
      <c r="B162" s="50" t="s">
        <v>4690</v>
      </c>
      <c r="C162" s="47">
        <v>240881.0</v>
      </c>
      <c r="D162" s="48" t="s">
        <v>606</v>
      </c>
      <c r="E162" s="49" t="s">
        <v>1477</v>
      </c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8:8" ht="15.0">
      <c r="A163" s="122">
        <v>161.0</v>
      </c>
      <c r="B163" s="48" t="s">
        <v>4691</v>
      </c>
      <c r="C163" s="122">
        <v>240143.0</v>
      </c>
      <c r="D163" s="48" t="s">
        <v>1065</v>
      </c>
      <c r="E163" s="122" t="s">
        <v>781</v>
      </c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8:8" ht="15.0">
      <c r="A164" s="122">
        <v>162.0</v>
      </c>
      <c r="B164" s="123" t="s">
        <v>4692</v>
      </c>
      <c r="C164" s="124">
        <v>240253.0</v>
      </c>
      <c r="D164" s="123" t="s">
        <v>2932</v>
      </c>
      <c r="E164" s="124" t="s">
        <v>984</v>
      </c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8:8" ht="15.0">
      <c r="A165" s="122">
        <v>163.0</v>
      </c>
      <c r="B165" s="123" t="s">
        <v>4693</v>
      </c>
      <c r="C165" s="124">
        <v>240904.0</v>
      </c>
      <c r="D165" s="123" t="s">
        <v>606</v>
      </c>
      <c r="E165" s="124" t="s">
        <v>984</v>
      </c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8:8" ht="15.0">
      <c r="A166" s="122">
        <v>164.0</v>
      </c>
      <c r="B166" s="123" t="s">
        <v>4694</v>
      </c>
      <c r="C166" s="124">
        <v>252461.0</v>
      </c>
      <c r="D166" s="123" t="s">
        <v>104</v>
      </c>
      <c r="E166" s="124" t="s">
        <v>984</v>
      </c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8:8" ht="15.0">
      <c r="A167" s="122">
        <v>165.0</v>
      </c>
      <c r="B167" s="123" t="s">
        <v>4695</v>
      </c>
      <c r="C167" s="124">
        <v>252830.0</v>
      </c>
      <c r="D167" s="123" t="s">
        <v>90</v>
      </c>
      <c r="E167" s="124" t="s">
        <v>984</v>
      </c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8:8" ht="15.0">
      <c r="A168" s="122">
        <v>166.0</v>
      </c>
      <c r="B168" s="48" t="s">
        <v>4696</v>
      </c>
      <c r="C168" s="124">
        <v>252514.0</v>
      </c>
      <c r="D168" s="123" t="s">
        <v>90</v>
      </c>
      <c r="E168" s="124" t="s">
        <v>984</v>
      </c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8:8" ht="15.0">
      <c r="A169" s="122">
        <v>167.0</v>
      </c>
      <c r="B169" s="125" t="s">
        <v>4697</v>
      </c>
      <c r="C169" s="122">
        <v>240999.0</v>
      </c>
      <c r="D169" s="123" t="s">
        <v>606</v>
      </c>
      <c r="E169" s="124" t="s">
        <v>984</v>
      </c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8:8" ht="15.0">
      <c r="A170" s="122">
        <v>168.0</v>
      </c>
      <c r="B170" s="48" t="s">
        <v>4698</v>
      </c>
      <c r="C170" s="122">
        <v>241902.0</v>
      </c>
      <c r="D170" s="48" t="s">
        <v>1369</v>
      </c>
      <c r="E170" s="124" t="s">
        <v>984</v>
      </c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8:8" ht="15.0">
      <c r="A171" s="122">
        <v>169.0</v>
      </c>
      <c r="B171" s="123" t="s">
        <v>4699</v>
      </c>
      <c r="C171" s="124">
        <v>240747.0</v>
      </c>
      <c r="D171" s="123" t="s">
        <v>606</v>
      </c>
      <c r="E171" s="122" t="s">
        <v>1490</v>
      </c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8:8" ht="15.0">
      <c r="A172" s="122">
        <v>170.0</v>
      </c>
      <c r="B172" s="123" t="s">
        <v>4700</v>
      </c>
      <c r="C172" s="122">
        <v>240164.0</v>
      </c>
      <c r="D172" s="123" t="s">
        <v>1065</v>
      </c>
      <c r="E172" s="124" t="s">
        <v>1490</v>
      </c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8:8" ht="15.0">
      <c r="A173" s="122">
        <v>171.0</v>
      </c>
      <c r="B173" s="123" t="s">
        <v>4701</v>
      </c>
      <c r="C173" s="122">
        <v>240835.0</v>
      </c>
      <c r="D173" s="123" t="s">
        <v>606</v>
      </c>
      <c r="E173" s="122" t="s">
        <v>1490</v>
      </c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8:8" ht="15.0">
      <c r="A174" s="122">
        <v>172.0</v>
      </c>
      <c r="B174" s="123" t="s">
        <v>4702</v>
      </c>
      <c r="C174" s="124">
        <v>251251.0</v>
      </c>
      <c r="D174" s="125" t="s">
        <v>1868</v>
      </c>
      <c r="E174" s="124" t="s">
        <v>28</v>
      </c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8:8" ht="15.0">
      <c r="A175" s="122">
        <v>173.0</v>
      </c>
      <c r="B175" s="48" t="s">
        <v>4703</v>
      </c>
      <c r="C175" s="122">
        <v>251775.0</v>
      </c>
      <c r="D175" s="125" t="s">
        <v>1868</v>
      </c>
      <c r="E175" s="122" t="s">
        <v>28</v>
      </c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8:8" ht="15.0">
      <c r="A176" s="122">
        <v>174.0</v>
      </c>
      <c r="B176" s="123" t="s">
        <v>4704</v>
      </c>
      <c r="C176" s="124">
        <v>251293.0</v>
      </c>
      <c r="D176" s="125" t="s">
        <v>1868</v>
      </c>
      <c r="E176" s="122" t="s">
        <v>28</v>
      </c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8:8" ht="15.0">
      <c r="A177" s="122">
        <v>175.0</v>
      </c>
      <c r="B177" s="48" t="s">
        <v>4705</v>
      </c>
      <c r="C177" s="124">
        <v>252886.0</v>
      </c>
      <c r="D177" s="123" t="s">
        <v>104</v>
      </c>
      <c r="E177" s="122" t="s">
        <v>28</v>
      </c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8:8" ht="15.0">
      <c r="A178" s="122">
        <v>176.0</v>
      </c>
      <c r="B178" s="123" t="s">
        <v>4706</v>
      </c>
      <c r="C178" s="124">
        <v>251380.0</v>
      </c>
      <c r="D178" s="125" t="s">
        <v>1868</v>
      </c>
      <c r="E178" s="124" t="s">
        <v>28</v>
      </c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8:8" ht="15.0">
      <c r="A179" s="122">
        <v>177.0</v>
      </c>
      <c r="B179" s="123" t="s">
        <v>4707</v>
      </c>
      <c r="C179" s="124">
        <v>251421.0</v>
      </c>
      <c r="D179" s="125" t="s">
        <v>1868</v>
      </c>
      <c r="E179" s="124" t="s">
        <v>28</v>
      </c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8:8" ht="15.0">
      <c r="A180" s="122">
        <v>178.0</v>
      </c>
      <c r="B180" s="123" t="s">
        <v>4708</v>
      </c>
      <c r="C180" s="124">
        <v>251306.0</v>
      </c>
      <c r="D180" s="125" t="s">
        <v>1868</v>
      </c>
      <c r="E180" s="124" t="s">
        <v>580</v>
      </c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8:8" ht="15.0">
      <c r="A181" s="122">
        <v>179.0</v>
      </c>
      <c r="B181" s="123" t="s">
        <v>4709</v>
      </c>
      <c r="C181" s="124">
        <v>241414.0</v>
      </c>
      <c r="D181" s="50" t="s">
        <v>1369</v>
      </c>
      <c r="E181" s="124" t="s">
        <v>781</v>
      </c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8:8" ht="15.0">
      <c r="A182" s="122">
        <v>180.0</v>
      </c>
      <c r="B182" s="123" t="s">
        <v>4710</v>
      </c>
      <c r="C182" s="124">
        <v>251259.0</v>
      </c>
      <c r="D182" s="125" t="s">
        <v>1868</v>
      </c>
      <c r="E182" s="124" t="s">
        <v>1512</v>
      </c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8:8" ht="15.0">
      <c r="A183" s="122">
        <v>181.0</v>
      </c>
      <c r="B183" s="123" t="s">
        <v>4711</v>
      </c>
      <c r="C183" s="124">
        <v>251305.0</v>
      </c>
      <c r="D183" s="125" t="s">
        <v>1868</v>
      </c>
      <c r="E183" s="124" t="s">
        <v>1512</v>
      </c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8:8" ht="15.0">
      <c r="A184" s="122">
        <v>182.0</v>
      </c>
      <c r="B184" s="123" t="s">
        <v>4712</v>
      </c>
      <c r="C184" s="124">
        <v>251394.0</v>
      </c>
      <c r="D184" s="125" t="s">
        <v>1868</v>
      </c>
      <c r="E184" s="124" t="s">
        <v>1512</v>
      </c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8:8" ht="15.0">
      <c r="A185" s="122">
        <v>183.0</v>
      </c>
      <c r="B185" s="123" t="s">
        <v>4713</v>
      </c>
      <c r="C185" s="124">
        <v>251994.0</v>
      </c>
      <c r="D185" s="123" t="s">
        <v>104</v>
      </c>
      <c r="E185" s="124" t="s">
        <v>1512</v>
      </c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8:8" ht="15.0">
      <c r="A186" s="122">
        <v>184.0</v>
      </c>
      <c r="B186" s="123" t="s">
        <v>4714</v>
      </c>
      <c r="C186" s="124">
        <v>251529.0</v>
      </c>
      <c r="D186" s="125" t="s">
        <v>1868</v>
      </c>
      <c r="E186" s="124" t="s">
        <v>1512</v>
      </c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8:8" ht="15.0">
      <c r="A187" s="122">
        <v>185.0</v>
      </c>
      <c r="B187" s="123" t="s">
        <v>4715</v>
      </c>
      <c r="C187" s="124">
        <v>251538.0</v>
      </c>
      <c r="D187" s="125" t="s">
        <v>1868</v>
      </c>
      <c r="E187" s="124" t="s">
        <v>1512</v>
      </c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8:8" ht="15.0">
      <c r="A188" s="122">
        <v>186.0</v>
      </c>
      <c r="B188" s="123" t="s">
        <v>4716</v>
      </c>
      <c r="C188" s="124">
        <v>251545.0</v>
      </c>
      <c r="D188" s="125" t="s">
        <v>1868</v>
      </c>
      <c r="E188" s="124" t="s">
        <v>1512</v>
      </c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8:8" ht="15.0">
      <c r="A189" s="122">
        <v>187.0</v>
      </c>
      <c r="B189" s="123" t="s">
        <v>4717</v>
      </c>
      <c r="C189" s="124">
        <v>251614.0</v>
      </c>
      <c r="D189" s="125" t="s">
        <v>1868</v>
      </c>
      <c r="E189" s="124" t="s">
        <v>1512</v>
      </c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8:8" ht="15.0">
      <c r="A190" s="122">
        <v>188.0</v>
      </c>
      <c r="B190" s="123" t="s">
        <v>4718</v>
      </c>
      <c r="C190" s="124">
        <v>241807.0</v>
      </c>
      <c r="D190" s="50" t="s">
        <v>1369</v>
      </c>
      <c r="E190" s="124" t="s">
        <v>1512</v>
      </c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8:8" ht="15.0">
      <c r="A191" s="122">
        <v>189.0</v>
      </c>
      <c r="B191" s="123" t="s">
        <v>4719</v>
      </c>
      <c r="C191" s="124">
        <v>241618.0</v>
      </c>
      <c r="D191" s="50" t="s">
        <v>1369</v>
      </c>
      <c r="E191" s="124" t="s">
        <v>1512</v>
      </c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8:8" ht="15.0">
      <c r="A192" s="122">
        <v>190.0</v>
      </c>
      <c r="B192" s="123" t="s">
        <v>4720</v>
      </c>
      <c r="C192" s="124">
        <v>241900.0</v>
      </c>
      <c r="D192" s="50" t="s">
        <v>1369</v>
      </c>
      <c r="E192" s="124" t="s">
        <v>1512</v>
      </c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8:8" ht="15.0">
      <c r="A193" s="122">
        <v>191.0</v>
      </c>
      <c r="B193" s="123" t="s">
        <v>4721</v>
      </c>
      <c r="C193" s="124">
        <v>252787.0</v>
      </c>
      <c r="D193" s="123" t="s">
        <v>90</v>
      </c>
      <c r="E193" s="124" t="s">
        <v>1512</v>
      </c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8:8" ht="15.0">
      <c r="A194" s="122">
        <v>192.0</v>
      </c>
      <c r="B194" s="123" t="s">
        <v>4722</v>
      </c>
      <c r="C194" s="124">
        <v>252596.0</v>
      </c>
      <c r="D194" s="123" t="s">
        <v>90</v>
      </c>
      <c r="E194" s="124" t="s">
        <v>1512</v>
      </c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8:8" ht="15.0">
      <c r="A195" s="122">
        <v>193.0</v>
      </c>
      <c r="B195" s="123" t="s">
        <v>4723</v>
      </c>
      <c r="C195" s="124">
        <v>252808.0</v>
      </c>
      <c r="D195" s="123" t="s">
        <v>90</v>
      </c>
      <c r="E195" s="122" t="s">
        <v>1512</v>
      </c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8:8" ht="15.0">
      <c r="A196" s="122">
        <v>194.0</v>
      </c>
      <c r="B196" s="123" t="s">
        <v>4724</v>
      </c>
      <c r="C196" s="124">
        <v>252067.0</v>
      </c>
      <c r="D196" s="123" t="s">
        <v>104</v>
      </c>
      <c r="E196" s="124" t="s">
        <v>1512</v>
      </c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8:8" ht="15.0">
      <c r="A197" s="122">
        <v>195.0</v>
      </c>
      <c r="B197" s="123" t="s">
        <v>4725</v>
      </c>
      <c r="C197" s="124">
        <v>252950.0</v>
      </c>
      <c r="D197" s="123" t="s">
        <v>90</v>
      </c>
      <c r="E197" s="124" t="s">
        <v>1512</v>
      </c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8:8" ht="15.0">
      <c r="A198" s="122">
        <v>196.0</v>
      </c>
      <c r="B198" s="48" t="s">
        <v>4726</v>
      </c>
      <c r="C198" s="122">
        <v>252126.0</v>
      </c>
      <c r="D198" s="48" t="s">
        <v>27</v>
      </c>
      <c r="E198" s="122" t="s">
        <v>1512</v>
      </c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8:8" ht="15.0">
      <c r="A199" s="122">
        <v>197.0</v>
      </c>
      <c r="B199" s="48" t="s">
        <v>4727</v>
      </c>
      <c r="C199" s="122">
        <v>240623.0</v>
      </c>
      <c r="D199" s="48" t="s">
        <v>606</v>
      </c>
      <c r="E199" s="122" t="s">
        <v>1512</v>
      </c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8:8" ht="15.0">
      <c r="A200" s="122">
        <v>198.0</v>
      </c>
      <c r="B200" s="123" t="s">
        <v>4728</v>
      </c>
      <c r="C200" s="124">
        <v>241331.0</v>
      </c>
      <c r="D200" s="50" t="s">
        <v>1369</v>
      </c>
      <c r="E200" s="124" t="s">
        <v>984</v>
      </c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8:8" ht="15.0">
      <c r="A201" s="122">
        <v>199.0</v>
      </c>
      <c r="B201" s="123" t="s">
        <v>4729</v>
      </c>
      <c r="C201" s="124">
        <v>241849.0</v>
      </c>
      <c r="D201" s="50" t="s">
        <v>1369</v>
      </c>
      <c r="E201" s="124" t="s">
        <v>984</v>
      </c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8:8" ht="15.0">
      <c r="A202" s="122">
        <v>200.0</v>
      </c>
      <c r="B202" s="123" t="s">
        <v>4730</v>
      </c>
      <c r="C202" s="124">
        <v>241842.0</v>
      </c>
      <c r="D202" s="50" t="s">
        <v>1369</v>
      </c>
      <c r="E202" s="124" t="s">
        <v>984</v>
      </c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8:8" ht="15.0">
      <c r="A203" s="122">
        <v>201.0</v>
      </c>
      <c r="B203" s="123" t="s">
        <v>4731</v>
      </c>
      <c r="C203" s="124">
        <v>241377.0</v>
      </c>
      <c r="D203" s="50" t="s">
        <v>1369</v>
      </c>
      <c r="E203" s="124" t="s">
        <v>984</v>
      </c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8:8" ht="15.0">
      <c r="A204" s="122">
        <v>202.0</v>
      </c>
      <c r="B204" s="123" t="s">
        <v>4732</v>
      </c>
      <c r="C204" s="124">
        <v>241357.0</v>
      </c>
      <c r="D204" s="50" t="s">
        <v>1369</v>
      </c>
      <c r="E204" s="124" t="s">
        <v>984</v>
      </c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8:8" ht="15.0">
      <c r="A205" s="122">
        <v>203.0</v>
      </c>
      <c r="B205" s="123" t="s">
        <v>4733</v>
      </c>
      <c r="C205" s="124">
        <v>253022.0</v>
      </c>
      <c r="D205" s="123" t="s">
        <v>90</v>
      </c>
      <c r="E205" s="124" t="s">
        <v>984</v>
      </c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8:8" ht="15.0">
      <c r="A206" s="122">
        <v>204.0</v>
      </c>
      <c r="B206" s="123" t="s">
        <v>4734</v>
      </c>
      <c r="C206" s="124">
        <v>252327.0</v>
      </c>
      <c r="D206" s="123" t="s">
        <v>104</v>
      </c>
      <c r="E206" s="124" t="s">
        <v>984</v>
      </c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8:8" ht="15.0">
      <c r="A207" s="122">
        <v>205.0</v>
      </c>
      <c r="B207" s="48" t="s">
        <v>4735</v>
      </c>
      <c r="C207" s="122">
        <v>253139.0</v>
      </c>
      <c r="D207" s="123" t="s">
        <v>90</v>
      </c>
      <c r="E207" s="122" t="s">
        <v>984</v>
      </c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8:8" ht="15.0">
      <c r="A208" s="122">
        <v>206.0</v>
      </c>
      <c r="B208" s="48" t="s">
        <v>4736</v>
      </c>
      <c r="C208" s="122">
        <v>240900.0</v>
      </c>
      <c r="D208" s="48" t="s">
        <v>606</v>
      </c>
      <c r="E208" s="122" t="s">
        <v>984</v>
      </c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8:8" ht="15.0">
      <c r="A209" s="122">
        <v>207.0</v>
      </c>
      <c r="B209" s="48" t="s">
        <v>4737</v>
      </c>
      <c r="C209" s="122">
        <v>251007.0</v>
      </c>
      <c r="D209" s="48" t="s">
        <v>56</v>
      </c>
      <c r="E209" s="122" t="s">
        <v>984</v>
      </c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8:8" ht="15.0">
      <c r="A210" s="122">
        <v>208.0</v>
      </c>
      <c r="B210" s="48" t="s">
        <v>4738</v>
      </c>
      <c r="C210" s="122">
        <v>250997.0</v>
      </c>
      <c r="D210" s="48" t="s">
        <v>56</v>
      </c>
      <c r="E210" s="122" t="s">
        <v>984</v>
      </c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8:8" ht="15.0">
      <c r="A211" s="122">
        <v>209.0</v>
      </c>
      <c r="B211" s="123" t="s">
        <v>4739</v>
      </c>
      <c r="C211" s="124">
        <v>251325.0</v>
      </c>
      <c r="D211" s="125" t="s">
        <v>1868</v>
      </c>
      <c r="E211" s="124" t="s">
        <v>1490</v>
      </c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8:8" ht="15.0">
      <c r="A212" s="122">
        <v>210.0</v>
      </c>
      <c r="B212" s="123" t="s">
        <v>4740</v>
      </c>
      <c r="C212" s="124">
        <v>241234.0</v>
      </c>
      <c r="D212" s="50" t="s">
        <v>1369</v>
      </c>
      <c r="E212" s="124" t="s">
        <v>1490</v>
      </c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8:8" ht="15.0">
      <c r="A213" s="122">
        <v>211.0</v>
      </c>
      <c r="B213" s="123" t="s">
        <v>4741</v>
      </c>
      <c r="C213" s="124">
        <v>241896.0</v>
      </c>
      <c r="D213" s="50" t="s">
        <v>1369</v>
      </c>
      <c r="E213" s="124" t="s">
        <v>1477</v>
      </c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8:8" ht="15.0">
      <c r="A214" s="122">
        <v>212.0</v>
      </c>
      <c r="B214" s="123" t="s">
        <v>4742</v>
      </c>
      <c r="C214" s="124">
        <v>241846.0</v>
      </c>
      <c r="D214" s="50" t="s">
        <v>1369</v>
      </c>
      <c r="E214" s="124" t="s">
        <v>1477</v>
      </c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8:8" ht="15.0">
      <c r="A215" s="122">
        <v>213.0</v>
      </c>
      <c r="B215" s="48" t="s">
        <v>4743</v>
      </c>
      <c r="C215" s="122">
        <v>240173.0</v>
      </c>
      <c r="D215" s="48" t="s">
        <v>1065</v>
      </c>
      <c r="E215" s="122" t="s">
        <v>1477</v>
      </c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8:8" ht="15.0">
      <c r="A216" s="122">
        <v>214.0</v>
      </c>
      <c r="B216" s="123" t="s">
        <v>4744</v>
      </c>
      <c r="C216" s="124">
        <v>251656.0</v>
      </c>
      <c r="D216" s="125" t="s">
        <v>1868</v>
      </c>
      <c r="E216" s="124" t="s">
        <v>28</v>
      </c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8:8" ht="15.0">
      <c r="A217" s="122">
        <v>215.0</v>
      </c>
      <c r="B217" s="123" t="s">
        <v>4745</v>
      </c>
      <c r="C217" s="124">
        <v>251661.0</v>
      </c>
      <c r="D217" s="125" t="s">
        <v>1868</v>
      </c>
      <c r="E217" s="124" t="s">
        <v>28</v>
      </c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8:8" ht="15.0">
      <c r="A218" s="122">
        <v>216.0</v>
      </c>
      <c r="B218" s="123" t="s">
        <v>4746</v>
      </c>
      <c r="C218" s="124">
        <v>251793.0</v>
      </c>
      <c r="D218" s="125" t="s">
        <v>1868</v>
      </c>
      <c r="E218" s="124" t="s">
        <v>28</v>
      </c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8:8" ht="15.0">
      <c r="A219" s="122">
        <v>217.0</v>
      </c>
      <c r="B219" s="123" t="s">
        <v>4747</v>
      </c>
      <c r="C219" s="124">
        <v>252969.0</v>
      </c>
      <c r="D219" s="125" t="s">
        <v>1868</v>
      </c>
      <c r="E219" s="124" t="s">
        <v>28</v>
      </c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8:8" ht="15.0">
      <c r="A220" s="122">
        <v>218.0</v>
      </c>
      <c r="B220" s="123" t="s">
        <v>4748</v>
      </c>
      <c r="C220" s="124">
        <v>251465.0</v>
      </c>
      <c r="D220" s="125" t="s">
        <v>1868</v>
      </c>
      <c r="E220" s="124" t="s">
        <v>28</v>
      </c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8:8" ht="15.0">
      <c r="A221" s="122">
        <v>219.0</v>
      </c>
      <c r="B221" s="123" t="s">
        <v>4749</v>
      </c>
      <c r="C221" s="124">
        <v>241509.0</v>
      </c>
      <c r="D221" s="50" t="s">
        <v>1369</v>
      </c>
      <c r="E221" s="124" t="s">
        <v>111</v>
      </c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8:8" ht="15.0">
      <c r="A222" s="122">
        <v>220.0</v>
      </c>
      <c r="B222" s="123" t="s">
        <v>4750</v>
      </c>
      <c r="C222" s="124">
        <v>241186.0</v>
      </c>
      <c r="D222" s="50" t="s">
        <v>1369</v>
      </c>
      <c r="E222" s="124" t="s">
        <v>111</v>
      </c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8:8" ht="15.0">
      <c r="A223" s="122">
        <v>221.0</v>
      </c>
      <c r="B223" s="123" t="s">
        <v>4751</v>
      </c>
      <c r="C223" s="124">
        <v>251511.0</v>
      </c>
      <c r="D223" s="125" t="s">
        <v>1868</v>
      </c>
      <c r="E223" s="124" t="s">
        <v>580</v>
      </c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8:8" ht="15.0">
      <c r="A224" s="122">
        <v>222.0</v>
      </c>
      <c r="B224" s="123" t="s">
        <v>4752</v>
      </c>
      <c r="C224" s="124">
        <v>241233.0</v>
      </c>
      <c r="D224" s="50" t="s">
        <v>1369</v>
      </c>
      <c r="E224" s="124" t="s">
        <v>580</v>
      </c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8:8" ht="15.0">
      <c r="A225" s="122">
        <v>223.0</v>
      </c>
      <c r="B225" s="123" t="s">
        <v>4753</v>
      </c>
      <c r="C225" s="124">
        <v>251642.0</v>
      </c>
      <c r="D225" s="125" t="s">
        <v>1868</v>
      </c>
      <c r="E225" s="124" t="s">
        <v>1512</v>
      </c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8:8" ht="15.0">
      <c r="A226" s="122">
        <v>224.0</v>
      </c>
      <c r="B226" s="123" t="s">
        <v>4754</v>
      </c>
      <c r="C226" s="124">
        <v>251664.0</v>
      </c>
      <c r="D226" s="125" t="s">
        <v>1868</v>
      </c>
      <c r="E226" s="124" t="s">
        <v>1512</v>
      </c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8:8" ht="15.0">
      <c r="A227" s="122">
        <v>225.0</v>
      </c>
      <c r="B227" s="123" t="s">
        <v>4755</v>
      </c>
      <c r="C227" s="124">
        <v>252760.0</v>
      </c>
      <c r="D227" s="123" t="s">
        <v>90</v>
      </c>
      <c r="E227" s="124" t="s">
        <v>1512</v>
      </c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8:8" ht="15.0">
      <c r="A228" s="122">
        <v>226.0</v>
      </c>
      <c r="B228" s="123" t="s">
        <v>4756</v>
      </c>
      <c r="C228" s="124">
        <v>251752.0</v>
      </c>
      <c r="D228" s="125" t="s">
        <v>1868</v>
      </c>
      <c r="E228" s="124" t="s">
        <v>1512</v>
      </c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8:8" ht="15.0">
      <c r="A229" s="122">
        <v>227.0</v>
      </c>
      <c r="B229" s="123" t="s">
        <v>4757</v>
      </c>
      <c r="C229" s="124">
        <v>251495.0</v>
      </c>
      <c r="D229" s="125" t="s">
        <v>1868</v>
      </c>
      <c r="E229" s="124" t="s">
        <v>1512</v>
      </c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8:8" ht="15.0">
      <c r="A230" s="122">
        <v>228.0</v>
      </c>
      <c r="B230" s="123" t="s">
        <v>4758</v>
      </c>
      <c r="C230" s="124">
        <v>252154.0</v>
      </c>
      <c r="D230" s="123" t="s">
        <v>104</v>
      </c>
      <c r="E230" s="124" t="s">
        <v>1512</v>
      </c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8:8" ht="15.0">
      <c r="A231" s="122">
        <v>229.0</v>
      </c>
      <c r="B231" s="48" t="s">
        <v>4759</v>
      </c>
      <c r="C231" s="122">
        <v>251833.0</v>
      </c>
      <c r="D231" s="123" t="s">
        <v>104</v>
      </c>
      <c r="E231" s="124" t="s">
        <v>1512</v>
      </c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8:8" ht="15.0">
      <c r="A232" s="122">
        <v>230.0</v>
      </c>
      <c r="B232" s="123" t="s">
        <v>4760</v>
      </c>
      <c r="C232" s="124">
        <v>252708.0</v>
      </c>
      <c r="D232" s="123" t="s">
        <v>90</v>
      </c>
      <c r="E232" s="124" t="s">
        <v>1512</v>
      </c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8:8" ht="15.0">
      <c r="A233" s="122">
        <v>231.0</v>
      </c>
      <c r="B233" s="123" t="s">
        <v>4761</v>
      </c>
      <c r="C233" s="124">
        <v>252744.0</v>
      </c>
      <c r="D233" s="123" t="s">
        <v>90</v>
      </c>
      <c r="E233" s="124" t="s">
        <v>1512</v>
      </c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8:8" ht="15.0">
      <c r="A234" s="122">
        <v>232.0</v>
      </c>
      <c r="B234" s="123" t="s">
        <v>4762</v>
      </c>
      <c r="C234" s="124">
        <v>241507.0</v>
      </c>
      <c r="D234" s="50" t="s">
        <v>1369</v>
      </c>
      <c r="E234" s="124" t="s">
        <v>1512</v>
      </c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8:8" ht="15.0">
      <c r="A235" s="122">
        <v>233.0</v>
      </c>
      <c r="B235" s="123" t="s">
        <v>4763</v>
      </c>
      <c r="C235" s="124">
        <v>241489.0</v>
      </c>
      <c r="D235" s="50" t="s">
        <v>1369</v>
      </c>
      <c r="E235" s="124" t="s">
        <v>1512</v>
      </c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8:8" ht="15.0">
      <c r="A236" s="122">
        <v>234.0</v>
      </c>
      <c r="B236" s="123" t="s">
        <v>4764</v>
      </c>
      <c r="C236" s="124">
        <v>251638.0</v>
      </c>
      <c r="D236" s="125" t="s">
        <v>1868</v>
      </c>
      <c r="E236" s="124" t="s">
        <v>1512</v>
      </c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8:8" ht="15.0">
      <c r="A237" s="122">
        <v>235.0</v>
      </c>
      <c r="B237" s="123" t="s">
        <v>4765</v>
      </c>
      <c r="C237" s="124">
        <v>252850.0</v>
      </c>
      <c r="D237" s="123" t="s">
        <v>90</v>
      </c>
      <c r="E237" s="124" t="s">
        <v>1512</v>
      </c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8:8" ht="15.0">
      <c r="A238" s="122">
        <v>236.0</v>
      </c>
      <c r="B238" s="123" t="s">
        <v>4766</v>
      </c>
      <c r="C238" s="124">
        <v>252129.0</v>
      </c>
      <c r="D238" s="123" t="s">
        <v>104</v>
      </c>
      <c r="E238" s="124" t="s">
        <v>1512</v>
      </c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8:8" ht="15.0">
      <c r="A239" s="122">
        <v>237.0</v>
      </c>
      <c r="B239" s="123" t="s">
        <v>4767</v>
      </c>
      <c r="C239" s="124">
        <v>240902.0</v>
      </c>
      <c r="D239" s="48" t="s">
        <v>606</v>
      </c>
      <c r="E239" s="124" t="s">
        <v>1512</v>
      </c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8:8" ht="15.0">
      <c r="A240" s="122">
        <v>238.0</v>
      </c>
      <c r="B240" s="123" t="s">
        <v>4768</v>
      </c>
      <c r="C240" s="124">
        <v>241156.0</v>
      </c>
      <c r="D240" s="50" t="s">
        <v>1369</v>
      </c>
      <c r="E240" s="124" t="s">
        <v>984</v>
      </c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8:8" ht="15.0">
      <c r="A241" s="122">
        <v>239.0</v>
      </c>
      <c r="B241" s="123" t="s">
        <v>4769</v>
      </c>
      <c r="C241" s="124">
        <v>241185.0</v>
      </c>
      <c r="D241" s="50" t="s">
        <v>1369</v>
      </c>
      <c r="E241" s="124" t="s">
        <v>984</v>
      </c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8:8" ht="15.0">
      <c r="A242" s="122">
        <v>240.0</v>
      </c>
      <c r="B242" s="48" t="s">
        <v>4770</v>
      </c>
      <c r="C242" s="122">
        <v>252046.0</v>
      </c>
      <c r="D242" s="123" t="s">
        <v>104</v>
      </c>
      <c r="E242" s="124" t="s">
        <v>984</v>
      </c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8:8" ht="15.0">
      <c r="A243" s="122">
        <v>241.0</v>
      </c>
      <c r="B243" s="123" t="s">
        <v>4771</v>
      </c>
      <c r="C243" s="124">
        <v>241495.0</v>
      </c>
      <c r="D243" s="50" t="s">
        <v>1369</v>
      </c>
      <c r="E243" s="124" t="s">
        <v>984</v>
      </c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8:8" ht="15.0">
      <c r="A244" s="122">
        <v>242.0</v>
      </c>
      <c r="B244" s="123" t="s">
        <v>4772</v>
      </c>
      <c r="C244" s="124">
        <v>251500.0</v>
      </c>
      <c r="D244" s="125" t="s">
        <v>1868</v>
      </c>
      <c r="E244" s="124" t="s">
        <v>984</v>
      </c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8:8" ht="15.0">
      <c r="A245" s="122">
        <v>243.0</v>
      </c>
      <c r="B245" s="123" t="s">
        <v>4773</v>
      </c>
      <c r="C245" s="124">
        <v>240816.0</v>
      </c>
      <c r="D245" s="48" t="s">
        <v>606</v>
      </c>
      <c r="E245" s="122" t="s">
        <v>984</v>
      </c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8:8" ht="15.0">
      <c r="A246" s="122">
        <v>244.0</v>
      </c>
      <c r="B246" s="48" t="s">
        <v>4774</v>
      </c>
      <c r="C246" s="122">
        <v>252640.0</v>
      </c>
      <c r="D246" s="125" t="s">
        <v>4775</v>
      </c>
      <c r="E246" s="122" t="s">
        <v>984</v>
      </c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8:8" ht="15.0">
      <c r="A247" s="122">
        <v>245.0</v>
      </c>
      <c r="B247" s="48" t="s">
        <v>4776</v>
      </c>
      <c r="C247" s="122">
        <v>253291.0</v>
      </c>
      <c r="D247" s="48" t="s">
        <v>56</v>
      </c>
      <c r="E247" s="122" t="s">
        <v>984</v>
      </c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8:8" ht="15.0">
      <c r="A248" s="122">
        <v>246.0</v>
      </c>
      <c r="B248" s="48" t="s">
        <v>4777</v>
      </c>
      <c r="C248" s="122">
        <v>240538.0</v>
      </c>
      <c r="D248" s="48" t="s">
        <v>606</v>
      </c>
      <c r="E248" s="124" t="s">
        <v>1490</v>
      </c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8:8" ht="15.0">
      <c r="A249" s="122">
        <v>247.0</v>
      </c>
      <c r="B249" s="48" t="s">
        <v>4778</v>
      </c>
      <c r="C249" s="122">
        <v>241551.0</v>
      </c>
      <c r="D249" s="50" t="s">
        <v>1369</v>
      </c>
      <c r="E249" s="124" t="s">
        <v>1490</v>
      </c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8:8" ht="15.0">
      <c r="A250" s="122">
        <v>248.0</v>
      </c>
      <c r="B250" s="48" t="s">
        <v>4779</v>
      </c>
      <c r="C250" s="122">
        <v>241465.0</v>
      </c>
      <c r="D250" s="50" t="s">
        <v>1369</v>
      </c>
      <c r="E250" s="124" t="s">
        <v>1490</v>
      </c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8:8" ht="15.0">
      <c r="A251" s="122">
        <v>249.0</v>
      </c>
      <c r="B251" s="123" t="s">
        <v>4780</v>
      </c>
      <c r="C251" s="122">
        <v>241143.0</v>
      </c>
      <c r="D251" s="50" t="s">
        <v>1369</v>
      </c>
      <c r="E251" s="124" t="s">
        <v>1477</v>
      </c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8:8" ht="15.0">
      <c r="A252" s="122">
        <v>250.0</v>
      </c>
      <c r="B252" s="48" t="s">
        <v>4781</v>
      </c>
      <c r="C252" s="122">
        <v>240532.0</v>
      </c>
      <c r="D252" s="48" t="s">
        <v>606</v>
      </c>
      <c r="E252" s="122" t="s">
        <v>4033</v>
      </c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8:8" ht="15.0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8:8" ht="15.0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8:8" ht="15.0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8:8" ht="15.0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8:8" ht="15.0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8:8" ht="15.0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8:8" ht="15.0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8:8" ht="15.0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8:8" ht="15.0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8:8" ht="15.0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8:8" ht="15.0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8:8" ht="15.0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8:8" ht="15.0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8:8" ht="15.0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8:8" ht="15.0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8:8" ht="15.0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8:8" ht="15.0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8:8" ht="15.0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8:8" ht="15.0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8:8" ht="15.0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8:8" ht="15.0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8:8" ht="15.0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8:8" ht="15.0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8:8" ht="15.0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8:8" ht="15.0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8:8" ht="15.0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8:8" ht="15.0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8:8" ht="15.0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8:8" ht="15.0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8:8" ht="15.0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8:8" ht="15.0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8:8" ht="15.0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8:8" ht="15.0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8:8" ht="15.0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8:8" ht="15.0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8:8" ht="15.0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8:8" ht="15.0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8:8" ht="15.0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8:8" ht="15.0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8:8" ht="15.0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8:8" ht="15.0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8:8" ht="15.0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8:8" ht="15.0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8:8" ht="15.0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8:8" ht="15.0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8:8" ht="15.0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8:8" ht="15.0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8:8" ht="15.0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8:8" ht="15.0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8:8" ht="15.0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8:8" ht="15.0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8:8" ht="15.0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8:8" ht="15.0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8:8" ht="15.0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8:8" ht="15.0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8:8" ht="15.0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8:8" ht="15.0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8:8" ht="15.0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8:8" ht="15.0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8:8" ht="15.0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8:8" ht="15.0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8:8" ht="15.0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8:8" ht="15.0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8:8" ht="15.0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8:8" ht="15.0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8:8" ht="15.0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8:8" ht="15.0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8:8" ht="15.0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8:8" ht="15.0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8:8" ht="15.0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8:8" ht="15.0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8:8" ht="15.0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8:8" ht="15.0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8:8" ht="15.0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8:8" ht="15.0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8:8" ht="15.0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8:8" ht="15.0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8:8" ht="15.0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8:8" ht="15.0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8:8" ht="15.0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8:8" ht="15.0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8:8" ht="15.0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8:8" ht="15.0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8:8" ht="15.0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8:8" ht="15.0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8:8" ht="15.0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8:8" ht="15.0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8:8" ht="15.0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8:8" ht="15.0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8:8" ht="15.0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8:8" ht="15.0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8:8" ht="15.0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8:8" ht="15.0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8:8" ht="15.0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8:8" ht="15.0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8:8" ht="15.0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8:8" ht="15.0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8:8" ht="15.0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8:8" ht="15.0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8:8" ht="15.0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8:8" ht="15.0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8:8" ht="15.0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8:8" ht="15.0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8:8" ht="15.0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8:8" ht="15.0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8:8" ht="15.0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8:8" ht="15.0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8:8" ht="15.0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8:8" ht="15.0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8:8" ht="15.0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8:8" ht="15.0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8:8" ht="15.0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8:8" ht="15.0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8:8" ht="15.0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8:8" ht="15.0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8:8" ht="15.0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8:8" ht="15.0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8:8" ht="15.0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8:8" ht="15.0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8:8" ht="15.0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8:8" ht="15.0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8:8" ht="15.0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8:8" ht="15.0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8:8" ht="15.0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8:8" ht="15.0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8:8" ht="15.0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8:8" ht="15.0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8:8" ht="15.0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8:8" ht="15.0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8:8" ht="15.0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8:8" ht="15.0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8:8" ht="15.0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8:8" ht="15.0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8:8" ht="15.0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8:8" ht="15.0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8:8" ht="15.0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8:8" ht="15.0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8:8" ht="15.0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8:8" ht="15.0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8:8" ht="15.0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8:8" ht="15.0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8:8" ht="15.0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8:8" ht="15.0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8:8" ht="15.0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8:8" ht="15.0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8:8" ht="15.0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8:8" ht="15.0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8:8" ht="15.0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8:8" ht="15.0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8:8" ht="15.0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8:8" ht="15.0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8:8" ht="15.0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8:8" ht="15.0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8:8" ht="15.0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8:8" ht="15.0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8:8" ht="15.0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8:8" ht="15.0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8:8" ht="15.0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8:8" ht="15.0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8:8" ht="15.0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8:8" ht="15.0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8:8" ht="15.0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8:8" ht="15.0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8:8" ht="15.0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8:8" ht="15.0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8:8" ht="15.0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8:8" ht="15.0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8:8" ht="15.0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8:8" ht="15.0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8:8" ht="15.0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8:8" ht="15.0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8:8" ht="15.0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8:8" ht="15.0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8:8" ht="15.0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8:8" ht="15.0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8:8" ht="15.0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8:8" ht="15.0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8:8" ht="15.0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8:8" ht="15.0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8:8" ht="15.0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8:8" ht="15.0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8:8" ht="15.0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8:8" ht="15.0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8:8" ht="15.0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8:8" ht="15.0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8:8" ht="15.0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8:8" ht="15.0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8:8" ht="15.0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8:8" ht="15.0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8:8" ht="15.0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8:8" ht="15.0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8:8" ht="15.0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8:8" ht="15.0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8:8" ht="15.0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8:8" ht="15.0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8:8" ht="15.0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8:8" ht="15.0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8:8" ht="15.0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8:8" ht="15.0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8:8" ht="15.0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8:8" ht="15.0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8:8" ht="15.0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8:8" ht="15.0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8:8" ht="15.0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8:8" ht="15.0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8:8" ht="15.0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8:8" ht="15.0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8:8" ht="15.0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8:8" ht="15.0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8:8" ht="15.0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8:8" ht="15.0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8:8" ht="15.0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8:8" ht="15.0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8:8" ht="15.0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8:8" ht="15.0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8:8" ht="15.0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8:8" ht="15.0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8:8" ht="15.0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8:8" ht="15.0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8:8" ht="15.0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8:8" ht="15.0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8:8" ht="15.0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8:8" ht="15.0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8:8" ht="15.0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8:8" ht="15.0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8:8" ht="15.0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8:8" ht="15.0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8:8" ht="15.0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8:8" ht="15.0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8:8" ht="15.0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8:8" ht="15.0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8:8" ht="15.0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8:8" ht="15.0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8:8" ht="15.0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8:8" ht="15.0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8:8" ht="15.0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8:8" ht="15.0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8:8" ht="15.0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8:8" ht="15.0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8:8" ht="15.0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8:8" ht="15.0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8:8" ht="15.0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8:8" ht="15.0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8:8" ht="15.0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8:8" ht="15.0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8:8" ht="15.0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8:8" ht="15.0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8:8" ht="15.0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8:8" ht="15.0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8:8" ht="15.0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8:8" ht="15.0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8:8" ht="15.0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8:8" ht="15.0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8:8" ht="15.0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8:8" ht="15.0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8:8" ht="15.0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8:8" ht="15.0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8:8" ht="15.0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8:8" ht="15.0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8:8" ht="15.0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8:8" ht="15.0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8:8" ht="15.0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8:8" ht="15.0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8:8" ht="15.0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8:8" ht="15.0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8:8" ht="15.0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8:8" ht="15.0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8:8" ht="15.0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8:8" ht="15.0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8:8" ht="15.0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8:8" ht="15.0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8:8" ht="15.0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8:8" ht="15.0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8:8" ht="15.0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8:8" ht="15.0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8:8" ht="15.0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8:8" ht="15.0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8:8" ht="15.0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8:8" ht="15.0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8:8" ht="15.0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8:8" ht="15.0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8:8" ht="15.0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8:8" ht="15.0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8:8" ht="15.0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8:8" ht="15.0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8:8" ht="15.0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8:8" ht="15.0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8:8" ht="15.0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8:8" ht="15.0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8:8" ht="15.0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8:8" ht="15.0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8:8" ht="15.0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8:8" ht="15.0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8:8" ht="15.0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8:8" ht="15.0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8:8" ht="15.0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8:8" ht="15.0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8:8" ht="15.0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8:8" ht="15.0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8:8" ht="15.0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8:8" ht="15.0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8:8" ht="15.0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8:8" ht="15.0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8:8" ht="15.0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8:8" ht="15.0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8:8" ht="15.0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8:8" ht="15.0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8:8" ht="15.0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8:8" ht="15.0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8:8" ht="15.0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8:8" ht="15.0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8:8" ht="15.0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8:8" ht="15.0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8:8" ht="15.0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8:8" ht="15.0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8:8" ht="15.0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8:8" ht="15.0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8:8" ht="15.0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8:8" ht="15.0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8:8" ht="15.0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8:8" ht="15.0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8:8" ht="15.0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8:8" ht="15.0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8:8" ht="15.0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8:8" ht="15.0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8:8" ht="15.0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8:8" ht="15.0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8:8" ht="15.0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8:8" ht="15.0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8:8" ht="15.0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8:8" ht="15.0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8:8" ht="15.0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8:8" ht="15.0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8:8" ht="15.0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8:8" ht="15.0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8:8" ht="15.0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8:8" ht="15.0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8:8" ht="15.0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8:8" ht="15.0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8:8" ht="15.0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8:8" ht="15.0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8:8" ht="15.0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8:8" ht="15.0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8:8" ht="15.0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8:8" ht="15.0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8:8" ht="15.0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8:8" ht="15.0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8:8" ht="15.0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8:8" ht="15.0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8:8" ht="15.0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8:8" ht="15.0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8:8" ht="15.0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8:8" ht="15.0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8:8" ht="15.0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8:8" ht="15.0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8:8" ht="15.0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8:8" ht="15.0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8:8" ht="15.0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8:8" ht="15.0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8:8" ht="15.0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8:8" ht="15.0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8:8" ht="15.0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8:8" ht="15.0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8:8" ht="15.0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8:8" ht="15.0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8:8" ht="15.0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8:8" ht="15.0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8:8" ht="15.0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8:8" ht="15.0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8:8" ht="15.0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8:8" ht="15.0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8:8" ht="15.0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8:8" ht="15.0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8:8" ht="15.0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8:8" ht="15.0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8:8" ht="15.0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8:8" ht="15.0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8:8" ht="15.0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8:8" ht="15.0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8:8" ht="15.0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8:8" ht="15.0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8:8" ht="15.0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8:8" ht="15.0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8:8" ht="15.0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8:8" ht="15.0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8:8" ht="15.0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8:8" ht="15.0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8:8" ht="15.0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8:8" ht="15.0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8:8" ht="15.0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8:8" ht="15.0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8:8" ht="15.0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8:8" ht="15.0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8:8" ht="15.0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8:8" ht="15.0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8:8" ht="15.0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8:8" ht="15.0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8:8" ht="15.0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8:8" ht="15.0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8:8" ht="15.0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8:8" ht="15.0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8:8" ht="15.0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8:8" ht="15.0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8:8" ht="15.0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8:8" ht="15.0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8:8" ht="15.0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8:8" ht="15.0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8:8" ht="15.0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8:8" ht="15.0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8:8" ht="15.0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8:8" ht="15.0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8:8" ht="15.0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8:8" ht="15.0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8:8" ht="15.0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8:8" ht="15.0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8:8" ht="15.0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8:8" ht="15.0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8:8" ht="15.0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8:8" ht="15.0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8:8" ht="15.0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8:8" ht="15.0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8:8" ht="15.0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8:8" ht="15.0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8:8" ht="15.0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8:8" ht="15.0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8:8" ht="15.0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8:8" ht="15.0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8:8" ht="15.0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8:8" ht="15.0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8:8" ht="15.0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8:8" ht="15.0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8:8" ht="15.0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8:8" ht="15.0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8:8" ht="15.0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8:8" ht="15.0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8:8" ht="15.0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8:8" ht="15.0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8:8" ht="15.0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8:8" ht="15.0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8:8" ht="15.0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8:8" ht="15.0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8:8" ht="15.0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8:8" ht="15.0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8:8" ht="15.0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8:8" ht="15.0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8:8" ht="15.0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8:8" ht="15.0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8:8" ht="15.0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8:8" ht="15.0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8:8" ht="15.0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8:8" ht="15.0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8:8" ht="15.0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8:8" ht="15.0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8:8" ht="15.0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8:8" ht="15.0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8:8" ht="15.0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8:8" ht="15.0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8:8" ht="15.0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8:8" ht="15.0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8:8" ht="15.0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8:8" ht="15.0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8:8" ht="15.0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8:8" ht="15.0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8:8" ht="15.0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8:8" ht="15.0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8:8" ht="15.0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8:8" ht="15.0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8:8" ht="15.0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8:8" ht="15.0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8:8" ht="15.0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8:8" ht="15.0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8:8" ht="15.0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8:8" ht="15.0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8:8" ht="15.0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8:8" ht="15.0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8:8" ht="15.0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8:8" ht="15.0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8:8" ht="15.0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8:8" ht="15.0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8:8" ht="15.0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8:8" ht="15.0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8:8" ht="15.0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8:8" ht="15.0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8:8" ht="15.0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8:8" ht="15.0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8:8" ht="15.0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8:8" ht="15.0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8:8" ht="15.0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8:8" ht="15.0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8:8" ht="15.0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8:8" ht="15.0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8:8" ht="15.0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8:8" ht="15.0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8:8" ht="15.0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8:8" ht="15.0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8:8" ht="15.0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8:8" ht="15.0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8:8" ht="15.0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8:8" ht="15.0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8:8" ht="15.0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8:8" ht="15.0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8:8" ht="15.0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8:8" ht="15.0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8:8" ht="15.0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8:8" ht="15.0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8:8" ht="15.0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8:8" ht="15.0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8:8" ht="15.0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8:8" ht="15.0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8:8" ht="15.0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8:8" ht="15.0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8:8" ht="15.0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8:8" ht="15.0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8:8" ht="15.0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8:8" ht="15.0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8:8" ht="15.0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8:8" ht="15.0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8:8" ht="15.0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8:8" ht="15.0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8:8" ht="15.0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8:8" ht="15.0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8:8" ht="15.0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8:8" ht="15.0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8:8" ht="15.0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8:8" ht="15.0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8:8" ht="15.0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8:8" ht="15.0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8:8" ht="15.0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8:8" ht="15.0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8:8" ht="15.0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8:8" ht="15.0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8:8" ht="15.0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8:8" ht="15.0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8:8" ht="15.0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8:8" ht="15.0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8:8" ht="15.0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8:8" ht="15.0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8:8" ht="15.0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8:8" ht="15.0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8:8" ht="15.0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8:8" ht="15.0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8:8" ht="15.0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8:8" ht="15.0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8:8" ht="15.0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8:8" ht="15.0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8:8" ht="15.0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8:8" ht="15.0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8:8" ht="15.0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8:8" ht="15.0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8:8" ht="15.0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8:8" ht="15.0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8:8" ht="15.0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8:8" ht="15.0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8:8" ht="15.0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8:8" ht="15.0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8:8" ht="15.0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8:8" ht="15.0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8:8" ht="15.0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8:8" ht="15.0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8:8" ht="15.0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8:8" ht="15.0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8:8" ht="15.0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8:8" ht="15.0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8:8" ht="15.0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8:8" ht="15.0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8:8" ht="15.0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8:8" ht="15.0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8:8" ht="15.0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8:8" ht="15.0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8:8" ht="15.0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8:8" ht="15.0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8:8" ht="15.0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8:8" ht="15.0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8:8" ht="15.0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8:8" ht="15.0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8:8" ht="15.0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8:8" ht="15.0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8:8" ht="15.0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8:8" ht="15.0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8:8" ht="15.0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8:8" ht="15.0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8:8" ht="15.0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8:8" ht="15.0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8:8" ht="15.0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8:8" ht="15.0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8:8" ht="15.0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8:8" ht="15.0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8:8" ht="15.0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8:8" ht="15.0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8:8" ht="15.0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8:8" ht="15.0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8:8" ht="15.0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8:8" ht="15.0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8:8" ht="15.0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8:8" ht="15.0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8:8" ht="15.0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8:8" ht="15.0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8:8" ht="15.0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8:8" ht="15.0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8:8" ht="15.0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8:8" ht="15.0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8:8" ht="15.0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8:8" ht="15.0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8:8" ht="15.0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8:8" ht="15.0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8:8" ht="15.0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8:8" ht="15.0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8:8" ht="15.0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8:8" ht="15.0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8:8" ht="15.0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8:8" ht="15.0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8:8" ht="15.0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8:8" ht="15.0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8:8" ht="15.0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8:8" ht="15.0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8:8" ht="15.0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8:8" ht="15.0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8:8" ht="15.0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8:8" ht="15.0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8:8" ht="15.0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8:8" ht="15.0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8:8" ht="15.0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8:8" ht="15.0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8:8" ht="15.0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8:8" ht="15.0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8:8" ht="15.0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8:8" ht="15.0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8:8" ht="15.0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8:8" ht="15.0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8:8" ht="15.0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8:8" ht="15.0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8:8" ht="15.0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8:8" ht="15.0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8:8" ht="15.0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8:8" ht="15.0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8:8" ht="15.0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8:8" ht="15.0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8:8" ht="15.0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8:8" ht="15.0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8:8" ht="15.0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8:8" ht="15.0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8:8" ht="15.0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8:8" ht="15.0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8:8" ht="15.0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8:8" ht="15.0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8:8" ht="15.0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8:8" ht="15.0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8:8" ht="15.0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8:8" ht="15.0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8:8" ht="15.0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8:8" ht="15.0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8:8" ht="15.0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8:8" ht="15.0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8:8" ht="15.0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8:8" ht="15.0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8:8" ht="15.0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8:8" ht="15.0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8:8" ht="15.0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8:8" ht="15.0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8:8" ht="15.0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8:8" ht="15.0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8:8" ht="15.0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8:8" ht="15.0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8:8" ht="15.0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8:8" ht="15.0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8:8" ht="15.0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8:8" ht="15.0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8:8" ht="15.0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8:8" ht="15.0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8:8" ht="15.0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8:8" ht="15.0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8:8" ht="15.0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8:8" ht="15.0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8:8" ht="15.0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8:8" ht="15.0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8:8" ht="15.0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8:8" ht="15.0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8:8" ht="15.0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8:8" ht="15.0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8:8" ht="15.0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8:8" ht="15.0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8:8" ht="15.0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8:8" ht="15.0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8:8" ht="15.0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8:8" ht="15.0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8:8" ht="15.0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8:8" ht="15.0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8:8" ht="15.0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8:8" ht="15.0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8:8" ht="15.0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8:8" ht="15.0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8:8" ht="15.0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8:8" ht="15.0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8:8" ht="15.0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8:8" ht="15.0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8:8" ht="15.0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8:8" ht="15.0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8:8" ht="15.0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8:8" ht="15.0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8:8" ht="15.0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8:8" ht="15.0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8:8" ht="15.0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8:8" ht="15.0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8:8" ht="15.0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8:8" ht="15.0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8:8" ht="15.0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8:8" ht="15.0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8:8" ht="15.0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8:8" ht="15.0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8:8" ht="15.0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8:8" ht="15.0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8:8" ht="15.0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8:8" ht="15.0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8:8" ht="15.0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8:8" ht="15.0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8:8" ht="15.0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8:8" ht="15.0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8:8" ht="15.0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8:8" ht="15.0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8:8" ht="15.0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8:8" ht="15.0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8:8" ht="15.0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8:8" ht="15.0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8:8" ht="15.0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8:8" ht="15.0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8:8" ht="15.0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8:8" ht="15.0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8:8" ht="15.0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8:8" ht="15.0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8:8" ht="15.0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B220"/>
  <sheetViews>
    <sheetView workbookViewId="0">
      <selection activeCell="A1" sqref="A1"/>
    </sheetView>
  </sheetViews>
  <sheetFormatPr defaultRowHeight="15.0" customHeight="1" defaultColWidth="12"/>
  <cols>
    <col min="1" max="1" customWidth="1" width="50.25" style="0"/>
    <col min="2" max="2" customWidth="1" width="34.0" style="0"/>
    <col min="3" max="3" customWidth="1" width="51.0" style="0"/>
    <col min="4" max="23" customWidth="1" width="34.0" style="0"/>
  </cols>
  <sheetData>
    <row r="1" spans="8:8" ht="15.75" customHeight="1">
      <c r="A1" s="126" t="s">
        <v>3220</v>
      </c>
      <c r="B1" s="127">
        <v>253216.0</v>
      </c>
      <c r="C1" s="128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spans="8:8" ht="15.75" customHeight="1">
      <c r="A2" s="126" t="s">
        <v>4782</v>
      </c>
      <c r="B2" s="127">
        <v>251477.0</v>
      </c>
      <c r="C2" s="128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spans="8:8" ht="15.75" customHeight="1">
      <c r="A3" s="130" t="s">
        <v>812</v>
      </c>
      <c r="B3" s="131">
        <v>251458.0</v>
      </c>
      <c r="C3" s="132" t="s">
        <v>4783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spans="8:8" ht="15.75" customHeight="1">
      <c r="A4" s="130" t="s">
        <v>812</v>
      </c>
      <c r="B4" s="131">
        <v>240751.0</v>
      </c>
      <c r="C4" s="134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spans="8:8" ht="15.75" customHeight="1">
      <c r="A5" s="126" t="s">
        <v>3732</v>
      </c>
      <c r="B5" s="127">
        <v>241938.0</v>
      </c>
      <c r="C5" s="128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spans="8:8" ht="15.75" customHeight="1">
      <c r="A6" s="126" t="s">
        <v>1450</v>
      </c>
      <c r="B6" s="127">
        <v>240779.0</v>
      </c>
      <c r="C6" s="128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spans="8:8" ht="15.75" customHeight="1">
      <c r="A7" s="126" t="s">
        <v>1640</v>
      </c>
      <c r="B7" s="127">
        <v>251013.0</v>
      </c>
      <c r="C7" s="128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spans="8:8" ht="15.75" customHeight="1">
      <c r="A8" s="126" t="s">
        <v>612</v>
      </c>
      <c r="B8" s="127">
        <v>240684.0</v>
      </c>
      <c r="C8" s="128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spans="8:8" ht="15.75" customHeight="1">
      <c r="A9" s="126" t="s">
        <v>3443</v>
      </c>
      <c r="B9" s="127">
        <v>253240.0</v>
      </c>
      <c r="C9" s="128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spans="8:8" ht="15.75" customHeight="1">
      <c r="A10" s="126" t="s">
        <v>2074</v>
      </c>
      <c r="B10" s="127">
        <v>251974.0</v>
      </c>
      <c r="C10" s="128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</row>
    <row r="11" spans="8:8" ht="15.75" customHeight="1">
      <c r="A11" s="126" t="s">
        <v>454</v>
      </c>
      <c r="B11" s="127">
        <v>253134.0</v>
      </c>
      <c r="C11" s="128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</row>
    <row r="12" spans="8:8" ht="15.75" customHeight="1">
      <c r="A12" s="130" t="s">
        <v>4784</v>
      </c>
      <c r="B12" s="131">
        <v>252552.0</v>
      </c>
      <c r="C12" s="132" t="s">
        <v>4783</v>
      </c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spans="8:8" ht="15.75" customHeight="1">
      <c r="A13" s="130" t="s">
        <v>4784</v>
      </c>
      <c r="B13" s="131">
        <v>253275.0</v>
      </c>
      <c r="C13" s="134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spans="8:8" ht="15.75" customHeight="1">
      <c r="A14" s="126" t="s">
        <v>613</v>
      </c>
      <c r="B14" s="127">
        <v>240938.0</v>
      </c>
      <c r="C14" s="128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 spans="8:8" ht="30.75" customHeight="1">
      <c r="A15" s="126" t="s">
        <v>101</v>
      </c>
      <c r="B15" s="127">
        <v>251047.0</v>
      </c>
      <c r="C15" s="128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spans="8:8" ht="15.75" customHeight="1">
      <c r="C16" s="135"/>
    </row>
    <row r="17" spans="8:8" ht="15.75" customHeight="1">
      <c r="C17" s="135"/>
    </row>
    <row r="18" spans="8:8" ht="15.75" customHeight="1">
      <c r="C18" s="135"/>
    </row>
    <row r="19" spans="8:8" ht="15.75" customHeight="1">
      <c r="C19" s="135"/>
    </row>
    <row r="20" spans="8:8" ht="15.75" customHeight="1">
      <c r="C20" s="135"/>
    </row>
    <row r="21" spans="8:8" ht="15.75" customHeight="1">
      <c r="C21" s="135"/>
    </row>
    <row r="22" spans="8:8" ht="15.75" customHeight="1">
      <c r="C22" s="135"/>
    </row>
    <row r="23" spans="8:8" ht="15.75" customHeight="1">
      <c r="C23" s="135"/>
    </row>
    <row r="24" spans="8:8" ht="15.75" customHeight="1">
      <c r="C24" s="135"/>
    </row>
    <row r="25" spans="8:8" ht="15.75" customHeight="1">
      <c r="C25" s="135"/>
    </row>
    <row r="26" spans="8:8" ht="15.75" customHeight="1">
      <c r="C26" s="135"/>
    </row>
    <row r="27" spans="8:8" ht="15.75" customHeight="1">
      <c r="C27" s="135"/>
    </row>
    <row r="28" spans="8:8" ht="15.75" customHeight="1">
      <c r="C28" s="135"/>
    </row>
    <row r="29" spans="8:8" ht="15.75" customHeight="1">
      <c r="C29" s="135"/>
    </row>
    <row r="30" spans="8:8" ht="15.75" customHeight="1">
      <c r="C30" s="135"/>
    </row>
    <row r="31" spans="8:8" ht="15.75" customHeight="1">
      <c r="C31" s="135"/>
    </row>
    <row r="32" spans="8:8" ht="15.75" customHeight="1">
      <c r="C32" s="135"/>
    </row>
    <row r="33" spans="8:8" ht="15.75" customHeight="1">
      <c r="C33" s="135"/>
    </row>
    <row r="34" spans="8:8" ht="15.75" customHeight="1">
      <c r="C34" s="135"/>
    </row>
    <row r="35" spans="8:8" ht="15.75" customHeight="1">
      <c r="C35" s="135"/>
    </row>
    <row r="36" spans="8:8" ht="15.75" customHeight="1">
      <c r="C36" s="135"/>
    </row>
    <row r="37" spans="8:8" ht="15.75" customHeight="1">
      <c r="C37" s="135"/>
    </row>
    <row r="38" spans="8:8" ht="15.75" customHeight="1">
      <c r="C38" s="135"/>
    </row>
    <row r="39" spans="8:8" ht="15.75" customHeight="1">
      <c r="C39" s="135"/>
    </row>
    <row r="40" spans="8:8" ht="15.75" customHeight="1">
      <c r="C40" s="135"/>
    </row>
    <row r="41" spans="8:8" ht="15.75" customHeight="1">
      <c r="C41" s="135"/>
    </row>
    <row r="42" spans="8:8" ht="15.75" customHeight="1">
      <c r="C42" s="135"/>
    </row>
    <row r="43" spans="8:8" ht="15.75" customHeight="1">
      <c r="C43" s="135"/>
    </row>
    <row r="44" spans="8:8" ht="15.75" customHeight="1">
      <c r="C44" s="135"/>
    </row>
    <row r="45" spans="8:8" ht="15.75" customHeight="1">
      <c r="C45" s="135"/>
    </row>
    <row r="46" spans="8:8" ht="15.75" customHeight="1">
      <c r="C46" s="135"/>
    </row>
    <row r="47" spans="8:8" ht="15.75" customHeight="1">
      <c r="C47" s="135"/>
    </row>
    <row r="48" spans="8:8" ht="15.75" customHeight="1">
      <c r="C48" s="135"/>
    </row>
    <row r="49" spans="8:8" ht="15.75" customHeight="1">
      <c r="C49" s="135"/>
    </row>
    <row r="50" spans="8:8" ht="15.75" customHeight="1">
      <c r="C50" s="135"/>
    </row>
    <row r="51" spans="8:8" ht="15.75" customHeight="1">
      <c r="C51" s="135"/>
    </row>
    <row r="52" spans="8:8" ht="15.75" customHeight="1">
      <c r="C52" s="135"/>
    </row>
    <row r="53" spans="8:8" ht="15.75" customHeight="1">
      <c r="C53" s="135"/>
    </row>
    <row r="54" spans="8:8" ht="15.75" customHeight="1">
      <c r="C54" s="135"/>
    </row>
    <row r="55" spans="8:8" ht="15.75" customHeight="1">
      <c r="C55" s="135"/>
    </row>
    <row r="56" spans="8:8" ht="15.75" customHeight="1">
      <c r="C56" s="135"/>
    </row>
    <row r="57" spans="8:8" ht="15.75" customHeight="1">
      <c r="C57" s="135"/>
    </row>
    <row r="58" spans="8:8" ht="15.75" customHeight="1">
      <c r="C58" s="135"/>
    </row>
    <row r="59" spans="8:8" ht="15.75" customHeight="1">
      <c r="C59" s="135"/>
    </row>
    <row r="60" spans="8:8" ht="15.75" customHeight="1">
      <c r="C60" s="135"/>
    </row>
    <row r="61" spans="8:8" ht="15.75" customHeight="1">
      <c r="C61" s="135"/>
    </row>
    <row r="62" spans="8:8" ht="15.75" customHeight="1">
      <c r="C62" s="135"/>
    </row>
    <row r="63" spans="8:8" ht="15.75" customHeight="1">
      <c r="C63" s="135"/>
    </row>
    <row r="64" spans="8:8" ht="15.75" customHeight="1">
      <c r="C64" s="135"/>
    </row>
    <row r="65" spans="8:8" ht="15.75" customHeight="1">
      <c r="C65" s="135"/>
    </row>
    <row r="66" spans="8:8" ht="15.75" customHeight="1">
      <c r="C66" s="135"/>
    </row>
    <row r="67" spans="8:8" ht="15.75" customHeight="1">
      <c r="C67" s="135"/>
    </row>
    <row r="68" spans="8:8" ht="15.75" customHeight="1">
      <c r="C68" s="135"/>
    </row>
    <row r="69" spans="8:8" ht="15.75" customHeight="1">
      <c r="C69" s="135"/>
    </row>
    <row r="70" spans="8:8" ht="15.75" customHeight="1">
      <c r="C70" s="135"/>
    </row>
    <row r="71" spans="8:8" ht="15.75" customHeight="1">
      <c r="C71" s="135"/>
    </row>
    <row r="72" spans="8:8" ht="15.75" customHeight="1">
      <c r="C72" s="135"/>
    </row>
    <row r="73" spans="8:8" ht="15.75" customHeight="1">
      <c r="C73" s="135"/>
    </row>
    <row r="74" spans="8:8" ht="15.75" customHeight="1">
      <c r="C74" s="135"/>
    </row>
    <row r="75" spans="8:8" ht="15.75" customHeight="1">
      <c r="C75" s="135"/>
    </row>
    <row r="76" spans="8:8" ht="15.75" customHeight="1">
      <c r="C76" s="135"/>
    </row>
    <row r="77" spans="8:8" ht="15.75" customHeight="1">
      <c r="C77" s="135"/>
    </row>
    <row r="78" spans="8:8" ht="15.75" customHeight="1">
      <c r="C78" s="135"/>
    </row>
    <row r="79" spans="8:8" ht="15.75" customHeight="1">
      <c r="C79" s="135"/>
    </row>
    <row r="80" spans="8:8" ht="15.75" customHeight="1">
      <c r="C80" s="135"/>
    </row>
    <row r="81" spans="8:8" ht="15.75" customHeight="1">
      <c r="C81" s="135"/>
    </row>
    <row r="82" spans="8:8" ht="15.75" customHeight="1">
      <c r="C82" s="135"/>
    </row>
    <row r="83" spans="8:8" ht="15.75" customHeight="1">
      <c r="C83" s="135"/>
    </row>
    <row r="84" spans="8:8" ht="15.75" customHeight="1">
      <c r="C84" s="135"/>
    </row>
    <row r="85" spans="8:8" ht="15.75" customHeight="1">
      <c r="C85" s="135"/>
    </row>
    <row r="86" spans="8:8" ht="15.75" customHeight="1">
      <c r="C86" s="135"/>
    </row>
    <row r="87" spans="8:8" ht="15.75" customHeight="1">
      <c r="C87" s="135"/>
    </row>
    <row r="88" spans="8:8" ht="15.75" customHeight="1">
      <c r="C88" s="135"/>
    </row>
    <row r="89" spans="8:8" ht="15.75" customHeight="1">
      <c r="C89" s="135"/>
    </row>
    <row r="90" spans="8:8" ht="15.75" customHeight="1">
      <c r="C90" s="135"/>
    </row>
    <row r="91" spans="8:8" ht="15.75" customHeight="1">
      <c r="C91" s="135"/>
    </row>
    <row r="92" spans="8:8" ht="15.75" customHeight="1">
      <c r="C92" s="135"/>
    </row>
    <row r="93" spans="8:8" ht="15.75" customHeight="1">
      <c r="C93" s="135"/>
    </row>
    <row r="94" spans="8:8" ht="15.75" customHeight="1">
      <c r="C94" s="135"/>
    </row>
    <row r="95" spans="8:8" ht="15.75" customHeight="1">
      <c r="C95" s="135"/>
    </row>
    <row r="96" spans="8:8" ht="15.75" customHeight="1">
      <c r="C96" s="135"/>
    </row>
    <row r="97" spans="8:8" ht="15.75" customHeight="1">
      <c r="C97" s="135"/>
    </row>
    <row r="98" spans="8:8" ht="15.75" customHeight="1">
      <c r="C98" s="135"/>
    </row>
    <row r="99" spans="8:8" ht="15.75" customHeight="1">
      <c r="C99" s="135"/>
    </row>
    <row r="100" spans="8:8" ht="15.75" customHeight="1">
      <c r="C100" s="135"/>
    </row>
    <row r="101" spans="8:8" ht="15.75" customHeight="1">
      <c r="C101" s="135"/>
    </row>
    <row r="102" spans="8:8" ht="15.75" customHeight="1">
      <c r="C102" s="135"/>
    </row>
    <row r="103" spans="8:8" ht="15.75" customHeight="1">
      <c r="C103" s="135"/>
    </row>
    <row r="104" spans="8:8" ht="15.75" customHeight="1">
      <c r="C104" s="135"/>
    </row>
    <row r="105" spans="8:8" ht="15.75" customHeight="1">
      <c r="C105" s="135"/>
    </row>
    <row r="106" spans="8:8" ht="15.75" customHeight="1">
      <c r="C106" s="135"/>
    </row>
    <row r="107" spans="8:8" ht="15.75" customHeight="1">
      <c r="C107" s="135"/>
    </row>
    <row r="108" spans="8:8" ht="15.75" customHeight="1">
      <c r="C108" s="135"/>
    </row>
    <row r="109" spans="8:8" ht="15.75" customHeight="1">
      <c r="C109" s="135"/>
    </row>
    <row r="110" spans="8:8" ht="15.75" customHeight="1">
      <c r="C110" s="135"/>
    </row>
    <row r="111" spans="8:8" ht="15.75" customHeight="1">
      <c r="C111" s="135"/>
    </row>
    <row r="112" spans="8:8" ht="15.75" customHeight="1">
      <c r="C112" s="135"/>
    </row>
    <row r="113" spans="8:8" ht="15.75" customHeight="1">
      <c r="C113" s="135"/>
    </row>
    <row r="114" spans="8:8" ht="15.75" customHeight="1">
      <c r="C114" s="135"/>
    </row>
    <row r="115" spans="8:8" ht="15.75" customHeight="1">
      <c r="C115" s="135"/>
    </row>
    <row r="116" spans="8:8" ht="15.75" customHeight="1">
      <c r="C116" s="135"/>
    </row>
    <row r="117" spans="8:8" ht="15.75" customHeight="1">
      <c r="C117" s="135"/>
    </row>
    <row r="118" spans="8:8" ht="15.75" customHeight="1">
      <c r="C118" s="135"/>
    </row>
    <row r="119" spans="8:8" ht="15.75" customHeight="1">
      <c r="C119" s="135"/>
    </row>
    <row r="120" spans="8:8" ht="15.75" customHeight="1">
      <c r="C120" s="135"/>
    </row>
    <row r="121" spans="8:8" ht="15.75" customHeight="1">
      <c r="C121" s="135"/>
    </row>
    <row r="122" spans="8:8" ht="15.75" customHeight="1">
      <c r="C122" s="135"/>
    </row>
    <row r="123" spans="8:8" ht="15.75" customHeight="1">
      <c r="C123" s="135"/>
    </row>
    <row r="124" spans="8:8" ht="15.75" customHeight="1">
      <c r="C124" s="135"/>
    </row>
    <row r="125" spans="8:8" ht="15.75" customHeight="1">
      <c r="C125" s="135"/>
    </row>
    <row r="126" spans="8:8" ht="15.75" customHeight="1">
      <c r="C126" s="135"/>
    </row>
    <row r="127" spans="8:8" ht="15.75" customHeight="1">
      <c r="C127" s="135"/>
    </row>
    <row r="128" spans="8:8" ht="15.75" customHeight="1">
      <c r="C128" s="135"/>
    </row>
    <row r="129" spans="8:8" ht="15.75" customHeight="1">
      <c r="C129" s="135"/>
    </row>
    <row r="130" spans="8:8" ht="15.75" customHeight="1">
      <c r="C130" s="135"/>
    </row>
    <row r="131" spans="8:8" ht="15.75" customHeight="1">
      <c r="C131" s="135"/>
    </row>
    <row r="132" spans="8:8" ht="15.75" customHeight="1">
      <c r="C132" s="135"/>
    </row>
    <row r="133" spans="8:8" ht="15.75" customHeight="1">
      <c r="C133" s="135"/>
    </row>
    <row r="134" spans="8:8" ht="15.75" customHeight="1">
      <c r="C134" s="135"/>
    </row>
    <row r="135" spans="8:8" ht="15.75" customHeight="1">
      <c r="C135" s="135"/>
    </row>
    <row r="136" spans="8:8" ht="15.75" customHeight="1">
      <c r="C136" s="135"/>
    </row>
    <row r="137" spans="8:8" ht="15.75" customHeight="1">
      <c r="C137" s="135"/>
    </row>
    <row r="138" spans="8:8" ht="15.75" customHeight="1">
      <c r="C138" s="135"/>
    </row>
    <row r="139" spans="8:8" ht="15.75" customHeight="1">
      <c r="C139" s="135"/>
    </row>
    <row r="140" spans="8:8" ht="15.75" customHeight="1">
      <c r="C140" s="135"/>
    </row>
    <row r="141" spans="8:8" ht="15.75" customHeight="1">
      <c r="C141" s="135"/>
    </row>
    <row r="142" spans="8:8" ht="15.75" customHeight="1">
      <c r="C142" s="135"/>
    </row>
    <row r="143" spans="8:8" ht="15.75" customHeight="1">
      <c r="C143" s="135"/>
    </row>
    <row r="144" spans="8:8" ht="15.75" customHeight="1">
      <c r="C144" s="135"/>
    </row>
    <row r="145" spans="8:8" ht="15.75" customHeight="1">
      <c r="C145" s="135"/>
    </row>
    <row r="146" spans="8:8" ht="15.75" customHeight="1">
      <c r="C146" s="135"/>
    </row>
    <row r="147" spans="8:8" ht="15.75" customHeight="1">
      <c r="C147" s="135"/>
    </row>
    <row r="148" spans="8:8" ht="15.75" customHeight="1">
      <c r="C148" s="135"/>
    </row>
    <row r="149" spans="8:8" ht="15.75" customHeight="1">
      <c r="C149" s="135"/>
    </row>
    <row r="150" spans="8:8" ht="15.75" customHeight="1">
      <c r="C150" s="135"/>
    </row>
    <row r="151" spans="8:8" ht="15.75" customHeight="1">
      <c r="C151" s="135"/>
    </row>
    <row r="152" spans="8:8" ht="15.75" customHeight="1">
      <c r="C152" s="135"/>
    </row>
    <row r="153" spans="8:8" ht="15.75" customHeight="1">
      <c r="C153" s="135"/>
    </row>
    <row r="154" spans="8:8" ht="15.75" customHeight="1">
      <c r="C154" s="135"/>
    </row>
    <row r="155" spans="8:8" ht="15.75" customHeight="1">
      <c r="C155" s="135"/>
    </row>
    <row r="156" spans="8:8" ht="15.75" customHeight="1">
      <c r="C156" s="135"/>
    </row>
    <row r="157" spans="8:8" ht="15.75" customHeight="1">
      <c r="C157" s="135"/>
    </row>
    <row r="158" spans="8:8" ht="15.75" customHeight="1">
      <c r="C158" s="135"/>
    </row>
    <row r="159" spans="8:8" ht="15.75" customHeight="1">
      <c r="C159" s="135"/>
    </row>
    <row r="160" spans="8:8" ht="15.75" customHeight="1">
      <c r="C160" s="135"/>
    </row>
    <row r="161" spans="8:8" ht="15.75" customHeight="1">
      <c r="C161" s="135"/>
    </row>
    <row r="162" spans="8:8" ht="15.75" customHeight="1">
      <c r="C162" s="135"/>
    </row>
    <row r="163" spans="8:8" ht="15.75" customHeight="1">
      <c r="C163" s="135"/>
    </row>
    <row r="164" spans="8:8" ht="15.75" customHeight="1">
      <c r="C164" s="135"/>
    </row>
    <row r="165" spans="8:8" ht="15.75" customHeight="1">
      <c r="C165" s="135"/>
    </row>
    <row r="166" spans="8:8" ht="15.75" customHeight="1">
      <c r="C166" s="135"/>
    </row>
    <row r="167" spans="8:8" ht="15.75" customHeight="1">
      <c r="C167" s="135"/>
    </row>
    <row r="168" spans="8:8" ht="15.75" customHeight="1">
      <c r="C168" s="135"/>
    </row>
    <row r="169" spans="8:8" ht="15.75" customHeight="1">
      <c r="C169" s="135"/>
    </row>
    <row r="170" spans="8:8" ht="15.75" customHeight="1">
      <c r="C170" s="135"/>
    </row>
    <row r="171" spans="8:8" ht="15.75" customHeight="1">
      <c r="C171" s="135"/>
    </row>
    <row r="172" spans="8:8" ht="15.75" customHeight="1">
      <c r="C172" s="135"/>
    </row>
    <row r="173" spans="8:8" ht="15.75" customHeight="1">
      <c r="C173" s="135"/>
    </row>
    <row r="174" spans="8:8" ht="15.75" customHeight="1">
      <c r="C174" s="135"/>
    </row>
    <row r="175" spans="8:8" ht="15.75" customHeight="1">
      <c r="C175" s="135"/>
    </row>
    <row r="176" spans="8:8" ht="15.75" customHeight="1">
      <c r="C176" s="135"/>
    </row>
    <row r="177" spans="8:8" ht="15.75" customHeight="1">
      <c r="C177" s="135"/>
    </row>
    <row r="178" spans="8:8" ht="15.75" customHeight="1">
      <c r="C178" s="135"/>
    </row>
    <row r="179" spans="8:8" ht="15.75" customHeight="1">
      <c r="C179" s="135"/>
    </row>
    <row r="180" spans="8:8" ht="15.75" customHeight="1">
      <c r="C180" s="135"/>
    </row>
    <row r="181" spans="8:8" ht="15.75" customHeight="1">
      <c r="C181" s="135"/>
    </row>
    <row r="182" spans="8:8" ht="15.75" customHeight="1">
      <c r="C182" s="135"/>
    </row>
    <row r="183" spans="8:8" ht="15.75" customHeight="1">
      <c r="C183" s="135"/>
    </row>
    <row r="184" spans="8:8" ht="15.75" customHeight="1">
      <c r="C184" s="135"/>
    </row>
    <row r="185" spans="8:8" ht="15.75" customHeight="1">
      <c r="C185" s="135"/>
    </row>
    <row r="186" spans="8:8" ht="15.75" customHeight="1">
      <c r="C186" s="135"/>
    </row>
    <row r="187" spans="8:8" ht="15.75" customHeight="1">
      <c r="C187" s="135"/>
    </row>
    <row r="188" spans="8:8" ht="15.75" customHeight="1">
      <c r="C188" s="135"/>
    </row>
    <row r="189" spans="8:8" ht="15.75" customHeight="1">
      <c r="C189" s="135"/>
    </row>
    <row r="190" spans="8:8" ht="15.75" customHeight="1">
      <c r="C190" s="135"/>
    </row>
    <row r="191" spans="8:8" ht="15.75" customHeight="1">
      <c r="C191" s="135"/>
    </row>
    <row r="192" spans="8:8" ht="15.75" customHeight="1">
      <c r="C192" s="135"/>
    </row>
    <row r="193" spans="8:8" ht="15.75" customHeight="1">
      <c r="C193" s="135"/>
    </row>
    <row r="194" spans="8:8" ht="15.75" customHeight="1">
      <c r="C194" s="135"/>
    </row>
    <row r="195" spans="8:8" ht="15.75" customHeight="1">
      <c r="C195" s="135"/>
    </row>
    <row r="196" spans="8:8" ht="15.75" customHeight="1">
      <c r="C196" s="135"/>
    </row>
    <row r="197" spans="8:8" ht="15.75" customHeight="1">
      <c r="C197" s="135"/>
    </row>
    <row r="198" spans="8:8" ht="15.75" customHeight="1">
      <c r="C198" s="135"/>
    </row>
    <row r="199" spans="8:8" ht="15.75" customHeight="1">
      <c r="C199" s="135"/>
    </row>
    <row r="200" spans="8:8" ht="15.75" customHeight="1">
      <c r="C200" s="135"/>
    </row>
    <row r="201" spans="8:8" ht="15.75" customHeight="1">
      <c r="C201" s="135"/>
    </row>
    <row r="202" spans="8:8" ht="15.75" customHeight="1">
      <c r="C202" s="135"/>
    </row>
    <row r="203" spans="8:8" ht="15.75" customHeight="1">
      <c r="C203" s="135"/>
    </row>
    <row r="204" spans="8:8" ht="15.75" customHeight="1">
      <c r="C204" s="135"/>
    </row>
    <row r="205" spans="8:8" ht="15.75" customHeight="1">
      <c r="C205" s="135"/>
    </row>
    <row r="206" spans="8:8" ht="15.75" customHeight="1">
      <c r="C206" s="135"/>
    </row>
    <row r="207" spans="8:8" ht="15.75" customHeight="1">
      <c r="C207" s="135"/>
    </row>
    <row r="208" spans="8:8" ht="15.75" customHeight="1">
      <c r="C208" s="135"/>
    </row>
    <row r="209" spans="8:8" ht="15.75" customHeight="1">
      <c r="C209" s="135"/>
    </row>
    <row r="210" spans="8:8" ht="15.75" customHeight="1">
      <c r="C210" s="135"/>
    </row>
    <row r="211" spans="8:8" ht="15.75" customHeight="1">
      <c r="C211" s="135"/>
    </row>
    <row r="212" spans="8:8" ht="15.75" customHeight="1">
      <c r="C212" s="135"/>
    </row>
    <row r="213" spans="8:8" ht="15.75" customHeight="1">
      <c r="C213" s="135"/>
    </row>
    <row r="214" spans="8:8" ht="15.75" customHeight="1">
      <c r="C214" s="135"/>
    </row>
    <row r="215" spans="8:8" ht="15.75" customHeight="1">
      <c r="C215" s="135"/>
    </row>
    <row r="216" spans="8:8" ht="15.75" customHeight="1">
      <c r="C216" s="135"/>
    </row>
    <row r="217" spans="8:8" ht="15.75" customHeight="1">
      <c r="C217" s="135"/>
    </row>
    <row r="218" spans="8:8" ht="15.75" customHeight="1">
      <c r="C218" s="135"/>
    </row>
    <row r="219" spans="8:8" ht="15.75" customHeight="1">
      <c r="C219" s="135"/>
    </row>
    <row r="220" spans="8:8" ht="15.75" customHeight="1">
      <c r="C220" s="135"/>
    </row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2">
    <mergeCell ref="C3:C4"/>
    <mergeCell ref="C12:C13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11"/>
  <sheetViews>
    <sheetView workbookViewId="0">
      <selection activeCell="A1" sqref="A1:P1"/>
    </sheetView>
  </sheetViews>
  <sheetFormatPr defaultRowHeight="15.0" customHeight="1" defaultColWidth="12"/>
  <sheetData>
    <row r="1" spans="8:8" ht="15.75" customHeight="1">
      <c r="A1" s="136" t="s">
        <v>4785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8"/>
    </row>
    <row r="2" spans="8:8" ht="15.75" customHeight="1">
      <c r="A2" s="139"/>
      <c r="B2" s="139"/>
      <c r="C2" s="140" t="s">
        <v>28</v>
      </c>
      <c r="D2" s="140" t="s">
        <v>111</v>
      </c>
      <c r="E2" s="140" t="s">
        <v>580</v>
      </c>
      <c r="F2" s="140" t="s">
        <v>781</v>
      </c>
      <c r="G2" s="140" t="s">
        <v>1645</v>
      </c>
      <c r="H2" s="140" t="s">
        <v>1827</v>
      </c>
      <c r="I2" s="140" t="s">
        <v>1512</v>
      </c>
      <c r="J2" s="140" t="s">
        <v>984</v>
      </c>
      <c r="K2" s="140" t="s">
        <v>1490</v>
      </c>
      <c r="L2" s="140" t="s">
        <v>4786</v>
      </c>
      <c r="M2" s="140" t="s">
        <v>4787</v>
      </c>
      <c r="N2" s="140" t="s">
        <v>4788</v>
      </c>
      <c r="O2" s="141"/>
      <c r="P2" s="142"/>
    </row>
    <row r="3" spans="8:8" ht="15.75" customHeight="1">
      <c r="A3" s="143" t="s">
        <v>4789</v>
      </c>
      <c r="B3" s="144">
        <v>0.375</v>
      </c>
      <c r="C3" s="145">
        <v>437.0</v>
      </c>
      <c r="D3" s="145">
        <v>120.0</v>
      </c>
      <c r="E3" s="146">
        <v>208.0</v>
      </c>
      <c r="F3" s="146">
        <v>41.0</v>
      </c>
      <c r="G3" s="146">
        <v>0.0</v>
      </c>
      <c r="H3" s="146">
        <v>0.0</v>
      </c>
      <c r="I3" s="146">
        <v>57.0</v>
      </c>
      <c r="J3" s="146">
        <v>0.0</v>
      </c>
      <c r="K3" s="146">
        <v>0.0</v>
      </c>
      <c r="L3" s="146">
        <v>0.0</v>
      </c>
      <c r="M3" s="146">
        <v>0.0</v>
      </c>
      <c r="N3" s="147">
        <f t="shared" si="0" ref="N3:N10">SUM(C3:M3)</f>
        <v>863.0</v>
      </c>
      <c r="O3" s="140">
        <f>SUM(N3,N4)</f>
        <v>1366.0</v>
      </c>
      <c r="P3" s="142"/>
    </row>
    <row r="4" spans="8:8" ht="15.75" customHeight="1">
      <c r="A4" s="148"/>
      <c r="B4" s="149">
        <v>0.5208333333333334</v>
      </c>
      <c r="C4" s="150">
        <v>291.0</v>
      </c>
      <c r="D4" s="150">
        <v>22.0</v>
      </c>
      <c r="E4" s="150">
        <v>74.0</v>
      </c>
      <c r="F4" s="150">
        <v>32.0</v>
      </c>
      <c r="G4" s="150">
        <v>0.0</v>
      </c>
      <c r="H4" s="150">
        <v>0.0</v>
      </c>
      <c r="I4" s="150">
        <v>55.0</v>
      </c>
      <c r="J4" s="150">
        <v>0.0</v>
      </c>
      <c r="K4" s="150">
        <v>19.0</v>
      </c>
      <c r="L4" s="150">
        <v>10.0</v>
      </c>
      <c r="M4" s="150">
        <v>0.0</v>
      </c>
      <c r="N4" s="151">
        <f t="shared" si="0"/>
        <v>503.0</v>
      </c>
      <c r="O4" s="152"/>
      <c r="P4" s="142"/>
    </row>
    <row r="5" spans="8:8" ht="15.75" customHeight="1">
      <c r="A5" s="143" t="s">
        <v>4790</v>
      </c>
      <c r="B5" s="144">
        <v>0.375</v>
      </c>
      <c r="C5" s="146">
        <v>431.0</v>
      </c>
      <c r="D5" s="146">
        <v>113.0</v>
      </c>
      <c r="E5" s="146">
        <v>91.0</v>
      </c>
      <c r="F5" s="146">
        <v>27.0</v>
      </c>
      <c r="G5" s="146">
        <v>0.0</v>
      </c>
      <c r="H5" s="146">
        <v>0.0</v>
      </c>
      <c r="I5" s="146">
        <v>69.0</v>
      </c>
      <c r="J5" s="146">
        <v>0.0</v>
      </c>
      <c r="K5" s="146">
        <v>0.0</v>
      </c>
      <c r="L5" s="146">
        <v>0.0</v>
      </c>
      <c r="M5" s="146">
        <v>0.0</v>
      </c>
      <c r="N5" s="147">
        <f t="shared" si="0"/>
        <v>731.0</v>
      </c>
      <c r="O5" s="140">
        <f>SUM(N5,N6)</f>
        <v>1197.0</v>
      </c>
      <c r="P5" s="142"/>
    </row>
    <row r="6" spans="8:8" ht="15.75" customHeight="1">
      <c r="A6" s="148"/>
      <c r="B6" s="149">
        <v>0.5208333333333334</v>
      </c>
      <c r="C6" s="150">
        <v>170.0</v>
      </c>
      <c r="D6" s="150">
        <v>83.0</v>
      </c>
      <c r="E6" s="150">
        <v>73.0</v>
      </c>
      <c r="F6" s="150">
        <v>21.0</v>
      </c>
      <c r="G6" s="150">
        <v>0.0</v>
      </c>
      <c r="H6" s="150">
        <v>0.0</v>
      </c>
      <c r="I6" s="150">
        <v>56.0</v>
      </c>
      <c r="J6" s="150">
        <v>29.0</v>
      </c>
      <c r="K6" s="150">
        <v>31.0</v>
      </c>
      <c r="L6" s="150">
        <v>3.0</v>
      </c>
      <c r="M6" s="150">
        <v>0.0</v>
      </c>
      <c r="N6" s="151">
        <f t="shared" si="0"/>
        <v>466.0</v>
      </c>
      <c r="O6" s="152"/>
      <c r="P6" s="142"/>
    </row>
    <row r="7" spans="8:8" ht="15.75" customHeight="1">
      <c r="A7" s="143" t="s">
        <v>4791</v>
      </c>
      <c r="B7" s="144">
        <v>0.375</v>
      </c>
      <c r="C7" s="146">
        <v>0.0</v>
      </c>
      <c r="D7" s="146">
        <v>18.0</v>
      </c>
      <c r="E7" s="145">
        <v>193.0</v>
      </c>
      <c r="F7" s="145">
        <v>97.0</v>
      </c>
      <c r="G7" s="146">
        <v>33.0</v>
      </c>
      <c r="H7" s="146">
        <v>12.0</v>
      </c>
      <c r="I7" s="146">
        <v>35.0</v>
      </c>
      <c r="J7" s="146">
        <v>0.0</v>
      </c>
      <c r="K7" s="146">
        <v>28.0</v>
      </c>
      <c r="L7" s="146">
        <v>0.0</v>
      </c>
      <c r="M7" s="146">
        <v>0.0</v>
      </c>
      <c r="N7" s="147">
        <f t="shared" si="0"/>
        <v>416.0</v>
      </c>
      <c r="O7" s="140">
        <f>SUM(N7,N8)</f>
        <v>945.0</v>
      </c>
      <c r="P7" s="142"/>
    </row>
    <row r="8" spans="8:8" ht="15.75" customHeight="1">
      <c r="A8" s="148"/>
      <c r="B8" s="153">
        <v>0.5208333333333334</v>
      </c>
      <c r="C8" s="140">
        <v>13.0</v>
      </c>
      <c r="D8" s="140">
        <v>0.0</v>
      </c>
      <c r="E8" s="140">
        <v>113.0</v>
      </c>
      <c r="F8" s="140">
        <v>223.0</v>
      </c>
      <c r="G8" s="140">
        <v>104.0</v>
      </c>
      <c r="H8" s="140">
        <v>26.0</v>
      </c>
      <c r="I8" s="140">
        <v>0.0</v>
      </c>
      <c r="J8" s="140">
        <v>25.0</v>
      </c>
      <c r="K8" s="140">
        <v>9.0</v>
      </c>
      <c r="L8" s="140">
        <v>16.0</v>
      </c>
      <c r="M8" s="140">
        <v>0.0</v>
      </c>
      <c r="N8" s="154">
        <f t="shared" si="0"/>
        <v>529.0</v>
      </c>
      <c r="O8" s="152"/>
      <c r="P8" s="142"/>
    </row>
    <row r="9" spans="8:8" ht="15.75" customHeight="1">
      <c r="A9" s="143" t="s">
        <v>4792</v>
      </c>
      <c r="B9" s="144">
        <v>0.375</v>
      </c>
      <c r="C9" s="146">
        <v>212.0</v>
      </c>
      <c r="D9" s="146">
        <v>98.0</v>
      </c>
      <c r="E9" s="146">
        <v>218.0</v>
      </c>
      <c r="F9" s="146">
        <v>68.0</v>
      </c>
      <c r="G9" s="146">
        <v>32.0</v>
      </c>
      <c r="H9" s="146">
        <v>0.0</v>
      </c>
      <c r="I9" s="146">
        <v>66.0</v>
      </c>
      <c r="J9" s="146">
        <v>30.0</v>
      </c>
      <c r="K9" s="146">
        <v>28.0</v>
      </c>
      <c r="L9" s="146">
        <v>11.0</v>
      </c>
      <c r="M9" s="146">
        <v>0.0</v>
      </c>
      <c r="N9" s="146">
        <f t="shared" si="0"/>
        <v>763.0</v>
      </c>
      <c r="O9" s="140">
        <f>SUM(N9,N10)</f>
        <v>1223.0</v>
      </c>
      <c r="P9" s="142"/>
    </row>
    <row r="10" spans="8:8" ht="15.75" customHeight="1">
      <c r="A10" s="148"/>
      <c r="B10" s="155">
        <v>0.041666666666666664</v>
      </c>
      <c r="C10" s="156">
        <v>66.0</v>
      </c>
      <c r="D10" s="156">
        <v>48.0</v>
      </c>
      <c r="E10" s="156">
        <v>158.0</v>
      </c>
      <c r="F10" s="156">
        <v>71.0</v>
      </c>
      <c r="G10" s="156">
        <v>12.0</v>
      </c>
      <c r="H10" s="156">
        <v>0.0</v>
      </c>
      <c r="I10" s="156">
        <v>49.0</v>
      </c>
      <c r="J10" s="156">
        <v>20.0</v>
      </c>
      <c r="K10" s="156">
        <v>25.0</v>
      </c>
      <c r="L10" s="156">
        <v>7.0</v>
      </c>
      <c r="M10" s="156">
        <v>4.0</v>
      </c>
      <c r="N10" s="156">
        <f t="shared" si="0"/>
        <v>460.0</v>
      </c>
      <c r="O10" s="152"/>
      <c r="P10" s="142"/>
    </row>
    <row r="11" spans="8:8" ht="15.75" customHeight="1">
      <c r="A11" s="157"/>
      <c r="B11" s="157"/>
      <c r="C11" s="158" t="s">
        <v>4793</v>
      </c>
      <c r="D11" s="7"/>
      <c r="E11" s="7"/>
      <c r="F11" s="7"/>
      <c r="G11" s="7"/>
      <c r="H11" s="7"/>
      <c r="I11" s="7"/>
      <c r="J11" s="7"/>
      <c r="K11" s="7"/>
      <c r="L11" s="7"/>
      <c r="M11" s="159"/>
      <c r="N11" s="160">
        <f>SUM(N3:N10)</f>
        <v>4731.0</v>
      </c>
      <c r="O11" s="160"/>
      <c r="P11" s="161"/>
    </row>
    <row r="12" spans="8:8" ht="15.75" customHeight="1"/>
    <row r="13" spans="8:8" ht="15.75" customHeight="1"/>
    <row r="14" spans="8:8" ht="15.75" customHeight="1"/>
    <row r="15" spans="8:8" ht="15.75" customHeight="1"/>
    <row r="16" spans="8:8" ht="15.75" customHeight="1"/>
    <row r="17" spans="8:8" ht="15.75" customHeight="1"/>
    <row r="18" spans="8:8" ht="15.75" customHeight="1"/>
    <row r="19" spans="8:8" ht="15.75" customHeight="1"/>
    <row r="20" spans="8:8" ht="15.75" customHeight="1"/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10">
    <mergeCell ref="O7:O8"/>
    <mergeCell ref="O9:O10"/>
    <mergeCell ref="O3:O4"/>
    <mergeCell ref="O5:O6"/>
    <mergeCell ref="A1:P1"/>
    <mergeCell ref="A7:A8"/>
    <mergeCell ref="A9:A10"/>
    <mergeCell ref="C11:M11"/>
    <mergeCell ref="A3:A4"/>
    <mergeCell ref="A5:A6"/>
  </mergeCells>
  <printOptions horizontalCentered="1" gridLines="1"/>
  <pageMargins left="0.7" right="0.7" top="0.75" bottom="0.75" header="0.0" footer="0.0"/>
  <pageSetup paperSize="9" fitToHeight="0" pageOrder="overThenDown" orientation="landscape" cellComments="atEnd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523"/>
  <sheetViews>
    <sheetView workbookViewId="0">
      <selection activeCell="A1" sqref="A1"/>
    </sheetView>
  </sheetViews>
  <sheetFormatPr defaultRowHeight="15.0" customHeight="1" defaultColWidth="12"/>
  <cols>
    <col min="1" max="1" customWidth="1" width="6.6289062" style="0"/>
    <col min="2" max="2" customWidth="1" width="49.128906" style="0"/>
    <col min="3" max="3" customWidth="1" width="10.378906" style="0"/>
    <col min="4" max="4" customWidth="1" width="32.25" style="0"/>
    <col min="5" max="5" customWidth="1" width="11.25" style="0"/>
    <col min="6" max="7" customWidth="1" width="6.3789062" style="0"/>
    <col min="8" max="10" customWidth="1" width="5.75" style="0"/>
    <col min="11" max="11" customWidth="1" width="5.25" style="0"/>
    <col min="12" max="13" customWidth="1" width="5.75" style="0"/>
    <col min="14" max="14" customWidth="1" width="44.5" style="0"/>
    <col min="15" max="15" customWidth="1" width="18.0" style="0"/>
    <col min="16" max="16" customWidth="1" width="68.12891" style="0"/>
    <col min="17" max="17" customWidth="1" width="50.0" style="0"/>
  </cols>
  <sheetData>
    <row r="1" spans="8:8" ht="43.5" customHeight="1">
      <c r="A1" s="162" t="s">
        <v>18</v>
      </c>
      <c r="B1" s="162" t="s">
        <v>19</v>
      </c>
      <c r="C1" s="163"/>
      <c r="D1" s="162" t="s">
        <v>4530</v>
      </c>
      <c r="E1" s="162" t="s">
        <v>22</v>
      </c>
      <c r="F1" s="163" t="s">
        <v>4794</v>
      </c>
      <c r="G1" s="163" t="s">
        <v>4795</v>
      </c>
      <c r="H1" s="163" t="s">
        <v>4796</v>
      </c>
      <c r="I1" s="163" t="s">
        <v>4797</v>
      </c>
      <c r="J1" s="163" t="s">
        <v>4798</v>
      </c>
      <c r="K1" s="163" t="s">
        <v>4799</v>
      </c>
      <c r="L1" s="163" t="s">
        <v>4800</v>
      </c>
      <c r="M1" s="163" t="s">
        <v>4801</v>
      </c>
      <c r="N1" s="164"/>
      <c r="O1" s="164"/>
      <c r="P1" s="164"/>
      <c r="Q1" s="165"/>
    </row>
    <row r="2" spans="8:8" ht="43.5" customHeight="1">
      <c r="A2" s="162" t="s">
        <v>18</v>
      </c>
      <c r="B2" s="162" t="s">
        <v>19</v>
      </c>
      <c r="C2" s="163"/>
      <c r="D2" s="162" t="s">
        <v>4530</v>
      </c>
      <c r="E2" s="162" t="s">
        <v>22</v>
      </c>
      <c r="F2" s="163" t="s">
        <v>4794</v>
      </c>
      <c r="G2" s="163" t="s">
        <v>4795</v>
      </c>
      <c r="H2" s="163" t="s">
        <v>4796</v>
      </c>
      <c r="I2" s="163" t="s">
        <v>4797</v>
      </c>
      <c r="J2" s="163" t="s">
        <v>4798</v>
      </c>
      <c r="K2" s="163" t="s">
        <v>4799</v>
      </c>
      <c r="L2" s="163" t="s">
        <v>4800</v>
      </c>
      <c r="M2" s="163" t="s">
        <v>4801</v>
      </c>
      <c r="N2" s="166" t="s">
        <v>4802</v>
      </c>
      <c r="O2" s="167"/>
      <c r="P2" s="168"/>
      <c r="Q2" s="169"/>
    </row>
    <row r="3" spans="8:8" ht="43.5" customHeight="1">
      <c r="A3" s="170">
        <v>1.0</v>
      </c>
      <c r="B3" s="171" t="s">
        <v>3450</v>
      </c>
      <c r="C3" s="172">
        <v>250362.0</v>
      </c>
      <c r="D3" s="171" t="s">
        <v>4803</v>
      </c>
      <c r="E3" s="172" t="s">
        <v>28</v>
      </c>
      <c r="F3" s="172" t="b">
        <v>1</v>
      </c>
      <c r="G3" s="172" t="b">
        <v>1</v>
      </c>
      <c r="H3" s="172" t="b">
        <v>1</v>
      </c>
      <c r="I3" s="172" t="b">
        <v>1</v>
      </c>
      <c r="J3" s="172" t="b">
        <v>0</v>
      </c>
      <c r="K3" s="172" t="b">
        <v>0</v>
      </c>
      <c r="L3" s="172" t="b">
        <v>0</v>
      </c>
      <c r="M3" s="172" t="b">
        <v>0</v>
      </c>
      <c r="N3" s="173" t="s">
        <v>4804</v>
      </c>
      <c r="O3" s="167"/>
      <c r="P3" s="168"/>
      <c r="Q3" s="174"/>
    </row>
    <row r="4" spans="8:8" ht="43.5" customHeight="1">
      <c r="A4" s="170">
        <v>2.0</v>
      </c>
      <c r="B4" s="171" t="s">
        <v>3451</v>
      </c>
      <c r="C4" s="172">
        <v>251240.0</v>
      </c>
      <c r="D4" s="171" t="s">
        <v>4803</v>
      </c>
      <c r="E4" s="172" t="s">
        <v>28</v>
      </c>
      <c r="F4" s="172" t="b">
        <v>0</v>
      </c>
      <c r="G4" s="172" t="b">
        <v>1</v>
      </c>
      <c r="H4" s="172" t="b">
        <v>1</v>
      </c>
      <c r="I4" s="172" t="b">
        <v>0</v>
      </c>
      <c r="J4" s="172" t="b">
        <v>0</v>
      </c>
      <c r="K4" s="172" t="b">
        <v>0</v>
      </c>
      <c r="L4" s="172" t="b">
        <v>0</v>
      </c>
      <c r="M4" s="172" t="b">
        <v>0</v>
      </c>
      <c r="N4" s="175" t="s">
        <v>4805</v>
      </c>
      <c r="O4" s="176" t="s">
        <v>4806</v>
      </c>
      <c r="P4" s="97" t="s">
        <v>4807</v>
      </c>
      <c r="Q4" s="174"/>
    </row>
    <row r="5" spans="8:8" ht="43.5" customHeight="1">
      <c r="A5" s="170">
        <v>3.0</v>
      </c>
      <c r="B5" s="171" t="s">
        <v>3452</v>
      </c>
      <c r="C5" s="172">
        <v>251244.0</v>
      </c>
      <c r="D5" s="171" t="s">
        <v>4803</v>
      </c>
      <c r="E5" s="172" t="s">
        <v>28</v>
      </c>
      <c r="F5" s="172" t="b">
        <v>1</v>
      </c>
      <c r="G5" s="172" t="b">
        <v>1</v>
      </c>
      <c r="H5" s="172" t="b">
        <v>1</v>
      </c>
      <c r="I5" s="172" t="b">
        <v>1</v>
      </c>
      <c r="J5" s="172" t="b">
        <v>0</v>
      </c>
      <c r="K5" s="172" t="b">
        <v>0</v>
      </c>
      <c r="L5" s="172" t="b">
        <v>0</v>
      </c>
      <c r="M5" s="172" t="b">
        <v>0</v>
      </c>
      <c r="N5" s="97" t="s">
        <v>4794</v>
      </c>
      <c r="O5" s="172" t="b">
        <v>0</v>
      </c>
      <c r="P5" s="177" t="s">
        <v>4808</v>
      </c>
      <c r="Q5" s="178"/>
    </row>
    <row r="6" spans="8:8" ht="43.5" customHeight="1">
      <c r="A6" s="170">
        <v>4.0</v>
      </c>
      <c r="B6" s="171" t="s">
        <v>3453</v>
      </c>
      <c r="C6" s="172">
        <v>251245.0</v>
      </c>
      <c r="D6" s="171" t="s">
        <v>4803</v>
      </c>
      <c r="E6" s="172" t="s">
        <v>28</v>
      </c>
      <c r="F6" s="172" t="b">
        <v>0</v>
      </c>
      <c r="G6" s="172" t="b">
        <v>0</v>
      </c>
      <c r="H6" s="172" t="b">
        <v>1</v>
      </c>
      <c r="I6" s="172" t="b">
        <v>1</v>
      </c>
      <c r="J6" s="172" t="b">
        <v>0</v>
      </c>
      <c r="K6" s="172" t="b">
        <v>0</v>
      </c>
      <c r="L6" s="172" t="b">
        <v>0</v>
      </c>
      <c r="M6" s="172" t="b">
        <v>0</v>
      </c>
      <c r="N6" s="97" t="s">
        <v>4795</v>
      </c>
      <c r="O6" s="172" t="b">
        <v>1</v>
      </c>
      <c r="P6" s="97" t="s">
        <v>4809</v>
      </c>
      <c r="Q6" s="174"/>
    </row>
    <row r="7" spans="8:8" ht="43.5" customHeight="1">
      <c r="A7" s="170">
        <v>6.0</v>
      </c>
      <c r="B7" s="171" t="s">
        <v>3454</v>
      </c>
      <c r="C7" s="172">
        <v>251248.0</v>
      </c>
      <c r="D7" s="171" t="s">
        <v>4803</v>
      </c>
      <c r="E7" s="172" t="s">
        <v>28</v>
      </c>
      <c r="F7" s="172" t="b">
        <v>0</v>
      </c>
      <c r="G7" s="172" t="b">
        <v>1</v>
      </c>
      <c r="H7" s="172" t="b">
        <v>1</v>
      </c>
      <c r="I7" s="172" t="b">
        <v>1</v>
      </c>
      <c r="J7" s="172" t="b">
        <v>0</v>
      </c>
      <c r="K7" s="172" t="b">
        <v>0</v>
      </c>
      <c r="L7" s="172" t="b">
        <v>0</v>
      </c>
      <c r="M7" s="172" t="b">
        <v>0</v>
      </c>
      <c r="N7" s="97" t="s">
        <v>4796</v>
      </c>
      <c r="O7" s="172" t="b">
        <v>1</v>
      </c>
      <c r="P7" s="97" t="s">
        <v>4809</v>
      </c>
      <c r="Q7" s="174"/>
    </row>
    <row r="8" spans="8:8" ht="43.5" customHeight="1">
      <c r="A8" s="170">
        <v>7.0</v>
      </c>
      <c r="B8" s="171" t="s">
        <v>3455</v>
      </c>
      <c r="C8" s="172">
        <v>251249.0</v>
      </c>
      <c r="D8" s="171" t="s">
        <v>4803</v>
      </c>
      <c r="E8" s="172" t="s">
        <v>28</v>
      </c>
      <c r="F8" s="172" t="b">
        <v>0</v>
      </c>
      <c r="G8" s="172" t="b">
        <v>1</v>
      </c>
      <c r="H8" s="172" t="b">
        <v>1</v>
      </c>
      <c r="I8" s="172" t="b">
        <v>1</v>
      </c>
      <c r="J8" s="172" t="b">
        <v>0</v>
      </c>
      <c r="K8" s="172" t="b">
        <v>0</v>
      </c>
      <c r="L8" s="172" t="b">
        <v>0</v>
      </c>
      <c r="M8" s="172" t="b">
        <v>0</v>
      </c>
      <c r="N8" s="97" t="s">
        <v>4797</v>
      </c>
      <c r="O8" s="172" t="b">
        <v>1</v>
      </c>
      <c r="P8" s="97" t="s">
        <v>4809</v>
      </c>
      <c r="Q8" s="174"/>
    </row>
    <row r="9" spans="8:8" ht="43.5" customHeight="1">
      <c r="A9" s="170">
        <v>8.0</v>
      </c>
      <c r="B9" s="171" t="s">
        <v>3456</v>
      </c>
      <c r="C9" s="172">
        <v>251250.0</v>
      </c>
      <c r="D9" s="171" t="s">
        <v>4803</v>
      </c>
      <c r="E9" s="172" t="s">
        <v>28</v>
      </c>
      <c r="F9" s="172" t="b">
        <v>1</v>
      </c>
      <c r="G9" s="172" t="b">
        <v>1</v>
      </c>
      <c r="H9" s="172" t="b">
        <v>1</v>
      </c>
      <c r="I9" s="172" t="b">
        <v>1</v>
      </c>
      <c r="J9" s="172" t="b">
        <v>0</v>
      </c>
      <c r="K9" s="172" t="b">
        <v>0</v>
      </c>
      <c r="L9" s="172" t="b">
        <v>0</v>
      </c>
      <c r="M9" s="172" t="b">
        <v>0</v>
      </c>
      <c r="N9" s="97" t="s">
        <v>4798</v>
      </c>
      <c r="O9" s="172" t="b">
        <v>0</v>
      </c>
      <c r="P9" s="97"/>
      <c r="Q9" s="174"/>
    </row>
    <row r="10" spans="8:8" ht="43.5" customHeight="1">
      <c r="A10" s="170">
        <v>9.0</v>
      </c>
      <c r="B10" s="171" t="s">
        <v>4702</v>
      </c>
      <c r="C10" s="172">
        <v>251251.0</v>
      </c>
      <c r="D10" s="171" t="s">
        <v>4803</v>
      </c>
      <c r="E10" s="172" t="s">
        <v>28</v>
      </c>
      <c r="F10" s="172" t="b">
        <v>0</v>
      </c>
      <c r="G10" s="172" t="b">
        <v>0</v>
      </c>
      <c r="H10" s="172" t="b">
        <v>0</v>
      </c>
      <c r="I10" s="172" t="b">
        <v>0</v>
      </c>
      <c r="J10" s="172" t="b">
        <v>0</v>
      </c>
      <c r="K10" s="172" t="b">
        <v>0</v>
      </c>
      <c r="L10" s="172" t="b">
        <v>0</v>
      </c>
      <c r="M10" s="172" t="b">
        <v>0</v>
      </c>
      <c r="N10" s="97" t="s">
        <v>4799</v>
      </c>
      <c r="O10" s="172" t="b">
        <v>0</v>
      </c>
      <c r="P10" s="97"/>
      <c r="Q10" s="174"/>
    </row>
    <row r="11" spans="8:8" ht="43.5" customHeight="1">
      <c r="A11" s="170">
        <v>10.0</v>
      </c>
      <c r="B11" s="171" t="s">
        <v>4066</v>
      </c>
      <c r="C11" s="172">
        <v>251252.0</v>
      </c>
      <c r="D11" s="171" t="s">
        <v>4803</v>
      </c>
      <c r="E11" s="172" t="s">
        <v>28</v>
      </c>
      <c r="F11" s="172" t="b">
        <v>1</v>
      </c>
      <c r="G11" s="172" t="b">
        <v>0</v>
      </c>
      <c r="H11" s="172" t="b">
        <v>0</v>
      </c>
      <c r="I11" s="172" t="b">
        <v>0</v>
      </c>
      <c r="J11" s="172" t="b">
        <v>0</v>
      </c>
      <c r="K11" s="172" t="b">
        <v>0</v>
      </c>
      <c r="L11" s="172" t="b">
        <v>0</v>
      </c>
      <c r="M11" s="172" t="b">
        <v>0</v>
      </c>
      <c r="N11" s="97" t="s">
        <v>4800</v>
      </c>
      <c r="O11" s="172" t="b">
        <v>0</v>
      </c>
      <c r="P11" s="97"/>
      <c r="Q11" s="174"/>
    </row>
    <row r="12" spans="8:8" ht="43.5" customHeight="1">
      <c r="A12" s="170">
        <v>11.0</v>
      </c>
      <c r="B12" s="171" t="s">
        <v>3457</v>
      </c>
      <c r="C12" s="172">
        <v>251254.0</v>
      </c>
      <c r="D12" s="171" t="s">
        <v>4803</v>
      </c>
      <c r="E12" s="172" t="s">
        <v>28</v>
      </c>
      <c r="F12" s="172" t="b">
        <v>1</v>
      </c>
      <c r="G12" s="172" t="b">
        <v>1</v>
      </c>
      <c r="H12" s="172" t="b">
        <v>1</v>
      </c>
      <c r="I12" s="172" t="b">
        <v>1</v>
      </c>
      <c r="J12" s="172" t="b">
        <v>0</v>
      </c>
      <c r="K12" s="172" t="b">
        <v>0</v>
      </c>
      <c r="L12" s="172" t="b">
        <v>0</v>
      </c>
      <c r="M12" s="172" t="b">
        <v>0</v>
      </c>
      <c r="N12" s="97" t="s">
        <v>4801</v>
      </c>
      <c r="O12" s="172" t="b">
        <v>0</v>
      </c>
      <c r="P12" s="97"/>
      <c r="Q12" s="174"/>
    </row>
    <row r="13" spans="8:8" ht="43.5" customHeight="1">
      <c r="A13" s="170">
        <v>12.0</v>
      </c>
      <c r="B13" s="171" t="s">
        <v>3458</v>
      </c>
      <c r="C13" s="172">
        <v>251255.0</v>
      </c>
      <c r="D13" s="171" t="s">
        <v>4803</v>
      </c>
      <c r="E13" s="172" t="s">
        <v>28</v>
      </c>
      <c r="F13" s="172" t="b">
        <v>0</v>
      </c>
      <c r="G13" s="172" t="b">
        <v>1</v>
      </c>
      <c r="H13" s="172" t="b">
        <v>1</v>
      </c>
      <c r="I13" s="172" t="b">
        <v>0</v>
      </c>
      <c r="J13" s="172" t="b">
        <v>0</v>
      </c>
      <c r="K13" s="172" t="b">
        <v>0</v>
      </c>
      <c r="L13" s="172" t="b">
        <v>0</v>
      </c>
      <c r="M13" s="172" t="b">
        <v>0</v>
      </c>
      <c r="N13" s="97"/>
      <c r="O13" s="97"/>
      <c r="P13" s="172"/>
      <c r="Q13" s="179"/>
    </row>
    <row r="14" spans="8:8" ht="43.5" customHeight="1">
      <c r="A14" s="170">
        <v>13.0</v>
      </c>
      <c r="B14" s="171" t="s">
        <v>3459</v>
      </c>
      <c r="C14" s="172">
        <v>251256.0</v>
      </c>
      <c r="D14" s="171" t="s">
        <v>4803</v>
      </c>
      <c r="E14" s="172" t="s">
        <v>28</v>
      </c>
      <c r="F14" s="172" t="b">
        <v>1</v>
      </c>
      <c r="G14" s="172" t="b">
        <v>0</v>
      </c>
      <c r="H14" s="172" t="b">
        <v>1</v>
      </c>
      <c r="I14" s="172" t="b">
        <v>0</v>
      </c>
      <c r="J14" s="172" t="b">
        <v>0</v>
      </c>
      <c r="K14" s="172" t="b">
        <v>0</v>
      </c>
      <c r="L14" s="172" t="b">
        <v>0</v>
      </c>
      <c r="M14" s="172" t="b">
        <v>0</v>
      </c>
      <c r="N14" s="97"/>
      <c r="O14" s="97"/>
      <c r="P14" s="172"/>
      <c r="Q14" s="179"/>
    </row>
    <row r="15" spans="8:8" ht="43.5" customHeight="1">
      <c r="A15" s="170">
        <v>14.0</v>
      </c>
      <c r="B15" s="171" t="s">
        <v>3460</v>
      </c>
      <c r="C15" s="172">
        <v>251258.0</v>
      </c>
      <c r="D15" s="171" t="s">
        <v>4803</v>
      </c>
      <c r="E15" s="172" t="s">
        <v>28</v>
      </c>
      <c r="F15" s="172" t="b">
        <v>1</v>
      </c>
      <c r="G15" s="172" t="b">
        <v>1</v>
      </c>
      <c r="H15" s="172" t="b">
        <v>1</v>
      </c>
      <c r="I15" s="172" t="b">
        <v>0</v>
      </c>
      <c r="J15" s="172" t="b">
        <v>0</v>
      </c>
      <c r="K15" s="172" t="b">
        <v>0</v>
      </c>
      <c r="L15" s="172" t="b">
        <v>0</v>
      </c>
      <c r="M15" s="172" t="b">
        <v>0</v>
      </c>
      <c r="N15" s="97"/>
      <c r="O15" s="97"/>
      <c r="P15" s="172"/>
      <c r="Q15" s="179"/>
    </row>
    <row r="16" spans="8:8" ht="43.5" customHeight="1">
      <c r="A16" s="170">
        <v>15.0</v>
      </c>
      <c r="B16" s="171" t="s">
        <v>3461</v>
      </c>
      <c r="C16" s="172">
        <v>251261.0</v>
      </c>
      <c r="D16" s="171" t="s">
        <v>4803</v>
      </c>
      <c r="E16" s="172" t="s">
        <v>28</v>
      </c>
      <c r="F16" s="172" t="b">
        <v>1</v>
      </c>
      <c r="G16" s="172" t="b">
        <v>1</v>
      </c>
      <c r="H16" s="172" t="b">
        <v>1</v>
      </c>
      <c r="I16" s="172" t="b">
        <v>1</v>
      </c>
      <c r="J16" s="172" t="b">
        <v>0</v>
      </c>
      <c r="K16" s="172" t="b">
        <v>0</v>
      </c>
      <c r="L16" s="172" t="b">
        <v>0</v>
      </c>
      <c r="M16" s="172" t="b">
        <v>0</v>
      </c>
      <c r="N16" s="97"/>
      <c r="O16" s="97"/>
      <c r="P16" s="172"/>
      <c r="Q16" s="179"/>
    </row>
    <row r="17" spans="8:8" ht="43.5" customHeight="1">
      <c r="A17" s="170">
        <v>16.0</v>
      </c>
      <c r="B17" s="171" t="s">
        <v>3462</v>
      </c>
      <c r="C17" s="172">
        <v>251264.0</v>
      </c>
      <c r="D17" s="171" t="s">
        <v>4803</v>
      </c>
      <c r="E17" s="172" t="s">
        <v>28</v>
      </c>
      <c r="F17" s="172" t="b">
        <v>1</v>
      </c>
      <c r="G17" s="172" t="b">
        <v>1</v>
      </c>
      <c r="H17" s="172" t="b">
        <v>1</v>
      </c>
      <c r="I17" s="172" t="b">
        <v>1</v>
      </c>
      <c r="J17" s="172" t="b">
        <v>0</v>
      </c>
      <c r="K17" s="172" t="b">
        <v>0</v>
      </c>
      <c r="L17" s="172" t="b">
        <v>0</v>
      </c>
      <c r="M17" s="172" t="b">
        <v>0</v>
      </c>
      <c r="N17" s="97"/>
      <c r="O17" s="97"/>
      <c r="P17" s="172"/>
      <c r="Q17" s="179"/>
    </row>
    <row r="18" spans="8:8" ht="43.5" customHeight="1">
      <c r="A18" s="170">
        <v>17.0</v>
      </c>
      <c r="B18" s="171" t="s">
        <v>3463</v>
      </c>
      <c r="C18" s="172">
        <v>251265.0</v>
      </c>
      <c r="D18" s="171" t="s">
        <v>4803</v>
      </c>
      <c r="E18" s="172" t="s">
        <v>28</v>
      </c>
      <c r="F18" s="172" t="b">
        <v>1</v>
      </c>
      <c r="G18" s="172" t="b">
        <v>1</v>
      </c>
      <c r="H18" s="172" t="b">
        <v>1</v>
      </c>
      <c r="I18" s="172" t="b">
        <v>1</v>
      </c>
      <c r="J18" s="172" t="b">
        <v>0</v>
      </c>
      <c r="K18" s="172" t="b">
        <v>0</v>
      </c>
      <c r="L18" s="172" t="b">
        <v>0</v>
      </c>
      <c r="M18" s="172" t="b">
        <v>0</v>
      </c>
      <c r="N18" s="97"/>
      <c r="O18" s="97"/>
      <c r="P18" s="172"/>
      <c r="Q18" s="179"/>
    </row>
    <row r="19" spans="8:8" ht="43.5" customHeight="1">
      <c r="A19" s="170">
        <v>18.0</v>
      </c>
      <c r="B19" s="171" t="s">
        <v>3464</v>
      </c>
      <c r="C19" s="172">
        <v>251268.0</v>
      </c>
      <c r="D19" s="171" t="s">
        <v>4810</v>
      </c>
      <c r="E19" s="172" t="s">
        <v>28</v>
      </c>
      <c r="F19" s="172" t="b">
        <v>0</v>
      </c>
      <c r="G19" s="172" t="b">
        <v>1</v>
      </c>
      <c r="H19" s="172" t="b">
        <v>1</v>
      </c>
      <c r="I19" s="172" t="b">
        <v>0</v>
      </c>
      <c r="J19" s="172" t="b">
        <v>0</v>
      </c>
      <c r="K19" s="172" t="b">
        <v>0</v>
      </c>
      <c r="L19" s="172" t="b">
        <v>0</v>
      </c>
      <c r="M19" s="172" t="b">
        <v>0</v>
      </c>
      <c r="N19" s="97"/>
      <c r="O19" s="97"/>
      <c r="P19" s="97"/>
      <c r="Q19" s="174"/>
    </row>
    <row r="20" spans="8:8" ht="43.5" customHeight="1">
      <c r="A20" s="170">
        <v>19.0</v>
      </c>
      <c r="B20" s="171" t="s">
        <v>3465</v>
      </c>
      <c r="C20" s="172">
        <v>251269.0</v>
      </c>
      <c r="D20" s="171" t="s">
        <v>4810</v>
      </c>
      <c r="E20" s="172" t="s">
        <v>28</v>
      </c>
      <c r="F20" s="172" t="b">
        <v>1</v>
      </c>
      <c r="G20" s="172" t="b">
        <v>1</v>
      </c>
      <c r="H20" s="172" t="b">
        <v>1</v>
      </c>
      <c r="I20" s="172" t="b">
        <v>1</v>
      </c>
      <c r="J20" s="172" t="b">
        <v>0</v>
      </c>
      <c r="K20" s="172" t="b">
        <v>0</v>
      </c>
      <c r="L20" s="172" t="b">
        <v>0</v>
      </c>
      <c r="M20" s="172" t="b">
        <v>0</v>
      </c>
      <c r="N20" s="97"/>
      <c r="O20" s="97"/>
      <c r="P20" s="97"/>
      <c r="Q20" s="174"/>
    </row>
    <row r="21" spans="8:8" ht="43.5" customHeight="1">
      <c r="A21" s="170">
        <v>20.0</v>
      </c>
      <c r="B21" s="171" t="s">
        <v>3466</v>
      </c>
      <c r="C21" s="172">
        <v>251272.0</v>
      </c>
      <c r="D21" s="171" t="s">
        <v>4810</v>
      </c>
      <c r="E21" s="172" t="s">
        <v>28</v>
      </c>
      <c r="F21" s="172" t="b">
        <v>0</v>
      </c>
      <c r="G21" s="172" t="b">
        <v>1</v>
      </c>
      <c r="H21" s="172" t="b">
        <v>1</v>
      </c>
      <c r="I21" s="172" t="b">
        <v>0</v>
      </c>
      <c r="J21" s="172" t="b">
        <v>0</v>
      </c>
      <c r="K21" s="172" t="b">
        <v>0</v>
      </c>
      <c r="L21" s="172" t="b">
        <v>0</v>
      </c>
      <c r="M21" s="172" t="b">
        <v>0</v>
      </c>
      <c r="N21" s="97"/>
      <c r="O21" s="97"/>
      <c r="P21" s="97"/>
      <c r="Q21" s="174"/>
    </row>
    <row r="22" spans="8:8" ht="43.5" customHeight="1">
      <c r="A22" s="170">
        <v>21.0</v>
      </c>
      <c r="B22" s="171" t="s">
        <v>3467</v>
      </c>
      <c r="C22" s="172">
        <v>251278.0</v>
      </c>
      <c r="D22" s="171" t="s">
        <v>4810</v>
      </c>
      <c r="E22" s="172" t="s">
        <v>28</v>
      </c>
      <c r="F22" s="172" t="b">
        <v>0</v>
      </c>
      <c r="G22" s="172" t="b">
        <v>0</v>
      </c>
      <c r="H22" s="172" t="b">
        <v>0</v>
      </c>
      <c r="I22" s="172" t="b">
        <v>0</v>
      </c>
      <c r="J22" s="172" t="b">
        <v>0</v>
      </c>
      <c r="K22" s="172" t="b">
        <v>0</v>
      </c>
      <c r="L22" s="172" t="b">
        <v>0</v>
      </c>
      <c r="M22" s="172" t="b">
        <v>0</v>
      </c>
      <c r="N22" s="180"/>
      <c r="O22" s="180"/>
      <c r="P22" s="97"/>
      <c r="Q22" s="174"/>
    </row>
    <row r="23" spans="8:8" ht="43.5" customHeight="1">
      <c r="A23" s="170">
        <v>22.0</v>
      </c>
      <c r="B23" s="171" t="s">
        <v>3468</v>
      </c>
      <c r="C23" s="172">
        <v>251280.0</v>
      </c>
      <c r="D23" s="171" t="s">
        <v>4810</v>
      </c>
      <c r="E23" s="172" t="s">
        <v>28</v>
      </c>
      <c r="F23" s="172" t="b">
        <v>1</v>
      </c>
      <c r="G23" s="172" t="b">
        <v>0</v>
      </c>
      <c r="H23" s="172" t="b">
        <v>1</v>
      </c>
      <c r="I23" s="172" t="b">
        <v>0</v>
      </c>
      <c r="J23" s="172" t="b">
        <v>0</v>
      </c>
      <c r="K23" s="172" t="b">
        <v>0</v>
      </c>
      <c r="L23" s="172" t="b">
        <v>0</v>
      </c>
      <c r="M23" s="172" t="b">
        <v>0</v>
      </c>
      <c r="N23" s="97"/>
      <c r="O23" s="97"/>
      <c r="P23" s="97"/>
      <c r="Q23" s="174"/>
    </row>
    <row r="24" spans="8:8" ht="43.5" customHeight="1">
      <c r="A24" s="170">
        <v>23.0</v>
      </c>
      <c r="B24" s="181" t="s">
        <v>4703</v>
      </c>
      <c r="C24" s="97">
        <v>251775.0</v>
      </c>
      <c r="D24" s="181" t="s">
        <v>4811</v>
      </c>
      <c r="E24" s="97" t="s">
        <v>28</v>
      </c>
      <c r="F24" s="172" t="b">
        <v>0</v>
      </c>
      <c r="G24" s="172" t="b">
        <v>0</v>
      </c>
      <c r="H24" s="172" t="b">
        <v>0</v>
      </c>
      <c r="I24" s="172" t="b">
        <v>0</v>
      </c>
      <c r="J24" s="172" t="b">
        <v>0</v>
      </c>
      <c r="K24" s="172" t="b">
        <v>0</v>
      </c>
      <c r="L24" s="172" t="b">
        <v>0</v>
      </c>
      <c r="M24" s="172" t="b">
        <v>0</v>
      </c>
      <c r="N24" s="97"/>
      <c r="O24" s="97"/>
      <c r="P24" s="97"/>
      <c r="Q24" s="174"/>
    </row>
    <row r="25" spans="8:8" ht="43.5" customHeight="1">
      <c r="A25" s="172">
        <v>24.0</v>
      </c>
      <c r="B25" s="171" t="s">
        <v>3469</v>
      </c>
      <c r="C25" s="172">
        <v>251630.0</v>
      </c>
      <c r="D25" s="171" t="s">
        <v>4812</v>
      </c>
      <c r="E25" s="172" t="s">
        <v>28</v>
      </c>
      <c r="F25" s="172" t="b">
        <v>0</v>
      </c>
      <c r="G25" s="172" t="b">
        <v>1</v>
      </c>
      <c r="H25" s="172" t="b">
        <v>1</v>
      </c>
      <c r="I25" s="172" t="b">
        <v>0</v>
      </c>
      <c r="J25" s="172" t="b">
        <v>0</v>
      </c>
      <c r="K25" s="172" t="b">
        <v>0</v>
      </c>
      <c r="L25" s="172" t="b">
        <v>0</v>
      </c>
      <c r="M25" s="172" t="b">
        <v>0</v>
      </c>
      <c r="N25" s="97"/>
      <c r="O25" s="97"/>
      <c r="P25" s="97"/>
      <c r="Q25" s="174"/>
    </row>
    <row r="26" spans="8:8" ht="43.5" customHeight="1">
      <c r="A26" s="172">
        <v>8.0</v>
      </c>
      <c r="B26" s="171" t="s">
        <v>3470</v>
      </c>
      <c r="C26" s="172">
        <v>251633.0</v>
      </c>
      <c r="D26" s="171" t="s">
        <v>4812</v>
      </c>
      <c r="E26" s="172" t="s">
        <v>28</v>
      </c>
      <c r="F26" s="172" t="b">
        <v>1</v>
      </c>
      <c r="G26" s="172" t="b">
        <v>1</v>
      </c>
      <c r="H26" s="172" t="b">
        <v>1</v>
      </c>
      <c r="I26" s="172" t="b">
        <v>1</v>
      </c>
      <c r="J26" s="172" t="b">
        <v>0</v>
      </c>
      <c r="K26" s="172" t="b">
        <v>0</v>
      </c>
      <c r="L26" s="172" t="b">
        <v>0</v>
      </c>
      <c r="M26" s="172" t="b">
        <v>0</v>
      </c>
      <c r="N26" s="97"/>
      <c r="O26" s="97"/>
      <c r="P26" s="97"/>
      <c r="Q26" s="174"/>
    </row>
    <row r="27" spans="8:8" ht="43.5" customHeight="1">
      <c r="A27" s="172">
        <v>6.0</v>
      </c>
      <c r="B27" s="171" t="s">
        <v>3471</v>
      </c>
      <c r="C27" s="172">
        <v>251631.0</v>
      </c>
      <c r="D27" s="171" t="s">
        <v>4812</v>
      </c>
      <c r="E27" s="172" t="s">
        <v>28</v>
      </c>
      <c r="F27" s="172" t="b">
        <v>1</v>
      </c>
      <c r="G27" s="172" t="b">
        <v>1</v>
      </c>
      <c r="H27" s="172" t="b">
        <v>1</v>
      </c>
      <c r="I27" s="172" t="b">
        <v>1</v>
      </c>
      <c r="J27" s="172" t="b">
        <v>0</v>
      </c>
      <c r="K27" s="172" t="b">
        <v>0</v>
      </c>
      <c r="L27" s="172" t="b">
        <v>0</v>
      </c>
      <c r="M27" s="172" t="b">
        <v>0</v>
      </c>
      <c r="N27" s="97"/>
      <c r="O27" s="97"/>
      <c r="P27" s="97"/>
      <c r="Q27" s="174"/>
    </row>
    <row r="28" spans="8:8" ht="43.5" customHeight="1">
      <c r="A28" s="172">
        <v>13.0</v>
      </c>
      <c r="B28" s="171" t="s">
        <v>3472</v>
      </c>
      <c r="C28" s="172">
        <v>251645.0</v>
      </c>
      <c r="D28" s="171" t="s">
        <v>4812</v>
      </c>
      <c r="E28" s="172" t="s">
        <v>28</v>
      </c>
      <c r="F28" s="172" t="b">
        <v>0</v>
      </c>
      <c r="G28" s="172" t="b">
        <v>1</v>
      </c>
      <c r="H28" s="172" t="b">
        <v>1</v>
      </c>
      <c r="I28" s="172" t="b">
        <v>1</v>
      </c>
      <c r="J28" s="172" t="b">
        <v>0</v>
      </c>
      <c r="K28" s="172" t="b">
        <v>0</v>
      </c>
      <c r="L28" s="172" t="b">
        <v>0</v>
      </c>
      <c r="M28" s="172" t="b">
        <v>0</v>
      </c>
      <c r="N28" s="97"/>
      <c r="O28" s="97"/>
      <c r="P28" s="97"/>
      <c r="Q28" s="174"/>
    </row>
    <row r="29" spans="8:8" ht="43.5" customHeight="1">
      <c r="A29" s="172">
        <v>2.0</v>
      </c>
      <c r="B29" s="171" t="s">
        <v>3473</v>
      </c>
      <c r="C29" s="172">
        <v>251625.0</v>
      </c>
      <c r="D29" s="171" t="s">
        <v>4812</v>
      </c>
      <c r="E29" s="172" t="s">
        <v>28</v>
      </c>
      <c r="F29" s="172" t="b">
        <v>1</v>
      </c>
      <c r="G29" s="172" t="b">
        <v>1</v>
      </c>
      <c r="H29" s="172" t="b">
        <v>1</v>
      </c>
      <c r="I29" s="172" t="b">
        <v>1</v>
      </c>
      <c r="J29" s="172" t="b">
        <v>0</v>
      </c>
      <c r="K29" s="172" t="b">
        <v>0</v>
      </c>
      <c r="L29" s="172" t="b">
        <v>0</v>
      </c>
      <c r="M29" s="172" t="b">
        <v>0</v>
      </c>
      <c r="N29" s="97"/>
      <c r="O29" s="97"/>
      <c r="P29" s="97"/>
      <c r="Q29" s="174"/>
    </row>
    <row r="30" spans="8:8" ht="43.5" customHeight="1">
      <c r="A30" s="172">
        <v>7.0</v>
      </c>
      <c r="B30" s="171" t="s">
        <v>3474</v>
      </c>
      <c r="C30" s="172">
        <v>251632.0</v>
      </c>
      <c r="D30" s="171" t="s">
        <v>4812</v>
      </c>
      <c r="E30" s="172" t="s">
        <v>28</v>
      </c>
      <c r="F30" s="172" t="b">
        <v>1</v>
      </c>
      <c r="G30" s="172" t="b">
        <v>1</v>
      </c>
      <c r="H30" s="172" t="b">
        <v>1</v>
      </c>
      <c r="I30" s="172" t="b">
        <v>1</v>
      </c>
      <c r="J30" s="172" t="b">
        <v>0</v>
      </c>
      <c r="K30" s="172" t="b">
        <v>0</v>
      </c>
      <c r="L30" s="172" t="b">
        <v>0</v>
      </c>
      <c r="M30" s="172" t="b">
        <v>0</v>
      </c>
      <c r="N30" s="97"/>
      <c r="O30" s="97"/>
      <c r="P30" s="97"/>
      <c r="Q30" s="174"/>
    </row>
    <row r="31" spans="8:8" ht="43.5" customHeight="1">
      <c r="A31" s="172">
        <v>23.0</v>
      </c>
      <c r="B31" s="171" t="s">
        <v>3475</v>
      </c>
      <c r="C31" s="172">
        <v>251505.0</v>
      </c>
      <c r="D31" s="171" t="s">
        <v>4813</v>
      </c>
      <c r="E31" s="172" t="s">
        <v>28</v>
      </c>
      <c r="F31" s="172" t="b">
        <v>1</v>
      </c>
      <c r="G31" s="172" t="b">
        <v>1</v>
      </c>
      <c r="H31" s="172" t="b">
        <v>1</v>
      </c>
      <c r="I31" s="172" t="b">
        <v>1</v>
      </c>
      <c r="J31" s="172" t="b">
        <v>0</v>
      </c>
      <c r="K31" s="172" t="b">
        <v>0</v>
      </c>
      <c r="L31" s="172" t="b">
        <v>0</v>
      </c>
      <c r="M31" s="172" t="b">
        <v>0</v>
      </c>
      <c r="N31" s="97"/>
      <c r="O31" s="97"/>
      <c r="P31" s="97"/>
      <c r="Q31" s="174"/>
    </row>
    <row r="32" spans="8:8" ht="43.5" customHeight="1">
      <c r="A32" s="172">
        <v>18.0</v>
      </c>
      <c r="B32" s="171" t="s">
        <v>3609</v>
      </c>
      <c r="C32" s="172">
        <v>251654.0</v>
      </c>
      <c r="D32" s="171" t="s">
        <v>4812</v>
      </c>
      <c r="E32" s="172" t="s">
        <v>28</v>
      </c>
      <c r="F32" s="172" t="b">
        <v>0</v>
      </c>
      <c r="G32" s="172" t="b">
        <v>1</v>
      </c>
      <c r="H32" s="172" t="b">
        <v>1</v>
      </c>
      <c r="I32" s="172" t="b">
        <v>0</v>
      </c>
      <c r="J32" s="172" t="b">
        <v>0</v>
      </c>
      <c r="K32" s="172" t="b">
        <v>0</v>
      </c>
      <c r="L32" s="172" t="b">
        <v>0</v>
      </c>
      <c r="M32" s="172" t="b">
        <v>0</v>
      </c>
      <c r="N32" s="97"/>
      <c r="O32" s="97"/>
      <c r="P32" s="97"/>
      <c r="Q32" s="174"/>
    </row>
    <row r="33" spans="8:8" ht="43.5" customHeight="1">
      <c r="A33" s="172">
        <v>15.0</v>
      </c>
      <c r="B33" s="171" t="s">
        <v>3512</v>
      </c>
      <c r="C33" s="172">
        <v>251648.0</v>
      </c>
      <c r="D33" s="171" t="s">
        <v>4812</v>
      </c>
      <c r="E33" s="172" t="s">
        <v>28</v>
      </c>
      <c r="F33" s="172" t="b">
        <v>1</v>
      </c>
      <c r="G33" s="172" t="b">
        <v>1</v>
      </c>
      <c r="H33" s="172" t="b">
        <v>1</v>
      </c>
      <c r="I33" s="172" t="b">
        <v>0</v>
      </c>
      <c r="J33" s="172" t="b">
        <v>0</v>
      </c>
      <c r="K33" s="172" t="b">
        <v>0</v>
      </c>
      <c r="L33" s="172" t="b">
        <v>0</v>
      </c>
      <c r="M33" s="172" t="b">
        <v>0</v>
      </c>
      <c r="N33" s="97"/>
      <c r="O33" s="97"/>
      <c r="P33" s="97"/>
      <c r="Q33" s="174"/>
    </row>
    <row r="34" spans="8:8" ht="43.5" customHeight="1">
      <c r="A34" s="172">
        <v>25.0</v>
      </c>
      <c r="B34" s="171" t="s">
        <v>3476</v>
      </c>
      <c r="C34" s="172">
        <v>251521.0</v>
      </c>
      <c r="D34" s="171" t="s">
        <v>4814</v>
      </c>
      <c r="E34" s="172" t="s">
        <v>28</v>
      </c>
      <c r="F34" s="172" t="b">
        <v>1</v>
      </c>
      <c r="G34" s="172" t="b">
        <v>1</v>
      </c>
      <c r="H34" s="172" t="b">
        <v>1</v>
      </c>
      <c r="I34" s="172" t="b">
        <v>1</v>
      </c>
      <c r="J34" s="172" t="b">
        <v>0</v>
      </c>
      <c r="K34" s="172" t="b">
        <v>0</v>
      </c>
      <c r="L34" s="172" t="b">
        <v>0</v>
      </c>
      <c r="M34" s="172" t="b">
        <v>0</v>
      </c>
      <c r="N34" s="97"/>
      <c r="O34" s="97"/>
      <c r="P34" s="97"/>
      <c r="Q34" s="174"/>
    </row>
    <row r="35" spans="8:8" ht="43.5" customHeight="1">
      <c r="A35" s="172">
        <v>10.0</v>
      </c>
      <c r="B35" s="171" t="s">
        <v>3477</v>
      </c>
      <c r="C35" s="172">
        <v>251637.0</v>
      </c>
      <c r="D35" s="171" t="s">
        <v>4812</v>
      </c>
      <c r="E35" s="172" t="s">
        <v>28</v>
      </c>
      <c r="F35" s="172" t="b">
        <v>1</v>
      </c>
      <c r="G35" s="172" t="b">
        <v>0</v>
      </c>
      <c r="H35" s="172" t="b">
        <v>1</v>
      </c>
      <c r="I35" s="172" t="b">
        <v>0</v>
      </c>
      <c r="J35" s="172" t="b">
        <v>0</v>
      </c>
      <c r="K35" s="172" t="b">
        <v>0</v>
      </c>
      <c r="L35" s="172" t="b">
        <v>0</v>
      </c>
      <c r="M35" s="172" t="b">
        <v>0</v>
      </c>
      <c r="N35" s="97"/>
      <c r="O35" s="97"/>
      <c r="P35" s="97"/>
      <c r="Q35" s="174"/>
    </row>
    <row r="36" spans="8:8" ht="43.5" customHeight="1">
      <c r="A36" s="170"/>
      <c r="B36" s="182" t="s">
        <v>4815</v>
      </c>
      <c r="C36" s="97"/>
      <c r="D36" s="97"/>
      <c r="E36" s="183"/>
      <c r="F36" s="184">
        <f t="shared" si="0" ref="F36:M36">COUNTIF(F2:F23,TRUE)/COUNTA(F2:F23)</f>
        <v>0.5454545454545454</v>
      </c>
      <c r="G36" s="184">
        <f t="shared" si="0"/>
        <v>0.6818181818181818</v>
      </c>
      <c r="H36" s="184">
        <f t="shared" si="0"/>
        <v>0.8181818181818182</v>
      </c>
      <c r="I36" s="184">
        <f t="shared" si="0"/>
        <v>0.5</v>
      </c>
      <c r="J36" s="184">
        <f t="shared" si="0"/>
        <v>0.0</v>
      </c>
      <c r="K36" s="184">
        <f t="shared" si="0"/>
        <v>0.0</v>
      </c>
      <c r="L36" s="184">
        <f t="shared" si="0"/>
        <v>0.0</v>
      </c>
      <c r="M36" s="184">
        <f t="shared" si="0"/>
        <v>0.0</v>
      </c>
      <c r="N36" s="97"/>
      <c r="O36" s="97"/>
      <c r="P36" s="97"/>
      <c r="Q36" s="174"/>
    </row>
    <row r="37" spans="8:8" ht="43.5" customHeight="1">
      <c r="A37" s="185" t="s">
        <v>18</v>
      </c>
      <c r="B37" s="162" t="s">
        <v>19</v>
      </c>
      <c r="C37" s="163"/>
      <c r="D37" s="162" t="s">
        <v>4530</v>
      </c>
      <c r="E37" s="162" t="s">
        <v>22</v>
      </c>
      <c r="F37" s="163" t="s">
        <v>4794</v>
      </c>
      <c r="G37" s="163" t="s">
        <v>4795</v>
      </c>
      <c r="H37" s="163" t="s">
        <v>4796</v>
      </c>
      <c r="I37" s="163" t="s">
        <v>4797</v>
      </c>
      <c r="J37" s="163" t="s">
        <v>4798</v>
      </c>
      <c r="K37" s="163" t="s">
        <v>4799</v>
      </c>
      <c r="L37" s="163" t="s">
        <v>4800</v>
      </c>
      <c r="M37" s="163" t="s">
        <v>4801</v>
      </c>
      <c r="N37" s="166" t="s">
        <v>4816</v>
      </c>
      <c r="O37" s="167"/>
      <c r="P37" s="168"/>
      <c r="Q37" s="169"/>
    </row>
    <row r="38" spans="8:8" ht="43.5" customHeight="1">
      <c r="A38" s="170">
        <v>1.0</v>
      </c>
      <c r="B38" s="171" t="s">
        <v>3481</v>
      </c>
      <c r="C38" s="172">
        <v>251285.0</v>
      </c>
      <c r="D38" s="171" t="s">
        <v>4810</v>
      </c>
      <c r="E38" s="172" t="s">
        <v>28</v>
      </c>
      <c r="F38" s="172" t="b">
        <v>0</v>
      </c>
      <c r="G38" s="172" t="b">
        <v>1</v>
      </c>
      <c r="H38" s="172" t="b">
        <v>1</v>
      </c>
      <c r="I38" s="172" t="b">
        <v>0</v>
      </c>
      <c r="J38" s="172" t="b">
        <v>0</v>
      </c>
      <c r="K38" s="172" t="b">
        <v>0</v>
      </c>
      <c r="L38" s="172" t="b">
        <v>0</v>
      </c>
      <c r="M38" s="172" t="b">
        <v>0</v>
      </c>
      <c r="N38" s="173" t="s">
        <v>4804</v>
      </c>
      <c r="O38" s="167"/>
      <c r="P38" s="168"/>
      <c r="Q38" s="174"/>
    </row>
    <row r="39" spans="8:8" ht="43.5" customHeight="1">
      <c r="A39" s="170">
        <v>2.0</v>
      </c>
      <c r="B39" s="171" t="s">
        <v>3482</v>
      </c>
      <c r="C39" s="172">
        <v>251286.0</v>
      </c>
      <c r="D39" s="171" t="s">
        <v>4810</v>
      </c>
      <c r="E39" s="172" t="s">
        <v>28</v>
      </c>
      <c r="F39" s="186" t="b">
        <v>1</v>
      </c>
      <c r="G39" s="186" t="b">
        <v>1</v>
      </c>
      <c r="H39" s="186" t="b">
        <v>1</v>
      </c>
      <c r="I39" s="186" t="b">
        <v>0</v>
      </c>
      <c r="J39" s="186" t="b">
        <v>0</v>
      </c>
      <c r="K39" s="186" t="b">
        <v>0</v>
      </c>
      <c r="L39" s="186" t="b">
        <v>0</v>
      </c>
      <c r="M39" s="186" t="b">
        <v>0</v>
      </c>
      <c r="N39" s="175" t="s">
        <v>4805</v>
      </c>
      <c r="O39" s="176" t="s">
        <v>4806</v>
      </c>
      <c r="P39" s="97" t="s">
        <v>4807</v>
      </c>
      <c r="Q39" s="174"/>
    </row>
    <row r="40" spans="8:8" ht="43.5" customHeight="1">
      <c r="A40" s="170">
        <v>3.0</v>
      </c>
      <c r="B40" s="171" t="s">
        <v>4065</v>
      </c>
      <c r="C40" s="172">
        <v>251287.0</v>
      </c>
      <c r="D40" s="171" t="s">
        <v>4810</v>
      </c>
      <c r="E40" s="172" t="s">
        <v>28</v>
      </c>
      <c r="F40" s="172" t="b">
        <v>0</v>
      </c>
      <c r="G40" s="172" t="b">
        <v>1</v>
      </c>
      <c r="H40" s="172" t="b">
        <v>1</v>
      </c>
      <c r="I40" s="172" t="b">
        <v>0</v>
      </c>
      <c r="J40" s="172" t="b">
        <v>0</v>
      </c>
      <c r="K40" s="172" t="b">
        <v>0</v>
      </c>
      <c r="L40" s="172" t="b">
        <v>0</v>
      </c>
      <c r="M40" s="172" t="b">
        <v>0</v>
      </c>
      <c r="N40" s="97" t="s">
        <v>4794</v>
      </c>
      <c r="O40" s="172" t="b">
        <v>0</v>
      </c>
      <c r="P40" s="97" t="s">
        <v>4817</v>
      </c>
      <c r="Q40" s="174"/>
    </row>
    <row r="41" spans="8:8" ht="43.5" customHeight="1">
      <c r="A41" s="170">
        <v>4.0</v>
      </c>
      <c r="B41" s="171" t="s">
        <v>3483</v>
      </c>
      <c r="C41" s="172">
        <v>251292.0</v>
      </c>
      <c r="D41" s="171" t="s">
        <v>4810</v>
      </c>
      <c r="E41" s="172" t="s">
        <v>28</v>
      </c>
      <c r="F41" s="186" t="b">
        <v>0</v>
      </c>
      <c r="G41" s="186" t="b">
        <v>0</v>
      </c>
      <c r="H41" s="186" t="b">
        <v>0</v>
      </c>
      <c r="I41" s="186" t="b">
        <v>0</v>
      </c>
      <c r="J41" s="186" t="b">
        <v>0</v>
      </c>
      <c r="K41" s="186" t="b">
        <v>0</v>
      </c>
      <c r="L41" s="186" t="b">
        <v>0</v>
      </c>
      <c r="M41" s="186" t="b">
        <v>0</v>
      </c>
      <c r="N41" s="97" t="s">
        <v>4795</v>
      </c>
      <c r="O41" s="172" t="b">
        <v>1</v>
      </c>
      <c r="P41" s="97"/>
      <c r="Q41" s="174"/>
    </row>
    <row r="42" spans="8:8" ht="43.5" customHeight="1">
      <c r="A42" s="170">
        <v>5.0</v>
      </c>
      <c r="B42" s="171" t="s">
        <v>4704</v>
      </c>
      <c r="C42" s="172">
        <v>251293.0</v>
      </c>
      <c r="D42" s="171" t="s">
        <v>4810</v>
      </c>
      <c r="E42" s="172" t="s">
        <v>28</v>
      </c>
      <c r="F42" s="172" t="b">
        <v>0</v>
      </c>
      <c r="G42" s="172" t="b">
        <v>0</v>
      </c>
      <c r="H42" s="172" t="b">
        <v>0</v>
      </c>
      <c r="I42" s="172" t="b">
        <v>0</v>
      </c>
      <c r="J42" s="172" t="b">
        <v>0</v>
      </c>
      <c r="K42" s="172" t="b">
        <v>0</v>
      </c>
      <c r="L42" s="172" t="b">
        <v>0</v>
      </c>
      <c r="M42" s="172" t="b">
        <v>0</v>
      </c>
      <c r="N42" s="97" t="s">
        <v>4796</v>
      </c>
      <c r="O42" s="172" t="b">
        <v>0</v>
      </c>
      <c r="P42" s="97"/>
      <c r="Q42" s="174"/>
    </row>
    <row r="43" spans="8:8" ht="43.5" customHeight="1">
      <c r="A43" s="170">
        <v>6.0</v>
      </c>
      <c r="B43" s="171" t="s">
        <v>3484</v>
      </c>
      <c r="C43" s="172">
        <v>251296.0</v>
      </c>
      <c r="D43" s="171" t="s">
        <v>4810</v>
      </c>
      <c r="E43" s="172" t="s">
        <v>28</v>
      </c>
      <c r="F43" s="186" t="b">
        <v>1</v>
      </c>
      <c r="G43" s="186" t="b">
        <v>0</v>
      </c>
      <c r="H43" s="186" t="b">
        <v>1</v>
      </c>
      <c r="I43" s="186" t="b">
        <v>0</v>
      </c>
      <c r="J43" s="186" t="b">
        <v>0</v>
      </c>
      <c r="K43" s="186" t="b">
        <v>0</v>
      </c>
      <c r="L43" s="186" t="b">
        <v>0</v>
      </c>
      <c r="M43" s="186" t="b">
        <v>0</v>
      </c>
      <c r="N43" s="97" t="s">
        <v>4797</v>
      </c>
      <c r="O43" s="172" t="b">
        <v>0</v>
      </c>
      <c r="P43" s="97"/>
      <c r="Q43" s="174"/>
    </row>
    <row r="44" spans="8:8" ht="43.5" customHeight="1">
      <c r="A44" s="170">
        <v>7.0</v>
      </c>
      <c r="B44" s="171" t="s">
        <v>3485</v>
      </c>
      <c r="C44" s="172">
        <v>251300.0</v>
      </c>
      <c r="D44" s="171" t="s">
        <v>4810</v>
      </c>
      <c r="E44" s="172" t="s">
        <v>28</v>
      </c>
      <c r="F44" s="172" t="b">
        <v>0</v>
      </c>
      <c r="G44" s="172" t="b">
        <v>1</v>
      </c>
      <c r="H44" s="172" t="b">
        <v>0</v>
      </c>
      <c r="I44" s="172" t="b">
        <v>0</v>
      </c>
      <c r="J44" s="172" t="b">
        <v>0</v>
      </c>
      <c r="K44" s="172" t="b">
        <v>0</v>
      </c>
      <c r="L44" s="172" t="b">
        <v>0</v>
      </c>
      <c r="M44" s="172" t="b">
        <v>0</v>
      </c>
      <c r="N44" s="97" t="s">
        <v>4798</v>
      </c>
      <c r="O44" s="172" t="b">
        <v>0</v>
      </c>
      <c r="P44" s="97"/>
      <c r="Q44" s="174"/>
    </row>
    <row r="45" spans="8:8" ht="43.5" customHeight="1">
      <c r="A45" s="170">
        <v>8.0</v>
      </c>
      <c r="B45" s="171" t="s">
        <v>3486</v>
      </c>
      <c r="C45" s="172">
        <v>251304.0</v>
      </c>
      <c r="D45" s="171" t="s">
        <v>4818</v>
      </c>
      <c r="E45" s="172" t="s">
        <v>28</v>
      </c>
      <c r="F45" s="186" t="b">
        <v>0</v>
      </c>
      <c r="G45" s="186" t="b">
        <v>1</v>
      </c>
      <c r="H45" s="186" t="b">
        <v>0</v>
      </c>
      <c r="I45" s="186" t="b">
        <v>0</v>
      </c>
      <c r="J45" s="186" t="b">
        <v>0</v>
      </c>
      <c r="K45" s="186" t="b">
        <v>0</v>
      </c>
      <c r="L45" s="186" t="b">
        <v>0</v>
      </c>
      <c r="M45" s="186" t="b">
        <v>0</v>
      </c>
      <c r="N45" s="97" t="s">
        <v>4799</v>
      </c>
      <c r="O45" s="172" t="b">
        <v>0</v>
      </c>
      <c r="P45" s="97"/>
      <c r="Q45" s="174"/>
    </row>
    <row r="46" spans="8:8" ht="43.5" customHeight="1">
      <c r="A46" s="170">
        <v>9.0</v>
      </c>
      <c r="B46" s="171" t="s">
        <v>3487</v>
      </c>
      <c r="C46" s="172">
        <v>251310.0</v>
      </c>
      <c r="D46" s="171" t="s">
        <v>4818</v>
      </c>
      <c r="E46" s="172" t="s">
        <v>28</v>
      </c>
      <c r="F46" s="172" t="b">
        <v>0</v>
      </c>
      <c r="G46" s="172" t="b">
        <v>0</v>
      </c>
      <c r="H46" s="172" t="b">
        <v>1</v>
      </c>
      <c r="I46" s="172" t="b">
        <v>0</v>
      </c>
      <c r="J46" s="172" t="b">
        <v>0</v>
      </c>
      <c r="K46" s="172" t="b">
        <v>0</v>
      </c>
      <c r="L46" s="172" t="b">
        <v>0</v>
      </c>
      <c r="M46" s="172" t="b">
        <v>0</v>
      </c>
      <c r="N46" s="97" t="s">
        <v>4800</v>
      </c>
      <c r="O46" s="172" t="b">
        <v>0</v>
      </c>
      <c r="P46" s="97"/>
      <c r="Q46" s="174"/>
    </row>
    <row r="47" spans="8:8" ht="43.5" customHeight="1">
      <c r="A47" s="170">
        <v>10.0</v>
      </c>
      <c r="B47" s="171" t="s">
        <v>3488</v>
      </c>
      <c r="C47" s="172">
        <v>251311.0</v>
      </c>
      <c r="D47" s="171" t="s">
        <v>4818</v>
      </c>
      <c r="E47" s="172" t="s">
        <v>28</v>
      </c>
      <c r="F47" s="186" t="b">
        <v>0</v>
      </c>
      <c r="G47" s="186" t="b">
        <v>1</v>
      </c>
      <c r="H47" s="186" t="b">
        <v>1</v>
      </c>
      <c r="I47" s="186" t="b">
        <v>0</v>
      </c>
      <c r="J47" s="186" t="b">
        <v>0</v>
      </c>
      <c r="K47" s="186" t="b">
        <v>0</v>
      </c>
      <c r="L47" s="186" t="b">
        <v>0</v>
      </c>
      <c r="M47" s="186" t="b">
        <v>0</v>
      </c>
      <c r="N47" s="97" t="s">
        <v>4801</v>
      </c>
      <c r="O47" s="172" t="b">
        <v>0</v>
      </c>
      <c r="P47" s="97"/>
      <c r="Q47" s="174"/>
    </row>
    <row r="48" spans="8:8" ht="43.5" customHeight="1">
      <c r="A48" s="170">
        <v>11.0</v>
      </c>
      <c r="B48" s="171" t="s">
        <v>3489</v>
      </c>
      <c r="C48" s="172">
        <v>251319.0</v>
      </c>
      <c r="D48" s="171" t="s">
        <v>4818</v>
      </c>
      <c r="E48" s="172" t="s">
        <v>28</v>
      </c>
      <c r="F48" s="172" t="b">
        <v>0</v>
      </c>
      <c r="G48" s="172" t="b">
        <v>1</v>
      </c>
      <c r="H48" s="172" t="b">
        <v>1</v>
      </c>
      <c r="I48" s="172" t="b">
        <v>0</v>
      </c>
      <c r="J48" s="172" t="b">
        <v>0</v>
      </c>
      <c r="K48" s="172" t="b">
        <v>0</v>
      </c>
      <c r="L48" s="172" t="b">
        <v>0</v>
      </c>
      <c r="M48" s="172" t="b">
        <v>0</v>
      </c>
      <c r="N48" s="97"/>
      <c r="O48" s="97"/>
      <c r="P48" s="97"/>
      <c r="Q48" s="174"/>
    </row>
    <row r="49" spans="8:8" ht="43.5" customHeight="1">
      <c r="A49" s="170">
        <v>12.0</v>
      </c>
      <c r="B49" s="171" t="s">
        <v>4101</v>
      </c>
      <c r="C49" s="172">
        <v>251320.0</v>
      </c>
      <c r="D49" s="171" t="s">
        <v>4818</v>
      </c>
      <c r="E49" s="172" t="s">
        <v>28</v>
      </c>
      <c r="F49" s="186" t="b">
        <v>0</v>
      </c>
      <c r="G49" s="186" t="b">
        <v>1</v>
      </c>
      <c r="H49" s="186" t="b">
        <v>0</v>
      </c>
      <c r="I49" s="186" t="b">
        <v>0</v>
      </c>
      <c r="J49" s="186" t="b">
        <v>0</v>
      </c>
      <c r="K49" s="186" t="b">
        <v>0</v>
      </c>
      <c r="L49" s="186" t="b">
        <v>0</v>
      </c>
      <c r="M49" s="186" t="b">
        <v>0</v>
      </c>
      <c r="N49" s="97"/>
      <c r="O49" s="97"/>
      <c r="P49" s="97"/>
      <c r="Q49" s="174"/>
    </row>
    <row r="50" spans="8:8" ht="43.5" customHeight="1">
      <c r="A50" s="170">
        <v>13.0</v>
      </c>
      <c r="B50" s="171" t="s">
        <v>3490</v>
      </c>
      <c r="C50" s="172">
        <v>251322.0</v>
      </c>
      <c r="D50" s="171" t="s">
        <v>4818</v>
      </c>
      <c r="E50" s="172" t="s">
        <v>28</v>
      </c>
      <c r="F50" s="172" t="b">
        <v>0</v>
      </c>
      <c r="G50" s="172" t="b">
        <v>1</v>
      </c>
      <c r="H50" s="172" t="b">
        <v>0</v>
      </c>
      <c r="I50" s="172" t="b">
        <v>0</v>
      </c>
      <c r="J50" s="172" t="b">
        <v>0</v>
      </c>
      <c r="K50" s="172" t="b">
        <v>0</v>
      </c>
      <c r="L50" s="172" t="b">
        <v>0</v>
      </c>
      <c r="M50" s="172" t="b">
        <v>0</v>
      </c>
      <c r="N50" s="97"/>
      <c r="O50" s="97"/>
      <c r="P50" s="97"/>
      <c r="Q50" s="174"/>
    </row>
    <row r="51" spans="8:8" ht="43.5" customHeight="1">
      <c r="A51" s="170">
        <v>14.0</v>
      </c>
      <c r="B51" s="171" t="s">
        <v>3491</v>
      </c>
      <c r="C51" s="172">
        <v>251330.0</v>
      </c>
      <c r="D51" s="171" t="s">
        <v>4818</v>
      </c>
      <c r="E51" s="172" t="s">
        <v>28</v>
      </c>
      <c r="F51" s="186" t="b">
        <v>0</v>
      </c>
      <c r="G51" s="186" t="b">
        <v>0</v>
      </c>
      <c r="H51" s="186" t="b">
        <v>0</v>
      </c>
      <c r="I51" s="186" t="b">
        <v>0</v>
      </c>
      <c r="J51" s="186" t="b">
        <v>0</v>
      </c>
      <c r="K51" s="186" t="b">
        <v>0</v>
      </c>
      <c r="L51" s="186" t="b">
        <v>0</v>
      </c>
      <c r="M51" s="186" t="b">
        <v>0</v>
      </c>
      <c r="N51" s="97"/>
      <c r="O51" s="97"/>
      <c r="P51" s="97"/>
      <c r="Q51" s="174"/>
    </row>
    <row r="52" spans="8:8" ht="43.5" customHeight="1">
      <c r="A52" s="170">
        <v>15.0</v>
      </c>
      <c r="B52" s="171" t="s">
        <v>3492</v>
      </c>
      <c r="C52" s="172">
        <v>251618.0</v>
      </c>
      <c r="D52" s="171" t="s">
        <v>4819</v>
      </c>
      <c r="E52" s="97" t="s">
        <v>28</v>
      </c>
      <c r="F52" s="172" t="b">
        <v>0</v>
      </c>
      <c r="G52" s="172" t="b">
        <v>0</v>
      </c>
      <c r="H52" s="172" t="b">
        <v>1</v>
      </c>
      <c r="I52" s="172" t="b">
        <v>0</v>
      </c>
      <c r="J52" s="172" t="b">
        <v>0</v>
      </c>
      <c r="K52" s="172" t="b">
        <v>0</v>
      </c>
      <c r="L52" s="172" t="b">
        <v>0</v>
      </c>
      <c r="M52" s="172" t="b">
        <v>0</v>
      </c>
      <c r="N52" s="97"/>
      <c r="O52" s="97"/>
      <c r="P52" s="97"/>
      <c r="Q52" s="174"/>
    </row>
    <row r="53" spans="8:8" ht="43.5" customHeight="1">
      <c r="A53" s="172">
        <v>12.0</v>
      </c>
      <c r="B53" s="171" t="s">
        <v>3493</v>
      </c>
      <c r="C53" s="172">
        <v>251931.0</v>
      </c>
      <c r="D53" s="171" t="s">
        <v>104</v>
      </c>
      <c r="E53" s="172" t="s">
        <v>28</v>
      </c>
      <c r="F53" s="172" t="b">
        <v>0</v>
      </c>
      <c r="G53" s="172" t="b">
        <v>1</v>
      </c>
      <c r="H53" s="172" t="b">
        <v>0</v>
      </c>
      <c r="I53" s="172" t="b">
        <v>0</v>
      </c>
      <c r="J53" s="172" t="b">
        <v>0</v>
      </c>
      <c r="K53" s="172" t="b">
        <v>0</v>
      </c>
      <c r="L53" s="172" t="b">
        <v>0</v>
      </c>
      <c r="M53" s="172" t="b">
        <v>0</v>
      </c>
      <c r="N53" s="97"/>
      <c r="O53" s="97"/>
      <c r="P53" s="177"/>
      <c r="Q53" s="178"/>
    </row>
    <row r="54" spans="8:8" ht="43.5" customHeight="1">
      <c r="A54" s="172">
        <v>19.0</v>
      </c>
      <c r="B54" s="171" t="s">
        <v>3502</v>
      </c>
      <c r="C54" s="172">
        <v>251736.0</v>
      </c>
      <c r="D54" s="171" t="s">
        <v>4820</v>
      </c>
      <c r="E54" s="172" t="s">
        <v>28</v>
      </c>
      <c r="F54" s="172" t="b">
        <v>0</v>
      </c>
      <c r="G54" s="172" t="b">
        <v>0</v>
      </c>
      <c r="H54" s="172" t="b">
        <v>1</v>
      </c>
      <c r="I54" s="172" t="b">
        <v>0</v>
      </c>
      <c r="J54" s="172" t="b">
        <v>0</v>
      </c>
      <c r="K54" s="172" t="b">
        <v>0</v>
      </c>
      <c r="L54" s="172" t="b">
        <v>0</v>
      </c>
      <c r="M54" s="172" t="b">
        <v>0</v>
      </c>
      <c r="N54" s="97"/>
      <c r="O54" s="97"/>
      <c r="P54" s="97"/>
      <c r="Q54" s="174"/>
    </row>
    <row r="55" spans="8:8" ht="43.5" customHeight="1">
      <c r="A55" s="172">
        <v>20.0</v>
      </c>
      <c r="B55" s="171" t="s">
        <v>3494</v>
      </c>
      <c r="C55" s="172">
        <v>251743.0</v>
      </c>
      <c r="D55" s="171" t="s">
        <v>4820</v>
      </c>
      <c r="E55" s="172" t="s">
        <v>28</v>
      </c>
      <c r="F55" s="187" t="b">
        <v>1</v>
      </c>
      <c r="G55" s="187" t="b">
        <v>0</v>
      </c>
      <c r="H55" s="187" t="b">
        <v>1</v>
      </c>
      <c r="I55" s="187" t="b">
        <v>0</v>
      </c>
      <c r="J55" s="187" t="b">
        <v>0</v>
      </c>
      <c r="K55" s="187" t="b">
        <v>0</v>
      </c>
      <c r="L55" s="187" t="b">
        <v>0</v>
      </c>
      <c r="M55" s="187" t="b">
        <v>0</v>
      </c>
      <c r="N55" s="97"/>
      <c r="O55" s="97"/>
      <c r="P55" s="97"/>
      <c r="Q55" s="174"/>
    </row>
    <row r="56" spans="8:8" ht="43.5" customHeight="1">
      <c r="A56" s="172">
        <v>16.0</v>
      </c>
      <c r="B56" s="171" t="s">
        <v>3505</v>
      </c>
      <c r="C56" s="172">
        <v>251730.0</v>
      </c>
      <c r="D56" s="171" t="s">
        <v>4820</v>
      </c>
      <c r="E56" s="172" t="s">
        <v>28</v>
      </c>
      <c r="F56" s="187" t="b">
        <v>0</v>
      </c>
      <c r="G56" s="187" t="b">
        <v>1</v>
      </c>
      <c r="H56" s="187" t="b">
        <v>1</v>
      </c>
      <c r="I56" s="187" t="b">
        <v>0</v>
      </c>
      <c r="J56" s="187" t="b">
        <v>0</v>
      </c>
      <c r="K56" s="187" t="b">
        <v>0</v>
      </c>
      <c r="L56" s="187" t="b">
        <v>0</v>
      </c>
      <c r="M56" s="187" t="b">
        <v>0</v>
      </c>
      <c r="N56" s="97"/>
      <c r="O56" s="97"/>
      <c r="P56" s="97"/>
      <c r="Q56" s="174"/>
    </row>
    <row r="57" spans="8:8" ht="43.5" customHeight="1">
      <c r="A57" s="170">
        <v>17.0</v>
      </c>
      <c r="B57" s="96" t="s">
        <v>3495</v>
      </c>
      <c r="C57" s="177">
        <v>250575.0</v>
      </c>
      <c r="D57" s="96" t="s">
        <v>94</v>
      </c>
      <c r="E57" s="177" t="s">
        <v>28</v>
      </c>
      <c r="F57" s="177" t="b">
        <v>1</v>
      </c>
      <c r="G57" s="177" t="b">
        <v>0</v>
      </c>
      <c r="H57" s="177" t="b">
        <v>0</v>
      </c>
      <c r="I57" s="177" t="b">
        <v>0</v>
      </c>
      <c r="J57" s="177" t="b">
        <v>0</v>
      </c>
      <c r="K57" s="177" t="b">
        <v>0</v>
      </c>
      <c r="L57" s="177" t="b">
        <v>0</v>
      </c>
      <c r="M57" s="177" t="b">
        <v>0</v>
      </c>
      <c r="N57" s="177"/>
      <c r="O57" s="177"/>
      <c r="P57" s="97"/>
      <c r="Q57" s="174"/>
    </row>
    <row r="58" spans="8:8" ht="43.5" customHeight="1">
      <c r="A58" s="170"/>
      <c r="B58" s="177"/>
      <c r="C58" s="177"/>
      <c r="D58" s="177"/>
      <c r="E58" s="177"/>
      <c r="F58" s="177" t="b">
        <v>0</v>
      </c>
      <c r="G58" s="177" t="b">
        <v>0</v>
      </c>
      <c r="H58" s="177" t="b">
        <v>0</v>
      </c>
      <c r="I58" s="177" t="b">
        <v>0</v>
      </c>
      <c r="J58" s="177" t="b">
        <v>0</v>
      </c>
      <c r="K58" s="177" t="b">
        <v>0</v>
      </c>
      <c r="L58" s="177" t="b">
        <v>0</v>
      </c>
      <c r="M58" s="177" t="b">
        <v>0</v>
      </c>
      <c r="N58" s="177"/>
      <c r="O58" s="177"/>
      <c r="P58" s="97"/>
      <c r="Q58" s="174"/>
    </row>
    <row r="59" spans="8:8" ht="43.5" customHeight="1">
      <c r="A59" s="170"/>
      <c r="B59" s="182" t="s">
        <v>4815</v>
      </c>
      <c r="C59" s="97"/>
      <c r="D59" s="97"/>
      <c r="E59" s="183"/>
      <c r="F59" s="184">
        <f t="shared" si="1" ref="F59:M59">COUNTIF(F18:F51,TRUE)/COUNTA(F18:F51)</f>
        <v>0.38235294117647056</v>
      </c>
      <c r="G59" s="184">
        <f t="shared" si="1"/>
        <v>0.6764705882352942</v>
      </c>
      <c r="H59" s="184">
        <f t="shared" si="1"/>
        <v>0.6764705882352942</v>
      </c>
      <c r="I59" s="184">
        <f t="shared" si="1"/>
        <v>0.2647058823529412</v>
      </c>
      <c r="J59" s="184">
        <f t="shared" si="1"/>
        <v>0.0</v>
      </c>
      <c r="K59" s="184">
        <f t="shared" si="1"/>
        <v>0.0</v>
      </c>
      <c r="L59" s="184">
        <f t="shared" si="1"/>
        <v>0.0</v>
      </c>
      <c r="M59" s="184">
        <f t="shared" si="1"/>
        <v>0.0</v>
      </c>
      <c r="N59" s="97"/>
      <c r="O59" s="97"/>
      <c r="P59" s="97"/>
      <c r="Q59" s="174"/>
    </row>
    <row r="60" spans="8:8" ht="43.5" customHeight="1">
      <c r="A60" s="185" t="s">
        <v>18</v>
      </c>
      <c r="B60" s="162" t="s">
        <v>19</v>
      </c>
      <c r="C60" s="163"/>
      <c r="D60" s="162" t="s">
        <v>4530</v>
      </c>
      <c r="E60" s="162" t="s">
        <v>22</v>
      </c>
      <c r="F60" s="163" t="s">
        <v>4794</v>
      </c>
      <c r="G60" s="163" t="s">
        <v>4795</v>
      </c>
      <c r="H60" s="163" t="s">
        <v>4796</v>
      </c>
      <c r="I60" s="163" t="s">
        <v>4797</v>
      </c>
      <c r="J60" s="163" t="s">
        <v>4798</v>
      </c>
      <c r="K60" s="163" t="s">
        <v>4799</v>
      </c>
      <c r="L60" s="163" t="s">
        <v>4800</v>
      </c>
      <c r="M60" s="163" t="s">
        <v>4801</v>
      </c>
      <c r="N60" s="166" t="s">
        <v>4821</v>
      </c>
      <c r="O60" s="167"/>
      <c r="P60" s="168"/>
      <c r="Q60" s="169"/>
    </row>
    <row r="61" spans="8:8" ht="43.5" customHeight="1">
      <c r="A61" s="170">
        <v>1.0</v>
      </c>
      <c r="B61" s="171" t="s">
        <v>3514</v>
      </c>
      <c r="C61" s="172">
        <v>251336.0</v>
      </c>
      <c r="D61" s="171" t="s">
        <v>4822</v>
      </c>
      <c r="E61" s="172" t="s">
        <v>28</v>
      </c>
      <c r="F61" s="172" t="b">
        <v>1</v>
      </c>
      <c r="G61" s="172" t="b">
        <v>1</v>
      </c>
      <c r="H61" s="172" t="b">
        <v>1</v>
      </c>
      <c r="I61" s="172" t="b">
        <v>0</v>
      </c>
      <c r="J61" s="172" t="b">
        <v>0</v>
      </c>
      <c r="K61" s="172" t="b">
        <v>0</v>
      </c>
      <c r="L61" s="172" t="b">
        <v>0</v>
      </c>
      <c r="M61" s="172" t="b">
        <v>0</v>
      </c>
      <c r="N61" s="173" t="s">
        <v>4804</v>
      </c>
      <c r="O61" s="167"/>
      <c r="P61" s="168"/>
      <c r="Q61" s="174"/>
    </row>
    <row r="62" spans="8:8" ht="43.5" customHeight="1">
      <c r="A62" s="170">
        <v>2.0</v>
      </c>
      <c r="B62" s="171" t="s">
        <v>3515</v>
      </c>
      <c r="C62" s="172">
        <v>251338.0</v>
      </c>
      <c r="D62" s="171" t="s">
        <v>4822</v>
      </c>
      <c r="E62" s="172" t="s">
        <v>28</v>
      </c>
      <c r="F62" s="172" t="b">
        <v>0</v>
      </c>
      <c r="G62" s="172" t="b">
        <v>1</v>
      </c>
      <c r="H62" s="172" t="b">
        <v>1</v>
      </c>
      <c r="I62" s="172" t="b">
        <v>0</v>
      </c>
      <c r="J62" s="172" t="b">
        <v>0</v>
      </c>
      <c r="K62" s="172" t="b">
        <v>0</v>
      </c>
      <c r="L62" s="172" t="b">
        <v>0</v>
      </c>
      <c r="M62" s="172" t="b">
        <v>0</v>
      </c>
      <c r="N62" s="175" t="s">
        <v>4805</v>
      </c>
      <c r="O62" s="176" t="s">
        <v>4806</v>
      </c>
      <c r="P62" s="97" t="s">
        <v>4807</v>
      </c>
      <c r="Q62" s="174"/>
    </row>
    <row r="63" spans="8:8" ht="43.5" customHeight="1">
      <c r="A63" s="170">
        <v>3.0</v>
      </c>
      <c r="B63" s="171" t="s">
        <v>3516</v>
      </c>
      <c r="C63" s="172">
        <v>251343.0</v>
      </c>
      <c r="D63" s="171" t="s">
        <v>4822</v>
      </c>
      <c r="E63" s="172" t="s">
        <v>28</v>
      </c>
      <c r="F63" s="172" t="b">
        <v>1</v>
      </c>
      <c r="G63" s="172" t="b">
        <v>1</v>
      </c>
      <c r="H63" s="172" t="b">
        <v>1</v>
      </c>
      <c r="I63" s="172" t="b">
        <v>0</v>
      </c>
      <c r="J63" s="172" t="b">
        <v>0</v>
      </c>
      <c r="K63" s="172" t="b">
        <v>0</v>
      </c>
      <c r="L63" s="172" t="b">
        <v>0</v>
      </c>
      <c r="M63" s="172" t="b">
        <v>0</v>
      </c>
      <c r="N63" s="97" t="s">
        <v>4794</v>
      </c>
      <c r="O63" s="172" t="b">
        <v>1</v>
      </c>
      <c r="P63" s="97"/>
      <c r="Q63" s="174"/>
    </row>
    <row r="64" spans="8:8" ht="43.5" customHeight="1">
      <c r="A64" s="170">
        <v>4.0</v>
      </c>
      <c r="B64" s="171" t="s">
        <v>3517</v>
      </c>
      <c r="C64" s="172">
        <v>251622.0</v>
      </c>
      <c r="D64" s="171" t="s">
        <v>4823</v>
      </c>
      <c r="E64" s="172" t="s">
        <v>28</v>
      </c>
      <c r="F64" s="172" t="b">
        <v>0</v>
      </c>
      <c r="G64" s="172" t="b">
        <v>0</v>
      </c>
      <c r="H64" s="172" t="b">
        <v>0</v>
      </c>
      <c r="I64" s="172" t="b">
        <v>0</v>
      </c>
      <c r="J64" s="172" t="b">
        <v>0</v>
      </c>
      <c r="K64" s="172" t="b">
        <v>0</v>
      </c>
      <c r="L64" s="172" t="b">
        <v>0</v>
      </c>
      <c r="M64" s="172" t="b">
        <v>0</v>
      </c>
      <c r="N64" s="97" t="s">
        <v>4795</v>
      </c>
      <c r="O64" s="172" t="b">
        <v>1</v>
      </c>
      <c r="P64" s="97" t="s">
        <v>4824</v>
      </c>
      <c r="Q64" s="174"/>
    </row>
    <row r="65" spans="8:8" ht="43.5" customHeight="1">
      <c r="A65" s="170">
        <v>5.0</v>
      </c>
      <c r="B65" s="171" t="s">
        <v>3518</v>
      </c>
      <c r="C65" s="172">
        <v>251344.0</v>
      </c>
      <c r="D65" s="171" t="s">
        <v>4822</v>
      </c>
      <c r="E65" s="172" t="s">
        <v>28</v>
      </c>
      <c r="F65" s="172" t="b">
        <v>1</v>
      </c>
      <c r="G65" s="172" t="b">
        <v>1</v>
      </c>
      <c r="H65" s="172" t="b">
        <v>1</v>
      </c>
      <c r="I65" s="172" t="b">
        <v>0</v>
      </c>
      <c r="J65" s="172" t="b">
        <v>0</v>
      </c>
      <c r="K65" s="172" t="b">
        <v>0</v>
      </c>
      <c r="L65" s="172" t="b">
        <v>0</v>
      </c>
      <c r="M65" s="172" t="b">
        <v>0</v>
      </c>
      <c r="N65" s="97" t="s">
        <v>4796</v>
      </c>
      <c r="O65" s="172" t="b">
        <v>1</v>
      </c>
      <c r="P65" s="97"/>
      <c r="Q65" s="174"/>
    </row>
    <row r="66" spans="8:8" ht="43.5" customHeight="1">
      <c r="A66" s="170">
        <v>6.0</v>
      </c>
      <c r="B66" s="171" t="s">
        <v>4068</v>
      </c>
      <c r="C66" s="172">
        <v>251346.0</v>
      </c>
      <c r="D66" s="171" t="s">
        <v>4822</v>
      </c>
      <c r="E66" s="172" t="s">
        <v>28</v>
      </c>
      <c r="F66" s="172" t="b">
        <v>0</v>
      </c>
      <c r="G66" s="172" t="b">
        <v>0</v>
      </c>
      <c r="H66" s="172" t="b">
        <v>1</v>
      </c>
      <c r="I66" s="172" t="b">
        <v>0</v>
      </c>
      <c r="J66" s="172" t="b">
        <v>0</v>
      </c>
      <c r="K66" s="172" t="b">
        <v>0</v>
      </c>
      <c r="L66" s="172" t="b">
        <v>0</v>
      </c>
      <c r="M66" s="172" t="b">
        <v>0</v>
      </c>
      <c r="N66" s="97" t="s">
        <v>4797</v>
      </c>
      <c r="O66" s="172" t="b">
        <v>0</v>
      </c>
      <c r="P66" s="97"/>
      <c r="Q66" s="174"/>
    </row>
    <row r="67" spans="8:8" ht="43.5" customHeight="1">
      <c r="A67" s="170">
        <v>7.0</v>
      </c>
      <c r="B67" s="171" t="s">
        <v>3519</v>
      </c>
      <c r="C67" s="172">
        <v>251349.0</v>
      </c>
      <c r="D67" s="171" t="s">
        <v>4822</v>
      </c>
      <c r="E67" s="172" t="s">
        <v>28</v>
      </c>
      <c r="F67" s="172" t="b">
        <v>0</v>
      </c>
      <c r="G67" s="172" t="b">
        <v>0</v>
      </c>
      <c r="H67" s="172" t="b">
        <v>0</v>
      </c>
      <c r="I67" s="172" t="b">
        <v>0</v>
      </c>
      <c r="J67" s="172" t="b">
        <v>0</v>
      </c>
      <c r="K67" s="172" t="b">
        <v>0</v>
      </c>
      <c r="L67" s="172" t="b">
        <v>0</v>
      </c>
      <c r="M67" s="172" t="b">
        <v>0</v>
      </c>
      <c r="N67" s="97" t="s">
        <v>4798</v>
      </c>
      <c r="O67" s="172" t="b">
        <v>0</v>
      </c>
      <c r="P67" s="97"/>
      <c r="Q67" s="174"/>
    </row>
    <row r="68" spans="8:8" ht="43.5" customHeight="1">
      <c r="A68" s="170">
        <v>8.0</v>
      </c>
      <c r="B68" s="171" t="s">
        <v>4070</v>
      </c>
      <c r="C68" s="172">
        <v>251350.0</v>
      </c>
      <c r="D68" s="171" t="s">
        <v>4822</v>
      </c>
      <c r="E68" s="172" t="s">
        <v>28</v>
      </c>
      <c r="F68" s="172" t="b">
        <v>1</v>
      </c>
      <c r="G68" s="172" t="b">
        <v>0</v>
      </c>
      <c r="H68" s="172" t="b">
        <v>1</v>
      </c>
      <c r="I68" s="172" t="b">
        <v>0</v>
      </c>
      <c r="J68" s="172" t="b">
        <v>0</v>
      </c>
      <c r="K68" s="172" t="b">
        <v>0</v>
      </c>
      <c r="L68" s="172" t="b">
        <v>0</v>
      </c>
      <c r="M68" s="172" t="b">
        <v>0</v>
      </c>
      <c r="N68" s="97" t="s">
        <v>4799</v>
      </c>
      <c r="O68" s="172" t="b">
        <v>0</v>
      </c>
      <c r="P68" s="97"/>
      <c r="Q68" s="174"/>
    </row>
    <row r="69" spans="8:8" ht="43.5" customHeight="1">
      <c r="A69" s="170">
        <v>9.0</v>
      </c>
      <c r="B69" s="171" t="s">
        <v>3520</v>
      </c>
      <c r="C69" s="172">
        <v>251353.0</v>
      </c>
      <c r="D69" s="171" t="s">
        <v>4822</v>
      </c>
      <c r="E69" s="172" t="s">
        <v>28</v>
      </c>
      <c r="F69" s="172" t="b">
        <v>1</v>
      </c>
      <c r="G69" s="172" t="b">
        <v>1</v>
      </c>
      <c r="H69" s="172" t="b">
        <v>1</v>
      </c>
      <c r="I69" s="172" t="b">
        <v>0</v>
      </c>
      <c r="J69" s="172" t="b">
        <v>0</v>
      </c>
      <c r="K69" s="172" t="b">
        <v>0</v>
      </c>
      <c r="L69" s="172" t="b">
        <v>0</v>
      </c>
      <c r="M69" s="172" t="b">
        <v>0</v>
      </c>
      <c r="N69" s="97" t="s">
        <v>4800</v>
      </c>
      <c r="O69" s="172" t="b">
        <v>0</v>
      </c>
      <c r="P69" s="97"/>
      <c r="Q69" s="174"/>
    </row>
    <row r="70" spans="8:8" ht="43.5" customHeight="1">
      <c r="A70" s="170">
        <v>10.0</v>
      </c>
      <c r="B70" s="171" t="s">
        <v>3521</v>
      </c>
      <c r="C70" s="172">
        <v>251355.0</v>
      </c>
      <c r="D70" s="171" t="s">
        <v>4822</v>
      </c>
      <c r="E70" s="172" t="s">
        <v>28</v>
      </c>
      <c r="F70" s="172" t="b">
        <v>1</v>
      </c>
      <c r="G70" s="172" t="b">
        <v>1</v>
      </c>
      <c r="H70" s="172" t="b">
        <v>1</v>
      </c>
      <c r="I70" s="172" t="b">
        <v>0</v>
      </c>
      <c r="J70" s="172" t="b">
        <v>0</v>
      </c>
      <c r="K70" s="172" t="b">
        <v>0</v>
      </c>
      <c r="L70" s="172" t="b">
        <v>0</v>
      </c>
      <c r="M70" s="172" t="b">
        <v>0</v>
      </c>
      <c r="N70" s="97" t="s">
        <v>4801</v>
      </c>
      <c r="O70" s="172" t="b">
        <v>0</v>
      </c>
      <c r="P70" s="97"/>
      <c r="Q70" s="174"/>
    </row>
    <row r="71" spans="8:8" ht="43.5" customHeight="1">
      <c r="A71" s="170">
        <v>11.0</v>
      </c>
      <c r="B71" s="171" t="s">
        <v>4071</v>
      </c>
      <c r="C71" s="172">
        <v>251356.0</v>
      </c>
      <c r="D71" s="171" t="s">
        <v>4822</v>
      </c>
      <c r="E71" s="172" t="s">
        <v>28</v>
      </c>
      <c r="F71" s="172" t="b">
        <v>0</v>
      </c>
      <c r="G71" s="172" t="b">
        <v>1</v>
      </c>
      <c r="H71" s="172" t="b">
        <v>1</v>
      </c>
      <c r="I71" s="172" t="b">
        <v>0</v>
      </c>
      <c r="J71" s="172" t="b">
        <v>0</v>
      </c>
      <c r="K71" s="172" t="b">
        <v>0</v>
      </c>
      <c r="L71" s="172" t="b">
        <v>0</v>
      </c>
      <c r="M71" s="172" t="b">
        <v>0</v>
      </c>
      <c r="N71" s="97"/>
      <c r="O71" s="97"/>
      <c r="P71" s="97"/>
      <c r="Q71" s="174"/>
    </row>
    <row r="72" spans="8:8" ht="43.5" customHeight="1">
      <c r="A72" s="170">
        <v>12.0</v>
      </c>
      <c r="B72" s="171" t="s">
        <v>3632</v>
      </c>
      <c r="C72" s="172">
        <v>251357.0</v>
      </c>
      <c r="D72" s="171" t="s">
        <v>4822</v>
      </c>
      <c r="E72" s="172" t="s">
        <v>28</v>
      </c>
      <c r="F72" s="172" t="b">
        <v>0</v>
      </c>
      <c r="G72" s="172" t="b">
        <v>0</v>
      </c>
      <c r="H72" s="172" t="b">
        <v>0</v>
      </c>
      <c r="I72" s="172" t="b">
        <v>0</v>
      </c>
      <c r="J72" s="172" t="b">
        <v>0</v>
      </c>
      <c r="K72" s="172" t="b">
        <v>0</v>
      </c>
      <c r="L72" s="172" t="b">
        <v>0</v>
      </c>
      <c r="M72" s="172" t="b">
        <v>0</v>
      </c>
      <c r="N72" s="97"/>
      <c r="O72" s="97"/>
      <c r="P72" s="97"/>
      <c r="Q72" s="174"/>
    </row>
    <row r="73" spans="8:8" ht="43.5" customHeight="1">
      <c r="A73" s="170">
        <v>13.0</v>
      </c>
      <c r="B73" s="171" t="s">
        <v>3522</v>
      </c>
      <c r="C73" s="172">
        <v>251358.0</v>
      </c>
      <c r="D73" s="171" t="s">
        <v>4822</v>
      </c>
      <c r="E73" s="172" t="s">
        <v>28</v>
      </c>
      <c r="F73" s="172" t="b">
        <v>0</v>
      </c>
      <c r="G73" s="172" t="b">
        <v>1</v>
      </c>
      <c r="H73" s="172" t="b">
        <v>0</v>
      </c>
      <c r="I73" s="172" t="b">
        <v>0</v>
      </c>
      <c r="J73" s="172" t="b">
        <v>0</v>
      </c>
      <c r="K73" s="172" t="b">
        <v>0</v>
      </c>
      <c r="L73" s="172" t="b">
        <v>0</v>
      </c>
      <c r="M73" s="172" t="b">
        <v>0</v>
      </c>
      <c r="N73" s="97"/>
      <c r="O73" s="97"/>
      <c r="P73" s="97"/>
      <c r="Q73" s="174"/>
    </row>
    <row r="74" spans="8:8" ht="43.5" customHeight="1">
      <c r="A74" s="170">
        <v>14.0</v>
      </c>
      <c r="B74" s="171" t="s">
        <v>3523</v>
      </c>
      <c r="C74" s="172">
        <v>251359.0</v>
      </c>
      <c r="D74" s="171" t="s">
        <v>4822</v>
      </c>
      <c r="E74" s="172" t="s">
        <v>28</v>
      </c>
      <c r="F74" s="172" t="b">
        <v>0</v>
      </c>
      <c r="G74" s="172" t="b">
        <v>1</v>
      </c>
      <c r="H74" s="172" t="b">
        <v>1</v>
      </c>
      <c r="I74" s="172" t="b">
        <v>0</v>
      </c>
      <c r="J74" s="172" t="b">
        <v>0</v>
      </c>
      <c r="K74" s="172" t="b">
        <v>0</v>
      </c>
      <c r="L74" s="172" t="b">
        <v>0</v>
      </c>
      <c r="M74" s="172" t="b">
        <v>0</v>
      </c>
      <c r="N74" s="97"/>
      <c r="O74" s="97"/>
      <c r="P74" s="97"/>
      <c r="Q74" s="174"/>
    </row>
    <row r="75" spans="8:8" ht="43.5" customHeight="1">
      <c r="A75" s="170">
        <v>15.0</v>
      </c>
      <c r="B75" s="171" t="s">
        <v>4069</v>
      </c>
      <c r="C75" s="172">
        <v>251361.0</v>
      </c>
      <c r="D75" s="171" t="s">
        <v>4822</v>
      </c>
      <c r="E75" s="172" t="s">
        <v>28</v>
      </c>
      <c r="F75" s="172" t="b">
        <v>0</v>
      </c>
      <c r="G75" s="172" t="b">
        <v>1</v>
      </c>
      <c r="H75" s="172" t="b">
        <v>1</v>
      </c>
      <c r="I75" s="172" t="b">
        <v>0</v>
      </c>
      <c r="J75" s="172" t="b">
        <v>0</v>
      </c>
      <c r="K75" s="172" t="b">
        <v>0</v>
      </c>
      <c r="L75" s="172" t="b">
        <v>0</v>
      </c>
      <c r="M75" s="172" t="b">
        <v>0</v>
      </c>
      <c r="N75" s="97"/>
      <c r="O75" s="97"/>
      <c r="P75" s="97"/>
      <c r="Q75" s="174"/>
    </row>
    <row r="76" spans="8:8" ht="43.5" customHeight="1">
      <c r="A76" s="170">
        <v>16.0</v>
      </c>
      <c r="B76" s="171" t="s">
        <v>3524</v>
      </c>
      <c r="C76" s="172">
        <v>251364.0</v>
      </c>
      <c r="D76" s="171" t="s">
        <v>4822</v>
      </c>
      <c r="E76" s="172" t="s">
        <v>28</v>
      </c>
      <c r="F76" s="172" t="b">
        <v>1</v>
      </c>
      <c r="G76" s="172" t="b">
        <v>1</v>
      </c>
      <c r="H76" s="172" t="b">
        <v>1</v>
      </c>
      <c r="I76" s="172" t="b">
        <v>0</v>
      </c>
      <c r="J76" s="172" t="b">
        <v>0</v>
      </c>
      <c r="K76" s="172" t="b">
        <v>0</v>
      </c>
      <c r="L76" s="172" t="b">
        <v>0</v>
      </c>
      <c r="M76" s="172" t="b">
        <v>0</v>
      </c>
      <c r="N76" s="97"/>
      <c r="O76" s="97"/>
      <c r="P76" s="97"/>
      <c r="Q76" s="174"/>
    </row>
    <row r="77" spans="8:8" ht="43.5" customHeight="1">
      <c r="A77" s="170">
        <v>17.0</v>
      </c>
      <c r="B77" s="171" t="s">
        <v>3525</v>
      </c>
      <c r="C77" s="172">
        <v>251365.0</v>
      </c>
      <c r="D77" s="171" t="s">
        <v>4822</v>
      </c>
      <c r="E77" s="172" t="s">
        <v>28</v>
      </c>
      <c r="F77" s="172" t="b">
        <v>1</v>
      </c>
      <c r="G77" s="172" t="b">
        <v>1</v>
      </c>
      <c r="H77" s="172" t="b">
        <v>0</v>
      </c>
      <c r="I77" s="172" t="b">
        <v>0</v>
      </c>
      <c r="J77" s="172" t="b">
        <v>0</v>
      </c>
      <c r="K77" s="172" t="b">
        <v>0</v>
      </c>
      <c r="L77" s="172" t="b">
        <v>0</v>
      </c>
      <c r="M77" s="172" t="b">
        <v>0</v>
      </c>
      <c r="N77" s="97"/>
      <c r="O77" s="97"/>
      <c r="P77" s="97"/>
      <c r="Q77" s="174"/>
    </row>
    <row r="78" spans="8:8" ht="43.5" customHeight="1">
      <c r="A78" s="170">
        <v>18.0</v>
      </c>
      <c r="B78" s="171" t="s">
        <v>3526</v>
      </c>
      <c r="C78" s="172">
        <v>251366.0</v>
      </c>
      <c r="D78" s="171" t="s">
        <v>4822</v>
      </c>
      <c r="E78" s="172" t="s">
        <v>28</v>
      </c>
      <c r="F78" s="172" t="b">
        <v>1</v>
      </c>
      <c r="G78" s="172" t="b">
        <v>1</v>
      </c>
      <c r="H78" s="172" t="b">
        <v>0</v>
      </c>
      <c r="I78" s="172" t="b">
        <v>0</v>
      </c>
      <c r="J78" s="172" t="b">
        <v>0</v>
      </c>
      <c r="K78" s="172" t="b">
        <v>0</v>
      </c>
      <c r="L78" s="172" t="b">
        <v>0</v>
      </c>
      <c r="M78" s="172" t="b">
        <v>0</v>
      </c>
      <c r="N78" s="97"/>
      <c r="O78" s="97"/>
      <c r="P78" s="97"/>
      <c r="Q78" s="174"/>
    </row>
    <row r="79" spans="8:8" ht="43.5" customHeight="1">
      <c r="A79" s="170">
        <v>19.0</v>
      </c>
      <c r="B79" s="171" t="s">
        <v>3527</v>
      </c>
      <c r="C79" s="172">
        <v>251368.0</v>
      </c>
      <c r="D79" s="171" t="s">
        <v>4825</v>
      </c>
      <c r="E79" s="172" t="s">
        <v>28</v>
      </c>
      <c r="F79" s="172" t="b">
        <v>1</v>
      </c>
      <c r="G79" s="172" t="b">
        <v>1</v>
      </c>
      <c r="H79" s="172" t="b">
        <v>1</v>
      </c>
      <c r="I79" s="172" t="b">
        <v>0</v>
      </c>
      <c r="J79" s="172" t="b">
        <v>0</v>
      </c>
      <c r="K79" s="172" t="b">
        <v>0</v>
      </c>
      <c r="L79" s="172" t="b">
        <v>0</v>
      </c>
      <c r="M79" s="172" t="b">
        <v>0</v>
      </c>
      <c r="N79" s="97"/>
      <c r="O79" s="97"/>
      <c r="P79" s="97"/>
      <c r="Q79" s="174"/>
    </row>
    <row r="80" spans="8:8" ht="43.5" customHeight="1">
      <c r="A80" s="170">
        <v>20.0</v>
      </c>
      <c r="B80" s="171" t="s">
        <v>3528</v>
      </c>
      <c r="C80" s="172">
        <v>251372.0</v>
      </c>
      <c r="D80" s="171" t="s">
        <v>4825</v>
      </c>
      <c r="E80" s="172" t="s">
        <v>28</v>
      </c>
      <c r="F80" s="172" t="b">
        <v>0</v>
      </c>
      <c r="G80" s="172" t="b">
        <v>0</v>
      </c>
      <c r="H80" s="172" t="b">
        <v>1</v>
      </c>
      <c r="I80" s="172" t="b">
        <v>0</v>
      </c>
      <c r="J80" s="172" t="b">
        <v>0</v>
      </c>
      <c r="K80" s="172" t="b">
        <v>0</v>
      </c>
      <c r="L80" s="172" t="b">
        <v>0</v>
      </c>
      <c r="M80" s="172" t="b">
        <v>0</v>
      </c>
      <c r="N80" s="97"/>
      <c r="O80" s="97"/>
      <c r="P80" s="97"/>
      <c r="Q80" s="174"/>
    </row>
    <row r="81" spans="8:8" ht="43.5" customHeight="1">
      <c r="A81" s="170">
        <v>21.0</v>
      </c>
      <c r="B81" s="171" t="s">
        <v>3529</v>
      </c>
      <c r="C81" s="172">
        <v>251373.0</v>
      </c>
      <c r="D81" s="171" t="s">
        <v>4825</v>
      </c>
      <c r="E81" s="172" t="s">
        <v>28</v>
      </c>
      <c r="F81" s="172" t="b">
        <v>0</v>
      </c>
      <c r="G81" s="172" t="b">
        <v>1</v>
      </c>
      <c r="H81" s="172" t="b">
        <v>0</v>
      </c>
      <c r="I81" s="172" t="b">
        <v>0</v>
      </c>
      <c r="J81" s="172" t="b">
        <v>0</v>
      </c>
      <c r="K81" s="172" t="b">
        <v>0</v>
      </c>
      <c r="L81" s="172" t="b">
        <v>0</v>
      </c>
      <c r="M81" s="172" t="b">
        <v>0</v>
      </c>
      <c r="N81" s="97"/>
      <c r="O81" s="97"/>
      <c r="P81" s="97"/>
      <c r="Q81" s="174"/>
    </row>
    <row r="82" spans="8:8" ht="43.5" customHeight="1">
      <c r="A82" s="170">
        <v>22.0</v>
      </c>
      <c r="B82" s="171" t="s">
        <v>3530</v>
      </c>
      <c r="C82" s="172">
        <v>251379.0</v>
      </c>
      <c r="D82" s="171" t="s">
        <v>4825</v>
      </c>
      <c r="E82" s="172" t="s">
        <v>28</v>
      </c>
      <c r="F82" s="172" t="b">
        <v>1</v>
      </c>
      <c r="G82" s="172" t="b">
        <v>1</v>
      </c>
      <c r="H82" s="172" t="b">
        <v>1</v>
      </c>
      <c r="I82" s="172" t="b">
        <v>0</v>
      </c>
      <c r="J82" s="172" t="b">
        <v>0</v>
      </c>
      <c r="K82" s="172" t="b">
        <v>0</v>
      </c>
      <c r="L82" s="172" t="b">
        <v>0</v>
      </c>
      <c r="M82" s="172" t="b">
        <v>0</v>
      </c>
      <c r="N82" s="97"/>
      <c r="O82" s="97"/>
      <c r="P82" s="97"/>
      <c r="Q82" s="174"/>
    </row>
    <row r="83" spans="8:8" ht="43.5" customHeight="1">
      <c r="A83" s="170">
        <v>23.0</v>
      </c>
      <c r="B83" s="171" t="s">
        <v>3531</v>
      </c>
      <c r="C83" s="172">
        <v>251619.0</v>
      </c>
      <c r="D83" s="171" t="s">
        <v>4826</v>
      </c>
      <c r="E83" s="172" t="s">
        <v>28</v>
      </c>
      <c r="F83" s="172" t="b">
        <v>0</v>
      </c>
      <c r="G83" s="172" t="b">
        <v>0</v>
      </c>
      <c r="H83" s="172" t="b">
        <v>1</v>
      </c>
      <c r="I83" s="172" t="b">
        <v>0</v>
      </c>
      <c r="J83" s="172" t="b">
        <v>0</v>
      </c>
      <c r="K83" s="172" t="b">
        <v>0</v>
      </c>
      <c r="L83" s="172" t="b">
        <v>0</v>
      </c>
      <c r="M83" s="172" t="b">
        <v>0</v>
      </c>
      <c r="N83" s="97"/>
      <c r="O83" s="97"/>
      <c r="P83" s="97"/>
      <c r="Q83" s="174"/>
    </row>
    <row r="84" spans="8:8" ht="43.5" customHeight="1">
      <c r="A84" s="170">
        <v>24.0</v>
      </c>
      <c r="B84" s="171" t="s">
        <v>3532</v>
      </c>
      <c r="C84" s="172">
        <v>251260.0</v>
      </c>
      <c r="D84" s="171" t="s">
        <v>4803</v>
      </c>
      <c r="E84" s="172" t="s">
        <v>28</v>
      </c>
      <c r="F84" s="172" t="b">
        <v>1</v>
      </c>
      <c r="G84" s="172" t="b">
        <v>1</v>
      </c>
      <c r="H84" s="172" t="b">
        <v>1</v>
      </c>
      <c r="I84" s="172" t="b">
        <v>0</v>
      </c>
      <c r="J84" s="172" t="b">
        <v>0</v>
      </c>
      <c r="K84" s="172" t="b">
        <v>0</v>
      </c>
      <c r="L84" s="172" t="b">
        <v>0</v>
      </c>
      <c r="M84" s="172" t="b">
        <v>0</v>
      </c>
      <c r="N84" s="97"/>
      <c r="O84" s="97"/>
      <c r="P84" s="97"/>
      <c r="Q84" s="174"/>
    </row>
    <row r="85" spans="8:8" ht="43.5" customHeight="1">
      <c r="A85" s="170">
        <v>25.0</v>
      </c>
      <c r="B85" s="181" t="s">
        <v>3533</v>
      </c>
      <c r="C85" s="97">
        <v>251558.0</v>
      </c>
      <c r="D85" s="181" t="s">
        <v>4811</v>
      </c>
      <c r="E85" s="97" t="s">
        <v>28</v>
      </c>
      <c r="F85" s="172" t="b">
        <v>0</v>
      </c>
      <c r="G85" s="172" t="b">
        <v>0</v>
      </c>
      <c r="H85" s="172" t="b">
        <v>1</v>
      </c>
      <c r="I85" s="172" t="b">
        <v>0</v>
      </c>
      <c r="J85" s="172" t="b">
        <v>0</v>
      </c>
      <c r="K85" s="172" t="b">
        <v>0</v>
      </c>
      <c r="L85" s="172" t="b">
        <v>0</v>
      </c>
      <c r="M85" s="172" t="b">
        <v>0</v>
      </c>
      <c r="N85" s="97"/>
      <c r="O85" s="97"/>
      <c r="P85" s="97"/>
      <c r="Q85" s="174"/>
    </row>
    <row r="86" spans="8:8" ht="43.5" customHeight="1">
      <c r="A86" s="172">
        <v>17.0</v>
      </c>
      <c r="B86" s="171" t="s">
        <v>3633</v>
      </c>
      <c r="C86" s="172">
        <v>251437.0</v>
      </c>
      <c r="D86" s="171" t="s">
        <v>4827</v>
      </c>
      <c r="E86" s="172" t="s">
        <v>28</v>
      </c>
      <c r="F86" s="172" t="b">
        <v>0</v>
      </c>
      <c r="G86" s="172" t="b">
        <v>0</v>
      </c>
      <c r="H86" s="172" t="b">
        <v>0</v>
      </c>
      <c r="I86" s="172" t="b">
        <v>0</v>
      </c>
      <c r="J86" s="172" t="b">
        <v>0</v>
      </c>
      <c r="K86" s="172" t="b">
        <v>0</v>
      </c>
      <c r="L86" s="172" t="b">
        <v>0</v>
      </c>
      <c r="M86" s="172" t="b">
        <v>0</v>
      </c>
      <c r="N86" s="97"/>
      <c r="O86" s="97"/>
      <c r="P86" s="97"/>
      <c r="Q86" s="174"/>
    </row>
    <row r="87" spans="8:8" ht="43.5" customHeight="1">
      <c r="A87" s="172">
        <v>4.0</v>
      </c>
      <c r="B87" s="171" t="s">
        <v>3534</v>
      </c>
      <c r="C87" s="172">
        <v>251768.0</v>
      </c>
      <c r="D87" s="171" t="s">
        <v>4828</v>
      </c>
      <c r="E87" s="172" t="s">
        <v>28</v>
      </c>
      <c r="F87" s="172" t="b">
        <v>1</v>
      </c>
      <c r="G87" s="172" t="b">
        <v>1</v>
      </c>
      <c r="H87" s="172" t="b">
        <v>0</v>
      </c>
      <c r="I87" s="172" t="b">
        <v>0</v>
      </c>
      <c r="J87" s="172" t="b">
        <v>0</v>
      </c>
      <c r="K87" s="172" t="b">
        <v>0</v>
      </c>
      <c r="L87" s="172" t="b">
        <v>0</v>
      </c>
      <c r="M87" s="172" t="b">
        <v>0</v>
      </c>
      <c r="N87" s="97"/>
      <c r="O87" s="97"/>
      <c r="P87" s="97"/>
      <c r="Q87" s="174"/>
    </row>
    <row r="88" spans="8:8" ht="43.5" customHeight="1">
      <c r="A88" s="172" t="b">
        <v>1</v>
      </c>
      <c r="B88" s="171" t="s">
        <v>3535</v>
      </c>
      <c r="C88" s="172">
        <v>251761.0</v>
      </c>
      <c r="D88" s="171" t="s">
        <v>4828</v>
      </c>
      <c r="E88" s="172" t="s">
        <v>28</v>
      </c>
      <c r="F88" s="172" t="b">
        <v>0</v>
      </c>
      <c r="G88" s="172" t="b">
        <v>0</v>
      </c>
      <c r="H88" s="172" t="b">
        <v>1</v>
      </c>
      <c r="I88" s="172" t="b">
        <v>0</v>
      </c>
      <c r="J88" s="172" t="b">
        <v>0</v>
      </c>
      <c r="K88" s="172" t="b">
        <v>0</v>
      </c>
      <c r="L88" s="172" t="b">
        <v>0</v>
      </c>
      <c r="M88" s="172" t="b">
        <v>0</v>
      </c>
      <c r="N88" s="97"/>
      <c r="O88" s="97"/>
      <c r="P88" s="97"/>
      <c r="Q88" s="174"/>
    </row>
    <row r="89" spans="8:8" ht="43.5" customHeight="1">
      <c r="A89" s="172">
        <v>7.0</v>
      </c>
      <c r="B89" s="171" t="s">
        <v>3536</v>
      </c>
      <c r="C89" s="172">
        <v>251784.0</v>
      </c>
      <c r="D89" s="171" t="s">
        <v>4829</v>
      </c>
      <c r="E89" s="172" t="s">
        <v>28</v>
      </c>
      <c r="F89" s="172" t="b">
        <v>1</v>
      </c>
      <c r="G89" s="172" t="b">
        <v>0</v>
      </c>
      <c r="H89" s="172" t="b">
        <v>1</v>
      </c>
      <c r="I89" s="172" t="b">
        <v>0</v>
      </c>
      <c r="J89" s="172" t="b">
        <v>0</v>
      </c>
      <c r="K89" s="172" t="b">
        <v>0</v>
      </c>
      <c r="L89" s="172" t="b">
        <v>0</v>
      </c>
      <c r="M89" s="172" t="b">
        <v>0</v>
      </c>
      <c r="N89" s="97"/>
      <c r="O89" s="97"/>
      <c r="P89" s="97"/>
      <c r="Q89" s="174"/>
    </row>
    <row r="90" spans="8:8" ht="43.5" customHeight="1">
      <c r="A90" s="172">
        <v>16.0</v>
      </c>
      <c r="B90" s="171" t="s">
        <v>3537</v>
      </c>
      <c r="C90" s="172">
        <v>251432.0</v>
      </c>
      <c r="D90" s="171" t="s">
        <v>4827</v>
      </c>
      <c r="E90" s="172" t="s">
        <v>28</v>
      </c>
      <c r="F90" s="172" t="b">
        <v>1</v>
      </c>
      <c r="G90" s="172" t="b">
        <v>1</v>
      </c>
      <c r="H90" s="172" t="b">
        <v>1</v>
      </c>
      <c r="I90" s="172" t="b">
        <v>0</v>
      </c>
      <c r="J90" s="172" t="b">
        <v>0</v>
      </c>
      <c r="K90" s="172" t="b">
        <v>0</v>
      </c>
      <c r="L90" s="172" t="b">
        <v>0</v>
      </c>
      <c r="M90" s="172" t="b">
        <v>0</v>
      </c>
      <c r="N90" s="97"/>
      <c r="O90" s="97"/>
      <c r="P90" s="97"/>
      <c r="Q90" s="174"/>
    </row>
    <row r="91" spans="8:8" ht="43.5" customHeight="1">
      <c r="A91" s="172">
        <v>11.0</v>
      </c>
      <c r="B91" s="171" t="s">
        <v>4067</v>
      </c>
      <c r="C91" s="172">
        <v>251790.0</v>
      </c>
      <c r="D91" s="171" t="s">
        <v>4829</v>
      </c>
      <c r="E91" s="172" t="s">
        <v>28</v>
      </c>
      <c r="F91" s="172" t="b">
        <v>1</v>
      </c>
      <c r="G91" s="172" t="b">
        <v>0</v>
      </c>
      <c r="H91" s="172" t="b">
        <v>1</v>
      </c>
      <c r="I91" s="172" t="b">
        <v>0</v>
      </c>
      <c r="J91" s="172" t="b">
        <v>0</v>
      </c>
      <c r="K91" s="172" t="b">
        <v>0</v>
      </c>
      <c r="L91" s="172" t="b">
        <v>0</v>
      </c>
      <c r="M91" s="172" t="b">
        <v>0</v>
      </c>
      <c r="N91" s="97"/>
      <c r="O91" s="97"/>
      <c r="P91" s="97"/>
      <c r="Q91" s="174"/>
    </row>
    <row r="92" spans="8:8" ht="43.5" customHeight="1">
      <c r="A92" s="170"/>
      <c r="B92" s="182" t="s">
        <v>4815</v>
      </c>
      <c r="C92" s="97"/>
      <c r="D92" s="97"/>
      <c r="E92" s="183"/>
      <c r="F92" s="184">
        <f t="shared" si="2" ref="F92:M92">COUNTIF(F62:F84,TRUE)/COUNTA(F62:F84)</f>
        <v>0.4782608695652174</v>
      </c>
      <c r="G92" s="184">
        <f t="shared" si="2"/>
        <v>0.6956521739130435</v>
      </c>
      <c r="H92" s="184">
        <f t="shared" si="2"/>
        <v>0.6956521739130435</v>
      </c>
      <c r="I92" s="184">
        <f t="shared" si="2"/>
        <v>0.0</v>
      </c>
      <c r="J92" s="184">
        <f t="shared" si="2"/>
        <v>0.0</v>
      </c>
      <c r="K92" s="184">
        <f t="shared" si="2"/>
        <v>0.0</v>
      </c>
      <c r="L92" s="184">
        <f t="shared" si="2"/>
        <v>0.0</v>
      </c>
      <c r="M92" s="184">
        <f t="shared" si="2"/>
        <v>0.0</v>
      </c>
      <c r="N92" s="97"/>
      <c r="O92" s="97"/>
      <c r="P92" s="97"/>
      <c r="Q92" s="174"/>
    </row>
    <row r="93" spans="8:8" ht="43.5" customHeight="1">
      <c r="A93" s="185" t="s">
        <v>18</v>
      </c>
      <c r="B93" s="162" t="s">
        <v>19</v>
      </c>
      <c r="C93" s="163"/>
      <c r="D93" s="162" t="s">
        <v>4530</v>
      </c>
      <c r="E93" s="162" t="s">
        <v>22</v>
      </c>
      <c r="F93" s="163" t="s">
        <v>4794</v>
      </c>
      <c r="G93" s="163" t="s">
        <v>4795</v>
      </c>
      <c r="H93" s="163" t="s">
        <v>4796</v>
      </c>
      <c r="I93" s="163" t="s">
        <v>4797</v>
      </c>
      <c r="J93" s="163" t="s">
        <v>4798</v>
      </c>
      <c r="K93" s="163" t="s">
        <v>4799</v>
      </c>
      <c r="L93" s="163" t="s">
        <v>4800</v>
      </c>
      <c r="M93" s="163" t="s">
        <v>4801</v>
      </c>
      <c r="N93" s="166" t="s">
        <v>4830</v>
      </c>
      <c r="O93" s="167"/>
      <c r="P93" s="168"/>
      <c r="Q93" s="169"/>
    </row>
    <row r="94" spans="8:8" ht="43.5" customHeight="1">
      <c r="A94" s="170">
        <v>1.0</v>
      </c>
      <c r="B94" s="171" t="s">
        <v>4706</v>
      </c>
      <c r="C94" s="172">
        <v>251380.0</v>
      </c>
      <c r="D94" s="171" t="s">
        <v>4825</v>
      </c>
      <c r="E94" s="172" t="s">
        <v>28</v>
      </c>
      <c r="F94" s="172" t="b">
        <v>0</v>
      </c>
      <c r="G94" s="172" t="b">
        <v>0</v>
      </c>
      <c r="H94" s="172" t="b">
        <v>0</v>
      </c>
      <c r="I94" s="172" t="b">
        <v>0</v>
      </c>
      <c r="J94" s="172" t="b">
        <v>0</v>
      </c>
      <c r="K94" s="172" t="b">
        <v>0</v>
      </c>
      <c r="L94" s="172" t="b">
        <v>0</v>
      </c>
      <c r="M94" s="172" t="b">
        <v>0</v>
      </c>
      <c r="N94" s="173" t="s">
        <v>4804</v>
      </c>
      <c r="O94" s="167"/>
      <c r="P94" s="168"/>
      <c r="Q94" s="174"/>
    </row>
    <row r="95" spans="8:8" ht="43.5" customHeight="1">
      <c r="A95" s="170">
        <v>2.0</v>
      </c>
      <c r="B95" s="171" t="s">
        <v>3545</v>
      </c>
      <c r="C95" s="172">
        <v>251384.0</v>
      </c>
      <c r="D95" s="171" t="s">
        <v>4825</v>
      </c>
      <c r="E95" s="172" t="s">
        <v>28</v>
      </c>
      <c r="F95" s="172" t="b">
        <v>1</v>
      </c>
      <c r="G95" s="172" t="b">
        <v>1</v>
      </c>
      <c r="H95" s="172" t="b">
        <v>0</v>
      </c>
      <c r="I95" s="172" t="b">
        <v>0</v>
      </c>
      <c r="J95" s="172" t="b">
        <v>0</v>
      </c>
      <c r="K95" s="172" t="b">
        <v>0</v>
      </c>
      <c r="L95" s="172" t="b">
        <v>0</v>
      </c>
      <c r="M95" s="172" t="b">
        <v>0</v>
      </c>
      <c r="N95" s="175" t="s">
        <v>4805</v>
      </c>
      <c r="O95" s="176" t="s">
        <v>4806</v>
      </c>
      <c r="P95" s="97" t="s">
        <v>4807</v>
      </c>
      <c r="Q95" s="174"/>
    </row>
    <row r="96" spans="8:8" ht="43.5" customHeight="1">
      <c r="A96" s="170">
        <v>3.0</v>
      </c>
      <c r="B96" s="171" t="s">
        <v>3546</v>
      </c>
      <c r="C96" s="172">
        <v>251386.0</v>
      </c>
      <c r="D96" s="171" t="s">
        <v>4825</v>
      </c>
      <c r="E96" s="172" t="s">
        <v>28</v>
      </c>
      <c r="F96" s="172" t="b">
        <v>0</v>
      </c>
      <c r="G96" s="172" t="b">
        <v>1</v>
      </c>
      <c r="H96" s="172" t="b">
        <v>0</v>
      </c>
      <c r="I96" s="172" t="b">
        <v>0</v>
      </c>
      <c r="J96" s="172" t="b">
        <v>0</v>
      </c>
      <c r="K96" s="172" t="b">
        <v>0</v>
      </c>
      <c r="L96" s="172" t="b">
        <v>0</v>
      </c>
      <c r="M96" s="172" t="b">
        <v>0</v>
      </c>
      <c r="N96" s="97" t="s">
        <v>4794</v>
      </c>
      <c r="O96" s="172" t="b">
        <v>0</v>
      </c>
      <c r="P96" s="97"/>
      <c r="Q96" s="174"/>
    </row>
    <row r="97" spans="8:8" ht="43.5" customHeight="1">
      <c r="A97" s="170">
        <v>4.0</v>
      </c>
      <c r="B97" s="171" t="s">
        <v>3547</v>
      </c>
      <c r="C97" s="172">
        <v>251388.0</v>
      </c>
      <c r="D97" s="171" t="s">
        <v>4825</v>
      </c>
      <c r="E97" s="172" t="s">
        <v>28</v>
      </c>
      <c r="F97" s="172" t="b">
        <v>1</v>
      </c>
      <c r="G97" s="172" t="b">
        <v>1</v>
      </c>
      <c r="H97" s="172" t="b">
        <v>1</v>
      </c>
      <c r="I97" s="172" t="b">
        <v>0</v>
      </c>
      <c r="J97" s="172" t="b">
        <v>0</v>
      </c>
      <c r="K97" s="172" t="b">
        <v>0</v>
      </c>
      <c r="L97" s="172" t="b">
        <v>0</v>
      </c>
      <c r="M97" s="172" t="b">
        <v>0</v>
      </c>
      <c r="N97" s="97" t="s">
        <v>4795</v>
      </c>
      <c r="O97" s="172" t="b">
        <v>0</v>
      </c>
      <c r="P97" s="97" t="s">
        <v>4831</v>
      </c>
      <c r="Q97" s="174"/>
    </row>
    <row r="98" spans="8:8" ht="43.5" customHeight="1">
      <c r="A98" s="170">
        <v>5.0</v>
      </c>
      <c r="B98" s="171" t="s">
        <v>3548</v>
      </c>
      <c r="C98" s="172">
        <v>251389.0</v>
      </c>
      <c r="D98" s="171" t="s">
        <v>4825</v>
      </c>
      <c r="E98" s="172" t="s">
        <v>28</v>
      </c>
      <c r="F98" s="172" t="b">
        <v>0</v>
      </c>
      <c r="G98" s="172" t="b">
        <v>0</v>
      </c>
      <c r="H98" s="172" t="b">
        <v>1</v>
      </c>
      <c r="I98" s="172" t="b">
        <v>0</v>
      </c>
      <c r="J98" s="172" t="b">
        <v>0</v>
      </c>
      <c r="K98" s="172" t="b">
        <v>0</v>
      </c>
      <c r="L98" s="172" t="b">
        <v>0</v>
      </c>
      <c r="M98" s="172" t="b">
        <v>0</v>
      </c>
      <c r="N98" s="97" t="s">
        <v>4796</v>
      </c>
      <c r="O98" s="172" t="b">
        <v>0</v>
      </c>
      <c r="P98" s="97"/>
      <c r="Q98" s="174"/>
    </row>
    <row r="99" spans="8:8" ht="43.5" customHeight="1">
      <c r="A99" s="170">
        <v>6.0</v>
      </c>
      <c r="B99" s="171" t="s">
        <v>3549</v>
      </c>
      <c r="C99" s="172">
        <v>251393.0</v>
      </c>
      <c r="D99" s="171" t="s">
        <v>4825</v>
      </c>
      <c r="E99" s="172" t="s">
        <v>28</v>
      </c>
      <c r="F99" s="172" t="b">
        <v>0</v>
      </c>
      <c r="G99" s="172" t="b">
        <v>1</v>
      </c>
      <c r="H99" s="172" t="b">
        <v>1</v>
      </c>
      <c r="I99" s="172" t="b">
        <v>0</v>
      </c>
      <c r="J99" s="172" t="b">
        <v>0</v>
      </c>
      <c r="K99" s="172" t="b">
        <v>0</v>
      </c>
      <c r="L99" s="172" t="b">
        <v>0</v>
      </c>
      <c r="M99" s="172" t="b">
        <v>0</v>
      </c>
      <c r="N99" s="97" t="s">
        <v>4797</v>
      </c>
      <c r="O99" s="172" t="b">
        <v>0</v>
      </c>
      <c r="P99" s="97"/>
      <c r="Q99" s="174"/>
    </row>
    <row r="100" spans="8:8" ht="43.5" customHeight="1">
      <c r="A100" s="170">
        <v>7.0</v>
      </c>
      <c r="B100" s="171" t="s">
        <v>3550</v>
      </c>
      <c r="C100" s="172">
        <v>251395.0</v>
      </c>
      <c r="D100" s="171" t="s">
        <v>4825</v>
      </c>
      <c r="E100" s="172" t="s">
        <v>28</v>
      </c>
      <c r="F100" s="172" t="b">
        <v>0</v>
      </c>
      <c r="G100" s="172" t="b">
        <v>0</v>
      </c>
      <c r="H100" s="172" t="b">
        <v>1</v>
      </c>
      <c r="I100" s="172" t="b">
        <v>0</v>
      </c>
      <c r="J100" s="172" t="b">
        <v>0</v>
      </c>
      <c r="K100" s="172" t="b">
        <v>0</v>
      </c>
      <c r="L100" s="172" t="b">
        <v>0</v>
      </c>
      <c r="M100" s="172" t="b">
        <v>0</v>
      </c>
      <c r="N100" s="97" t="s">
        <v>4798</v>
      </c>
      <c r="O100" s="172" t="b">
        <v>0</v>
      </c>
      <c r="P100" s="97"/>
      <c r="Q100" s="174"/>
    </row>
    <row r="101" spans="8:8" ht="43.5" customHeight="1">
      <c r="A101" s="170">
        <v>8.0</v>
      </c>
      <c r="B101" s="171" t="s">
        <v>4102</v>
      </c>
      <c r="C101" s="172">
        <v>251402.0</v>
      </c>
      <c r="D101" s="171" t="s">
        <v>4832</v>
      </c>
      <c r="E101" s="172" t="s">
        <v>28</v>
      </c>
      <c r="F101" s="172" t="b">
        <v>0</v>
      </c>
      <c r="G101" s="172" t="b">
        <v>0</v>
      </c>
      <c r="H101" s="172" t="b">
        <v>0</v>
      </c>
      <c r="I101" s="172" t="b">
        <v>0</v>
      </c>
      <c r="J101" s="172" t="b">
        <v>0</v>
      </c>
      <c r="K101" s="172" t="b">
        <v>0</v>
      </c>
      <c r="L101" s="172" t="b">
        <v>0</v>
      </c>
      <c r="M101" s="172" t="b">
        <v>0</v>
      </c>
      <c r="N101" s="97" t="s">
        <v>4799</v>
      </c>
      <c r="O101" s="172" t="b">
        <v>0</v>
      </c>
      <c r="P101" s="97"/>
      <c r="Q101" s="174"/>
    </row>
    <row r="102" spans="8:8" ht="43.5" customHeight="1">
      <c r="A102" s="170">
        <v>9.0</v>
      </c>
      <c r="B102" s="171" t="s">
        <v>4103</v>
      </c>
      <c r="C102" s="172">
        <v>251403.0</v>
      </c>
      <c r="D102" s="171" t="s">
        <v>4832</v>
      </c>
      <c r="E102" s="172" t="s">
        <v>28</v>
      </c>
      <c r="F102" s="172" t="b">
        <v>0</v>
      </c>
      <c r="G102" s="172" t="b">
        <v>1</v>
      </c>
      <c r="H102" s="172" t="b">
        <v>0</v>
      </c>
      <c r="I102" s="172" t="b">
        <v>0</v>
      </c>
      <c r="J102" s="172" t="b">
        <v>0</v>
      </c>
      <c r="K102" s="172" t="b">
        <v>0</v>
      </c>
      <c r="L102" s="172" t="b">
        <v>0</v>
      </c>
      <c r="M102" s="172" t="b">
        <v>0</v>
      </c>
      <c r="N102" s="97" t="s">
        <v>4800</v>
      </c>
      <c r="O102" s="172" t="b">
        <v>0</v>
      </c>
      <c r="P102" s="97"/>
      <c r="Q102" s="174"/>
    </row>
    <row r="103" spans="8:8" ht="43.5" customHeight="1">
      <c r="A103" s="170">
        <v>11.0</v>
      </c>
      <c r="B103" s="171" t="s">
        <v>3551</v>
      </c>
      <c r="C103" s="172">
        <v>251406.0</v>
      </c>
      <c r="D103" s="171" t="s">
        <v>4832</v>
      </c>
      <c r="E103" s="172" t="s">
        <v>28</v>
      </c>
      <c r="F103" s="172" t="b">
        <v>1</v>
      </c>
      <c r="G103" s="172" t="b">
        <v>1</v>
      </c>
      <c r="H103" s="172" t="b">
        <v>1</v>
      </c>
      <c r="I103" s="172" t="b">
        <v>0</v>
      </c>
      <c r="J103" s="172" t="b">
        <v>0</v>
      </c>
      <c r="K103" s="172" t="b">
        <v>0</v>
      </c>
      <c r="L103" s="172" t="b">
        <v>0</v>
      </c>
      <c r="M103" s="172" t="b">
        <v>0</v>
      </c>
      <c r="N103" s="97" t="s">
        <v>4801</v>
      </c>
      <c r="O103" s="172" t="b">
        <v>0</v>
      </c>
      <c r="P103" s="97"/>
      <c r="Q103" s="174"/>
    </row>
    <row r="104" spans="8:8" ht="43.5" customHeight="1">
      <c r="A104" s="170">
        <v>12.0</v>
      </c>
      <c r="B104" s="171" t="s">
        <v>3552</v>
      </c>
      <c r="C104" s="172">
        <v>251408.0</v>
      </c>
      <c r="D104" s="171" t="s">
        <v>4832</v>
      </c>
      <c r="E104" s="172" t="s">
        <v>28</v>
      </c>
      <c r="F104" s="172" t="b">
        <v>1</v>
      </c>
      <c r="G104" s="172" t="b">
        <v>1</v>
      </c>
      <c r="H104" s="172" t="b">
        <v>0</v>
      </c>
      <c r="I104" s="172" t="b">
        <v>0</v>
      </c>
      <c r="J104" s="172" t="b">
        <v>0</v>
      </c>
      <c r="K104" s="172" t="b">
        <v>0</v>
      </c>
      <c r="L104" s="172" t="b">
        <v>0</v>
      </c>
      <c r="M104" s="172" t="b">
        <v>0</v>
      </c>
      <c r="N104" s="97"/>
      <c r="O104" s="97"/>
      <c r="P104" s="97"/>
      <c r="Q104" s="174"/>
    </row>
    <row r="105" spans="8:8" ht="43.5" customHeight="1">
      <c r="A105" s="170">
        <v>13.0</v>
      </c>
      <c r="B105" s="171" t="s">
        <v>3553</v>
      </c>
      <c r="C105" s="172">
        <v>251409.0</v>
      </c>
      <c r="D105" s="171" t="s">
        <v>4832</v>
      </c>
      <c r="E105" s="172" t="s">
        <v>28</v>
      </c>
      <c r="F105" s="172" t="b">
        <v>0</v>
      </c>
      <c r="G105" s="172" t="b">
        <v>1</v>
      </c>
      <c r="H105" s="172" t="b">
        <v>1</v>
      </c>
      <c r="I105" s="172" t="b">
        <v>0</v>
      </c>
      <c r="J105" s="172" t="b">
        <v>0</v>
      </c>
      <c r="K105" s="172" t="b">
        <v>0</v>
      </c>
      <c r="L105" s="172" t="b">
        <v>0</v>
      </c>
      <c r="M105" s="172" t="b">
        <v>0</v>
      </c>
      <c r="N105" s="97"/>
      <c r="O105" s="97"/>
      <c r="P105" s="97"/>
      <c r="Q105" s="174"/>
    </row>
    <row r="106" spans="8:8" ht="43.5" customHeight="1">
      <c r="A106" s="170">
        <v>14.0</v>
      </c>
      <c r="B106" s="171" t="s">
        <v>3554</v>
      </c>
      <c r="C106" s="172">
        <v>251413.0</v>
      </c>
      <c r="D106" s="171" t="s">
        <v>4832</v>
      </c>
      <c r="E106" s="172" t="s">
        <v>28</v>
      </c>
      <c r="F106" s="172" t="b">
        <v>1</v>
      </c>
      <c r="G106" s="172" t="b">
        <v>1</v>
      </c>
      <c r="H106" s="172" t="b">
        <v>1</v>
      </c>
      <c r="I106" s="172" t="b">
        <v>0</v>
      </c>
      <c r="J106" s="172" t="b">
        <v>0</v>
      </c>
      <c r="K106" s="172" t="b">
        <v>0</v>
      </c>
      <c r="L106" s="172" t="b">
        <v>0</v>
      </c>
      <c r="M106" s="172" t="b">
        <v>0</v>
      </c>
      <c r="N106" s="97"/>
      <c r="O106" s="97"/>
      <c r="P106" s="97"/>
      <c r="Q106" s="174"/>
    </row>
    <row r="107" spans="8:8" ht="43.5" customHeight="1">
      <c r="A107" s="170">
        <v>15.0</v>
      </c>
      <c r="B107" s="171" t="s">
        <v>3555</v>
      </c>
      <c r="C107" s="172">
        <v>251414.0</v>
      </c>
      <c r="D107" s="171" t="s">
        <v>4832</v>
      </c>
      <c r="E107" s="172" t="s">
        <v>28</v>
      </c>
      <c r="F107" s="172" t="b">
        <v>1</v>
      </c>
      <c r="G107" s="172" t="b">
        <v>1</v>
      </c>
      <c r="H107" s="172" t="b">
        <v>1</v>
      </c>
      <c r="I107" s="172" t="b">
        <v>0</v>
      </c>
      <c r="J107" s="172" t="b">
        <v>0</v>
      </c>
      <c r="K107" s="172" t="b">
        <v>0</v>
      </c>
      <c r="L107" s="172" t="b">
        <v>0</v>
      </c>
      <c r="M107" s="172" t="b">
        <v>0</v>
      </c>
      <c r="N107" s="97"/>
      <c r="O107" s="97"/>
      <c r="P107" s="97"/>
      <c r="Q107" s="174"/>
    </row>
    <row r="108" spans="8:8" ht="43.5" customHeight="1">
      <c r="A108" s="170">
        <v>16.0</v>
      </c>
      <c r="B108" s="171" t="s">
        <v>3556</v>
      </c>
      <c r="C108" s="172">
        <v>251415.0</v>
      </c>
      <c r="D108" s="171" t="s">
        <v>4832</v>
      </c>
      <c r="E108" s="172" t="s">
        <v>28</v>
      </c>
      <c r="F108" s="172" t="b">
        <v>0</v>
      </c>
      <c r="G108" s="172" t="b">
        <v>1</v>
      </c>
      <c r="H108" s="172" t="b">
        <v>1</v>
      </c>
      <c r="I108" s="172" t="b">
        <v>0</v>
      </c>
      <c r="J108" s="172" t="b">
        <v>0</v>
      </c>
      <c r="K108" s="172" t="b">
        <v>0</v>
      </c>
      <c r="L108" s="172" t="b">
        <v>0</v>
      </c>
      <c r="M108" s="172" t="b">
        <v>0</v>
      </c>
      <c r="N108" s="97"/>
      <c r="O108" s="97"/>
      <c r="P108" s="97"/>
      <c r="Q108" s="174"/>
    </row>
    <row r="109" spans="8:8" ht="43.5" customHeight="1">
      <c r="A109" s="170">
        <v>17.0</v>
      </c>
      <c r="B109" s="171" t="s">
        <v>3557</v>
      </c>
      <c r="C109" s="172">
        <v>251416.0</v>
      </c>
      <c r="D109" s="171" t="s">
        <v>4832</v>
      </c>
      <c r="E109" s="172" t="s">
        <v>28</v>
      </c>
      <c r="F109" s="172" t="b">
        <v>0</v>
      </c>
      <c r="G109" s="172" t="b">
        <v>0</v>
      </c>
      <c r="H109" s="172" t="b">
        <v>1</v>
      </c>
      <c r="I109" s="172" t="b">
        <v>0</v>
      </c>
      <c r="J109" s="172" t="b">
        <v>0</v>
      </c>
      <c r="K109" s="172" t="b">
        <v>0</v>
      </c>
      <c r="L109" s="172" t="b">
        <v>0</v>
      </c>
      <c r="M109" s="172" t="b">
        <v>0</v>
      </c>
      <c r="N109" s="97"/>
      <c r="O109" s="97"/>
      <c r="P109" s="97"/>
      <c r="Q109" s="174"/>
    </row>
    <row r="110" spans="8:8" ht="43.5" customHeight="1">
      <c r="A110" s="170">
        <v>18.0</v>
      </c>
      <c r="B110" s="171" t="s">
        <v>3558</v>
      </c>
      <c r="C110" s="172">
        <v>251417.0</v>
      </c>
      <c r="D110" s="171" t="s">
        <v>4832</v>
      </c>
      <c r="E110" s="172" t="s">
        <v>28</v>
      </c>
      <c r="F110" s="172" t="b">
        <v>1</v>
      </c>
      <c r="G110" s="172" t="b">
        <v>1</v>
      </c>
      <c r="H110" s="172" t="b">
        <v>1</v>
      </c>
      <c r="I110" s="172" t="b">
        <v>0</v>
      </c>
      <c r="J110" s="172" t="b">
        <v>0</v>
      </c>
      <c r="K110" s="172" t="b">
        <v>0</v>
      </c>
      <c r="L110" s="172" t="b">
        <v>0</v>
      </c>
      <c r="M110" s="172" t="b">
        <v>0</v>
      </c>
      <c r="N110" s="97"/>
      <c r="O110" s="97"/>
      <c r="P110" s="97"/>
      <c r="Q110" s="174"/>
    </row>
    <row r="111" spans="8:8" ht="43.5" customHeight="1">
      <c r="A111" s="170">
        <v>19.0</v>
      </c>
      <c r="B111" s="171" t="s">
        <v>3559</v>
      </c>
      <c r="C111" s="172">
        <v>251419.0</v>
      </c>
      <c r="D111" s="171" t="s">
        <v>4832</v>
      </c>
      <c r="E111" s="172" t="s">
        <v>28</v>
      </c>
      <c r="F111" s="172" t="b">
        <v>0</v>
      </c>
      <c r="G111" s="172" t="b">
        <v>1</v>
      </c>
      <c r="H111" s="172" t="b">
        <v>1</v>
      </c>
      <c r="I111" s="172" t="b">
        <v>0</v>
      </c>
      <c r="J111" s="172" t="b">
        <v>0</v>
      </c>
      <c r="K111" s="172" t="b">
        <v>0</v>
      </c>
      <c r="L111" s="172" t="b">
        <v>0</v>
      </c>
      <c r="M111" s="172" t="b">
        <v>0</v>
      </c>
      <c r="N111" s="97"/>
      <c r="O111" s="97"/>
      <c r="P111" s="97"/>
      <c r="Q111" s="174"/>
    </row>
    <row r="112" spans="8:8" ht="43.5" customHeight="1">
      <c r="A112" s="170">
        <v>20.0</v>
      </c>
      <c r="B112" s="171" t="s">
        <v>4707</v>
      </c>
      <c r="C112" s="172">
        <v>251421.0</v>
      </c>
      <c r="D112" s="171" t="s">
        <v>4832</v>
      </c>
      <c r="E112" s="172" t="s">
        <v>28</v>
      </c>
      <c r="F112" s="172" t="b">
        <v>0</v>
      </c>
      <c r="G112" s="172" t="b">
        <v>0</v>
      </c>
      <c r="H112" s="172" t="b">
        <v>0</v>
      </c>
      <c r="I112" s="172" t="b">
        <v>0</v>
      </c>
      <c r="J112" s="172" t="b">
        <v>0</v>
      </c>
      <c r="K112" s="172" t="b">
        <v>0</v>
      </c>
      <c r="L112" s="172" t="b">
        <v>0</v>
      </c>
      <c r="M112" s="172" t="b">
        <v>0</v>
      </c>
      <c r="N112" s="97"/>
      <c r="O112" s="97"/>
      <c r="P112" s="97"/>
      <c r="Q112" s="174"/>
    </row>
    <row r="113" spans="8:8" ht="43.5" customHeight="1">
      <c r="A113" s="170">
        <v>21.0</v>
      </c>
      <c r="B113" s="171" t="s">
        <v>3560</v>
      </c>
      <c r="C113" s="172">
        <v>251422.0</v>
      </c>
      <c r="D113" s="171" t="s">
        <v>4832</v>
      </c>
      <c r="E113" s="172" t="s">
        <v>28</v>
      </c>
      <c r="F113" s="172" t="b">
        <v>1</v>
      </c>
      <c r="G113" s="172" t="b">
        <v>1</v>
      </c>
      <c r="H113" s="172" t="b">
        <v>1</v>
      </c>
      <c r="I113" s="172" t="b">
        <v>0</v>
      </c>
      <c r="J113" s="172" t="b">
        <v>0</v>
      </c>
      <c r="K113" s="172" t="b">
        <v>0</v>
      </c>
      <c r="L113" s="172" t="b">
        <v>0</v>
      </c>
      <c r="M113" s="172" t="b">
        <v>0</v>
      </c>
      <c r="N113" s="97"/>
      <c r="O113" s="97"/>
      <c r="P113" s="97"/>
      <c r="Q113" s="174"/>
    </row>
    <row r="114" spans="8:8" ht="43.5" customHeight="1">
      <c r="A114" s="170">
        <v>22.0</v>
      </c>
      <c r="B114" s="181" t="s">
        <v>3561</v>
      </c>
      <c r="C114" s="97">
        <v>253122.0</v>
      </c>
      <c r="D114" s="171" t="s">
        <v>4832</v>
      </c>
      <c r="E114" s="172" t="s">
        <v>28</v>
      </c>
      <c r="F114" s="172" t="b">
        <v>1</v>
      </c>
      <c r="G114" s="172" t="b">
        <v>1</v>
      </c>
      <c r="H114" s="172" t="b">
        <v>1</v>
      </c>
      <c r="I114" s="172" t="b">
        <v>0</v>
      </c>
      <c r="J114" s="172" t="b">
        <v>0</v>
      </c>
      <c r="K114" s="172" t="b">
        <v>0</v>
      </c>
      <c r="L114" s="172" t="b">
        <v>0</v>
      </c>
      <c r="M114" s="172" t="b">
        <v>0</v>
      </c>
      <c r="N114" s="97"/>
      <c r="O114" s="97"/>
      <c r="P114" s="97"/>
      <c r="Q114" s="174"/>
    </row>
    <row r="115" spans="8:8" ht="43.5" customHeight="1">
      <c r="A115" s="170">
        <v>23.0</v>
      </c>
      <c r="B115" s="181" t="s">
        <v>3562</v>
      </c>
      <c r="C115" s="97">
        <v>251328.0</v>
      </c>
      <c r="D115" s="171" t="s">
        <v>4833</v>
      </c>
      <c r="E115" s="97" t="s">
        <v>28</v>
      </c>
      <c r="F115" s="172" t="b">
        <v>0</v>
      </c>
      <c r="G115" s="172" t="b">
        <v>0</v>
      </c>
      <c r="H115" s="172" t="b">
        <v>1</v>
      </c>
      <c r="I115" s="172" t="b">
        <v>0</v>
      </c>
      <c r="J115" s="172" t="b">
        <v>0</v>
      </c>
      <c r="K115" s="172" t="b">
        <v>0</v>
      </c>
      <c r="L115" s="172" t="b">
        <v>0</v>
      </c>
      <c r="M115" s="172" t="b">
        <v>0</v>
      </c>
      <c r="N115" s="97"/>
      <c r="O115" s="97"/>
      <c r="P115" s="97"/>
      <c r="Q115" s="174"/>
    </row>
    <row r="116" spans="8:8" ht="43.5" customHeight="1">
      <c r="A116" s="172">
        <v>25.0</v>
      </c>
      <c r="B116" s="171" t="s">
        <v>3563</v>
      </c>
      <c r="C116" s="172">
        <v>251503.0</v>
      </c>
      <c r="D116" s="171" t="s">
        <v>4813</v>
      </c>
      <c r="E116" s="97" t="s">
        <v>28</v>
      </c>
      <c r="F116" s="172" t="b">
        <v>1</v>
      </c>
      <c r="G116" s="172" t="b">
        <v>1</v>
      </c>
      <c r="H116" s="172" t="b">
        <v>0</v>
      </c>
      <c r="I116" s="172" t="b">
        <v>0</v>
      </c>
      <c r="J116" s="172" t="b">
        <v>0</v>
      </c>
      <c r="K116" s="172" t="b">
        <v>0</v>
      </c>
      <c r="L116" s="172" t="b">
        <v>0</v>
      </c>
      <c r="M116" s="172" t="b">
        <v>0</v>
      </c>
      <c r="N116" s="97"/>
      <c r="O116" s="97"/>
      <c r="P116" s="97"/>
      <c r="Q116" s="174"/>
    </row>
    <row r="117" spans="8:8" ht="43.5" customHeight="1">
      <c r="A117" s="172" t="b">
        <v>1</v>
      </c>
      <c r="B117" s="171" t="s">
        <v>3564</v>
      </c>
      <c r="C117" s="172">
        <v>251454.0</v>
      </c>
      <c r="D117" s="171" t="s">
        <v>4827</v>
      </c>
      <c r="E117" s="172" t="s">
        <v>28</v>
      </c>
      <c r="F117" s="172" t="b">
        <v>1</v>
      </c>
      <c r="G117" s="172" t="b">
        <v>1</v>
      </c>
      <c r="H117" s="172" t="b">
        <v>1</v>
      </c>
      <c r="I117" s="172" t="b">
        <v>0</v>
      </c>
      <c r="J117" s="172" t="b">
        <v>0</v>
      </c>
      <c r="K117" s="172" t="b">
        <v>0</v>
      </c>
      <c r="L117" s="172" t="b">
        <v>0</v>
      </c>
      <c r="M117" s="172" t="b">
        <v>0</v>
      </c>
      <c r="N117" s="97"/>
      <c r="O117" s="97"/>
      <c r="P117" s="97"/>
      <c r="Q117" s="174"/>
    </row>
    <row r="118" spans="8:8" ht="43.5" customHeight="1">
      <c r="A118" s="172">
        <v>2.0</v>
      </c>
      <c r="B118" s="171" t="s">
        <v>3565</v>
      </c>
      <c r="C118" s="172">
        <v>251451.0</v>
      </c>
      <c r="D118" s="171" t="s">
        <v>4827</v>
      </c>
      <c r="E118" s="172" t="s">
        <v>28</v>
      </c>
      <c r="F118" s="172" t="b">
        <v>1</v>
      </c>
      <c r="G118" s="172" t="b">
        <v>0</v>
      </c>
      <c r="H118" s="172" t="b">
        <v>1</v>
      </c>
      <c r="I118" s="172" t="b">
        <v>0</v>
      </c>
      <c r="J118" s="172" t="b">
        <v>0</v>
      </c>
      <c r="K118" s="172" t="b">
        <v>0</v>
      </c>
      <c r="L118" s="172" t="b">
        <v>0</v>
      </c>
      <c r="M118" s="172" t="b">
        <v>0</v>
      </c>
      <c r="N118" s="97"/>
      <c r="O118" s="97"/>
      <c r="P118" s="97"/>
      <c r="Q118" s="174"/>
    </row>
    <row r="119" spans="8:8" ht="43.5" customHeight="1">
      <c r="A119" s="172">
        <v>10.0</v>
      </c>
      <c r="B119" s="171" t="s">
        <v>4104</v>
      </c>
      <c r="C119" s="172">
        <v>251460.0</v>
      </c>
      <c r="D119" s="171" t="s">
        <v>4827</v>
      </c>
      <c r="E119" s="172" t="s">
        <v>28</v>
      </c>
      <c r="F119" s="172" t="b">
        <v>1</v>
      </c>
      <c r="G119" s="172" t="b">
        <v>1</v>
      </c>
      <c r="H119" s="172" t="b">
        <v>1</v>
      </c>
      <c r="I119" s="172" t="b">
        <v>0</v>
      </c>
      <c r="J119" s="172" t="b">
        <v>0</v>
      </c>
      <c r="K119" s="172" t="b">
        <v>0</v>
      </c>
      <c r="L119" s="172" t="b">
        <v>0</v>
      </c>
      <c r="M119" s="172" t="b">
        <v>0</v>
      </c>
      <c r="N119" s="97"/>
      <c r="O119" s="97"/>
      <c r="P119" s="97"/>
      <c r="Q119" s="174"/>
    </row>
    <row r="120" spans="8:8" ht="43.5" customHeight="1">
      <c r="A120" s="172">
        <v>24.0</v>
      </c>
      <c r="B120" s="171" t="s">
        <v>3566</v>
      </c>
      <c r="C120" s="172">
        <v>251515.0</v>
      </c>
      <c r="D120" s="171" t="s">
        <v>4813</v>
      </c>
      <c r="E120" s="172" t="s">
        <v>28</v>
      </c>
      <c r="F120" s="172" t="b">
        <v>0</v>
      </c>
      <c r="G120" s="172" t="b">
        <v>1</v>
      </c>
      <c r="H120" s="172" t="b">
        <v>1</v>
      </c>
      <c r="I120" s="172" t="b">
        <v>0</v>
      </c>
      <c r="J120" s="172" t="b">
        <v>0</v>
      </c>
      <c r="K120" s="172" t="b">
        <v>0</v>
      </c>
      <c r="L120" s="172" t="b">
        <v>0</v>
      </c>
      <c r="M120" s="172" t="b">
        <v>0</v>
      </c>
      <c r="N120" s="97"/>
      <c r="O120" s="97"/>
      <c r="P120" s="97"/>
      <c r="Q120" s="174"/>
    </row>
    <row r="121" spans="8:8" ht="43.5" customHeight="1">
      <c r="A121" s="172">
        <v>15.0</v>
      </c>
      <c r="B121" s="171" t="s">
        <v>3567</v>
      </c>
      <c r="C121" s="172">
        <v>251473.0</v>
      </c>
      <c r="D121" s="171" t="s">
        <v>4834</v>
      </c>
      <c r="E121" s="172" t="s">
        <v>28</v>
      </c>
      <c r="F121" s="172" t="b">
        <v>0</v>
      </c>
      <c r="G121" s="172" t="b">
        <v>1</v>
      </c>
      <c r="H121" s="172" t="b">
        <v>1</v>
      </c>
      <c r="I121" s="172" t="b">
        <v>0</v>
      </c>
      <c r="J121" s="172" t="b">
        <v>0</v>
      </c>
      <c r="K121" s="172" t="b">
        <v>0</v>
      </c>
      <c r="L121" s="172" t="b">
        <v>0</v>
      </c>
      <c r="M121" s="172" t="b">
        <v>0</v>
      </c>
      <c r="N121" s="97"/>
      <c r="O121" s="97"/>
      <c r="P121" s="97"/>
      <c r="Q121" s="174"/>
    </row>
    <row r="122" spans="8:8" ht="43.5" customHeight="1">
      <c r="A122" s="172">
        <v>19.0</v>
      </c>
      <c r="B122" s="171" t="s">
        <v>3568</v>
      </c>
      <c r="C122" s="172">
        <v>251468.0</v>
      </c>
      <c r="D122" s="171" t="s">
        <v>4834</v>
      </c>
      <c r="E122" s="172" t="s">
        <v>28</v>
      </c>
      <c r="F122" s="172" t="b">
        <v>1</v>
      </c>
      <c r="G122" s="172" t="b">
        <v>1</v>
      </c>
      <c r="H122" s="172" t="b">
        <v>1</v>
      </c>
      <c r="I122" s="172" t="b">
        <v>0</v>
      </c>
      <c r="J122" s="172" t="b">
        <v>0</v>
      </c>
      <c r="K122" s="172" t="b">
        <v>0</v>
      </c>
      <c r="L122" s="172" t="b">
        <v>0</v>
      </c>
      <c r="M122" s="172" t="b">
        <v>0</v>
      </c>
      <c r="N122" s="97"/>
      <c r="O122" s="97"/>
      <c r="P122" s="97"/>
      <c r="Q122" s="174"/>
    </row>
    <row r="123" spans="8:8" ht="43.5" customHeight="1">
      <c r="A123" s="172">
        <v>20.0</v>
      </c>
      <c r="B123" s="171" t="s">
        <v>3569</v>
      </c>
      <c r="C123" s="172">
        <v>251472.0</v>
      </c>
      <c r="D123" s="171" t="s">
        <v>4834</v>
      </c>
      <c r="E123" s="172" t="s">
        <v>28</v>
      </c>
      <c r="F123" s="172" t="b">
        <v>1</v>
      </c>
      <c r="G123" s="172" t="b">
        <v>1</v>
      </c>
      <c r="H123" s="172" t="b">
        <v>1</v>
      </c>
      <c r="I123" s="172" t="b">
        <v>0</v>
      </c>
      <c r="J123" s="172" t="b">
        <v>0</v>
      </c>
      <c r="K123" s="172" t="b">
        <v>0</v>
      </c>
      <c r="L123" s="172" t="b">
        <v>0</v>
      </c>
      <c r="M123" s="172" t="b">
        <v>0</v>
      </c>
      <c r="N123" s="97"/>
      <c r="O123" s="97"/>
      <c r="P123" s="97"/>
      <c r="Q123" s="174"/>
    </row>
    <row r="124" spans="8:8" ht="43.5" customHeight="1">
      <c r="A124" s="172">
        <v>12.0</v>
      </c>
      <c r="B124" s="171" t="s">
        <v>3570</v>
      </c>
      <c r="C124" s="172">
        <v>251462.0</v>
      </c>
      <c r="D124" s="171" t="s">
        <v>4827</v>
      </c>
      <c r="E124" s="172" t="s">
        <v>28</v>
      </c>
      <c r="F124" s="172" t="b">
        <v>0</v>
      </c>
      <c r="G124" s="172" t="b">
        <v>1</v>
      </c>
      <c r="H124" s="172" t="b">
        <v>0</v>
      </c>
      <c r="I124" s="172" t="b">
        <v>0</v>
      </c>
      <c r="J124" s="172" t="b">
        <v>0</v>
      </c>
      <c r="K124" s="172" t="b">
        <v>0</v>
      </c>
      <c r="L124" s="172" t="b">
        <v>0</v>
      </c>
      <c r="M124" s="172" t="b">
        <v>0</v>
      </c>
      <c r="N124" s="97"/>
      <c r="O124" s="97"/>
      <c r="P124" s="97"/>
      <c r="Q124" s="174"/>
    </row>
    <row r="125" spans="8:8" ht="43.5" customHeight="1">
      <c r="A125" s="172">
        <v>6.0</v>
      </c>
      <c r="B125" s="171" t="s">
        <v>4105</v>
      </c>
      <c r="C125" s="172">
        <v>251456.0</v>
      </c>
      <c r="D125" s="171" t="s">
        <v>4827</v>
      </c>
      <c r="E125" s="172" t="s">
        <v>28</v>
      </c>
      <c r="F125" s="172" t="b">
        <v>1</v>
      </c>
      <c r="G125" s="172" t="b">
        <v>1</v>
      </c>
      <c r="H125" s="172" t="b">
        <v>0</v>
      </c>
      <c r="I125" s="172" t="b">
        <v>0</v>
      </c>
      <c r="J125" s="172" t="b">
        <v>0</v>
      </c>
      <c r="K125" s="172" t="b">
        <v>0</v>
      </c>
      <c r="L125" s="172" t="b">
        <v>0</v>
      </c>
      <c r="M125" s="172" t="b">
        <v>0</v>
      </c>
      <c r="N125" s="97"/>
      <c r="O125" s="97"/>
      <c r="P125" s="97"/>
      <c r="Q125" s="174"/>
    </row>
    <row r="126" spans="8:8" ht="43.5" customHeight="1">
      <c r="A126" s="170"/>
      <c r="B126" s="182" t="s">
        <v>4815</v>
      </c>
      <c r="C126" s="97"/>
      <c r="D126" s="97"/>
      <c r="E126" s="183"/>
      <c r="F126" s="184">
        <f t="shared" si="3" ref="F126:M126">COUNTIF(F93:F114,TRUE)/COUNTA(F93:F114)</f>
        <v>0.4090909090909091</v>
      </c>
      <c r="G126" s="184">
        <f t="shared" si="3"/>
        <v>0.6818181818181818</v>
      </c>
      <c r="H126" s="184">
        <f t="shared" si="3"/>
        <v>0.6363636363636364</v>
      </c>
      <c r="I126" s="184">
        <f t="shared" si="3"/>
        <v>0.0</v>
      </c>
      <c r="J126" s="184">
        <f t="shared" si="3"/>
        <v>0.0</v>
      </c>
      <c r="K126" s="184">
        <f t="shared" si="3"/>
        <v>0.0</v>
      </c>
      <c r="L126" s="184">
        <f t="shared" si="3"/>
        <v>0.0</v>
      </c>
      <c r="M126" s="184">
        <f t="shared" si="3"/>
        <v>0.0</v>
      </c>
      <c r="N126" s="97"/>
      <c r="O126" s="97"/>
      <c r="P126" s="97"/>
      <c r="Q126" s="174"/>
    </row>
    <row r="127" spans="8:8" ht="43.5" customHeight="1">
      <c r="A127" s="185" t="s">
        <v>18</v>
      </c>
      <c r="B127" s="162" t="s">
        <v>19</v>
      </c>
      <c r="C127" s="163"/>
      <c r="D127" s="162" t="s">
        <v>4530</v>
      </c>
      <c r="E127" s="162" t="s">
        <v>22</v>
      </c>
      <c r="F127" s="163" t="s">
        <v>4794</v>
      </c>
      <c r="G127" s="163" t="s">
        <v>4795</v>
      </c>
      <c r="H127" s="163" t="s">
        <v>4796</v>
      </c>
      <c r="I127" s="163" t="s">
        <v>4797</v>
      </c>
      <c r="J127" s="163" t="s">
        <v>4798</v>
      </c>
      <c r="K127" s="163" t="s">
        <v>4799</v>
      </c>
      <c r="L127" s="163" t="s">
        <v>4800</v>
      </c>
      <c r="M127" s="163" t="s">
        <v>4801</v>
      </c>
      <c r="N127" s="166" t="s">
        <v>4835</v>
      </c>
      <c r="O127" s="167"/>
      <c r="P127" s="168"/>
      <c r="Q127" s="169"/>
    </row>
    <row r="128" spans="8:8" ht="43.5" customHeight="1">
      <c r="A128" s="170">
        <v>1.0</v>
      </c>
      <c r="B128" s="171" t="s">
        <v>3579</v>
      </c>
      <c r="C128" s="172">
        <v>251423.0</v>
      </c>
      <c r="D128" s="171" t="s">
        <v>4832</v>
      </c>
      <c r="E128" s="172" t="s">
        <v>28</v>
      </c>
      <c r="F128" s="172" t="b">
        <v>1</v>
      </c>
      <c r="G128" s="172" t="b">
        <v>0</v>
      </c>
      <c r="H128" s="172" t="b">
        <v>1</v>
      </c>
      <c r="I128" s="172" t="b">
        <v>0</v>
      </c>
      <c r="J128" s="172" t="b">
        <v>0</v>
      </c>
      <c r="K128" s="172" t="b">
        <v>0</v>
      </c>
      <c r="L128" s="172" t="b">
        <v>0</v>
      </c>
      <c r="M128" s="172" t="b">
        <v>0</v>
      </c>
      <c r="N128" s="173" t="s">
        <v>4804</v>
      </c>
      <c r="O128" s="167"/>
      <c r="P128" s="168"/>
      <c r="Q128" s="174"/>
    </row>
    <row r="129" spans="8:8" ht="43.5" customHeight="1">
      <c r="A129" s="170">
        <v>2.0</v>
      </c>
      <c r="B129" s="171" t="s">
        <v>3580</v>
      </c>
      <c r="C129" s="172">
        <v>251424.0</v>
      </c>
      <c r="D129" s="171" t="s">
        <v>4832</v>
      </c>
      <c r="E129" s="172" t="s">
        <v>28</v>
      </c>
      <c r="F129" s="172" t="b">
        <v>0</v>
      </c>
      <c r="G129" s="172" t="b">
        <v>0</v>
      </c>
      <c r="H129" s="172" t="b">
        <v>1</v>
      </c>
      <c r="I129" s="172" t="b">
        <v>0</v>
      </c>
      <c r="J129" s="172" t="b">
        <v>0</v>
      </c>
      <c r="K129" s="172" t="b">
        <v>0</v>
      </c>
      <c r="L129" s="172" t="b">
        <v>0</v>
      </c>
      <c r="M129" s="172" t="b">
        <v>0</v>
      </c>
      <c r="N129" s="175" t="s">
        <v>4805</v>
      </c>
      <c r="O129" s="176" t="s">
        <v>4806</v>
      </c>
      <c r="P129" s="97" t="s">
        <v>4807</v>
      </c>
      <c r="Q129" s="174"/>
    </row>
    <row r="130" spans="8:8" ht="43.5" customHeight="1">
      <c r="A130" s="170">
        <v>3.0</v>
      </c>
      <c r="B130" s="171" t="s">
        <v>3581</v>
      </c>
      <c r="C130" s="172">
        <v>251425.0</v>
      </c>
      <c r="D130" s="171" t="s">
        <v>4832</v>
      </c>
      <c r="E130" s="172" t="s">
        <v>28</v>
      </c>
      <c r="F130" s="172" t="b">
        <v>0</v>
      </c>
      <c r="G130" s="172" t="b">
        <v>1</v>
      </c>
      <c r="H130" s="172" t="b">
        <v>1</v>
      </c>
      <c r="I130" s="172" t="b">
        <v>0</v>
      </c>
      <c r="J130" s="172" t="b">
        <v>0</v>
      </c>
      <c r="K130" s="172" t="b">
        <v>0</v>
      </c>
      <c r="L130" s="172" t="b">
        <v>0</v>
      </c>
      <c r="M130" s="172" t="b">
        <v>0</v>
      </c>
      <c r="N130" s="97" t="s">
        <v>4794</v>
      </c>
      <c r="O130" s="172" t="b">
        <v>0</v>
      </c>
      <c r="P130" s="97" t="s">
        <v>4836</v>
      </c>
      <c r="Q130" s="174"/>
    </row>
    <row r="131" spans="8:8" ht="43.5" customHeight="1">
      <c r="A131" s="170">
        <v>4.0</v>
      </c>
      <c r="B131" s="171" t="s">
        <v>3582</v>
      </c>
      <c r="C131" s="172">
        <v>251426.0</v>
      </c>
      <c r="D131" s="171" t="s">
        <v>4832</v>
      </c>
      <c r="E131" s="172" t="s">
        <v>28</v>
      </c>
      <c r="F131" s="172" t="b">
        <v>1</v>
      </c>
      <c r="G131" s="172" t="b">
        <v>1</v>
      </c>
      <c r="H131" s="172" t="b">
        <v>0</v>
      </c>
      <c r="I131" s="172" t="b">
        <v>0</v>
      </c>
      <c r="J131" s="172" t="b">
        <v>0</v>
      </c>
      <c r="K131" s="172" t="b">
        <v>0</v>
      </c>
      <c r="L131" s="172" t="b">
        <v>0</v>
      </c>
      <c r="M131" s="172" t="b">
        <v>0</v>
      </c>
      <c r="N131" s="97" t="s">
        <v>4795</v>
      </c>
      <c r="O131" s="172" t="b">
        <v>1</v>
      </c>
      <c r="P131" s="97"/>
      <c r="Q131" s="174"/>
    </row>
    <row r="132" spans="8:8" ht="43.5" customHeight="1">
      <c r="A132" s="170">
        <v>5.0</v>
      </c>
      <c r="B132" s="171" t="s">
        <v>3583</v>
      </c>
      <c r="C132" s="172">
        <v>251427.0</v>
      </c>
      <c r="D132" s="171" t="s">
        <v>4832</v>
      </c>
      <c r="E132" s="172" t="s">
        <v>28</v>
      </c>
      <c r="F132" s="172" t="b">
        <v>0</v>
      </c>
      <c r="G132" s="172" t="b">
        <v>1</v>
      </c>
      <c r="H132" s="172" t="b">
        <v>1</v>
      </c>
      <c r="I132" s="172" t="b">
        <v>0</v>
      </c>
      <c r="J132" s="172" t="b">
        <v>0</v>
      </c>
      <c r="K132" s="172" t="b">
        <v>0</v>
      </c>
      <c r="L132" s="172" t="b">
        <v>0</v>
      </c>
      <c r="M132" s="172" t="b">
        <v>0</v>
      </c>
      <c r="N132" s="97" t="s">
        <v>4796</v>
      </c>
      <c r="O132" s="172" t="b">
        <v>0</v>
      </c>
      <c r="P132" s="97" t="s">
        <v>4837</v>
      </c>
      <c r="Q132" s="174"/>
    </row>
    <row r="133" spans="8:8" ht="43.5" customHeight="1">
      <c r="A133" s="170">
        <v>6.0</v>
      </c>
      <c r="B133" s="171" t="s">
        <v>3584</v>
      </c>
      <c r="C133" s="172">
        <v>251428.0</v>
      </c>
      <c r="D133" s="171" t="s">
        <v>4832</v>
      </c>
      <c r="E133" s="172" t="s">
        <v>28</v>
      </c>
      <c r="F133" s="172" t="b">
        <v>0</v>
      </c>
      <c r="G133" s="172" t="b">
        <v>0</v>
      </c>
      <c r="H133" s="172" t="b">
        <v>1</v>
      </c>
      <c r="I133" s="172" t="b">
        <v>0</v>
      </c>
      <c r="J133" s="172" t="b">
        <v>0</v>
      </c>
      <c r="K133" s="172" t="b">
        <v>0</v>
      </c>
      <c r="L133" s="172" t="b">
        <v>0</v>
      </c>
      <c r="M133" s="172" t="b">
        <v>0</v>
      </c>
      <c r="N133" s="97" t="s">
        <v>4797</v>
      </c>
      <c r="O133" s="172" t="b">
        <v>0</v>
      </c>
      <c r="P133" s="97"/>
      <c r="Q133" s="174"/>
    </row>
    <row r="134" spans="8:8" ht="43.5" customHeight="1">
      <c r="A134" s="170">
        <v>7.0</v>
      </c>
      <c r="B134" s="171" t="s">
        <v>3585</v>
      </c>
      <c r="C134" s="172">
        <v>251429.0</v>
      </c>
      <c r="D134" s="171" t="s">
        <v>4832</v>
      </c>
      <c r="E134" s="172" t="s">
        <v>28</v>
      </c>
      <c r="F134" s="172" t="b">
        <v>0</v>
      </c>
      <c r="G134" s="172" t="b">
        <v>1</v>
      </c>
      <c r="H134" s="172" t="b">
        <v>0</v>
      </c>
      <c r="I134" s="172" t="b">
        <v>0</v>
      </c>
      <c r="J134" s="172" t="b">
        <v>0</v>
      </c>
      <c r="K134" s="172" t="b">
        <v>0</v>
      </c>
      <c r="L134" s="172" t="b">
        <v>0</v>
      </c>
      <c r="M134" s="172" t="b">
        <v>0</v>
      </c>
      <c r="N134" s="97" t="s">
        <v>4798</v>
      </c>
      <c r="O134" s="172" t="b">
        <v>0</v>
      </c>
      <c r="P134" s="97"/>
      <c r="Q134" s="174"/>
    </row>
    <row r="135" spans="8:8" ht="43.5" customHeight="1">
      <c r="A135" s="170">
        <v>8.0</v>
      </c>
      <c r="B135" s="171" t="s">
        <v>3636</v>
      </c>
      <c r="C135" s="172">
        <v>252970.0</v>
      </c>
      <c r="D135" s="171" t="s">
        <v>4803</v>
      </c>
      <c r="E135" s="172" t="s">
        <v>28</v>
      </c>
      <c r="F135" s="172" t="b">
        <v>1</v>
      </c>
      <c r="G135" s="172" t="b">
        <v>1</v>
      </c>
      <c r="H135" s="172" t="b">
        <v>1</v>
      </c>
      <c r="I135" s="172" t="b">
        <v>0</v>
      </c>
      <c r="J135" s="172" t="b">
        <v>0</v>
      </c>
      <c r="K135" s="172" t="b">
        <v>0</v>
      </c>
      <c r="L135" s="172" t="b">
        <v>0</v>
      </c>
      <c r="M135" s="172" t="b">
        <v>0</v>
      </c>
      <c r="N135" s="97" t="s">
        <v>4799</v>
      </c>
      <c r="O135" s="172" t="b">
        <v>0</v>
      </c>
      <c r="P135" s="97"/>
      <c r="Q135" s="174"/>
    </row>
    <row r="136" spans="8:8" ht="43.5" customHeight="1">
      <c r="A136" s="170"/>
      <c r="B136" s="171" t="s">
        <v>3586</v>
      </c>
      <c r="C136" s="172">
        <v>252972.0</v>
      </c>
      <c r="D136" s="171" t="s">
        <v>4803</v>
      </c>
      <c r="E136" s="172" t="s">
        <v>28</v>
      </c>
      <c r="F136" s="172" t="b">
        <v>0</v>
      </c>
      <c r="G136" s="172" t="b">
        <v>1</v>
      </c>
      <c r="H136" s="172" t="b">
        <v>0</v>
      </c>
      <c r="I136" s="172" t="b">
        <v>0</v>
      </c>
      <c r="J136" s="172" t="b">
        <v>0</v>
      </c>
      <c r="K136" s="172" t="b">
        <v>0</v>
      </c>
      <c r="L136" s="172" t="b">
        <v>0</v>
      </c>
      <c r="M136" s="172" t="b">
        <v>0</v>
      </c>
      <c r="N136" s="97" t="s">
        <v>4800</v>
      </c>
      <c r="O136" s="172" t="b">
        <v>0</v>
      </c>
      <c r="P136" s="97"/>
      <c r="Q136" s="174"/>
    </row>
    <row r="137" spans="8:8" ht="43.5" customHeight="1">
      <c r="A137" s="170">
        <v>10.0</v>
      </c>
      <c r="B137" s="171" t="s">
        <v>3608</v>
      </c>
      <c r="C137" s="172">
        <v>251530.0</v>
      </c>
      <c r="D137" s="171" t="s">
        <v>4838</v>
      </c>
      <c r="E137" s="172" t="s">
        <v>28</v>
      </c>
      <c r="F137" s="172" t="b">
        <v>0</v>
      </c>
      <c r="G137" s="172" t="b">
        <v>1</v>
      </c>
      <c r="H137" s="172" t="b">
        <v>1</v>
      </c>
      <c r="I137" s="172" t="b">
        <v>0</v>
      </c>
      <c r="J137" s="172" t="b">
        <v>0</v>
      </c>
      <c r="K137" s="172" t="b">
        <v>0</v>
      </c>
      <c r="L137" s="172" t="b">
        <v>0</v>
      </c>
      <c r="M137" s="172" t="b">
        <v>0</v>
      </c>
      <c r="N137" s="97" t="s">
        <v>4801</v>
      </c>
      <c r="O137" s="172" t="b">
        <v>0</v>
      </c>
      <c r="P137" s="97"/>
      <c r="Q137" s="174"/>
    </row>
    <row r="138" spans="8:8" ht="43.5" customHeight="1">
      <c r="A138" s="170">
        <v>11.0</v>
      </c>
      <c r="B138" s="171" t="s">
        <v>3587</v>
      </c>
      <c r="C138" s="172">
        <v>251532.0</v>
      </c>
      <c r="D138" s="171" t="s">
        <v>4838</v>
      </c>
      <c r="E138" s="172" t="s">
        <v>28</v>
      </c>
      <c r="F138" s="172" t="b">
        <v>1</v>
      </c>
      <c r="G138" s="172" t="b">
        <v>1</v>
      </c>
      <c r="H138" s="172" t="b">
        <v>1</v>
      </c>
      <c r="I138" s="172" t="b">
        <v>0</v>
      </c>
      <c r="J138" s="172" t="b">
        <v>0</v>
      </c>
      <c r="K138" s="172" t="b">
        <v>0</v>
      </c>
      <c r="L138" s="172" t="b">
        <v>0</v>
      </c>
      <c r="M138" s="172" t="b">
        <v>0</v>
      </c>
      <c r="N138" s="97"/>
      <c r="O138" s="97"/>
      <c r="P138" s="97"/>
      <c r="Q138" s="174"/>
    </row>
    <row r="139" spans="8:8" ht="43.5" customHeight="1">
      <c r="A139" s="170">
        <v>12.0</v>
      </c>
      <c r="B139" s="171" t="s">
        <v>3588</v>
      </c>
      <c r="C139" s="172">
        <v>251533.0</v>
      </c>
      <c r="D139" s="171" t="s">
        <v>4838</v>
      </c>
      <c r="E139" s="172" t="s">
        <v>28</v>
      </c>
      <c r="F139" s="172" t="b">
        <v>0</v>
      </c>
      <c r="G139" s="172" t="b">
        <v>1</v>
      </c>
      <c r="H139" s="172" t="b">
        <v>1</v>
      </c>
      <c r="I139" s="172" t="b">
        <v>0</v>
      </c>
      <c r="J139" s="172" t="b">
        <v>0</v>
      </c>
      <c r="K139" s="172" t="b">
        <v>0</v>
      </c>
      <c r="L139" s="172" t="b">
        <v>0</v>
      </c>
      <c r="M139" s="172" t="b">
        <v>0</v>
      </c>
      <c r="N139" s="97"/>
      <c r="O139" s="97"/>
      <c r="P139" s="97"/>
      <c r="Q139" s="174"/>
    </row>
    <row r="140" spans="8:8" ht="43.5" customHeight="1">
      <c r="A140" s="170">
        <v>13.0</v>
      </c>
      <c r="B140" s="171" t="s">
        <v>4100</v>
      </c>
      <c r="C140" s="172">
        <v>251534.0</v>
      </c>
      <c r="D140" s="171" t="s">
        <v>4838</v>
      </c>
      <c r="E140" s="172" t="s">
        <v>28</v>
      </c>
      <c r="F140" s="172" t="b">
        <v>0</v>
      </c>
      <c r="G140" s="172" t="b">
        <v>0</v>
      </c>
      <c r="H140" s="172" t="b">
        <v>0</v>
      </c>
      <c r="I140" s="172" t="b">
        <v>0</v>
      </c>
      <c r="J140" s="172" t="b">
        <v>0</v>
      </c>
      <c r="K140" s="172" t="b">
        <v>0</v>
      </c>
      <c r="L140" s="172" t="b">
        <v>0</v>
      </c>
      <c r="M140" s="172" t="b">
        <v>0</v>
      </c>
      <c r="N140" s="97"/>
      <c r="O140" s="97"/>
      <c r="P140" s="97"/>
      <c r="Q140" s="174"/>
    </row>
    <row r="141" spans="8:8" ht="43.5" customHeight="1">
      <c r="A141" s="170">
        <v>14.0</v>
      </c>
      <c r="B141" s="171" t="s">
        <v>3589</v>
      </c>
      <c r="C141" s="172">
        <v>251536.0</v>
      </c>
      <c r="D141" s="171" t="s">
        <v>4838</v>
      </c>
      <c r="E141" s="172" t="s">
        <v>28</v>
      </c>
      <c r="F141" s="172" t="b">
        <v>1</v>
      </c>
      <c r="G141" s="172" t="b">
        <v>1</v>
      </c>
      <c r="H141" s="172" t="b">
        <v>1</v>
      </c>
      <c r="I141" s="172" t="b">
        <v>0</v>
      </c>
      <c r="J141" s="172" t="b">
        <v>0</v>
      </c>
      <c r="K141" s="172" t="b">
        <v>0</v>
      </c>
      <c r="L141" s="172" t="b">
        <v>0</v>
      </c>
      <c r="M141" s="172" t="b">
        <v>0</v>
      </c>
      <c r="N141" s="97"/>
      <c r="O141" s="97"/>
      <c r="P141" s="97"/>
      <c r="Q141" s="174"/>
    </row>
    <row r="142" spans="8:8" ht="43.5" customHeight="1">
      <c r="A142" s="170">
        <v>15.0</v>
      </c>
      <c r="B142" s="171" t="s">
        <v>3590</v>
      </c>
      <c r="C142" s="172">
        <v>251537.0</v>
      </c>
      <c r="D142" s="171" t="s">
        <v>4838</v>
      </c>
      <c r="E142" s="172" t="s">
        <v>28</v>
      </c>
      <c r="F142" s="172" t="b">
        <v>0</v>
      </c>
      <c r="G142" s="172" t="b">
        <v>0</v>
      </c>
      <c r="H142" s="172" t="b">
        <v>1</v>
      </c>
      <c r="I142" s="172" t="b">
        <v>0</v>
      </c>
      <c r="J142" s="172" t="b">
        <v>0</v>
      </c>
      <c r="K142" s="172" t="b">
        <v>0</v>
      </c>
      <c r="L142" s="172" t="b">
        <v>0</v>
      </c>
      <c r="M142" s="172" t="b">
        <v>0</v>
      </c>
      <c r="N142" s="97"/>
      <c r="O142" s="97"/>
      <c r="P142" s="97"/>
      <c r="Q142" s="174"/>
    </row>
    <row r="143" spans="8:8" ht="43.5" customHeight="1">
      <c r="A143" s="170">
        <v>17.0</v>
      </c>
      <c r="B143" s="171" t="s">
        <v>3591</v>
      </c>
      <c r="C143" s="172">
        <v>251620.0</v>
      </c>
      <c r="D143" s="171" t="s">
        <v>4823</v>
      </c>
      <c r="E143" s="172" t="s">
        <v>28</v>
      </c>
      <c r="F143" s="172" t="b">
        <v>0</v>
      </c>
      <c r="G143" s="172" t="b">
        <v>0</v>
      </c>
      <c r="H143" s="172" t="b">
        <v>1</v>
      </c>
      <c r="I143" s="172" t="b">
        <v>0</v>
      </c>
      <c r="J143" s="172" t="b">
        <v>0</v>
      </c>
      <c r="K143" s="172" t="b">
        <v>0</v>
      </c>
      <c r="L143" s="172" t="b">
        <v>0</v>
      </c>
      <c r="M143" s="172" t="b">
        <v>0</v>
      </c>
      <c r="N143" s="97"/>
      <c r="O143" s="97"/>
      <c r="P143" s="97"/>
      <c r="Q143" s="174"/>
    </row>
    <row r="144" spans="8:8" ht="43.5" customHeight="1">
      <c r="A144" s="170">
        <v>18.0</v>
      </c>
      <c r="B144" s="171" t="s">
        <v>3592</v>
      </c>
      <c r="C144" s="172">
        <v>251543.0</v>
      </c>
      <c r="D144" s="171" t="s">
        <v>4838</v>
      </c>
      <c r="E144" s="172" t="s">
        <v>28</v>
      </c>
      <c r="F144" s="172" t="b">
        <v>0</v>
      </c>
      <c r="G144" s="172" t="b">
        <v>1</v>
      </c>
      <c r="H144" s="172" t="b">
        <v>1</v>
      </c>
      <c r="I144" s="172" t="b">
        <v>0</v>
      </c>
      <c r="J144" s="172" t="b">
        <v>0</v>
      </c>
      <c r="K144" s="172" t="b">
        <v>0</v>
      </c>
      <c r="L144" s="172" t="b">
        <v>0</v>
      </c>
      <c r="M144" s="172" t="b">
        <v>0</v>
      </c>
      <c r="N144" s="97"/>
      <c r="O144" s="97"/>
      <c r="P144" s="97"/>
      <c r="Q144" s="174"/>
    </row>
    <row r="145" spans="8:8" ht="43.5" customHeight="1">
      <c r="A145" s="170">
        <v>19.0</v>
      </c>
      <c r="B145" s="171" t="s">
        <v>3593</v>
      </c>
      <c r="C145" s="172">
        <v>251553.0</v>
      </c>
      <c r="D145" s="171" t="s">
        <v>4838</v>
      </c>
      <c r="E145" s="172" t="s">
        <v>28</v>
      </c>
      <c r="F145" s="172" t="b">
        <v>0</v>
      </c>
      <c r="G145" s="172" t="b">
        <v>1</v>
      </c>
      <c r="H145" s="172" t="b">
        <v>0</v>
      </c>
      <c r="I145" s="172" t="b">
        <v>0</v>
      </c>
      <c r="J145" s="172" t="b">
        <v>0</v>
      </c>
      <c r="K145" s="172" t="b">
        <v>0</v>
      </c>
      <c r="L145" s="172" t="b">
        <v>0</v>
      </c>
      <c r="M145" s="172" t="b">
        <v>0</v>
      </c>
      <c r="N145" s="97"/>
      <c r="O145" s="97"/>
      <c r="P145" s="97"/>
      <c r="Q145" s="174"/>
    </row>
    <row r="146" spans="8:8" ht="43.5" customHeight="1">
      <c r="A146" s="170">
        <v>20.0</v>
      </c>
      <c r="B146" s="171" t="s">
        <v>3594</v>
      </c>
      <c r="C146" s="172">
        <v>253158.0</v>
      </c>
      <c r="D146" s="171" t="s">
        <v>4839</v>
      </c>
      <c r="E146" s="172" t="s">
        <v>28</v>
      </c>
      <c r="F146" s="172" t="b">
        <v>0</v>
      </c>
      <c r="G146" s="172" t="b">
        <v>0</v>
      </c>
      <c r="H146" s="172" t="b">
        <v>0</v>
      </c>
      <c r="I146" s="172" t="b">
        <v>0</v>
      </c>
      <c r="J146" s="172" t="b">
        <v>0</v>
      </c>
      <c r="K146" s="172" t="b">
        <v>0</v>
      </c>
      <c r="L146" s="172" t="b">
        <v>0</v>
      </c>
      <c r="M146" s="172" t="b">
        <v>0</v>
      </c>
      <c r="N146" s="97"/>
      <c r="O146" s="97"/>
      <c r="P146" s="97"/>
      <c r="Q146" s="174"/>
    </row>
    <row r="147" spans="8:8" ht="43.5" customHeight="1">
      <c r="A147" s="170">
        <v>21.0</v>
      </c>
      <c r="B147" s="171" t="s">
        <v>3595</v>
      </c>
      <c r="C147" s="172">
        <v>253093.0</v>
      </c>
      <c r="D147" s="172"/>
      <c r="E147" s="97" t="s">
        <v>28</v>
      </c>
      <c r="F147" s="172" t="b">
        <v>0</v>
      </c>
      <c r="G147" s="172" t="b">
        <v>0</v>
      </c>
      <c r="H147" s="172" t="b">
        <v>0</v>
      </c>
      <c r="I147" s="172" t="b">
        <v>0</v>
      </c>
      <c r="J147" s="172" t="b">
        <v>0</v>
      </c>
      <c r="K147" s="172" t="b">
        <v>0</v>
      </c>
      <c r="L147" s="172" t="b">
        <v>0</v>
      </c>
      <c r="M147" s="172" t="b">
        <v>0</v>
      </c>
      <c r="N147" s="97"/>
      <c r="O147" s="97"/>
      <c r="P147" s="97"/>
      <c r="Q147" s="174"/>
    </row>
    <row r="148" spans="8:8" ht="43.5" customHeight="1">
      <c r="A148" s="172">
        <v>11.0</v>
      </c>
      <c r="B148" s="171" t="s">
        <v>3596</v>
      </c>
      <c r="C148" s="172">
        <v>251673.0</v>
      </c>
      <c r="D148" s="171" t="s">
        <v>4840</v>
      </c>
      <c r="E148" s="172" t="s">
        <v>28</v>
      </c>
      <c r="F148" s="172" t="b">
        <v>1</v>
      </c>
      <c r="G148" s="172" t="b">
        <v>1</v>
      </c>
      <c r="H148" s="172" t="b">
        <v>1</v>
      </c>
      <c r="I148" s="172" t="b">
        <v>0</v>
      </c>
      <c r="J148" s="172" t="b">
        <v>0</v>
      </c>
      <c r="K148" s="172" t="b">
        <v>0</v>
      </c>
      <c r="L148" s="172" t="b">
        <v>0</v>
      </c>
      <c r="M148" s="172" t="b">
        <v>0</v>
      </c>
      <c r="N148" s="97"/>
      <c r="O148" s="97"/>
      <c r="P148" s="97"/>
      <c r="Q148" s="174"/>
    </row>
    <row r="149" spans="8:8" ht="43.5" customHeight="1">
      <c r="A149" s="172">
        <v>4.0</v>
      </c>
      <c r="B149" s="171" t="s">
        <v>3597</v>
      </c>
      <c r="C149" s="172">
        <v>251527.0</v>
      </c>
      <c r="D149" s="171" t="s">
        <v>4841</v>
      </c>
      <c r="E149" s="172" t="s">
        <v>28</v>
      </c>
      <c r="F149" s="172" t="b">
        <v>1</v>
      </c>
      <c r="G149" s="172" t="b">
        <v>1</v>
      </c>
      <c r="H149" s="172" t="b">
        <v>1</v>
      </c>
      <c r="I149" s="172" t="b">
        <v>0</v>
      </c>
      <c r="J149" s="172" t="b">
        <v>0</v>
      </c>
      <c r="K149" s="172" t="b">
        <v>0</v>
      </c>
      <c r="L149" s="172" t="b">
        <v>0</v>
      </c>
      <c r="M149" s="172" t="b">
        <v>0</v>
      </c>
      <c r="N149" s="97"/>
      <c r="O149" s="97"/>
      <c r="P149" s="97"/>
      <c r="Q149" s="174"/>
    </row>
    <row r="150" spans="8:8" ht="43.5" customHeight="1">
      <c r="A150" s="172">
        <v>16.0</v>
      </c>
      <c r="B150" s="181" t="s">
        <v>3599</v>
      </c>
      <c r="C150" s="97">
        <v>253014.0</v>
      </c>
      <c r="D150" s="181" t="s">
        <v>4842</v>
      </c>
      <c r="E150" s="172" t="s">
        <v>28</v>
      </c>
      <c r="F150" s="172" t="b">
        <v>0</v>
      </c>
      <c r="G150" s="172" t="b">
        <v>0</v>
      </c>
      <c r="H150" s="172" t="b">
        <v>1</v>
      </c>
      <c r="I150" s="172" t="b">
        <v>0</v>
      </c>
      <c r="J150" s="172" t="b">
        <v>0</v>
      </c>
      <c r="K150" s="172" t="b">
        <v>0</v>
      </c>
      <c r="L150" s="172" t="b">
        <v>0</v>
      </c>
      <c r="M150" s="172" t="b">
        <v>0</v>
      </c>
      <c r="N150" s="97"/>
      <c r="O150" s="97"/>
      <c r="P150" s="97"/>
      <c r="Q150" s="174"/>
    </row>
    <row r="151" spans="8:8" ht="43.5" customHeight="1">
      <c r="A151" s="172" t="b">
        <v>1</v>
      </c>
      <c r="B151" s="171" t="s">
        <v>3600</v>
      </c>
      <c r="C151" s="172">
        <v>251706.0</v>
      </c>
      <c r="D151" s="171" t="s">
        <v>4843</v>
      </c>
      <c r="E151" s="172" t="s">
        <v>28</v>
      </c>
      <c r="F151" s="172" t="b">
        <v>0</v>
      </c>
      <c r="G151" s="172" t="b">
        <v>0</v>
      </c>
      <c r="H151" s="172" t="b">
        <v>1</v>
      </c>
      <c r="I151" s="172" t="b">
        <v>0</v>
      </c>
      <c r="J151" s="172" t="b">
        <v>0</v>
      </c>
      <c r="K151" s="172" t="b">
        <v>0</v>
      </c>
      <c r="L151" s="172" t="b">
        <v>0</v>
      </c>
      <c r="M151" s="172" t="b">
        <v>0</v>
      </c>
      <c r="N151" s="97"/>
      <c r="O151" s="97"/>
      <c r="P151" s="97"/>
      <c r="Q151" s="174"/>
    </row>
    <row r="152" spans="8:8" ht="43.5" customHeight="1">
      <c r="A152" s="172">
        <v>2.0</v>
      </c>
      <c r="B152" s="171" t="s">
        <v>3601</v>
      </c>
      <c r="C152" s="172">
        <v>251487.0</v>
      </c>
      <c r="D152" s="171" t="s">
        <v>4834</v>
      </c>
      <c r="E152" s="172" t="s">
        <v>28</v>
      </c>
      <c r="F152" s="172" t="b">
        <v>1</v>
      </c>
      <c r="G152" s="172" t="b">
        <v>1</v>
      </c>
      <c r="H152" s="172" t="b">
        <v>1</v>
      </c>
      <c r="I152" s="172" t="b">
        <v>0</v>
      </c>
      <c r="J152" s="172" t="b">
        <v>0</v>
      </c>
      <c r="K152" s="172" t="b">
        <v>0</v>
      </c>
      <c r="L152" s="172" t="b">
        <v>0</v>
      </c>
      <c r="M152" s="172" t="b">
        <v>0</v>
      </c>
      <c r="N152" s="97"/>
      <c r="O152" s="97"/>
      <c r="P152" s="97"/>
      <c r="Q152" s="174"/>
    </row>
    <row r="153" spans="8:8" ht="43.5" customHeight="1">
      <c r="A153" s="172">
        <v>3.0</v>
      </c>
      <c r="B153" s="171" t="s">
        <v>3602</v>
      </c>
      <c r="C153" s="172">
        <v>251496.0</v>
      </c>
      <c r="D153" s="171" t="s">
        <v>4834</v>
      </c>
      <c r="E153" s="172" t="s">
        <v>28</v>
      </c>
      <c r="F153" s="172" t="b">
        <v>0</v>
      </c>
      <c r="G153" s="172" t="b">
        <v>1</v>
      </c>
      <c r="H153" s="172" t="b">
        <v>1</v>
      </c>
      <c r="I153" s="172" t="b">
        <v>0</v>
      </c>
      <c r="J153" s="172" t="b">
        <v>0</v>
      </c>
      <c r="K153" s="172" t="b">
        <v>0</v>
      </c>
      <c r="L153" s="172" t="b">
        <v>0</v>
      </c>
      <c r="M153" s="172" t="b">
        <v>0</v>
      </c>
      <c r="N153" s="97"/>
      <c r="O153" s="97"/>
      <c r="P153" s="97"/>
      <c r="Q153" s="174"/>
    </row>
    <row r="154" spans="8:8" ht="43.5" customHeight="1">
      <c r="A154" s="172">
        <v>23.0</v>
      </c>
      <c r="B154" s="181" t="s">
        <v>3603</v>
      </c>
      <c r="C154" s="97">
        <v>253044.0</v>
      </c>
      <c r="D154" s="181" t="s">
        <v>4811</v>
      </c>
      <c r="E154" s="172" t="s">
        <v>28</v>
      </c>
      <c r="F154" s="172" t="b">
        <v>1</v>
      </c>
      <c r="G154" s="172" t="b">
        <v>1</v>
      </c>
      <c r="H154" s="172" t="b">
        <v>1</v>
      </c>
      <c r="I154" s="172" t="b">
        <v>0</v>
      </c>
      <c r="J154" s="172" t="b">
        <v>0</v>
      </c>
      <c r="K154" s="172" t="b">
        <v>0</v>
      </c>
      <c r="L154" s="172" t="b">
        <v>0</v>
      </c>
      <c r="M154" s="172" t="b">
        <v>0</v>
      </c>
      <c r="N154" s="97"/>
      <c r="O154" s="97"/>
      <c r="P154" s="97"/>
      <c r="Q154" s="174"/>
    </row>
    <row r="155" spans="8:8" ht="43.5" customHeight="1">
      <c r="A155" s="172">
        <v>1.0</v>
      </c>
      <c r="B155" s="171" t="s">
        <v>3604</v>
      </c>
      <c r="C155" s="172">
        <v>251483.0</v>
      </c>
      <c r="D155" s="171" t="s">
        <v>4834</v>
      </c>
      <c r="E155" s="172" t="s">
        <v>28</v>
      </c>
      <c r="F155" s="172" t="b">
        <v>1</v>
      </c>
      <c r="G155" s="172" t="b">
        <v>1</v>
      </c>
      <c r="H155" s="172" t="b">
        <v>1</v>
      </c>
      <c r="I155" s="172" t="b">
        <v>0</v>
      </c>
      <c r="J155" s="172" t="b">
        <v>0</v>
      </c>
      <c r="K155" s="172" t="b">
        <v>0</v>
      </c>
      <c r="L155" s="172" t="b">
        <v>0</v>
      </c>
      <c r="M155" s="172" t="b">
        <v>0</v>
      </c>
      <c r="N155" s="97"/>
      <c r="O155" s="97"/>
      <c r="P155" s="97"/>
      <c r="Q155" s="174"/>
    </row>
    <row r="156" spans="8:8" ht="43.5" customHeight="1">
      <c r="A156" s="170"/>
      <c r="B156" s="182" t="s">
        <v>4815</v>
      </c>
      <c r="C156" s="97"/>
      <c r="D156" s="97"/>
      <c r="E156" s="183"/>
      <c r="F156" s="184">
        <f t="shared" si="4" ref="F156:M156">COUNTIF(F115:F146,TRUE)/COUNTA(F115:F146)</f>
        <v>0.375</v>
      </c>
      <c r="G156" s="184">
        <f t="shared" si="4"/>
        <v>0.65625</v>
      </c>
      <c r="H156" s="184">
        <f t="shared" si="4"/>
        <v>0.65625</v>
      </c>
      <c r="I156" s="184">
        <f t="shared" si="4"/>
        <v>0.0</v>
      </c>
      <c r="J156" s="184">
        <f t="shared" si="4"/>
        <v>0.0</v>
      </c>
      <c r="K156" s="184">
        <f t="shared" si="4"/>
        <v>0.0</v>
      </c>
      <c r="L156" s="184">
        <f t="shared" si="4"/>
        <v>0.0</v>
      </c>
      <c r="M156" s="184">
        <f t="shared" si="4"/>
        <v>0.0</v>
      </c>
      <c r="N156" s="97"/>
      <c r="O156" s="97"/>
      <c r="P156" s="97"/>
      <c r="Q156" s="174"/>
    </row>
    <row r="157" spans="8:8" ht="43.5" customHeight="1">
      <c r="A157" s="185" t="s">
        <v>18</v>
      </c>
      <c r="B157" s="162" t="s">
        <v>19</v>
      </c>
      <c r="C157" s="163"/>
      <c r="D157" s="162" t="s">
        <v>4530</v>
      </c>
      <c r="E157" s="162" t="s">
        <v>22</v>
      </c>
      <c r="F157" s="163" t="s">
        <v>4794</v>
      </c>
      <c r="G157" s="163" t="s">
        <v>4795</v>
      </c>
      <c r="H157" s="163" t="s">
        <v>4796</v>
      </c>
      <c r="I157" s="163" t="s">
        <v>4797</v>
      </c>
      <c r="J157" s="163" t="s">
        <v>4798</v>
      </c>
      <c r="K157" s="163" t="s">
        <v>4799</v>
      </c>
      <c r="L157" s="163" t="s">
        <v>4800</v>
      </c>
      <c r="M157" s="163" t="s">
        <v>4801</v>
      </c>
      <c r="N157" s="166" t="s">
        <v>4844</v>
      </c>
      <c r="O157" s="167"/>
      <c r="P157" s="168"/>
      <c r="Q157" s="169"/>
    </row>
    <row r="158" spans="8:8" ht="43.5" customHeight="1">
      <c r="A158" s="170">
        <v>1.0</v>
      </c>
      <c r="B158" s="171" t="s">
        <v>3610</v>
      </c>
      <c r="C158" s="172">
        <v>251555.0</v>
      </c>
      <c r="D158" s="171" t="s">
        <v>4838</v>
      </c>
      <c r="E158" s="172" t="s">
        <v>28</v>
      </c>
      <c r="F158" s="172" t="b">
        <v>1</v>
      </c>
      <c r="G158" s="172" t="b">
        <v>1</v>
      </c>
      <c r="H158" s="172" t="b">
        <v>1</v>
      </c>
      <c r="I158" s="172" t="b">
        <v>0</v>
      </c>
      <c r="J158" s="172" t="b">
        <v>0</v>
      </c>
      <c r="K158" s="172" t="b">
        <v>0</v>
      </c>
      <c r="L158" s="172" t="b">
        <v>0</v>
      </c>
      <c r="M158" s="172" t="b">
        <v>0</v>
      </c>
      <c r="N158" s="173" t="s">
        <v>4804</v>
      </c>
      <c r="O158" s="167"/>
      <c r="P158" s="168"/>
      <c r="Q158" s="174"/>
    </row>
    <row r="159" spans="8:8" ht="43.5" customHeight="1">
      <c r="A159" s="170">
        <v>2.0</v>
      </c>
      <c r="B159" s="171" t="s">
        <v>3611</v>
      </c>
      <c r="C159" s="172">
        <v>251557.0</v>
      </c>
      <c r="D159" s="171" t="s">
        <v>4838</v>
      </c>
      <c r="E159" s="172" t="s">
        <v>28</v>
      </c>
      <c r="F159" s="172" t="b">
        <v>0</v>
      </c>
      <c r="G159" s="172" t="b">
        <v>1</v>
      </c>
      <c r="H159" s="172" t="b">
        <v>0</v>
      </c>
      <c r="I159" s="172" t="b">
        <v>0</v>
      </c>
      <c r="J159" s="172" t="b">
        <v>0</v>
      </c>
      <c r="K159" s="172" t="b">
        <v>0</v>
      </c>
      <c r="L159" s="172" t="b">
        <v>0</v>
      </c>
      <c r="M159" s="172" t="b">
        <v>0</v>
      </c>
      <c r="N159" s="175" t="s">
        <v>4805</v>
      </c>
      <c r="O159" s="176" t="s">
        <v>4806</v>
      </c>
      <c r="P159" s="97" t="s">
        <v>4807</v>
      </c>
      <c r="Q159" s="174"/>
    </row>
    <row r="160" spans="8:8" ht="43.5" customHeight="1">
      <c r="A160" s="170">
        <v>3.0</v>
      </c>
      <c r="B160" s="171" t="s">
        <v>3612</v>
      </c>
      <c r="C160" s="172">
        <v>251565.0</v>
      </c>
      <c r="D160" s="171" t="s">
        <v>4845</v>
      </c>
      <c r="E160" s="172" t="s">
        <v>28</v>
      </c>
      <c r="F160" s="172" t="b">
        <v>0</v>
      </c>
      <c r="G160" s="172" t="b">
        <v>1</v>
      </c>
      <c r="H160" s="172" t="b">
        <v>1</v>
      </c>
      <c r="I160" s="172" t="b">
        <v>0</v>
      </c>
      <c r="J160" s="172" t="b">
        <v>0</v>
      </c>
      <c r="K160" s="172" t="b">
        <v>0</v>
      </c>
      <c r="L160" s="172" t="b">
        <v>0</v>
      </c>
      <c r="M160" s="172" t="b">
        <v>0</v>
      </c>
      <c r="N160" s="97" t="s">
        <v>4794</v>
      </c>
      <c r="O160" s="172" t="b">
        <v>1</v>
      </c>
      <c r="P160" s="97"/>
      <c r="Q160" s="174"/>
    </row>
    <row r="161" spans="8:8" ht="43.5" customHeight="1">
      <c r="A161" s="170">
        <v>4.0</v>
      </c>
      <c r="B161" s="171" t="s">
        <v>3613</v>
      </c>
      <c r="C161" s="172">
        <v>251566.0</v>
      </c>
      <c r="D161" s="171" t="s">
        <v>4845</v>
      </c>
      <c r="E161" s="172" t="s">
        <v>28</v>
      </c>
      <c r="F161" s="172" t="b">
        <v>0</v>
      </c>
      <c r="G161" s="172" t="b">
        <v>1</v>
      </c>
      <c r="H161" s="172" t="b">
        <v>1</v>
      </c>
      <c r="I161" s="172" t="b">
        <v>0</v>
      </c>
      <c r="J161" s="172" t="b">
        <v>0</v>
      </c>
      <c r="K161" s="172" t="b">
        <v>0</v>
      </c>
      <c r="L161" s="172" t="b">
        <v>0</v>
      </c>
      <c r="M161" s="172" t="b">
        <v>0</v>
      </c>
      <c r="N161" s="97" t="s">
        <v>4795</v>
      </c>
      <c r="O161" s="172" t="b">
        <v>1</v>
      </c>
      <c r="P161" s="97"/>
      <c r="Q161" s="174"/>
    </row>
    <row r="162" spans="8:8" ht="43.5" customHeight="1">
      <c r="A162" s="170">
        <v>5.0</v>
      </c>
      <c r="B162" s="171" t="s">
        <v>3614</v>
      </c>
      <c r="C162" s="172">
        <v>251567.0</v>
      </c>
      <c r="D162" s="171" t="s">
        <v>4845</v>
      </c>
      <c r="E162" s="172" t="s">
        <v>28</v>
      </c>
      <c r="F162" s="172" t="b">
        <v>0</v>
      </c>
      <c r="G162" s="172" t="b">
        <v>0</v>
      </c>
      <c r="H162" s="172" t="b">
        <v>1</v>
      </c>
      <c r="I162" s="172" t="b">
        <v>0</v>
      </c>
      <c r="J162" s="172" t="b">
        <v>0</v>
      </c>
      <c r="K162" s="172" t="b">
        <v>0</v>
      </c>
      <c r="L162" s="172" t="b">
        <v>0</v>
      </c>
      <c r="M162" s="172" t="b">
        <v>0</v>
      </c>
      <c r="N162" s="97" t="s">
        <v>4796</v>
      </c>
      <c r="O162" s="172" t="b">
        <v>1</v>
      </c>
      <c r="P162" s="97"/>
      <c r="Q162" s="174"/>
    </row>
    <row r="163" spans="8:8" ht="43.5" customHeight="1">
      <c r="A163" s="170">
        <v>6.0</v>
      </c>
      <c r="B163" s="171" t="s">
        <v>3615</v>
      </c>
      <c r="C163" s="172">
        <v>251568.0</v>
      </c>
      <c r="D163" s="171" t="s">
        <v>4845</v>
      </c>
      <c r="E163" s="172" t="s">
        <v>28</v>
      </c>
      <c r="F163" s="172" t="b">
        <v>0</v>
      </c>
      <c r="G163" s="172" t="b">
        <v>1</v>
      </c>
      <c r="H163" s="172" t="b">
        <v>1</v>
      </c>
      <c r="I163" s="172" t="b">
        <v>0</v>
      </c>
      <c r="J163" s="172" t="b">
        <v>0</v>
      </c>
      <c r="K163" s="172" t="b">
        <v>0</v>
      </c>
      <c r="L163" s="172" t="b">
        <v>0</v>
      </c>
      <c r="M163" s="172" t="b">
        <v>0</v>
      </c>
      <c r="N163" s="97" t="s">
        <v>4797</v>
      </c>
      <c r="O163" s="172" t="b">
        <v>0</v>
      </c>
      <c r="P163" s="97"/>
      <c r="Q163" s="174"/>
    </row>
    <row r="164" spans="8:8" ht="43.5" customHeight="1">
      <c r="A164" s="170">
        <v>7.0</v>
      </c>
      <c r="B164" s="171" t="s">
        <v>3616</v>
      </c>
      <c r="C164" s="172">
        <v>251569.0</v>
      </c>
      <c r="D164" s="171" t="s">
        <v>4845</v>
      </c>
      <c r="E164" s="172" t="s">
        <v>28</v>
      </c>
      <c r="F164" s="172" t="b">
        <v>0</v>
      </c>
      <c r="G164" s="172" t="b">
        <v>1</v>
      </c>
      <c r="H164" s="172" t="b">
        <v>0</v>
      </c>
      <c r="I164" s="172" t="b">
        <v>0</v>
      </c>
      <c r="J164" s="172" t="b">
        <v>0</v>
      </c>
      <c r="K164" s="172" t="b">
        <v>0</v>
      </c>
      <c r="L164" s="172" t="b">
        <v>0</v>
      </c>
      <c r="M164" s="172" t="b">
        <v>0</v>
      </c>
      <c r="N164" s="97" t="s">
        <v>4798</v>
      </c>
      <c r="O164" s="172" t="b">
        <v>0</v>
      </c>
      <c r="P164" s="97"/>
      <c r="Q164" s="174"/>
    </row>
    <row r="165" spans="8:8" ht="43.5" customHeight="1">
      <c r="A165" s="170">
        <v>8.0</v>
      </c>
      <c r="B165" s="171" t="s">
        <v>3617</v>
      </c>
      <c r="C165" s="172">
        <v>251570.0</v>
      </c>
      <c r="D165" s="171" t="s">
        <v>4845</v>
      </c>
      <c r="E165" s="172" t="s">
        <v>28</v>
      </c>
      <c r="F165" s="172" t="b">
        <v>0</v>
      </c>
      <c r="G165" s="172" t="b">
        <v>0</v>
      </c>
      <c r="H165" s="172" t="b">
        <v>1</v>
      </c>
      <c r="I165" s="172" t="b">
        <v>0</v>
      </c>
      <c r="J165" s="172" t="b">
        <v>0</v>
      </c>
      <c r="K165" s="172" t="b">
        <v>0</v>
      </c>
      <c r="L165" s="172" t="b">
        <v>0</v>
      </c>
      <c r="M165" s="172" t="b">
        <v>0</v>
      </c>
      <c r="N165" s="97" t="s">
        <v>4799</v>
      </c>
      <c r="O165" s="172" t="b">
        <v>0</v>
      </c>
      <c r="P165" s="97"/>
      <c r="Q165" s="174"/>
    </row>
    <row r="166" spans="8:8" ht="43.5" customHeight="1">
      <c r="A166" s="170">
        <v>9.0</v>
      </c>
      <c r="B166" s="171" t="s">
        <v>3618</v>
      </c>
      <c r="C166" s="172">
        <v>251573.0</v>
      </c>
      <c r="D166" s="171" t="s">
        <v>4845</v>
      </c>
      <c r="E166" s="172" t="s">
        <v>28</v>
      </c>
      <c r="F166" s="172" t="b">
        <v>0</v>
      </c>
      <c r="G166" s="172" t="b">
        <v>1</v>
      </c>
      <c r="H166" s="172" t="b">
        <v>1</v>
      </c>
      <c r="I166" s="172" t="b">
        <v>0</v>
      </c>
      <c r="J166" s="172" t="b">
        <v>0</v>
      </c>
      <c r="K166" s="172" t="b">
        <v>0</v>
      </c>
      <c r="L166" s="172" t="b">
        <v>0</v>
      </c>
      <c r="M166" s="172" t="b">
        <v>0</v>
      </c>
      <c r="N166" s="97" t="s">
        <v>4800</v>
      </c>
      <c r="O166" s="172" t="b">
        <v>0</v>
      </c>
      <c r="P166" s="97"/>
      <c r="Q166" s="174"/>
    </row>
    <row r="167" spans="8:8" ht="43.5" customHeight="1">
      <c r="A167" s="170">
        <v>10.0</v>
      </c>
      <c r="B167" s="171" t="s">
        <v>3619</v>
      </c>
      <c r="C167" s="172">
        <v>251574.0</v>
      </c>
      <c r="D167" s="171" t="s">
        <v>4845</v>
      </c>
      <c r="E167" s="172" t="s">
        <v>28</v>
      </c>
      <c r="F167" s="172" t="b">
        <v>0</v>
      </c>
      <c r="G167" s="172" t="b">
        <v>1</v>
      </c>
      <c r="H167" s="172" t="b">
        <v>0</v>
      </c>
      <c r="I167" s="172" t="b">
        <v>0</v>
      </c>
      <c r="J167" s="172" t="b">
        <v>0</v>
      </c>
      <c r="K167" s="172" t="b">
        <v>0</v>
      </c>
      <c r="L167" s="172" t="b">
        <v>0</v>
      </c>
      <c r="M167" s="172" t="b">
        <v>0</v>
      </c>
      <c r="N167" s="97" t="s">
        <v>4801</v>
      </c>
      <c r="O167" s="172" t="b">
        <v>0</v>
      </c>
      <c r="P167" s="97"/>
      <c r="Q167" s="174"/>
    </row>
    <row r="168" spans="8:8" ht="43.5" customHeight="1">
      <c r="A168" s="170">
        <v>11.0</v>
      </c>
      <c r="B168" s="171" t="s">
        <v>3620</v>
      </c>
      <c r="C168" s="172">
        <v>251575.0</v>
      </c>
      <c r="D168" s="171" t="s">
        <v>4845</v>
      </c>
      <c r="E168" s="172" t="s">
        <v>28</v>
      </c>
      <c r="F168" s="172" t="b">
        <v>0</v>
      </c>
      <c r="G168" s="172" t="b">
        <v>0</v>
      </c>
      <c r="H168" s="172" t="b">
        <v>1</v>
      </c>
      <c r="I168" s="172" t="b">
        <v>0</v>
      </c>
      <c r="J168" s="172" t="b">
        <v>0</v>
      </c>
      <c r="K168" s="172" t="b">
        <v>0</v>
      </c>
      <c r="L168" s="172" t="b">
        <v>0</v>
      </c>
      <c r="M168" s="172" t="b">
        <v>0</v>
      </c>
      <c r="N168" s="97"/>
      <c r="O168" s="97"/>
      <c r="P168" s="97"/>
      <c r="Q168" s="174"/>
    </row>
    <row r="169" spans="8:8" ht="43.5" customHeight="1">
      <c r="A169" s="170">
        <v>12.0</v>
      </c>
      <c r="B169" s="171" t="s">
        <v>3621</v>
      </c>
      <c r="C169" s="172">
        <v>251576.0</v>
      </c>
      <c r="D169" s="171" t="s">
        <v>4845</v>
      </c>
      <c r="E169" s="172" t="s">
        <v>28</v>
      </c>
      <c r="F169" s="172" t="b">
        <v>0</v>
      </c>
      <c r="G169" s="172" t="b">
        <v>0</v>
      </c>
      <c r="H169" s="172" t="b">
        <v>0</v>
      </c>
      <c r="I169" s="172" t="b">
        <v>0</v>
      </c>
      <c r="J169" s="172" t="b">
        <v>0</v>
      </c>
      <c r="K169" s="172" t="b">
        <v>0</v>
      </c>
      <c r="L169" s="172" t="b">
        <v>0</v>
      </c>
      <c r="M169" s="172" t="b">
        <v>0</v>
      </c>
      <c r="N169" s="97"/>
      <c r="O169" s="97"/>
      <c r="P169" s="97"/>
      <c r="Q169" s="174"/>
    </row>
    <row r="170" spans="8:8" ht="43.5" customHeight="1">
      <c r="A170" s="170">
        <v>13.0</v>
      </c>
      <c r="B170" s="171" t="s">
        <v>3622</v>
      </c>
      <c r="C170" s="172">
        <v>251577.0</v>
      </c>
      <c r="D170" s="171" t="s">
        <v>4845</v>
      </c>
      <c r="E170" s="172" t="s">
        <v>28</v>
      </c>
      <c r="F170" s="172" t="b">
        <v>0</v>
      </c>
      <c r="G170" s="172" t="b">
        <v>0</v>
      </c>
      <c r="H170" s="172" t="b">
        <v>0</v>
      </c>
      <c r="I170" s="172" t="b">
        <v>0</v>
      </c>
      <c r="J170" s="172" t="b">
        <v>0</v>
      </c>
      <c r="K170" s="172" t="b">
        <v>0</v>
      </c>
      <c r="L170" s="172" t="b">
        <v>0</v>
      </c>
      <c r="M170" s="172" t="b">
        <v>0</v>
      </c>
      <c r="N170" s="97"/>
      <c r="O170" s="97"/>
      <c r="P170" s="97"/>
      <c r="Q170" s="174"/>
    </row>
    <row r="171" spans="8:8" ht="43.5" customHeight="1">
      <c r="A171" s="170">
        <v>14.0</v>
      </c>
      <c r="B171" s="171" t="s">
        <v>3623</v>
      </c>
      <c r="C171" s="172">
        <v>251578.0</v>
      </c>
      <c r="D171" s="171" t="s">
        <v>4845</v>
      </c>
      <c r="E171" s="172" t="s">
        <v>28</v>
      </c>
      <c r="F171" s="172" t="b">
        <v>0</v>
      </c>
      <c r="G171" s="172" t="b">
        <v>1</v>
      </c>
      <c r="H171" s="172" t="b">
        <v>0</v>
      </c>
      <c r="I171" s="172" t="b">
        <v>0</v>
      </c>
      <c r="J171" s="172" t="b">
        <v>0</v>
      </c>
      <c r="K171" s="172" t="b">
        <v>0</v>
      </c>
      <c r="L171" s="172" t="b">
        <v>0</v>
      </c>
      <c r="M171" s="172" t="b">
        <v>0</v>
      </c>
      <c r="N171" s="97"/>
      <c r="O171" s="97"/>
      <c r="P171" s="97"/>
      <c r="Q171" s="174"/>
    </row>
    <row r="172" spans="8:8" ht="43.5" customHeight="1">
      <c r="A172" s="170">
        <v>15.0</v>
      </c>
      <c r="B172" s="171" t="s">
        <v>3625</v>
      </c>
      <c r="C172" s="172">
        <v>251579.0</v>
      </c>
      <c r="D172" s="171" t="s">
        <v>4845</v>
      </c>
      <c r="E172" s="172" t="s">
        <v>28</v>
      </c>
      <c r="F172" s="172" t="b">
        <v>0</v>
      </c>
      <c r="G172" s="172" t="b">
        <v>0</v>
      </c>
      <c r="H172" s="172" t="b">
        <v>0</v>
      </c>
      <c r="I172" s="172" t="b">
        <v>0</v>
      </c>
      <c r="J172" s="172" t="b">
        <v>0</v>
      </c>
      <c r="K172" s="172" t="b">
        <v>0</v>
      </c>
      <c r="L172" s="172" t="b">
        <v>0</v>
      </c>
      <c r="M172" s="172" t="b">
        <v>0</v>
      </c>
      <c r="N172" s="97"/>
      <c r="O172" s="97"/>
      <c r="P172" s="97"/>
      <c r="Q172" s="174"/>
    </row>
    <row r="173" spans="8:8" ht="43.5" customHeight="1">
      <c r="A173" s="170">
        <v>17.0</v>
      </c>
      <c r="B173" s="171" t="s">
        <v>3626</v>
      </c>
      <c r="C173" s="172">
        <v>251583.0</v>
      </c>
      <c r="D173" s="171" t="s">
        <v>4845</v>
      </c>
      <c r="E173" s="172" t="s">
        <v>28</v>
      </c>
      <c r="F173" s="172" t="b">
        <v>0</v>
      </c>
      <c r="G173" s="172" t="b">
        <v>0</v>
      </c>
      <c r="H173" s="172" t="b">
        <v>0</v>
      </c>
      <c r="I173" s="172" t="b">
        <v>0</v>
      </c>
      <c r="J173" s="172" t="b">
        <v>0</v>
      </c>
      <c r="K173" s="172" t="b">
        <v>0</v>
      </c>
      <c r="L173" s="172" t="b">
        <v>0</v>
      </c>
      <c r="M173" s="172" t="b">
        <v>0</v>
      </c>
      <c r="N173" s="97"/>
      <c r="O173" s="97"/>
      <c r="P173" s="97"/>
      <c r="Q173" s="174"/>
    </row>
    <row r="174" spans="8:8" ht="43.5" customHeight="1">
      <c r="A174" s="170">
        <v>18.0</v>
      </c>
      <c r="B174" s="171" t="s">
        <v>3627</v>
      </c>
      <c r="C174" s="172">
        <v>251584.0</v>
      </c>
      <c r="D174" s="171" t="s">
        <v>4845</v>
      </c>
      <c r="E174" s="172" t="s">
        <v>28</v>
      </c>
      <c r="F174" s="172" t="b">
        <v>0</v>
      </c>
      <c r="G174" s="172" t="b">
        <v>1</v>
      </c>
      <c r="H174" s="172" t="b">
        <v>0</v>
      </c>
      <c r="I174" s="172" t="b">
        <v>0</v>
      </c>
      <c r="J174" s="172" t="b">
        <v>0</v>
      </c>
      <c r="K174" s="172" t="b">
        <v>0</v>
      </c>
      <c r="L174" s="172" t="b">
        <v>0</v>
      </c>
      <c r="M174" s="172" t="b">
        <v>0</v>
      </c>
      <c r="N174" s="97"/>
      <c r="O174" s="97"/>
      <c r="P174" s="97"/>
      <c r="Q174" s="174"/>
    </row>
    <row r="175" spans="8:8" ht="43.5" customHeight="1">
      <c r="A175" s="170">
        <v>19.0</v>
      </c>
      <c r="B175" s="171" t="s">
        <v>3628</v>
      </c>
      <c r="C175" s="172">
        <v>251585.0</v>
      </c>
      <c r="D175" s="171" t="s">
        <v>4845</v>
      </c>
      <c r="E175" s="172" t="s">
        <v>28</v>
      </c>
      <c r="F175" s="172" t="b">
        <v>0</v>
      </c>
      <c r="G175" s="172" t="b">
        <v>0</v>
      </c>
      <c r="H175" s="172" t="b">
        <v>0</v>
      </c>
      <c r="I175" s="172" t="b">
        <v>0</v>
      </c>
      <c r="J175" s="172" t="b">
        <v>0</v>
      </c>
      <c r="K175" s="172" t="b">
        <v>0</v>
      </c>
      <c r="L175" s="172" t="b">
        <v>0</v>
      </c>
      <c r="M175" s="172" t="b">
        <v>0</v>
      </c>
      <c r="N175" s="97"/>
      <c r="O175" s="97"/>
      <c r="P175" s="97"/>
      <c r="Q175" s="174"/>
    </row>
    <row r="176" spans="8:8" ht="43.5" customHeight="1">
      <c r="A176" s="170">
        <v>20.0</v>
      </c>
      <c r="B176" s="171" t="s">
        <v>3629</v>
      </c>
      <c r="C176" s="172">
        <v>251586.0</v>
      </c>
      <c r="D176" s="171" t="s">
        <v>4845</v>
      </c>
      <c r="E176" s="172" t="s">
        <v>28</v>
      </c>
      <c r="F176" s="172" t="b">
        <v>0</v>
      </c>
      <c r="G176" s="172" t="b">
        <v>1</v>
      </c>
      <c r="H176" s="172" t="b">
        <v>1</v>
      </c>
      <c r="I176" s="172" t="b">
        <v>0</v>
      </c>
      <c r="J176" s="172" t="b">
        <v>0</v>
      </c>
      <c r="K176" s="172" t="b">
        <v>0</v>
      </c>
      <c r="L176" s="172" t="b">
        <v>0</v>
      </c>
      <c r="M176" s="172" t="b">
        <v>0</v>
      </c>
      <c r="N176" s="97"/>
      <c r="O176" s="97"/>
      <c r="P176" s="97"/>
      <c r="Q176" s="174"/>
    </row>
    <row r="177" spans="8:8" ht="43.5" customHeight="1">
      <c r="A177" s="170">
        <v>21.0</v>
      </c>
      <c r="B177" s="171" t="s">
        <v>3630</v>
      </c>
      <c r="C177" s="172">
        <v>251587.0</v>
      </c>
      <c r="D177" s="171" t="s">
        <v>4845</v>
      </c>
      <c r="E177" s="172" t="s">
        <v>28</v>
      </c>
      <c r="F177" s="172" t="b">
        <v>0</v>
      </c>
      <c r="G177" s="172" t="b">
        <v>1</v>
      </c>
      <c r="H177" s="172" t="b">
        <v>0</v>
      </c>
      <c r="I177" s="172" t="b">
        <v>0</v>
      </c>
      <c r="J177" s="172" t="b">
        <v>0</v>
      </c>
      <c r="K177" s="172" t="b">
        <v>0</v>
      </c>
      <c r="L177" s="172" t="b">
        <v>0</v>
      </c>
      <c r="M177" s="172" t="b">
        <v>0</v>
      </c>
      <c r="N177" s="97"/>
      <c r="O177" s="97"/>
      <c r="P177" s="97"/>
      <c r="Q177" s="174"/>
    </row>
    <row r="178" spans="8:8" ht="43.5" customHeight="1">
      <c r="A178" s="170">
        <v>22.0</v>
      </c>
      <c r="B178" s="171" t="s">
        <v>3631</v>
      </c>
      <c r="C178" s="172">
        <v>251589.0</v>
      </c>
      <c r="D178" s="171" t="s">
        <v>4845</v>
      </c>
      <c r="E178" s="172" t="s">
        <v>28</v>
      </c>
      <c r="F178" s="172" t="b">
        <v>0</v>
      </c>
      <c r="G178" s="172" t="b">
        <v>1</v>
      </c>
      <c r="H178" s="172" t="b">
        <v>1</v>
      </c>
      <c r="I178" s="172" t="b">
        <v>0</v>
      </c>
      <c r="J178" s="172" t="b">
        <v>0</v>
      </c>
      <c r="K178" s="172" t="b">
        <v>0</v>
      </c>
      <c r="L178" s="172" t="b">
        <v>0</v>
      </c>
      <c r="M178" s="172" t="b">
        <v>0</v>
      </c>
      <c r="N178" s="97"/>
      <c r="O178" s="97"/>
      <c r="P178" s="97"/>
      <c r="Q178" s="174"/>
    </row>
    <row r="179" spans="8:8" ht="43.5" customHeight="1">
      <c r="A179" s="170">
        <v>23.0</v>
      </c>
      <c r="B179" s="181" t="s">
        <v>4705</v>
      </c>
      <c r="C179" s="172">
        <v>252886.0</v>
      </c>
      <c r="D179" s="181" t="s">
        <v>4846</v>
      </c>
      <c r="E179" s="97" t="s">
        <v>28</v>
      </c>
      <c r="F179" s="172" t="b">
        <v>0</v>
      </c>
      <c r="G179" s="172" t="b">
        <v>0</v>
      </c>
      <c r="H179" s="172" t="b">
        <v>0</v>
      </c>
      <c r="I179" s="172" t="b">
        <v>0</v>
      </c>
      <c r="J179" s="172" t="b">
        <v>0</v>
      </c>
      <c r="K179" s="172" t="b">
        <v>0</v>
      </c>
      <c r="L179" s="172" t="b">
        <v>0</v>
      </c>
      <c r="M179" s="172" t="b">
        <v>0</v>
      </c>
      <c r="N179" s="97"/>
      <c r="O179" s="97"/>
      <c r="P179" s="97"/>
      <c r="Q179" s="174"/>
    </row>
    <row r="180" spans="8:8" ht="43.5" customHeight="1">
      <c r="A180" s="170"/>
      <c r="B180" s="182" t="s">
        <v>4815</v>
      </c>
      <c r="C180" s="97"/>
      <c r="D180" s="97"/>
      <c r="E180" s="183"/>
      <c r="F180" s="184">
        <f t="shared" si="5" ref="F180:M180">COUNTIF(F157:F178,TRUE)/COUNTA(F157:F178)</f>
        <v>0.045454545454545456</v>
      </c>
      <c r="G180" s="184">
        <f t="shared" si="5"/>
        <v>0.5909090909090909</v>
      </c>
      <c r="H180" s="184">
        <f t="shared" si="5"/>
        <v>0.45454545454545453</v>
      </c>
      <c r="I180" s="184">
        <f t="shared" si="5"/>
        <v>0.0</v>
      </c>
      <c r="J180" s="184">
        <f t="shared" si="5"/>
        <v>0.0</v>
      </c>
      <c r="K180" s="184">
        <f t="shared" si="5"/>
        <v>0.0</v>
      </c>
      <c r="L180" s="184">
        <f t="shared" si="5"/>
        <v>0.0</v>
      </c>
      <c r="M180" s="184">
        <f t="shared" si="5"/>
        <v>0.0</v>
      </c>
      <c r="N180" s="97"/>
      <c r="O180" s="97"/>
      <c r="P180" s="97"/>
      <c r="Q180" s="174"/>
    </row>
    <row r="181" spans="8:8" ht="43.5" customHeight="1">
      <c r="A181" s="185" t="s">
        <v>18</v>
      </c>
      <c r="B181" s="162" t="s">
        <v>19</v>
      </c>
      <c r="C181" s="163"/>
      <c r="D181" s="162" t="s">
        <v>4530</v>
      </c>
      <c r="E181" s="162" t="s">
        <v>22</v>
      </c>
      <c r="F181" s="163" t="s">
        <v>4794</v>
      </c>
      <c r="G181" s="163" t="s">
        <v>4795</v>
      </c>
      <c r="H181" s="163" t="s">
        <v>4796</v>
      </c>
      <c r="I181" s="163" t="s">
        <v>4797</v>
      </c>
      <c r="J181" s="163" t="s">
        <v>4798</v>
      </c>
      <c r="K181" s="163" t="s">
        <v>4799</v>
      </c>
      <c r="L181" s="163" t="s">
        <v>4800</v>
      </c>
      <c r="M181" s="163" t="s">
        <v>4801</v>
      </c>
      <c r="N181" s="166" t="s">
        <v>4847</v>
      </c>
      <c r="O181" s="167"/>
      <c r="P181" s="168"/>
      <c r="Q181" s="169"/>
    </row>
    <row r="182" spans="8:8" ht="43.5" customHeight="1">
      <c r="A182" s="170">
        <v>1.0</v>
      </c>
      <c r="B182" s="171" t="s">
        <v>3639</v>
      </c>
      <c r="C182" s="172">
        <v>251591.0</v>
      </c>
      <c r="D182" s="171" t="s">
        <v>4845</v>
      </c>
      <c r="E182" s="172" t="s">
        <v>28</v>
      </c>
      <c r="F182" s="172" t="b">
        <v>1</v>
      </c>
      <c r="G182" s="172" t="b">
        <v>1</v>
      </c>
      <c r="H182" s="172" t="b">
        <v>1</v>
      </c>
      <c r="I182" s="172" t="b">
        <v>0</v>
      </c>
      <c r="J182" s="172" t="b">
        <v>0</v>
      </c>
      <c r="K182" s="172" t="b">
        <v>0</v>
      </c>
      <c r="L182" s="172" t="b">
        <v>0</v>
      </c>
      <c r="M182" s="172" t="b">
        <v>0</v>
      </c>
      <c r="N182" s="173" t="s">
        <v>4804</v>
      </c>
      <c r="O182" s="167"/>
      <c r="P182" s="168"/>
      <c r="Q182" s="174"/>
    </row>
    <row r="183" spans="8:8" ht="43.5" customHeight="1">
      <c r="A183" s="170">
        <v>3.0</v>
      </c>
      <c r="B183" s="171" t="s">
        <v>3640</v>
      </c>
      <c r="C183" s="172">
        <v>251593.0</v>
      </c>
      <c r="D183" s="171" t="s">
        <v>4823</v>
      </c>
      <c r="E183" s="172" t="s">
        <v>28</v>
      </c>
      <c r="F183" s="172" t="b">
        <v>1</v>
      </c>
      <c r="G183" s="172" t="b">
        <v>1</v>
      </c>
      <c r="H183" s="172" t="b">
        <v>1</v>
      </c>
      <c r="I183" s="172" t="b">
        <v>0</v>
      </c>
      <c r="J183" s="172" t="b">
        <v>0</v>
      </c>
      <c r="K183" s="172" t="b">
        <v>0</v>
      </c>
      <c r="L183" s="172" t="b">
        <v>0</v>
      </c>
      <c r="M183" s="172" t="b">
        <v>0</v>
      </c>
      <c r="N183" s="175" t="s">
        <v>4805</v>
      </c>
      <c r="O183" s="176" t="s">
        <v>4806</v>
      </c>
      <c r="P183" s="97" t="s">
        <v>4807</v>
      </c>
      <c r="Q183" s="174"/>
    </row>
    <row r="184" spans="8:8" ht="43.5" customHeight="1">
      <c r="A184" s="170">
        <v>4.0</v>
      </c>
      <c r="B184" s="171" t="s">
        <v>3641</v>
      </c>
      <c r="C184" s="172">
        <v>251594.0</v>
      </c>
      <c r="D184" s="171" t="s">
        <v>4823</v>
      </c>
      <c r="E184" s="172" t="s">
        <v>28</v>
      </c>
      <c r="F184" s="172" t="b">
        <v>0</v>
      </c>
      <c r="G184" s="172" t="b">
        <v>0</v>
      </c>
      <c r="H184" s="172" t="b">
        <v>0</v>
      </c>
      <c r="I184" s="172" t="b">
        <v>0</v>
      </c>
      <c r="J184" s="172" t="b">
        <v>0</v>
      </c>
      <c r="K184" s="172" t="b">
        <v>0</v>
      </c>
      <c r="L184" s="172" t="b">
        <v>0</v>
      </c>
      <c r="M184" s="172" t="b">
        <v>0</v>
      </c>
      <c r="N184" s="97" t="s">
        <v>4794</v>
      </c>
      <c r="O184" s="172" t="b">
        <v>1</v>
      </c>
      <c r="P184" s="97"/>
      <c r="Q184" s="174"/>
    </row>
    <row r="185" spans="8:8" ht="43.5" customHeight="1">
      <c r="A185" s="170">
        <v>5.0</v>
      </c>
      <c r="B185" s="171" t="s">
        <v>3642</v>
      </c>
      <c r="C185" s="172">
        <v>251595.0</v>
      </c>
      <c r="D185" s="171" t="s">
        <v>4823</v>
      </c>
      <c r="E185" s="172" t="s">
        <v>28</v>
      </c>
      <c r="F185" s="172" t="b">
        <v>0</v>
      </c>
      <c r="G185" s="172" t="b">
        <v>1</v>
      </c>
      <c r="H185" s="172" t="b">
        <v>0</v>
      </c>
      <c r="I185" s="172" t="b">
        <v>0</v>
      </c>
      <c r="J185" s="172" t="b">
        <v>0</v>
      </c>
      <c r="K185" s="172" t="b">
        <v>0</v>
      </c>
      <c r="L185" s="172" t="b">
        <v>0</v>
      </c>
      <c r="M185" s="172" t="b">
        <v>0</v>
      </c>
      <c r="N185" s="97" t="s">
        <v>4795</v>
      </c>
      <c r="O185" s="172" t="b">
        <v>1</v>
      </c>
      <c r="P185" s="97"/>
      <c r="Q185" s="174"/>
    </row>
    <row r="186" spans="8:8" ht="43.5" customHeight="1">
      <c r="A186" s="170">
        <v>6.0</v>
      </c>
      <c r="B186" s="171" t="s">
        <v>3643</v>
      </c>
      <c r="C186" s="172">
        <v>251597.0</v>
      </c>
      <c r="D186" s="171" t="s">
        <v>4823</v>
      </c>
      <c r="E186" s="172" t="s">
        <v>28</v>
      </c>
      <c r="F186" s="172" t="b">
        <v>0</v>
      </c>
      <c r="G186" s="172" t="b">
        <v>0</v>
      </c>
      <c r="H186" s="172" t="b">
        <v>0</v>
      </c>
      <c r="I186" s="172" t="b">
        <v>0</v>
      </c>
      <c r="J186" s="172" t="b">
        <v>0</v>
      </c>
      <c r="K186" s="172" t="b">
        <v>0</v>
      </c>
      <c r="L186" s="172" t="b">
        <v>0</v>
      </c>
      <c r="M186" s="172" t="b">
        <v>0</v>
      </c>
      <c r="N186" s="97" t="s">
        <v>4796</v>
      </c>
      <c r="O186" s="172" t="b">
        <v>1</v>
      </c>
      <c r="P186" s="97"/>
      <c r="Q186" s="174"/>
    </row>
    <row r="187" spans="8:8" ht="43.5" customHeight="1">
      <c r="A187" s="170">
        <v>7.0</v>
      </c>
      <c r="B187" s="171" t="s">
        <v>3644</v>
      </c>
      <c r="C187" s="172">
        <v>251599.0</v>
      </c>
      <c r="D187" s="171" t="s">
        <v>4823</v>
      </c>
      <c r="E187" s="172" t="s">
        <v>28</v>
      </c>
      <c r="F187" s="172" t="b">
        <v>0</v>
      </c>
      <c r="G187" s="172" t="b">
        <v>1</v>
      </c>
      <c r="H187" s="172" t="b">
        <v>1</v>
      </c>
      <c r="I187" s="172" t="b">
        <v>0</v>
      </c>
      <c r="J187" s="172" t="b">
        <v>0</v>
      </c>
      <c r="K187" s="172" t="b">
        <v>0</v>
      </c>
      <c r="L187" s="172" t="b">
        <v>0</v>
      </c>
      <c r="M187" s="172" t="b">
        <v>0</v>
      </c>
      <c r="N187" s="97" t="s">
        <v>4797</v>
      </c>
      <c r="O187" s="172" t="b">
        <v>0</v>
      </c>
      <c r="P187" s="97"/>
      <c r="Q187" s="174"/>
    </row>
    <row r="188" spans="8:8" ht="43.5" customHeight="1">
      <c r="A188" s="170">
        <v>8.0</v>
      </c>
      <c r="B188" s="171" t="s">
        <v>3645</v>
      </c>
      <c r="C188" s="172">
        <v>251601.0</v>
      </c>
      <c r="D188" s="171" t="s">
        <v>4823</v>
      </c>
      <c r="E188" s="172" t="s">
        <v>28</v>
      </c>
      <c r="F188" s="172" t="b">
        <v>0</v>
      </c>
      <c r="G188" s="172" t="b">
        <v>1</v>
      </c>
      <c r="H188" s="172" t="b">
        <v>0</v>
      </c>
      <c r="I188" s="172" t="b">
        <v>0</v>
      </c>
      <c r="J188" s="172" t="b">
        <v>0</v>
      </c>
      <c r="K188" s="172" t="b">
        <v>0</v>
      </c>
      <c r="L188" s="172" t="b">
        <v>0</v>
      </c>
      <c r="M188" s="172" t="b">
        <v>0</v>
      </c>
      <c r="N188" s="97" t="s">
        <v>4798</v>
      </c>
      <c r="O188" s="172" t="b">
        <v>0</v>
      </c>
      <c r="P188" s="97"/>
      <c r="Q188" s="174"/>
    </row>
    <row r="189" spans="8:8" ht="43.5" customHeight="1">
      <c r="A189" s="170">
        <v>9.0</v>
      </c>
      <c r="B189" s="171" t="s">
        <v>3646</v>
      </c>
      <c r="C189" s="172">
        <v>251605.0</v>
      </c>
      <c r="D189" s="171" t="s">
        <v>4823</v>
      </c>
      <c r="E189" s="172" t="s">
        <v>28</v>
      </c>
      <c r="F189" s="172" t="b">
        <v>0</v>
      </c>
      <c r="G189" s="172" t="b">
        <v>1</v>
      </c>
      <c r="H189" s="172" t="b">
        <v>0</v>
      </c>
      <c r="I189" s="172" t="b">
        <v>0</v>
      </c>
      <c r="J189" s="172" t="b">
        <v>0</v>
      </c>
      <c r="K189" s="172" t="b">
        <v>0</v>
      </c>
      <c r="L189" s="172" t="b">
        <v>0</v>
      </c>
      <c r="M189" s="172" t="b">
        <v>0</v>
      </c>
      <c r="N189" s="97" t="s">
        <v>4799</v>
      </c>
      <c r="O189" s="172" t="b">
        <v>0</v>
      </c>
      <c r="P189" s="97"/>
      <c r="Q189" s="174"/>
    </row>
    <row r="190" spans="8:8" ht="43.5" customHeight="1">
      <c r="A190" s="170">
        <v>10.0</v>
      </c>
      <c r="B190" s="171" t="s">
        <v>3647</v>
      </c>
      <c r="C190" s="172">
        <v>251606.0</v>
      </c>
      <c r="D190" s="171" t="s">
        <v>4823</v>
      </c>
      <c r="E190" s="172" t="s">
        <v>28</v>
      </c>
      <c r="F190" s="172" t="b">
        <v>1</v>
      </c>
      <c r="G190" s="172" t="b">
        <v>1</v>
      </c>
      <c r="H190" s="172" t="b">
        <v>0</v>
      </c>
      <c r="I190" s="172" t="b">
        <v>0</v>
      </c>
      <c r="J190" s="172" t="b">
        <v>0</v>
      </c>
      <c r="K190" s="172" t="b">
        <v>0</v>
      </c>
      <c r="L190" s="172" t="b">
        <v>0</v>
      </c>
      <c r="M190" s="172" t="b">
        <v>0</v>
      </c>
      <c r="N190" s="97" t="s">
        <v>4800</v>
      </c>
      <c r="O190" s="172" t="b">
        <v>0</v>
      </c>
      <c r="P190" s="97"/>
      <c r="Q190" s="174"/>
    </row>
    <row r="191" spans="8:8" ht="43.5" customHeight="1">
      <c r="A191" s="170">
        <v>11.0</v>
      </c>
      <c r="B191" s="171" t="s">
        <v>3648</v>
      </c>
      <c r="C191" s="172">
        <v>251607.0</v>
      </c>
      <c r="D191" s="171" t="s">
        <v>4823</v>
      </c>
      <c r="E191" s="172" t="s">
        <v>28</v>
      </c>
      <c r="F191" s="172" t="b">
        <v>0</v>
      </c>
      <c r="G191" s="172" t="b">
        <v>0</v>
      </c>
      <c r="H191" s="172" t="b">
        <v>0</v>
      </c>
      <c r="I191" s="172" t="b">
        <v>0</v>
      </c>
      <c r="J191" s="172" t="b">
        <v>0</v>
      </c>
      <c r="K191" s="172" t="b">
        <v>0</v>
      </c>
      <c r="L191" s="172" t="b">
        <v>0</v>
      </c>
      <c r="M191" s="172" t="b">
        <v>0</v>
      </c>
      <c r="N191" s="97" t="s">
        <v>4801</v>
      </c>
      <c r="O191" s="172" t="b">
        <v>0</v>
      </c>
      <c r="P191" s="97"/>
      <c r="Q191" s="174"/>
    </row>
    <row r="192" spans="8:8" ht="43.5" customHeight="1">
      <c r="A192" s="170">
        <v>12.0</v>
      </c>
      <c r="B192" s="171" t="s">
        <v>3649</v>
      </c>
      <c r="C192" s="172">
        <v>251608.0</v>
      </c>
      <c r="D192" s="171" t="s">
        <v>4823</v>
      </c>
      <c r="E192" s="172" t="s">
        <v>28</v>
      </c>
      <c r="F192" s="172" t="b">
        <v>0</v>
      </c>
      <c r="G192" s="172" t="b">
        <v>0</v>
      </c>
      <c r="H192" s="172" t="b">
        <v>0</v>
      </c>
      <c r="I192" s="172" t="b">
        <v>0</v>
      </c>
      <c r="J192" s="172" t="b">
        <v>0</v>
      </c>
      <c r="K192" s="172" t="b">
        <v>0</v>
      </c>
      <c r="L192" s="172" t="b">
        <v>0</v>
      </c>
      <c r="M192" s="172" t="b">
        <v>0</v>
      </c>
      <c r="N192" s="97"/>
      <c r="O192" s="97"/>
      <c r="P192" s="97"/>
      <c r="Q192" s="174"/>
    </row>
    <row r="193" spans="8:8" ht="43.5" customHeight="1">
      <c r="A193" s="170">
        <v>13.0</v>
      </c>
      <c r="B193" s="171" t="s">
        <v>4092</v>
      </c>
      <c r="C193" s="172">
        <v>251615.0</v>
      </c>
      <c r="D193" s="171" t="s">
        <v>4823</v>
      </c>
      <c r="E193" s="172" t="s">
        <v>28</v>
      </c>
      <c r="F193" s="172" t="b">
        <v>1</v>
      </c>
      <c r="G193" s="172" t="b">
        <v>1</v>
      </c>
      <c r="H193" s="172" t="b">
        <v>0</v>
      </c>
      <c r="I193" s="172" t="b">
        <v>0</v>
      </c>
      <c r="J193" s="172" t="b">
        <v>0</v>
      </c>
      <c r="K193" s="172" t="b">
        <v>0</v>
      </c>
      <c r="L193" s="172" t="b">
        <v>0</v>
      </c>
      <c r="M193" s="172" t="b">
        <v>0</v>
      </c>
      <c r="N193" s="97"/>
      <c r="O193" s="97"/>
      <c r="P193" s="97"/>
      <c r="Q193" s="174"/>
    </row>
    <row r="194" spans="8:8" ht="43.5" customHeight="1">
      <c r="A194" s="170">
        <v>14.0</v>
      </c>
      <c r="B194" s="171" t="s">
        <v>4093</v>
      </c>
      <c r="C194" s="172">
        <v>251241.0</v>
      </c>
      <c r="D194" s="171" t="s">
        <v>4803</v>
      </c>
      <c r="E194" s="172" t="s">
        <v>28</v>
      </c>
      <c r="F194" s="172" t="b">
        <v>1</v>
      </c>
      <c r="G194" s="172" t="b">
        <v>0</v>
      </c>
      <c r="H194" s="172" t="b">
        <v>0</v>
      </c>
      <c r="I194" s="172" t="b">
        <v>0</v>
      </c>
      <c r="J194" s="172" t="b">
        <v>0</v>
      </c>
      <c r="K194" s="172" t="b">
        <v>0</v>
      </c>
      <c r="L194" s="172" t="b">
        <v>0</v>
      </c>
      <c r="M194" s="172" t="b">
        <v>0</v>
      </c>
      <c r="N194" s="97"/>
      <c r="O194" s="97"/>
      <c r="P194" s="97"/>
      <c r="Q194" s="174"/>
    </row>
    <row r="195" spans="8:8" ht="43.5" customHeight="1">
      <c r="A195" s="170">
        <v>15.0</v>
      </c>
      <c r="B195" s="171" t="s">
        <v>4094</v>
      </c>
      <c r="C195" s="172">
        <v>251242.0</v>
      </c>
      <c r="D195" s="171" t="s">
        <v>4803</v>
      </c>
      <c r="E195" s="172" t="s">
        <v>28</v>
      </c>
      <c r="F195" s="172" t="b">
        <v>1</v>
      </c>
      <c r="G195" s="172" t="b">
        <v>0</v>
      </c>
      <c r="H195" s="172" t="b">
        <v>0</v>
      </c>
      <c r="I195" s="172" t="b">
        <v>0</v>
      </c>
      <c r="J195" s="172" t="b">
        <v>0</v>
      </c>
      <c r="K195" s="172" t="b">
        <v>0</v>
      </c>
      <c r="L195" s="172" t="b">
        <v>0</v>
      </c>
      <c r="M195" s="172" t="b">
        <v>0</v>
      </c>
      <c r="N195" s="97"/>
      <c r="O195" s="97"/>
      <c r="P195" s="97"/>
      <c r="Q195" s="174"/>
    </row>
    <row r="196" spans="8:8" ht="43.5" customHeight="1">
      <c r="A196" s="170">
        <v>16.0</v>
      </c>
      <c r="B196" s="171" t="s">
        <v>4095</v>
      </c>
      <c r="C196" s="172">
        <v>251257.0</v>
      </c>
      <c r="D196" s="171" t="s">
        <v>4803</v>
      </c>
      <c r="E196" s="172" t="s">
        <v>28</v>
      </c>
      <c r="F196" s="172" t="b">
        <v>1</v>
      </c>
      <c r="G196" s="172" t="b">
        <v>1</v>
      </c>
      <c r="H196" s="172" t="b">
        <v>0</v>
      </c>
      <c r="I196" s="172" t="b">
        <v>0</v>
      </c>
      <c r="J196" s="172" t="b">
        <v>0</v>
      </c>
      <c r="K196" s="172" t="b">
        <v>0</v>
      </c>
      <c r="L196" s="172" t="b">
        <v>0</v>
      </c>
      <c r="M196" s="172" t="b">
        <v>0</v>
      </c>
      <c r="N196" s="97"/>
      <c r="O196" s="97"/>
      <c r="P196" s="97"/>
      <c r="Q196" s="174"/>
    </row>
    <row r="197" spans="8:8" ht="43.5" customHeight="1">
      <c r="A197" s="170">
        <v>17.0</v>
      </c>
      <c r="B197" s="171" t="s">
        <v>4096</v>
      </c>
      <c r="C197" s="172">
        <v>251262.0</v>
      </c>
      <c r="D197" s="171" t="s">
        <v>4803</v>
      </c>
      <c r="E197" s="172" t="s">
        <v>28</v>
      </c>
      <c r="F197" s="172" t="b">
        <v>1</v>
      </c>
      <c r="G197" s="172" t="b">
        <v>0</v>
      </c>
      <c r="H197" s="172" t="b">
        <v>1</v>
      </c>
      <c r="I197" s="172" t="b">
        <v>0</v>
      </c>
      <c r="J197" s="172" t="b">
        <v>0</v>
      </c>
      <c r="K197" s="172" t="b">
        <v>0</v>
      </c>
      <c r="L197" s="172" t="b">
        <v>0</v>
      </c>
      <c r="M197" s="172" t="b">
        <v>0</v>
      </c>
      <c r="N197" s="97"/>
      <c r="O197" s="97"/>
      <c r="P197" s="97"/>
      <c r="Q197" s="174"/>
    </row>
    <row r="198" spans="8:8" ht="43.5" customHeight="1">
      <c r="A198" s="170">
        <v>18.0</v>
      </c>
      <c r="B198" s="171" t="s">
        <v>4055</v>
      </c>
      <c r="C198" s="172">
        <v>251596.0</v>
      </c>
      <c r="D198" s="171" t="s">
        <v>4823</v>
      </c>
      <c r="E198" s="97" t="s">
        <v>28</v>
      </c>
      <c r="F198" s="172" t="b">
        <v>0</v>
      </c>
      <c r="G198" s="172" t="b">
        <v>0</v>
      </c>
      <c r="H198" s="172" t="b">
        <v>0</v>
      </c>
      <c r="I198" s="172" t="b">
        <v>0</v>
      </c>
      <c r="J198" s="172" t="b">
        <v>0</v>
      </c>
      <c r="K198" s="172" t="b">
        <v>0</v>
      </c>
      <c r="L198" s="172" t="b">
        <v>0</v>
      </c>
      <c r="M198" s="172" t="b">
        <v>0</v>
      </c>
      <c r="N198" s="97"/>
      <c r="O198" s="97"/>
      <c r="P198" s="97"/>
      <c r="Q198" s="174"/>
    </row>
    <row r="199" spans="8:8" ht="43.5" customHeight="1">
      <c r="A199" s="170"/>
      <c r="B199" s="182" t="s">
        <v>4815</v>
      </c>
      <c r="C199" s="97"/>
      <c r="D199" s="97"/>
      <c r="E199" s="183"/>
      <c r="F199" s="184">
        <f t="shared" si="6" ref="F199:M199">COUNTIF(F176:F197,TRUE)/COUNTA(F176:F197)</f>
        <v>0.36363636363636365</v>
      </c>
      <c r="G199" s="184">
        <f t="shared" si="6"/>
        <v>0.5454545454545454</v>
      </c>
      <c r="H199" s="184">
        <f t="shared" si="6"/>
        <v>0.2727272727272727</v>
      </c>
      <c r="I199" s="184">
        <f t="shared" si="6"/>
        <v>0.0</v>
      </c>
      <c r="J199" s="184">
        <f t="shared" si="6"/>
        <v>0.0</v>
      </c>
      <c r="K199" s="184">
        <f t="shared" si="6"/>
        <v>0.0</v>
      </c>
      <c r="L199" s="184">
        <f t="shared" si="6"/>
        <v>0.0</v>
      </c>
      <c r="M199" s="184">
        <f t="shared" si="6"/>
        <v>0.0</v>
      </c>
      <c r="N199" s="97"/>
      <c r="O199" s="97"/>
      <c r="P199" s="97"/>
      <c r="Q199" s="174"/>
    </row>
    <row r="200" spans="8:8" ht="43.5" customHeight="1">
      <c r="A200" s="185" t="s">
        <v>18</v>
      </c>
      <c r="B200" s="162" t="s">
        <v>19</v>
      </c>
      <c r="C200" s="163"/>
      <c r="D200" s="162" t="s">
        <v>4530</v>
      </c>
      <c r="E200" s="162" t="s">
        <v>22</v>
      </c>
      <c r="F200" s="163" t="s">
        <v>4794</v>
      </c>
      <c r="G200" s="163" t="s">
        <v>4795</v>
      </c>
      <c r="H200" s="163" t="s">
        <v>4796</v>
      </c>
      <c r="I200" s="163" t="s">
        <v>4797</v>
      </c>
      <c r="J200" s="163" t="s">
        <v>4798</v>
      </c>
      <c r="K200" s="163" t="s">
        <v>4799</v>
      </c>
      <c r="L200" s="163" t="s">
        <v>4800</v>
      </c>
      <c r="M200" s="163" t="s">
        <v>4801</v>
      </c>
      <c r="N200" s="166" t="s">
        <v>4848</v>
      </c>
      <c r="O200" s="167"/>
      <c r="P200" s="168"/>
      <c r="Q200" s="169"/>
    </row>
    <row r="201" spans="8:8" ht="43.5" customHeight="1">
      <c r="A201" s="170">
        <v>1.0</v>
      </c>
      <c r="B201" s="171" t="s">
        <v>3650</v>
      </c>
      <c r="C201" s="172">
        <v>251263.0</v>
      </c>
      <c r="D201" s="171" t="s">
        <v>4803</v>
      </c>
      <c r="E201" s="172" t="s">
        <v>111</v>
      </c>
      <c r="F201" s="172" t="b">
        <v>1</v>
      </c>
      <c r="G201" s="172" t="b">
        <v>1</v>
      </c>
      <c r="H201" s="172" t="b">
        <v>1</v>
      </c>
      <c r="I201" s="172" t="b">
        <v>0</v>
      </c>
      <c r="J201" s="172" t="b">
        <v>0</v>
      </c>
      <c r="K201" s="172" t="b">
        <v>0</v>
      </c>
      <c r="L201" s="172" t="b">
        <v>0</v>
      </c>
      <c r="M201" s="172" t="b">
        <v>0</v>
      </c>
      <c r="N201" s="173" t="s">
        <v>4804</v>
      </c>
      <c r="O201" s="167"/>
      <c r="P201" s="168"/>
      <c r="Q201" s="174"/>
    </row>
    <row r="202" spans="8:8" ht="43.5" customHeight="1">
      <c r="A202" s="170">
        <v>2.0</v>
      </c>
      <c r="B202" s="171" t="s">
        <v>3651</v>
      </c>
      <c r="C202" s="172">
        <v>251266.0</v>
      </c>
      <c r="D202" s="171" t="s">
        <v>4803</v>
      </c>
      <c r="E202" s="172" t="s">
        <v>111</v>
      </c>
      <c r="F202" s="172" t="b">
        <v>0</v>
      </c>
      <c r="G202" s="172" t="b">
        <v>0</v>
      </c>
      <c r="H202" s="172" t="b">
        <v>1</v>
      </c>
      <c r="I202" s="172" t="b">
        <v>0</v>
      </c>
      <c r="J202" s="172" t="b">
        <v>0</v>
      </c>
      <c r="K202" s="172" t="b">
        <v>0</v>
      </c>
      <c r="L202" s="172" t="b">
        <v>0</v>
      </c>
      <c r="M202" s="172" t="b">
        <v>0</v>
      </c>
      <c r="N202" s="175" t="s">
        <v>4805</v>
      </c>
      <c r="O202" s="176" t="s">
        <v>4806</v>
      </c>
      <c r="P202" s="97" t="s">
        <v>4807</v>
      </c>
      <c r="Q202" s="174"/>
    </row>
    <row r="203" spans="8:8" ht="43.5" customHeight="1">
      <c r="A203" s="170">
        <v>3.0</v>
      </c>
      <c r="B203" s="171" t="s">
        <v>3652</v>
      </c>
      <c r="C203" s="172">
        <v>251267.0</v>
      </c>
      <c r="D203" s="171" t="s">
        <v>4803</v>
      </c>
      <c r="E203" s="172" t="s">
        <v>111</v>
      </c>
      <c r="F203" s="172" t="b">
        <v>1</v>
      </c>
      <c r="G203" s="172" t="b">
        <v>1</v>
      </c>
      <c r="H203" s="172" t="b">
        <v>1</v>
      </c>
      <c r="I203" s="172" t="b">
        <v>0</v>
      </c>
      <c r="J203" s="172" t="b">
        <v>0</v>
      </c>
      <c r="K203" s="172" t="b">
        <v>0</v>
      </c>
      <c r="L203" s="172" t="b">
        <v>0</v>
      </c>
      <c r="M203" s="172" t="b">
        <v>0</v>
      </c>
      <c r="N203" s="97" t="s">
        <v>4794</v>
      </c>
      <c r="O203" s="172" t="b">
        <v>1</v>
      </c>
      <c r="P203" s="97"/>
      <c r="Q203" s="174"/>
    </row>
    <row r="204" spans="8:8" ht="43.5" customHeight="1">
      <c r="A204" s="170">
        <v>4.0</v>
      </c>
      <c r="B204" s="171" t="s">
        <v>3653</v>
      </c>
      <c r="C204" s="172">
        <v>251270.0</v>
      </c>
      <c r="D204" s="171" t="s">
        <v>4810</v>
      </c>
      <c r="E204" s="172" t="s">
        <v>111</v>
      </c>
      <c r="F204" s="172" t="b">
        <v>1</v>
      </c>
      <c r="G204" s="172" t="b">
        <v>1</v>
      </c>
      <c r="H204" s="172" t="b">
        <v>1</v>
      </c>
      <c r="I204" s="172" t="b">
        <v>0</v>
      </c>
      <c r="J204" s="172" t="b">
        <v>0</v>
      </c>
      <c r="K204" s="172" t="b">
        <v>0</v>
      </c>
      <c r="L204" s="172" t="b">
        <v>0</v>
      </c>
      <c r="M204" s="172" t="b">
        <v>0</v>
      </c>
      <c r="N204" s="97" t="s">
        <v>4795</v>
      </c>
      <c r="O204" s="172" t="b">
        <v>1</v>
      </c>
      <c r="P204" s="97"/>
      <c r="Q204" s="174"/>
    </row>
    <row r="205" spans="8:8" ht="43.5" customHeight="1">
      <c r="A205" s="170">
        <v>5.0</v>
      </c>
      <c r="B205" s="171" t="s">
        <v>3654</v>
      </c>
      <c r="C205" s="172">
        <v>251273.0</v>
      </c>
      <c r="D205" s="171" t="s">
        <v>4810</v>
      </c>
      <c r="E205" s="172" t="s">
        <v>111</v>
      </c>
      <c r="F205" s="172" t="b">
        <v>0</v>
      </c>
      <c r="G205" s="172" t="b">
        <v>0</v>
      </c>
      <c r="H205" s="172" t="b">
        <v>1</v>
      </c>
      <c r="I205" s="172" t="b">
        <v>0</v>
      </c>
      <c r="J205" s="172" t="b">
        <v>0</v>
      </c>
      <c r="K205" s="172" t="b">
        <v>0</v>
      </c>
      <c r="L205" s="172" t="b">
        <v>0</v>
      </c>
      <c r="M205" s="172" t="b">
        <v>0</v>
      </c>
      <c r="N205" s="97" t="s">
        <v>4796</v>
      </c>
      <c r="O205" s="172" t="b">
        <v>1</v>
      </c>
      <c r="P205" s="97"/>
      <c r="Q205" s="174"/>
    </row>
    <row r="206" spans="8:8" ht="43.5" customHeight="1">
      <c r="A206" s="170">
        <v>6.0</v>
      </c>
      <c r="B206" s="171" t="s">
        <v>3655</v>
      </c>
      <c r="C206" s="172">
        <v>251274.0</v>
      </c>
      <c r="D206" s="171" t="s">
        <v>4810</v>
      </c>
      <c r="E206" s="172" t="s">
        <v>111</v>
      </c>
      <c r="F206" s="172" t="b">
        <v>0</v>
      </c>
      <c r="G206" s="172" t="b">
        <v>1</v>
      </c>
      <c r="H206" s="172" t="b">
        <v>1</v>
      </c>
      <c r="I206" s="172" t="b">
        <v>0</v>
      </c>
      <c r="J206" s="172" t="b">
        <v>0</v>
      </c>
      <c r="K206" s="172" t="b">
        <v>0</v>
      </c>
      <c r="L206" s="172" t="b">
        <v>0</v>
      </c>
      <c r="M206" s="172" t="b">
        <v>0</v>
      </c>
      <c r="N206" s="97" t="s">
        <v>4797</v>
      </c>
      <c r="O206" s="172" t="b">
        <v>0</v>
      </c>
      <c r="P206" s="97"/>
      <c r="Q206" s="174"/>
    </row>
    <row r="207" spans="8:8" ht="43.5" customHeight="1">
      <c r="A207" s="170">
        <v>7.0</v>
      </c>
      <c r="B207" s="171" t="s">
        <v>3656</v>
      </c>
      <c r="C207" s="172">
        <v>251277.0</v>
      </c>
      <c r="D207" s="171" t="s">
        <v>4810</v>
      </c>
      <c r="E207" s="172" t="s">
        <v>111</v>
      </c>
      <c r="F207" s="172" t="b">
        <v>0</v>
      </c>
      <c r="G207" s="172" t="b">
        <v>1</v>
      </c>
      <c r="H207" s="172" t="b">
        <v>1</v>
      </c>
      <c r="I207" s="172" t="b">
        <v>0</v>
      </c>
      <c r="J207" s="172" t="b">
        <v>0</v>
      </c>
      <c r="K207" s="172" t="b">
        <v>0</v>
      </c>
      <c r="L207" s="172" t="b">
        <v>0</v>
      </c>
      <c r="M207" s="172" t="b">
        <v>0</v>
      </c>
      <c r="N207" s="97" t="s">
        <v>4798</v>
      </c>
      <c r="O207" s="172" t="b">
        <v>0</v>
      </c>
      <c r="P207" s="97"/>
      <c r="Q207" s="174"/>
    </row>
    <row r="208" spans="8:8" ht="43.5" customHeight="1">
      <c r="A208" s="170">
        <v>8.0</v>
      </c>
      <c r="B208" s="171" t="s">
        <v>3657</v>
      </c>
      <c r="C208" s="172">
        <v>251281.0</v>
      </c>
      <c r="D208" s="171" t="s">
        <v>4810</v>
      </c>
      <c r="E208" s="172" t="s">
        <v>111</v>
      </c>
      <c r="F208" s="172" t="b">
        <v>0</v>
      </c>
      <c r="G208" s="172" t="b">
        <v>0</v>
      </c>
      <c r="H208" s="172" t="b">
        <v>0</v>
      </c>
      <c r="I208" s="172" t="b">
        <v>0</v>
      </c>
      <c r="J208" s="172" t="b">
        <v>0</v>
      </c>
      <c r="K208" s="172" t="b">
        <v>0</v>
      </c>
      <c r="L208" s="172" t="b">
        <v>0</v>
      </c>
      <c r="M208" s="172" t="b">
        <v>0</v>
      </c>
      <c r="N208" s="97" t="s">
        <v>4799</v>
      </c>
      <c r="O208" s="172" t="b">
        <v>0</v>
      </c>
      <c r="P208" s="97"/>
      <c r="Q208" s="174"/>
    </row>
    <row r="209" spans="8:8" ht="43.5" customHeight="1">
      <c r="A209" s="170">
        <v>9.0</v>
      </c>
      <c r="B209" s="171" t="s">
        <v>3658</v>
      </c>
      <c r="C209" s="172">
        <v>251282.0</v>
      </c>
      <c r="D209" s="171" t="s">
        <v>4810</v>
      </c>
      <c r="E209" s="172" t="s">
        <v>111</v>
      </c>
      <c r="F209" s="172" t="b">
        <v>0</v>
      </c>
      <c r="G209" s="172" t="b">
        <v>0</v>
      </c>
      <c r="H209" s="172" t="b">
        <v>1</v>
      </c>
      <c r="I209" s="172" t="b">
        <v>0</v>
      </c>
      <c r="J209" s="172" t="b">
        <v>0</v>
      </c>
      <c r="K209" s="172" t="b">
        <v>0</v>
      </c>
      <c r="L209" s="172" t="b">
        <v>0</v>
      </c>
      <c r="M209" s="172" t="b">
        <v>0</v>
      </c>
      <c r="N209" s="97" t="s">
        <v>4800</v>
      </c>
      <c r="O209" s="172" t="b">
        <v>0</v>
      </c>
      <c r="P209" s="97"/>
      <c r="Q209" s="174"/>
    </row>
    <row r="210" spans="8:8" ht="43.5" customHeight="1">
      <c r="A210" s="170">
        <v>10.0</v>
      </c>
      <c r="B210" s="171" t="s">
        <v>3659</v>
      </c>
      <c r="C210" s="172">
        <v>251283.0</v>
      </c>
      <c r="D210" s="171" t="s">
        <v>4810</v>
      </c>
      <c r="E210" s="172" t="s">
        <v>111</v>
      </c>
      <c r="F210" s="172" t="b">
        <v>1</v>
      </c>
      <c r="G210" s="172" t="b">
        <v>1</v>
      </c>
      <c r="H210" s="172" t="b">
        <v>1</v>
      </c>
      <c r="I210" s="172" t="b">
        <v>0</v>
      </c>
      <c r="J210" s="172" t="b">
        <v>0</v>
      </c>
      <c r="K210" s="172" t="b">
        <v>0</v>
      </c>
      <c r="L210" s="172" t="b">
        <v>0</v>
      </c>
      <c r="M210" s="172" t="b">
        <v>0</v>
      </c>
      <c r="N210" s="97" t="s">
        <v>4801</v>
      </c>
      <c r="O210" s="172" t="b">
        <v>0</v>
      </c>
      <c r="P210" s="97"/>
      <c r="Q210" s="174"/>
    </row>
    <row r="211" spans="8:8" ht="43.5" customHeight="1">
      <c r="A211" s="170">
        <v>11.0</v>
      </c>
      <c r="B211" s="171" t="s">
        <v>3660</v>
      </c>
      <c r="C211" s="172">
        <v>251288.0</v>
      </c>
      <c r="D211" s="171" t="s">
        <v>4810</v>
      </c>
      <c r="E211" s="172" t="s">
        <v>111</v>
      </c>
      <c r="F211" s="172" t="b">
        <v>1</v>
      </c>
      <c r="G211" s="172" t="b">
        <v>0</v>
      </c>
      <c r="H211" s="172" t="b">
        <v>1</v>
      </c>
      <c r="I211" s="172" t="b">
        <v>0</v>
      </c>
      <c r="J211" s="172" t="b">
        <v>0</v>
      </c>
      <c r="K211" s="172" t="b">
        <v>0</v>
      </c>
      <c r="L211" s="172" t="b">
        <v>0</v>
      </c>
      <c r="M211" s="172" t="b">
        <v>0</v>
      </c>
      <c r="N211" s="97"/>
      <c r="O211" s="97"/>
      <c r="P211" s="97"/>
      <c r="Q211" s="174"/>
    </row>
    <row r="212" spans="8:8" ht="43.5" customHeight="1">
      <c r="A212" s="170">
        <v>12.0</v>
      </c>
      <c r="B212" s="171" t="s">
        <v>3661</v>
      </c>
      <c r="C212" s="172">
        <v>251291.0</v>
      </c>
      <c r="D212" s="171" t="s">
        <v>4810</v>
      </c>
      <c r="E212" s="172" t="s">
        <v>111</v>
      </c>
      <c r="F212" s="172" t="b">
        <v>1</v>
      </c>
      <c r="G212" s="172" t="b">
        <v>1</v>
      </c>
      <c r="H212" s="172" t="b">
        <v>1</v>
      </c>
      <c r="I212" s="172" t="b">
        <v>0</v>
      </c>
      <c r="J212" s="172" t="b">
        <v>0</v>
      </c>
      <c r="K212" s="172" t="b">
        <v>0</v>
      </c>
      <c r="L212" s="172" t="b">
        <v>0</v>
      </c>
      <c r="M212" s="172" t="b">
        <v>0</v>
      </c>
      <c r="N212" s="97"/>
      <c r="O212" s="97"/>
      <c r="P212" s="97"/>
      <c r="Q212" s="174"/>
    </row>
    <row r="213" spans="8:8" ht="43.5" customHeight="1">
      <c r="A213" s="170">
        <v>13.0</v>
      </c>
      <c r="B213" s="171" t="s">
        <v>3662</v>
      </c>
      <c r="C213" s="172">
        <v>251294.0</v>
      </c>
      <c r="D213" s="171" t="s">
        <v>4810</v>
      </c>
      <c r="E213" s="172" t="s">
        <v>111</v>
      </c>
      <c r="F213" s="172" t="b">
        <v>0</v>
      </c>
      <c r="G213" s="172" t="b">
        <v>0</v>
      </c>
      <c r="H213" s="172" t="b">
        <v>0</v>
      </c>
      <c r="I213" s="172" t="b">
        <v>0</v>
      </c>
      <c r="J213" s="172" t="b">
        <v>0</v>
      </c>
      <c r="K213" s="172" t="b">
        <v>0</v>
      </c>
      <c r="L213" s="172" t="b">
        <v>0</v>
      </c>
      <c r="M213" s="172" t="b">
        <v>0</v>
      </c>
      <c r="N213" s="97"/>
      <c r="O213" s="97"/>
      <c r="P213" s="97"/>
      <c r="Q213" s="174"/>
    </row>
    <row r="214" spans="8:8" ht="43.5" customHeight="1">
      <c r="A214" s="170">
        <v>14.0</v>
      </c>
      <c r="B214" s="171" t="s">
        <v>3663</v>
      </c>
      <c r="C214" s="172">
        <v>251295.0</v>
      </c>
      <c r="D214" s="171" t="s">
        <v>4810</v>
      </c>
      <c r="E214" s="172" t="s">
        <v>111</v>
      </c>
      <c r="F214" s="172" t="b">
        <v>1</v>
      </c>
      <c r="G214" s="172" t="b">
        <v>1</v>
      </c>
      <c r="H214" s="172" t="b">
        <v>1</v>
      </c>
      <c r="I214" s="172" t="b">
        <v>0</v>
      </c>
      <c r="J214" s="172" t="b">
        <v>0</v>
      </c>
      <c r="K214" s="172" t="b">
        <v>0</v>
      </c>
      <c r="L214" s="172" t="b">
        <v>0</v>
      </c>
      <c r="M214" s="172" t="b">
        <v>0</v>
      </c>
      <c r="N214" s="97"/>
      <c r="O214" s="97"/>
      <c r="P214" s="97"/>
      <c r="Q214" s="174"/>
    </row>
    <row r="215" spans="8:8" ht="43.5" customHeight="1">
      <c r="A215" s="170">
        <v>15.0</v>
      </c>
      <c r="B215" s="171" t="s">
        <v>3664</v>
      </c>
      <c r="C215" s="172">
        <v>251301.0</v>
      </c>
      <c r="D215" s="171" t="s">
        <v>4810</v>
      </c>
      <c r="E215" s="172" t="s">
        <v>111</v>
      </c>
      <c r="F215" s="172" t="b">
        <v>0</v>
      </c>
      <c r="G215" s="188" t="b">
        <v>0</v>
      </c>
      <c r="H215" s="172" t="b">
        <v>0</v>
      </c>
      <c r="I215" s="172" t="b">
        <v>0</v>
      </c>
      <c r="J215" s="172" t="b">
        <v>0</v>
      </c>
      <c r="K215" s="172" t="b">
        <v>0</v>
      </c>
      <c r="L215" s="172" t="b">
        <v>0</v>
      </c>
      <c r="M215" s="172" t="b">
        <v>0</v>
      </c>
      <c r="N215" s="97"/>
      <c r="O215" s="97"/>
      <c r="P215" s="97"/>
      <c r="Q215" s="174"/>
    </row>
    <row r="216" spans="8:8" ht="43.5" customHeight="1">
      <c r="A216" s="170">
        <v>16.0</v>
      </c>
      <c r="B216" s="171" t="s">
        <v>3665</v>
      </c>
      <c r="C216" s="172">
        <v>251303.0</v>
      </c>
      <c r="D216" s="171" t="s">
        <v>4818</v>
      </c>
      <c r="E216" s="172" t="s">
        <v>111</v>
      </c>
      <c r="F216" s="172" t="b">
        <v>0</v>
      </c>
      <c r="G216" s="172" t="b">
        <v>0</v>
      </c>
      <c r="H216" s="172" t="b">
        <v>0</v>
      </c>
      <c r="I216" s="172" t="b">
        <v>0</v>
      </c>
      <c r="J216" s="172" t="b">
        <v>0</v>
      </c>
      <c r="K216" s="172" t="b">
        <v>0</v>
      </c>
      <c r="L216" s="172" t="b">
        <v>0</v>
      </c>
      <c r="M216" s="172" t="b">
        <v>0</v>
      </c>
      <c r="N216" s="97"/>
      <c r="O216" s="97"/>
      <c r="P216" s="97"/>
      <c r="Q216" s="174"/>
    </row>
    <row r="217" spans="8:8" ht="43.5" customHeight="1">
      <c r="A217" s="170">
        <v>17.0</v>
      </c>
      <c r="B217" s="171" t="s">
        <v>3666</v>
      </c>
      <c r="C217" s="172">
        <v>251307.0</v>
      </c>
      <c r="D217" s="171" t="s">
        <v>4818</v>
      </c>
      <c r="E217" s="172" t="s">
        <v>111</v>
      </c>
      <c r="F217" s="172" t="b">
        <v>1</v>
      </c>
      <c r="G217" s="172" t="b">
        <v>1</v>
      </c>
      <c r="H217" s="172" t="b">
        <v>1</v>
      </c>
      <c r="I217" s="172" t="b">
        <v>0</v>
      </c>
      <c r="J217" s="172" t="b">
        <v>0</v>
      </c>
      <c r="K217" s="172" t="b">
        <v>0</v>
      </c>
      <c r="L217" s="172" t="b">
        <v>0</v>
      </c>
      <c r="M217" s="172" t="b">
        <v>0</v>
      </c>
      <c r="N217" s="97"/>
      <c r="O217" s="97"/>
      <c r="P217" s="97"/>
      <c r="Q217" s="174"/>
    </row>
    <row r="218" spans="8:8" ht="43.5" customHeight="1">
      <c r="A218" s="170">
        <v>18.0</v>
      </c>
      <c r="B218" s="171" t="s">
        <v>3667</v>
      </c>
      <c r="C218" s="172">
        <v>251309.0</v>
      </c>
      <c r="D218" s="171" t="s">
        <v>4818</v>
      </c>
      <c r="E218" s="172" t="s">
        <v>111</v>
      </c>
      <c r="F218" s="172" t="b">
        <v>0</v>
      </c>
      <c r="G218" s="172" t="b">
        <v>0</v>
      </c>
      <c r="H218" s="172" t="b">
        <v>0</v>
      </c>
      <c r="I218" s="172" t="b">
        <v>0</v>
      </c>
      <c r="J218" s="172" t="b">
        <v>0</v>
      </c>
      <c r="K218" s="172" t="b">
        <v>0</v>
      </c>
      <c r="L218" s="172" t="b">
        <v>0</v>
      </c>
      <c r="M218" s="172" t="b">
        <v>0</v>
      </c>
      <c r="N218" s="97"/>
      <c r="O218" s="97"/>
      <c r="P218" s="97"/>
      <c r="Q218" s="174"/>
    </row>
    <row r="219" spans="8:8" ht="43.5" customHeight="1">
      <c r="A219" s="170">
        <v>19.0</v>
      </c>
      <c r="B219" s="171" t="s">
        <v>3668</v>
      </c>
      <c r="C219" s="172">
        <v>251312.0</v>
      </c>
      <c r="D219" s="171" t="s">
        <v>4818</v>
      </c>
      <c r="E219" s="172" t="s">
        <v>111</v>
      </c>
      <c r="F219" s="172" t="b">
        <v>1</v>
      </c>
      <c r="G219" s="172" t="b">
        <v>1</v>
      </c>
      <c r="H219" s="172" t="b">
        <v>1</v>
      </c>
      <c r="I219" s="172" t="b">
        <v>0</v>
      </c>
      <c r="J219" s="172" t="b">
        <v>0</v>
      </c>
      <c r="K219" s="172" t="b">
        <v>0</v>
      </c>
      <c r="L219" s="172" t="b">
        <v>0</v>
      </c>
      <c r="M219" s="172" t="b">
        <v>0</v>
      </c>
      <c r="N219" s="97"/>
      <c r="O219" s="97"/>
      <c r="P219" s="97"/>
      <c r="Q219" s="174"/>
    </row>
    <row r="220" spans="8:8" ht="43.5" customHeight="1">
      <c r="A220" s="170">
        <v>20.0</v>
      </c>
      <c r="B220" s="171" t="s">
        <v>3669</v>
      </c>
      <c r="C220" s="172">
        <v>251314.0</v>
      </c>
      <c r="D220" s="171" t="s">
        <v>4818</v>
      </c>
      <c r="E220" s="172" t="s">
        <v>111</v>
      </c>
      <c r="F220" s="172" t="b">
        <v>1</v>
      </c>
      <c r="G220" s="172" t="b">
        <v>1</v>
      </c>
      <c r="H220" s="172" t="b">
        <v>1</v>
      </c>
      <c r="I220" s="172" t="b">
        <v>0</v>
      </c>
      <c r="J220" s="172" t="b">
        <v>0</v>
      </c>
      <c r="K220" s="172" t="b">
        <v>0</v>
      </c>
      <c r="L220" s="172" t="b">
        <v>0</v>
      </c>
      <c r="M220" s="172" t="b">
        <v>0</v>
      </c>
      <c r="N220" s="97"/>
      <c r="O220" s="97"/>
      <c r="P220" s="97"/>
      <c r="Q220" s="174"/>
    </row>
    <row r="221" spans="8:8" ht="43.5" customHeight="1">
      <c r="A221" s="170">
        <v>21.0</v>
      </c>
      <c r="B221" s="171" t="s">
        <v>3670</v>
      </c>
      <c r="C221" s="172">
        <v>251315.0</v>
      </c>
      <c r="D221" s="171" t="s">
        <v>4818</v>
      </c>
      <c r="E221" s="172" t="s">
        <v>111</v>
      </c>
      <c r="F221" s="172" t="b">
        <v>0</v>
      </c>
      <c r="G221" s="172" t="b">
        <v>1</v>
      </c>
      <c r="H221" s="172" t="b">
        <v>1</v>
      </c>
      <c r="I221" s="172" t="b">
        <v>0</v>
      </c>
      <c r="J221" s="172" t="b">
        <v>0</v>
      </c>
      <c r="K221" s="172" t="b">
        <v>0</v>
      </c>
      <c r="L221" s="172" t="b">
        <v>0</v>
      </c>
      <c r="M221" s="172" t="b">
        <v>0</v>
      </c>
      <c r="N221" s="97"/>
      <c r="O221" s="97"/>
      <c r="P221" s="97"/>
      <c r="Q221" s="174"/>
    </row>
    <row r="222" spans="8:8" ht="43.5" customHeight="1">
      <c r="A222" s="170">
        <v>22.0</v>
      </c>
      <c r="B222" s="171" t="s">
        <v>3671</v>
      </c>
      <c r="C222" s="172">
        <v>251316.0</v>
      </c>
      <c r="D222" s="171" t="s">
        <v>4818</v>
      </c>
      <c r="E222" s="172" t="s">
        <v>111</v>
      </c>
      <c r="F222" s="172" t="b">
        <v>1</v>
      </c>
      <c r="G222" s="172" t="b">
        <v>1</v>
      </c>
      <c r="H222" s="172" t="b">
        <v>1</v>
      </c>
      <c r="I222" s="172" t="b">
        <v>0</v>
      </c>
      <c r="J222" s="172" t="b">
        <v>0</v>
      </c>
      <c r="K222" s="172" t="b">
        <v>0</v>
      </c>
      <c r="L222" s="172" t="b">
        <v>0</v>
      </c>
      <c r="M222" s="172" t="b">
        <v>0</v>
      </c>
      <c r="N222" s="97"/>
      <c r="O222" s="97"/>
      <c r="P222" s="97"/>
      <c r="Q222" s="174"/>
    </row>
    <row r="223" spans="8:8" ht="43.5" customHeight="1">
      <c r="A223" s="170">
        <v>23.0</v>
      </c>
      <c r="B223" s="171" t="s">
        <v>3672</v>
      </c>
      <c r="C223" s="172">
        <v>251623.0</v>
      </c>
      <c r="D223" s="171" t="s">
        <v>4823</v>
      </c>
      <c r="E223" s="172" t="s">
        <v>111</v>
      </c>
      <c r="F223" s="172" t="b">
        <v>1</v>
      </c>
      <c r="G223" s="172" t="b">
        <v>1</v>
      </c>
      <c r="H223" s="172" t="b">
        <v>1</v>
      </c>
      <c r="I223" s="172" t="b">
        <v>0</v>
      </c>
      <c r="J223" s="172" t="b">
        <v>0</v>
      </c>
      <c r="K223" s="172" t="b">
        <v>0</v>
      </c>
      <c r="L223" s="172" t="b">
        <v>0</v>
      </c>
      <c r="M223" s="172" t="b">
        <v>0</v>
      </c>
      <c r="N223" s="97"/>
      <c r="O223" s="97"/>
      <c r="P223" s="97"/>
      <c r="Q223" s="174"/>
    </row>
    <row r="224" spans="8:8" ht="43.5" customHeight="1">
      <c r="A224" s="170">
        <v>24.0</v>
      </c>
      <c r="B224" s="171" t="s">
        <v>3673</v>
      </c>
      <c r="C224" s="172">
        <v>251347.0</v>
      </c>
      <c r="D224" s="171" t="s">
        <v>4822</v>
      </c>
      <c r="E224" s="172" t="s">
        <v>111</v>
      </c>
      <c r="F224" s="172" t="b">
        <v>0</v>
      </c>
      <c r="G224" s="172" t="b">
        <v>0</v>
      </c>
      <c r="H224" s="172" t="b">
        <v>0</v>
      </c>
      <c r="I224" s="172" t="b">
        <v>0</v>
      </c>
      <c r="J224" s="172" t="b">
        <v>0</v>
      </c>
      <c r="K224" s="172" t="b">
        <v>0</v>
      </c>
      <c r="L224" s="172" t="b">
        <v>0</v>
      </c>
      <c r="M224" s="172" t="b">
        <v>0</v>
      </c>
      <c r="N224" s="97"/>
      <c r="O224" s="97"/>
      <c r="P224" s="97"/>
      <c r="Q224" s="174"/>
    </row>
    <row r="225" spans="8:8" ht="43.5" customHeight="1">
      <c r="A225" s="170">
        <v>25.0</v>
      </c>
      <c r="B225" s="171" t="s">
        <v>3674</v>
      </c>
      <c r="C225" s="172">
        <v>251351.0</v>
      </c>
      <c r="D225" s="171" t="s">
        <v>4822</v>
      </c>
      <c r="E225" s="97" t="s">
        <v>111</v>
      </c>
      <c r="F225" s="172" t="b">
        <v>0</v>
      </c>
      <c r="G225" s="172" t="b">
        <v>1</v>
      </c>
      <c r="H225" s="172" t="b">
        <v>1</v>
      </c>
      <c r="I225" s="172" t="b">
        <v>0</v>
      </c>
      <c r="J225" s="172" t="b">
        <v>0</v>
      </c>
      <c r="K225" s="172" t="b">
        <v>0</v>
      </c>
      <c r="L225" s="172" t="b">
        <v>0</v>
      </c>
      <c r="M225" s="172" t="b">
        <v>0</v>
      </c>
      <c r="N225" s="97"/>
      <c r="O225" s="97"/>
      <c r="P225" s="97"/>
      <c r="Q225" s="174"/>
    </row>
    <row r="226" spans="8:8" ht="43.5" customHeight="1">
      <c r="A226" s="170">
        <v>26.0</v>
      </c>
      <c r="B226" s="171" t="s">
        <v>3676</v>
      </c>
      <c r="C226" s="172">
        <v>251508.0</v>
      </c>
      <c r="D226" s="172"/>
      <c r="E226" s="172" t="s">
        <v>111</v>
      </c>
      <c r="F226" s="172" t="b">
        <v>1</v>
      </c>
      <c r="G226" s="172" t="b">
        <v>0</v>
      </c>
      <c r="H226" s="172" t="b">
        <v>0</v>
      </c>
      <c r="I226" s="172" t="b">
        <v>0</v>
      </c>
      <c r="J226" s="172" t="b">
        <v>0</v>
      </c>
      <c r="K226" s="172" t="b">
        <v>0</v>
      </c>
      <c r="L226" s="172" t="b">
        <v>1</v>
      </c>
      <c r="M226" s="172" t="b">
        <v>0</v>
      </c>
      <c r="N226" s="97"/>
      <c r="O226" s="97"/>
      <c r="P226" s="97"/>
      <c r="Q226" s="174"/>
    </row>
    <row r="227" spans="8:8" ht="43.5" customHeight="1">
      <c r="A227" s="170">
        <v>27.0</v>
      </c>
      <c r="B227" s="171" t="s">
        <v>3677</v>
      </c>
      <c r="C227" s="172">
        <v>251749.0</v>
      </c>
      <c r="D227" s="171" t="s">
        <v>4828</v>
      </c>
      <c r="E227" s="172" t="s">
        <v>111</v>
      </c>
      <c r="F227" s="172" t="b">
        <v>0</v>
      </c>
      <c r="G227" s="172" t="b">
        <v>1</v>
      </c>
      <c r="H227" s="172" t="b">
        <v>1</v>
      </c>
      <c r="I227" s="172" t="b">
        <v>0</v>
      </c>
      <c r="J227" s="172" t="b">
        <v>0</v>
      </c>
      <c r="K227" s="172" t="b">
        <v>0</v>
      </c>
      <c r="L227" s="172" t="b">
        <v>0</v>
      </c>
      <c r="M227" s="172" t="b">
        <v>0</v>
      </c>
      <c r="N227" s="97"/>
      <c r="O227" s="97"/>
      <c r="P227" s="97"/>
      <c r="Q227" s="174"/>
    </row>
    <row r="228" spans="8:8" ht="43.5" customHeight="1">
      <c r="A228" s="170">
        <v>28.0</v>
      </c>
      <c r="B228" s="171" t="s">
        <v>3678</v>
      </c>
      <c r="C228" s="172">
        <v>251777.0</v>
      </c>
      <c r="D228" s="171" t="s">
        <v>4828</v>
      </c>
      <c r="E228" s="172" t="s">
        <v>111</v>
      </c>
      <c r="F228" s="172" t="b">
        <v>1</v>
      </c>
      <c r="G228" s="172" t="b">
        <v>0</v>
      </c>
      <c r="H228" s="172" t="b">
        <v>0</v>
      </c>
      <c r="I228" s="172" t="b">
        <v>0</v>
      </c>
      <c r="J228" s="172" t="b">
        <v>0</v>
      </c>
      <c r="K228" s="172" t="b">
        <v>0</v>
      </c>
      <c r="L228" s="172" t="b">
        <v>0</v>
      </c>
      <c r="M228" s="172" t="b">
        <v>0</v>
      </c>
      <c r="N228" s="97"/>
      <c r="O228" s="97"/>
      <c r="P228" s="97"/>
      <c r="Q228" s="174"/>
    </row>
    <row r="229" spans="8:8" ht="43.5" customHeight="1">
      <c r="A229" s="170">
        <v>29.0</v>
      </c>
      <c r="B229" s="171" t="s">
        <v>3679</v>
      </c>
      <c r="C229" s="172">
        <v>251738.0</v>
      </c>
      <c r="D229" s="171" t="s">
        <v>4820</v>
      </c>
      <c r="E229" s="172" t="s">
        <v>111</v>
      </c>
      <c r="F229" s="172" t="b">
        <v>1</v>
      </c>
      <c r="G229" s="172" t="b">
        <v>0</v>
      </c>
      <c r="H229" s="172" t="b">
        <v>1</v>
      </c>
      <c r="I229" s="172" t="b">
        <v>0</v>
      </c>
      <c r="J229" s="172" t="b">
        <v>0</v>
      </c>
      <c r="K229" s="172" t="b">
        <v>0</v>
      </c>
      <c r="L229" s="172" t="b">
        <v>0</v>
      </c>
      <c r="M229" s="172" t="b">
        <v>0</v>
      </c>
      <c r="N229" s="97"/>
      <c r="O229" s="97"/>
      <c r="P229" s="97"/>
      <c r="Q229" s="174"/>
    </row>
    <row r="230" spans="8:8" ht="43.5" customHeight="1">
      <c r="A230" s="170">
        <v>30.0</v>
      </c>
      <c r="B230" s="171" t="s">
        <v>3680</v>
      </c>
      <c r="C230" s="172">
        <v>251731.0</v>
      </c>
      <c r="D230" s="171" t="s">
        <v>4820</v>
      </c>
      <c r="E230" s="172" t="s">
        <v>111</v>
      </c>
      <c r="F230" s="172" t="b">
        <v>1</v>
      </c>
      <c r="G230" s="172" t="b">
        <v>1</v>
      </c>
      <c r="H230" s="172" t="b">
        <v>1</v>
      </c>
      <c r="I230" s="172" t="b">
        <v>0</v>
      </c>
      <c r="J230" s="172" t="b">
        <v>0</v>
      </c>
      <c r="K230" s="172" t="b">
        <v>0</v>
      </c>
      <c r="L230" s="172" t="b">
        <v>0</v>
      </c>
      <c r="M230" s="172" t="b">
        <v>0</v>
      </c>
      <c r="N230" s="97"/>
      <c r="O230" s="97"/>
      <c r="P230" s="97"/>
      <c r="Q230" s="174"/>
    </row>
    <row r="231" spans="8:8" ht="43.5" customHeight="1">
      <c r="A231" s="172">
        <v>5.0</v>
      </c>
      <c r="B231" s="171" t="s">
        <v>3681</v>
      </c>
      <c r="C231" s="172">
        <v>251690.0</v>
      </c>
      <c r="D231" s="171" t="s">
        <v>4843</v>
      </c>
      <c r="E231" s="172" t="s">
        <v>111</v>
      </c>
      <c r="F231" s="172" t="b">
        <v>1</v>
      </c>
      <c r="G231" s="172" t="b">
        <v>0</v>
      </c>
      <c r="H231" s="172" t="b">
        <v>1</v>
      </c>
      <c r="I231" s="172" t="b">
        <v>0</v>
      </c>
      <c r="J231" s="172" t="b">
        <v>0</v>
      </c>
      <c r="K231" s="172" t="b">
        <v>0</v>
      </c>
      <c r="L231" s="172" t="b">
        <v>0</v>
      </c>
      <c r="M231" s="172" t="b">
        <v>0</v>
      </c>
      <c r="N231" s="97"/>
      <c r="O231" s="97"/>
      <c r="P231" s="97"/>
      <c r="Q231" s="174"/>
    </row>
    <row r="232" spans="8:8" ht="43.5" customHeight="1">
      <c r="A232" s="170"/>
      <c r="B232" s="182" t="s">
        <v>4815</v>
      </c>
      <c r="C232" s="97"/>
      <c r="D232" s="97"/>
      <c r="E232" s="183"/>
      <c r="F232" s="184">
        <f t="shared" si="7" ref="F232:M232">COUNTIF(F202:F224,TRUE)/COUNTA(F202:F224)</f>
        <v>0.4782608695652174</v>
      </c>
      <c r="G232" s="184">
        <f t="shared" si="7"/>
        <v>0.5652173913043478</v>
      </c>
      <c r="H232" s="184">
        <f t="shared" si="7"/>
        <v>0.7391304347826086</v>
      </c>
      <c r="I232" s="184">
        <f t="shared" si="7"/>
        <v>0.0</v>
      </c>
      <c r="J232" s="184">
        <f t="shared" si="7"/>
        <v>0.0</v>
      </c>
      <c r="K232" s="184">
        <f t="shared" si="7"/>
        <v>0.0</v>
      </c>
      <c r="L232" s="184">
        <f t="shared" si="7"/>
        <v>0.0</v>
      </c>
      <c r="M232" s="184">
        <f t="shared" si="7"/>
        <v>0.0</v>
      </c>
      <c r="N232" s="97"/>
      <c r="O232" s="97"/>
      <c r="P232" s="97"/>
      <c r="Q232" s="174"/>
    </row>
    <row r="233" spans="8:8" ht="43.5" customHeight="1">
      <c r="A233" s="185" t="s">
        <v>18</v>
      </c>
      <c r="B233" s="162" t="s">
        <v>19</v>
      </c>
      <c r="C233" s="163"/>
      <c r="D233" s="162" t="s">
        <v>4530</v>
      </c>
      <c r="E233" s="162" t="s">
        <v>22</v>
      </c>
      <c r="F233" s="163" t="s">
        <v>4794</v>
      </c>
      <c r="G233" s="163" t="s">
        <v>4795</v>
      </c>
      <c r="H233" s="163" t="s">
        <v>4796</v>
      </c>
      <c r="I233" s="163" t="s">
        <v>4797</v>
      </c>
      <c r="J233" s="163" t="s">
        <v>4798</v>
      </c>
      <c r="K233" s="163" t="s">
        <v>4799</v>
      </c>
      <c r="L233" s="163" t="s">
        <v>4800</v>
      </c>
      <c r="M233" s="163" t="s">
        <v>4801</v>
      </c>
      <c r="N233" s="166" t="s">
        <v>4849</v>
      </c>
      <c r="O233" s="167"/>
      <c r="P233" s="168"/>
      <c r="Q233" s="169"/>
    </row>
    <row r="234" spans="8:8" ht="43.5" customHeight="1">
      <c r="A234" s="170">
        <v>1.0</v>
      </c>
      <c r="B234" s="171" t="s">
        <v>3686</v>
      </c>
      <c r="C234" s="172">
        <v>251362.0</v>
      </c>
      <c r="D234" s="171" t="s">
        <v>4822</v>
      </c>
      <c r="E234" s="172" t="s">
        <v>111</v>
      </c>
      <c r="F234" s="172" t="b">
        <v>0</v>
      </c>
      <c r="G234" s="172" t="b">
        <v>1</v>
      </c>
      <c r="H234" s="172" t="b">
        <v>1</v>
      </c>
      <c r="I234" s="172" t="b">
        <v>0</v>
      </c>
      <c r="J234" s="172" t="b">
        <v>0</v>
      </c>
      <c r="K234" s="172" t="b">
        <v>0</v>
      </c>
      <c r="L234" s="172" t="b">
        <v>0</v>
      </c>
      <c r="M234" s="172" t="b">
        <v>0</v>
      </c>
      <c r="N234" s="173" t="s">
        <v>4804</v>
      </c>
      <c r="O234" s="167"/>
      <c r="P234" s="168"/>
      <c r="Q234" s="174"/>
    </row>
    <row r="235" spans="8:8" ht="43.5" customHeight="1">
      <c r="A235" s="170">
        <v>2.0</v>
      </c>
      <c r="B235" s="171" t="s">
        <v>3687</v>
      </c>
      <c r="C235" s="172">
        <v>251363.0</v>
      </c>
      <c r="D235" s="171" t="s">
        <v>4822</v>
      </c>
      <c r="E235" s="172" t="s">
        <v>111</v>
      </c>
      <c r="F235" s="172" t="b">
        <v>0</v>
      </c>
      <c r="G235" s="172" t="b">
        <v>1</v>
      </c>
      <c r="H235" s="172" t="b">
        <v>1</v>
      </c>
      <c r="I235" s="172" t="b">
        <v>0</v>
      </c>
      <c r="J235" s="172" t="b">
        <v>0</v>
      </c>
      <c r="K235" s="172" t="b">
        <v>0</v>
      </c>
      <c r="L235" s="172" t="b">
        <v>0</v>
      </c>
      <c r="M235" s="172" t="b">
        <v>0</v>
      </c>
      <c r="N235" s="175" t="s">
        <v>4805</v>
      </c>
      <c r="O235" s="176" t="s">
        <v>4806</v>
      </c>
      <c r="P235" s="97" t="s">
        <v>4807</v>
      </c>
      <c r="Q235" s="174"/>
    </row>
    <row r="236" spans="8:8" ht="43.5" customHeight="1">
      <c r="A236" s="170">
        <v>3.0</v>
      </c>
      <c r="B236" s="171" t="s">
        <v>3688</v>
      </c>
      <c r="C236" s="172">
        <v>251367.0</v>
      </c>
      <c r="D236" s="171" t="s">
        <v>4822</v>
      </c>
      <c r="E236" s="172" t="s">
        <v>111</v>
      </c>
      <c r="F236" s="172" t="b">
        <v>0</v>
      </c>
      <c r="G236" s="172" t="b">
        <v>1</v>
      </c>
      <c r="H236" s="172" t="b">
        <v>1</v>
      </c>
      <c r="I236" s="172" t="b">
        <v>0</v>
      </c>
      <c r="J236" s="172" t="b">
        <v>0</v>
      </c>
      <c r="K236" s="172" t="b">
        <v>0</v>
      </c>
      <c r="L236" s="172" t="b">
        <v>0</v>
      </c>
      <c r="M236" s="172" t="b">
        <v>0</v>
      </c>
      <c r="N236" s="97" t="s">
        <v>4794</v>
      </c>
      <c r="O236" s="172" t="b">
        <v>0</v>
      </c>
      <c r="P236" s="97" t="s">
        <v>4850</v>
      </c>
      <c r="Q236" s="174"/>
    </row>
    <row r="237" spans="8:8" ht="43.5" customHeight="1">
      <c r="A237" s="170">
        <v>4.0</v>
      </c>
      <c r="B237" s="171" t="s">
        <v>3689</v>
      </c>
      <c r="C237" s="172">
        <v>251369.0</v>
      </c>
      <c r="D237" s="171" t="s">
        <v>4825</v>
      </c>
      <c r="E237" s="172" t="s">
        <v>111</v>
      </c>
      <c r="F237" s="172" t="b">
        <v>0</v>
      </c>
      <c r="G237" s="172" t="b">
        <v>1</v>
      </c>
      <c r="H237" s="172" t="b">
        <v>0</v>
      </c>
      <c r="I237" s="172" t="b">
        <v>0</v>
      </c>
      <c r="J237" s="172" t="b">
        <v>0</v>
      </c>
      <c r="K237" s="172" t="b">
        <v>0</v>
      </c>
      <c r="L237" s="172" t="b">
        <v>0</v>
      </c>
      <c r="M237" s="172" t="b">
        <v>0</v>
      </c>
      <c r="N237" s="97" t="s">
        <v>4795</v>
      </c>
      <c r="O237" s="172" t="b">
        <v>1</v>
      </c>
      <c r="P237" s="97"/>
      <c r="Q237" s="174"/>
    </row>
    <row r="238" spans="8:8" ht="43.5" customHeight="1">
      <c r="A238" s="170">
        <v>5.0</v>
      </c>
      <c r="B238" s="171" t="s">
        <v>3690</v>
      </c>
      <c r="C238" s="172">
        <v>251374.0</v>
      </c>
      <c r="D238" s="171" t="s">
        <v>4825</v>
      </c>
      <c r="E238" s="172" t="s">
        <v>111</v>
      </c>
      <c r="F238" s="172" t="b">
        <v>0</v>
      </c>
      <c r="G238" s="172" t="b">
        <v>1</v>
      </c>
      <c r="H238" s="172" t="b">
        <v>1</v>
      </c>
      <c r="I238" s="172" t="b">
        <v>0</v>
      </c>
      <c r="J238" s="172" t="b">
        <v>0</v>
      </c>
      <c r="K238" s="172" t="b">
        <v>0</v>
      </c>
      <c r="L238" s="172" t="b">
        <v>0</v>
      </c>
      <c r="M238" s="172" t="b">
        <v>0</v>
      </c>
      <c r="N238" s="97" t="s">
        <v>4796</v>
      </c>
      <c r="O238" s="172" t="b">
        <v>1</v>
      </c>
      <c r="P238" s="97"/>
      <c r="Q238" s="174"/>
    </row>
    <row r="239" spans="8:8" ht="43.5" customHeight="1">
      <c r="A239" s="170">
        <v>6.0</v>
      </c>
      <c r="B239" s="171" t="s">
        <v>3691</v>
      </c>
      <c r="C239" s="172">
        <v>251376.0</v>
      </c>
      <c r="D239" s="171" t="s">
        <v>4825</v>
      </c>
      <c r="E239" s="172" t="s">
        <v>111</v>
      </c>
      <c r="F239" s="172" t="b">
        <v>0</v>
      </c>
      <c r="G239" s="188" t="b">
        <v>1</v>
      </c>
      <c r="H239" s="172" t="b">
        <v>1</v>
      </c>
      <c r="I239" s="172" t="b">
        <v>0</v>
      </c>
      <c r="J239" s="172" t="b">
        <v>0</v>
      </c>
      <c r="K239" s="172" t="b">
        <v>0</v>
      </c>
      <c r="L239" s="172" t="b">
        <v>0</v>
      </c>
      <c r="M239" s="172" t="b">
        <v>0</v>
      </c>
      <c r="N239" s="97" t="s">
        <v>4797</v>
      </c>
      <c r="O239" s="172" t="b">
        <v>0</v>
      </c>
      <c r="P239" s="97"/>
      <c r="Q239" s="174"/>
    </row>
    <row r="240" spans="8:8" ht="43.5" customHeight="1">
      <c r="A240" s="170">
        <v>7.0</v>
      </c>
      <c r="B240" s="171" t="s">
        <v>3692</v>
      </c>
      <c r="C240" s="172">
        <v>251378.0</v>
      </c>
      <c r="D240" s="171" t="s">
        <v>4825</v>
      </c>
      <c r="E240" s="172" t="s">
        <v>111</v>
      </c>
      <c r="F240" s="172" t="b">
        <v>0</v>
      </c>
      <c r="G240" s="172" t="b">
        <v>1</v>
      </c>
      <c r="H240" s="172" t="b">
        <v>0</v>
      </c>
      <c r="I240" s="172" t="b">
        <v>0</v>
      </c>
      <c r="J240" s="172" t="b">
        <v>0</v>
      </c>
      <c r="K240" s="172" t="b">
        <v>0</v>
      </c>
      <c r="L240" s="172" t="b">
        <v>0</v>
      </c>
      <c r="M240" s="172" t="b">
        <v>0</v>
      </c>
      <c r="N240" s="97" t="s">
        <v>4798</v>
      </c>
      <c r="O240" s="172" t="b">
        <v>0</v>
      </c>
      <c r="P240" s="97"/>
      <c r="Q240" s="174"/>
    </row>
    <row r="241" spans="8:8" ht="43.5" customHeight="1">
      <c r="A241" s="170">
        <v>8.0</v>
      </c>
      <c r="B241" s="171" t="s">
        <v>3693</v>
      </c>
      <c r="C241" s="172">
        <v>251381.0</v>
      </c>
      <c r="D241" s="171" t="s">
        <v>4825</v>
      </c>
      <c r="E241" s="172" t="s">
        <v>111</v>
      </c>
      <c r="F241" s="172" t="b">
        <v>0</v>
      </c>
      <c r="G241" s="172" t="b">
        <v>1</v>
      </c>
      <c r="H241" s="172" t="b">
        <v>1</v>
      </c>
      <c r="I241" s="172" t="b">
        <v>0</v>
      </c>
      <c r="J241" s="172" t="b">
        <v>0</v>
      </c>
      <c r="K241" s="172" t="b">
        <v>0</v>
      </c>
      <c r="L241" s="172" t="b">
        <v>0</v>
      </c>
      <c r="M241" s="172" t="b">
        <v>0</v>
      </c>
      <c r="N241" s="97" t="s">
        <v>4799</v>
      </c>
      <c r="O241" s="172" t="b">
        <v>0</v>
      </c>
      <c r="P241" s="97"/>
      <c r="Q241" s="174"/>
    </row>
    <row r="242" spans="8:8" ht="43.5" customHeight="1">
      <c r="A242" s="170">
        <v>9.0</v>
      </c>
      <c r="B242" s="171" t="s">
        <v>3694</v>
      </c>
      <c r="C242" s="172">
        <v>251383.0</v>
      </c>
      <c r="D242" s="171" t="s">
        <v>4825</v>
      </c>
      <c r="E242" s="172" t="s">
        <v>111</v>
      </c>
      <c r="F242" s="172" t="b">
        <v>0</v>
      </c>
      <c r="G242" s="172" t="b">
        <v>1</v>
      </c>
      <c r="H242" s="172" t="b">
        <v>1</v>
      </c>
      <c r="I242" s="172" t="b">
        <v>0</v>
      </c>
      <c r="J242" s="172" t="b">
        <v>0</v>
      </c>
      <c r="K242" s="172" t="b">
        <v>0</v>
      </c>
      <c r="L242" s="172" t="b">
        <v>0</v>
      </c>
      <c r="M242" s="172" t="b">
        <v>0</v>
      </c>
      <c r="N242" s="97" t="s">
        <v>4800</v>
      </c>
      <c r="O242" s="172" t="b">
        <v>0</v>
      </c>
      <c r="P242" s="97"/>
      <c r="Q242" s="174"/>
    </row>
    <row r="243" spans="8:8" ht="43.5" customHeight="1">
      <c r="A243" s="170">
        <v>10.0</v>
      </c>
      <c r="B243" s="171" t="s">
        <v>3695</v>
      </c>
      <c r="C243" s="172">
        <v>251390.0</v>
      </c>
      <c r="D243" s="171" t="s">
        <v>4825</v>
      </c>
      <c r="E243" s="172" t="s">
        <v>111</v>
      </c>
      <c r="F243" s="172" t="b">
        <v>0</v>
      </c>
      <c r="G243" s="172" t="b">
        <v>0</v>
      </c>
      <c r="H243" s="172" t="b">
        <v>1</v>
      </c>
      <c r="I243" s="172" t="b">
        <v>0</v>
      </c>
      <c r="J243" s="172" t="b">
        <v>0</v>
      </c>
      <c r="K243" s="172" t="b">
        <v>0</v>
      </c>
      <c r="L243" s="172" t="b">
        <v>0</v>
      </c>
      <c r="M243" s="172" t="b">
        <v>0</v>
      </c>
      <c r="N243" s="97" t="s">
        <v>4801</v>
      </c>
      <c r="O243" s="172" t="b">
        <v>0</v>
      </c>
      <c r="P243" s="97"/>
      <c r="Q243" s="174"/>
    </row>
    <row r="244" spans="8:8" ht="43.5" customHeight="1">
      <c r="A244" s="170">
        <v>11.0</v>
      </c>
      <c r="B244" s="171" t="s">
        <v>3696</v>
      </c>
      <c r="C244" s="172">
        <v>251401.0</v>
      </c>
      <c r="D244" s="171" t="s">
        <v>4832</v>
      </c>
      <c r="E244" s="172" t="s">
        <v>111</v>
      </c>
      <c r="F244" s="172" t="b">
        <v>1</v>
      </c>
      <c r="G244" s="172" t="b">
        <v>1</v>
      </c>
      <c r="H244" s="172" t="b">
        <v>1</v>
      </c>
      <c r="I244" s="172" t="b">
        <v>0</v>
      </c>
      <c r="J244" s="172" t="b">
        <v>0</v>
      </c>
      <c r="K244" s="172" t="b">
        <v>0</v>
      </c>
      <c r="L244" s="172" t="b">
        <v>0</v>
      </c>
      <c r="M244" s="172" t="b">
        <v>0</v>
      </c>
      <c r="N244" s="97"/>
      <c r="O244" s="97"/>
      <c r="P244" s="97"/>
      <c r="Q244" s="174"/>
    </row>
    <row r="245" spans="8:8" ht="43.5" customHeight="1">
      <c r="A245" s="170">
        <v>12.0</v>
      </c>
      <c r="B245" s="171" t="s">
        <v>3697</v>
      </c>
      <c r="C245" s="172">
        <v>251410.0</v>
      </c>
      <c r="D245" s="171" t="s">
        <v>4832</v>
      </c>
      <c r="E245" s="172" t="s">
        <v>111</v>
      </c>
      <c r="F245" s="172" t="b">
        <v>0</v>
      </c>
      <c r="G245" s="172" t="b">
        <v>0</v>
      </c>
      <c r="H245" s="172" t="b">
        <v>1</v>
      </c>
      <c r="I245" s="172" t="b">
        <v>0</v>
      </c>
      <c r="J245" s="172" t="b">
        <v>0</v>
      </c>
      <c r="K245" s="172" t="b">
        <v>0</v>
      </c>
      <c r="L245" s="172" t="b">
        <v>0</v>
      </c>
      <c r="M245" s="172" t="b">
        <v>0</v>
      </c>
      <c r="N245" s="97"/>
      <c r="O245" s="97"/>
      <c r="P245" s="97"/>
      <c r="Q245" s="174"/>
    </row>
    <row r="246" spans="8:8" ht="43.5" customHeight="1">
      <c r="A246" s="170">
        <v>13.0</v>
      </c>
      <c r="B246" s="171" t="s">
        <v>3698</v>
      </c>
      <c r="C246" s="172">
        <v>251411.0</v>
      </c>
      <c r="D246" s="171" t="s">
        <v>4832</v>
      </c>
      <c r="E246" s="172" t="s">
        <v>111</v>
      </c>
      <c r="F246" s="172" t="b">
        <v>0</v>
      </c>
      <c r="G246" s="172" t="b">
        <v>0</v>
      </c>
      <c r="H246" s="172" t="b">
        <v>1</v>
      </c>
      <c r="I246" s="172" t="b">
        <v>0</v>
      </c>
      <c r="J246" s="172" t="b">
        <v>0</v>
      </c>
      <c r="K246" s="172" t="b">
        <v>0</v>
      </c>
      <c r="L246" s="172" t="b">
        <v>0</v>
      </c>
      <c r="M246" s="172" t="b">
        <v>0</v>
      </c>
      <c r="N246" s="97"/>
      <c r="O246" s="97"/>
      <c r="P246" s="97"/>
      <c r="Q246" s="174"/>
    </row>
    <row r="247" spans="8:8" ht="43.5" customHeight="1">
      <c r="A247" s="170">
        <v>14.0</v>
      </c>
      <c r="B247" s="171" t="s">
        <v>3699</v>
      </c>
      <c r="C247" s="172">
        <v>251412.0</v>
      </c>
      <c r="D247" s="171" t="s">
        <v>4832</v>
      </c>
      <c r="E247" s="172" t="s">
        <v>111</v>
      </c>
      <c r="F247" s="172" t="b">
        <v>0</v>
      </c>
      <c r="G247" s="172" t="b">
        <v>1</v>
      </c>
      <c r="H247" s="172" t="b">
        <v>1</v>
      </c>
      <c r="I247" s="172" t="b">
        <v>0</v>
      </c>
      <c r="J247" s="172" t="b">
        <v>0</v>
      </c>
      <c r="K247" s="172" t="b">
        <v>0</v>
      </c>
      <c r="L247" s="172" t="b">
        <v>0</v>
      </c>
      <c r="M247" s="172" t="b">
        <v>0</v>
      </c>
      <c r="N247" s="97"/>
      <c r="O247" s="97"/>
      <c r="P247" s="97"/>
      <c r="Q247" s="174"/>
    </row>
    <row r="248" spans="8:8" ht="43.5" customHeight="1">
      <c r="A248" s="170">
        <v>15.0</v>
      </c>
      <c r="B248" s="171" t="s">
        <v>3700</v>
      </c>
      <c r="C248" s="172">
        <v>251418.0</v>
      </c>
      <c r="D248" s="171" t="s">
        <v>4832</v>
      </c>
      <c r="E248" s="172" t="s">
        <v>111</v>
      </c>
      <c r="F248" s="172" t="b">
        <v>0</v>
      </c>
      <c r="G248" s="172" t="b">
        <v>0</v>
      </c>
      <c r="H248" s="172" t="b">
        <v>1</v>
      </c>
      <c r="I248" s="172" t="b">
        <v>0</v>
      </c>
      <c r="J248" s="172" t="b">
        <v>0</v>
      </c>
      <c r="K248" s="172" t="b">
        <v>0</v>
      </c>
      <c r="L248" s="172" t="b">
        <v>0</v>
      </c>
      <c r="M248" s="172" t="b">
        <v>0</v>
      </c>
      <c r="N248" s="97"/>
      <c r="O248" s="97"/>
      <c r="P248" s="97"/>
      <c r="Q248" s="174"/>
    </row>
    <row r="249" spans="8:8" ht="43.5" customHeight="1">
      <c r="A249" s="170">
        <v>16.0</v>
      </c>
      <c r="B249" s="171" t="s">
        <v>3701</v>
      </c>
      <c r="C249" s="172">
        <v>251420.0</v>
      </c>
      <c r="D249" s="171" t="s">
        <v>4832</v>
      </c>
      <c r="E249" s="172" t="s">
        <v>111</v>
      </c>
      <c r="F249" s="172" t="b">
        <v>0</v>
      </c>
      <c r="G249" s="172" t="b">
        <v>1</v>
      </c>
      <c r="H249" s="172" t="b">
        <v>0</v>
      </c>
      <c r="I249" s="172" t="b">
        <v>0</v>
      </c>
      <c r="J249" s="172" t="b">
        <v>0</v>
      </c>
      <c r="K249" s="172" t="b">
        <v>0</v>
      </c>
      <c r="L249" s="172" t="b">
        <v>0</v>
      </c>
      <c r="M249" s="172" t="b">
        <v>0</v>
      </c>
      <c r="N249" s="97"/>
      <c r="O249" s="97"/>
      <c r="P249" s="97"/>
      <c r="Q249" s="174"/>
    </row>
    <row r="250" spans="8:8" ht="43.5" customHeight="1">
      <c r="A250" s="170">
        <v>17.0</v>
      </c>
      <c r="B250" s="171" t="s">
        <v>3702</v>
      </c>
      <c r="C250" s="172">
        <v>251621.0</v>
      </c>
      <c r="D250" s="171" t="s">
        <v>4823</v>
      </c>
      <c r="E250" s="172" t="s">
        <v>111</v>
      </c>
      <c r="F250" s="172" t="b">
        <v>0</v>
      </c>
      <c r="G250" s="172" t="b">
        <v>1</v>
      </c>
      <c r="H250" s="172" t="b">
        <v>1</v>
      </c>
      <c r="I250" s="172" t="b">
        <v>0</v>
      </c>
      <c r="J250" s="172" t="b">
        <v>0</v>
      </c>
      <c r="K250" s="172" t="b">
        <v>0</v>
      </c>
      <c r="L250" s="172" t="b">
        <v>0</v>
      </c>
      <c r="M250" s="172" t="b">
        <v>0</v>
      </c>
      <c r="N250" s="97"/>
      <c r="O250" s="97"/>
      <c r="P250" s="97"/>
      <c r="Q250" s="174"/>
    </row>
    <row r="251" spans="8:8" ht="43.5" customHeight="1">
      <c r="A251" s="170">
        <v>18.0</v>
      </c>
      <c r="B251" s="171" t="s">
        <v>3703</v>
      </c>
      <c r="C251" s="172">
        <v>251431.0</v>
      </c>
      <c r="D251" s="171" t="s">
        <v>4832</v>
      </c>
      <c r="E251" s="172" t="s">
        <v>111</v>
      </c>
      <c r="F251" s="172" t="b">
        <v>0</v>
      </c>
      <c r="G251" s="172" t="b">
        <v>1</v>
      </c>
      <c r="H251" s="172" t="b">
        <v>1</v>
      </c>
      <c r="I251" s="172" t="b">
        <v>0</v>
      </c>
      <c r="J251" s="172" t="b">
        <v>0</v>
      </c>
      <c r="K251" s="172" t="b">
        <v>0</v>
      </c>
      <c r="L251" s="172" t="b">
        <v>0</v>
      </c>
      <c r="M251" s="172" t="b">
        <v>0</v>
      </c>
      <c r="N251" s="97"/>
      <c r="O251" s="97"/>
      <c r="P251" s="97"/>
      <c r="Q251" s="174"/>
    </row>
    <row r="252" spans="8:8" ht="43.5" customHeight="1">
      <c r="A252" s="170">
        <v>19.0</v>
      </c>
      <c r="B252" s="171" t="s">
        <v>3704</v>
      </c>
      <c r="C252" s="172">
        <v>251539.0</v>
      </c>
      <c r="D252" s="171" t="s">
        <v>4838</v>
      </c>
      <c r="E252" s="172" t="s">
        <v>111</v>
      </c>
      <c r="F252" s="172" t="b">
        <v>0</v>
      </c>
      <c r="G252" s="172" t="b">
        <v>1</v>
      </c>
      <c r="H252" s="172" t="b">
        <v>1</v>
      </c>
      <c r="I252" s="172" t="b">
        <v>0</v>
      </c>
      <c r="J252" s="172" t="b">
        <v>0</v>
      </c>
      <c r="K252" s="172" t="b">
        <v>0</v>
      </c>
      <c r="L252" s="172" t="b">
        <v>0</v>
      </c>
      <c r="M252" s="172" t="b">
        <v>0</v>
      </c>
      <c r="N252" s="97"/>
      <c r="O252" s="97"/>
      <c r="P252" s="97"/>
      <c r="Q252" s="174"/>
    </row>
    <row r="253" spans="8:8" ht="43.5" customHeight="1">
      <c r="A253" s="170">
        <v>20.0</v>
      </c>
      <c r="B253" s="171" t="s">
        <v>3705</v>
      </c>
      <c r="C253" s="172">
        <v>251541.0</v>
      </c>
      <c r="D253" s="171" t="s">
        <v>4838</v>
      </c>
      <c r="E253" s="172" t="s">
        <v>111</v>
      </c>
      <c r="F253" s="172" t="b">
        <v>0</v>
      </c>
      <c r="G253" s="172" t="b">
        <v>1</v>
      </c>
      <c r="H253" s="172" t="b">
        <v>1</v>
      </c>
      <c r="I253" s="172" t="b">
        <v>0</v>
      </c>
      <c r="J253" s="172" t="b">
        <v>0</v>
      </c>
      <c r="K253" s="172" t="b">
        <v>0</v>
      </c>
      <c r="L253" s="172" t="b">
        <v>0</v>
      </c>
      <c r="M253" s="172" t="b">
        <v>0</v>
      </c>
      <c r="N253" s="97"/>
      <c r="O253" s="97"/>
      <c r="P253" s="97"/>
      <c r="Q253" s="174"/>
    </row>
    <row r="254" spans="8:8" ht="43.5" customHeight="1">
      <c r="A254" s="170">
        <v>21.0</v>
      </c>
      <c r="B254" s="171" t="s">
        <v>3706</v>
      </c>
      <c r="C254" s="172">
        <v>251551.0</v>
      </c>
      <c r="D254" s="171" t="s">
        <v>4838</v>
      </c>
      <c r="E254" s="172" t="s">
        <v>111</v>
      </c>
      <c r="F254" s="172" t="b">
        <v>0</v>
      </c>
      <c r="G254" s="172" t="b">
        <v>1</v>
      </c>
      <c r="H254" s="172" t="b">
        <v>1</v>
      </c>
      <c r="I254" s="172" t="b">
        <v>0</v>
      </c>
      <c r="J254" s="172" t="b">
        <v>0</v>
      </c>
      <c r="K254" s="172" t="b">
        <v>0</v>
      </c>
      <c r="L254" s="172" t="b">
        <v>0</v>
      </c>
      <c r="M254" s="172" t="b">
        <v>0</v>
      </c>
      <c r="N254" s="97"/>
      <c r="O254" s="97"/>
      <c r="P254" s="97"/>
      <c r="Q254" s="174"/>
    </row>
    <row r="255" spans="8:8" ht="43.5" customHeight="1">
      <c r="A255" s="170">
        <v>22.0</v>
      </c>
      <c r="B255" s="171" t="s">
        <v>3707</v>
      </c>
      <c r="C255" s="172">
        <v>251552.0</v>
      </c>
      <c r="D255" s="171" t="s">
        <v>4838</v>
      </c>
      <c r="E255" s="172" t="s">
        <v>111</v>
      </c>
      <c r="F255" s="172" t="b">
        <v>0</v>
      </c>
      <c r="G255" s="172" t="b">
        <v>1</v>
      </c>
      <c r="H255" s="172" t="b">
        <v>1</v>
      </c>
      <c r="I255" s="172" t="b">
        <v>0</v>
      </c>
      <c r="J255" s="172" t="b">
        <v>0</v>
      </c>
      <c r="K255" s="172" t="b">
        <v>0</v>
      </c>
      <c r="L255" s="172" t="b">
        <v>0</v>
      </c>
      <c r="M255" s="172" t="b">
        <v>0</v>
      </c>
      <c r="N255" s="97"/>
      <c r="O255" s="97"/>
      <c r="P255" s="97"/>
      <c r="Q255" s="174"/>
    </row>
    <row r="256" spans="8:8" ht="43.5" customHeight="1">
      <c r="A256" s="170">
        <v>23.0</v>
      </c>
      <c r="B256" s="171" t="s">
        <v>3708</v>
      </c>
      <c r="C256" s="172">
        <v>251556.0</v>
      </c>
      <c r="D256" s="171" t="s">
        <v>4838</v>
      </c>
      <c r="E256" s="172" t="s">
        <v>111</v>
      </c>
      <c r="F256" s="172" t="b">
        <v>0</v>
      </c>
      <c r="G256" s="172" t="b">
        <v>0</v>
      </c>
      <c r="H256" s="172" t="b">
        <v>1</v>
      </c>
      <c r="I256" s="172" t="b">
        <v>0</v>
      </c>
      <c r="J256" s="172" t="b">
        <v>0</v>
      </c>
      <c r="K256" s="172" t="b">
        <v>0</v>
      </c>
      <c r="L256" s="172" t="b">
        <v>0</v>
      </c>
      <c r="M256" s="172" t="b">
        <v>0</v>
      </c>
      <c r="N256" s="97"/>
      <c r="O256" s="97"/>
      <c r="P256" s="97"/>
      <c r="Q256" s="174"/>
    </row>
    <row r="257" spans="8:8" ht="43.5" customHeight="1">
      <c r="A257" s="170">
        <v>24.0</v>
      </c>
      <c r="B257" s="171" t="s">
        <v>3709</v>
      </c>
      <c r="C257" s="172">
        <v>251563.0</v>
      </c>
      <c r="D257" s="171" t="s">
        <v>4845</v>
      </c>
      <c r="E257" s="172" t="s">
        <v>111</v>
      </c>
      <c r="F257" s="172" t="b">
        <v>0</v>
      </c>
      <c r="G257" s="172" t="b">
        <v>1</v>
      </c>
      <c r="H257" s="172" t="b">
        <v>1</v>
      </c>
      <c r="I257" s="172" t="b">
        <v>0</v>
      </c>
      <c r="J257" s="172" t="b">
        <v>0</v>
      </c>
      <c r="K257" s="172" t="b">
        <v>0</v>
      </c>
      <c r="L257" s="172" t="b">
        <v>0</v>
      </c>
      <c r="M257" s="172" t="b">
        <v>0</v>
      </c>
      <c r="N257" s="97"/>
      <c r="O257" s="97"/>
      <c r="P257" s="97"/>
      <c r="Q257" s="174"/>
    </row>
    <row r="258" spans="8:8" ht="43.5" customHeight="1">
      <c r="A258" s="170">
        <v>25.0</v>
      </c>
      <c r="B258" s="171" t="s">
        <v>3710</v>
      </c>
      <c r="C258" s="172">
        <v>251564.0</v>
      </c>
      <c r="D258" s="171" t="s">
        <v>4845</v>
      </c>
      <c r="E258" s="97" t="s">
        <v>111</v>
      </c>
      <c r="F258" s="172" t="b">
        <v>0</v>
      </c>
      <c r="G258" s="172" t="b">
        <v>1</v>
      </c>
      <c r="H258" s="172" t="b">
        <v>0</v>
      </c>
      <c r="I258" s="172" t="b">
        <v>0</v>
      </c>
      <c r="J258" s="172" t="b">
        <v>0</v>
      </c>
      <c r="K258" s="172" t="b">
        <v>0</v>
      </c>
      <c r="L258" s="172" t="b">
        <v>0</v>
      </c>
      <c r="M258" s="172" t="b">
        <v>0</v>
      </c>
      <c r="N258" s="97"/>
      <c r="O258" s="97"/>
      <c r="P258" s="97"/>
      <c r="Q258" s="174"/>
    </row>
    <row r="259" spans="8:8" ht="43.5" customHeight="1">
      <c r="A259" s="170">
        <v>26.0</v>
      </c>
      <c r="B259" s="171" t="s">
        <v>3711</v>
      </c>
      <c r="C259" s="172">
        <v>251748.0</v>
      </c>
      <c r="D259" s="171" t="s">
        <v>4820</v>
      </c>
      <c r="E259" s="172" t="s">
        <v>111</v>
      </c>
      <c r="F259" s="172" t="b">
        <v>1</v>
      </c>
      <c r="G259" s="172" t="b">
        <v>0</v>
      </c>
      <c r="H259" s="172" t="b">
        <v>1</v>
      </c>
      <c r="I259" s="172" t="b">
        <v>0</v>
      </c>
      <c r="J259" s="172" t="b">
        <v>0</v>
      </c>
      <c r="K259" s="172" t="b">
        <v>0</v>
      </c>
      <c r="L259" s="172" t="b">
        <v>0</v>
      </c>
      <c r="M259" s="172" t="b">
        <v>0</v>
      </c>
      <c r="N259" s="97"/>
      <c r="O259" s="97"/>
      <c r="P259" s="97"/>
      <c r="Q259" s="174"/>
    </row>
    <row r="260" spans="8:8" ht="43.5" customHeight="1">
      <c r="A260" s="170">
        <v>27.0</v>
      </c>
      <c r="B260" s="171" t="s">
        <v>3712</v>
      </c>
      <c r="C260" s="172">
        <v>251517.0</v>
      </c>
      <c r="D260" s="171" t="s">
        <v>4828</v>
      </c>
      <c r="E260" s="172" t="s">
        <v>111</v>
      </c>
      <c r="F260" s="172" t="b">
        <v>0</v>
      </c>
      <c r="G260" s="172" t="b">
        <v>0</v>
      </c>
      <c r="H260" s="172" t="b">
        <v>0</v>
      </c>
      <c r="I260" s="172" t="b">
        <v>0</v>
      </c>
      <c r="J260" s="172" t="b">
        <v>0</v>
      </c>
      <c r="K260" s="172" t="b">
        <v>0</v>
      </c>
      <c r="L260" s="172" t="b">
        <v>0</v>
      </c>
      <c r="M260" s="172" t="b">
        <v>0</v>
      </c>
      <c r="N260" s="97"/>
      <c r="O260" s="97"/>
      <c r="P260" s="97"/>
      <c r="Q260" s="174"/>
    </row>
    <row r="261" spans="8:8" ht="43.5" customHeight="1">
      <c r="A261" s="170">
        <v>28.0</v>
      </c>
      <c r="B261" s="171" t="s">
        <v>3713</v>
      </c>
      <c r="C261" s="172">
        <v>251714.0</v>
      </c>
      <c r="D261" s="171" t="s">
        <v>4843</v>
      </c>
      <c r="E261" s="172" t="s">
        <v>111</v>
      </c>
      <c r="F261" s="172" t="b">
        <v>1</v>
      </c>
      <c r="G261" s="172" t="b">
        <v>1</v>
      </c>
      <c r="H261" s="172" t="b">
        <v>1</v>
      </c>
      <c r="I261" s="172" t="b">
        <v>0</v>
      </c>
      <c r="J261" s="172" t="b">
        <v>0</v>
      </c>
      <c r="K261" s="172" t="b">
        <v>0</v>
      </c>
      <c r="L261" s="172" t="b">
        <v>0</v>
      </c>
      <c r="M261" s="172" t="b">
        <v>0</v>
      </c>
      <c r="N261" s="189"/>
      <c r="O261" s="189"/>
      <c r="P261" s="189"/>
    </row>
    <row r="262" spans="8:8" ht="43.5" customHeight="1">
      <c r="A262" s="170">
        <v>29.0</v>
      </c>
      <c r="B262" s="171" t="s">
        <v>3714</v>
      </c>
      <c r="C262" s="172">
        <v>251464.0</v>
      </c>
      <c r="D262" s="171" t="s">
        <v>4827</v>
      </c>
      <c r="E262" s="172" t="s">
        <v>111</v>
      </c>
      <c r="F262" s="172" t="b">
        <v>1</v>
      </c>
      <c r="G262" s="172" t="b">
        <v>1</v>
      </c>
      <c r="H262" s="172" t="b">
        <v>1</v>
      </c>
      <c r="I262" s="172" t="b">
        <v>0</v>
      </c>
      <c r="J262" s="172" t="b">
        <v>0</v>
      </c>
      <c r="K262" s="172" t="b">
        <v>0</v>
      </c>
      <c r="L262" s="172" t="b">
        <v>0</v>
      </c>
      <c r="M262" s="172" t="b">
        <v>0</v>
      </c>
      <c r="N262" s="97"/>
      <c r="O262" s="97"/>
      <c r="P262" s="97"/>
      <c r="Q262" s="174"/>
    </row>
    <row r="263" spans="8:8" ht="43.5" customHeight="1">
      <c r="A263" s="170">
        <v>30.0</v>
      </c>
      <c r="B263" s="171" t="s">
        <v>3715</v>
      </c>
      <c r="C263" s="172">
        <v>251438.0</v>
      </c>
      <c r="D263" s="171" t="s">
        <v>4827</v>
      </c>
      <c r="E263" s="172" t="s">
        <v>111</v>
      </c>
      <c r="F263" s="172" t="b">
        <v>1</v>
      </c>
      <c r="G263" s="172" t="b">
        <v>1</v>
      </c>
      <c r="H263" s="172" t="b">
        <v>1</v>
      </c>
      <c r="I263" s="172" t="b">
        <v>0</v>
      </c>
      <c r="J263" s="172" t="b">
        <v>0</v>
      </c>
      <c r="K263" s="172" t="b">
        <v>0</v>
      </c>
      <c r="L263" s="172" t="b">
        <v>0</v>
      </c>
      <c r="M263" s="172" t="b">
        <v>0</v>
      </c>
      <c r="N263" s="97"/>
      <c r="O263" s="97"/>
      <c r="P263" s="97"/>
      <c r="Q263" s="174"/>
    </row>
    <row r="264" spans="8:8" ht="43.5" customHeight="1">
      <c r="A264" s="170">
        <v>31.0</v>
      </c>
      <c r="B264" s="171" t="s">
        <v>3716</v>
      </c>
      <c r="C264" s="172">
        <v>241511.0</v>
      </c>
      <c r="D264" s="171" t="s">
        <v>4851</v>
      </c>
      <c r="E264" s="172" t="s">
        <v>111</v>
      </c>
      <c r="F264" s="172" t="b">
        <v>0</v>
      </c>
      <c r="G264" s="172" t="b">
        <v>0</v>
      </c>
      <c r="H264" s="172" t="b">
        <v>1</v>
      </c>
      <c r="I264" s="172" t="b">
        <v>0</v>
      </c>
      <c r="J264" s="172" t="b">
        <v>0</v>
      </c>
      <c r="K264" s="172" t="b">
        <v>0</v>
      </c>
      <c r="L264" s="172" t="b">
        <v>0</v>
      </c>
      <c r="M264" s="172" t="b">
        <v>0</v>
      </c>
      <c r="N264" s="97"/>
      <c r="O264" s="97"/>
      <c r="P264" s="97"/>
      <c r="Q264" s="174"/>
    </row>
    <row r="265" spans="8:8" ht="43.5" customHeight="1">
      <c r="A265" s="170"/>
      <c r="B265" s="182" t="s">
        <v>4815</v>
      </c>
      <c r="C265" s="97"/>
      <c r="D265" s="97"/>
      <c r="E265" s="183"/>
      <c r="F265" s="184">
        <f t="shared" si="8" ref="F265:M265">COUNTIF(F237:F258,TRUE)/COUNTA(F237:F258)</f>
        <v>0.045454545454545456</v>
      </c>
      <c r="G265" s="184">
        <f t="shared" si="8"/>
        <v>0.7727272727272727</v>
      </c>
      <c r="H265" s="184">
        <f t="shared" si="8"/>
        <v>0.8181818181818182</v>
      </c>
      <c r="I265" s="184">
        <f t="shared" si="8"/>
        <v>0.0</v>
      </c>
      <c r="J265" s="184">
        <f t="shared" si="8"/>
        <v>0.0</v>
      </c>
      <c r="K265" s="184">
        <f t="shared" si="8"/>
        <v>0.0</v>
      </c>
      <c r="L265" s="184">
        <f t="shared" si="8"/>
        <v>0.0</v>
      </c>
      <c r="M265" s="184">
        <f t="shared" si="8"/>
        <v>0.0</v>
      </c>
      <c r="N265" s="97"/>
      <c r="O265" s="97"/>
      <c r="P265" s="97"/>
      <c r="Q265" s="174"/>
    </row>
    <row r="266" spans="8:8" ht="43.5" customHeight="1">
      <c r="A266" s="185" t="s">
        <v>18</v>
      </c>
      <c r="B266" s="162" t="s">
        <v>19</v>
      </c>
      <c r="C266" s="163"/>
      <c r="D266" s="162" t="s">
        <v>4530</v>
      </c>
      <c r="E266" s="162" t="s">
        <v>22</v>
      </c>
      <c r="F266" s="163" t="s">
        <v>4794</v>
      </c>
      <c r="G266" s="163" t="s">
        <v>4795</v>
      </c>
      <c r="H266" s="163" t="s">
        <v>4796</v>
      </c>
      <c r="I266" s="163" t="s">
        <v>4797</v>
      </c>
      <c r="J266" s="163" t="s">
        <v>4798</v>
      </c>
      <c r="K266" s="163" t="s">
        <v>4799</v>
      </c>
      <c r="L266" s="163" t="s">
        <v>4800</v>
      </c>
      <c r="M266" s="163" t="s">
        <v>4801</v>
      </c>
      <c r="N266" s="166" t="s">
        <v>4852</v>
      </c>
      <c r="O266" s="167"/>
      <c r="P266" s="168"/>
      <c r="Q266" s="169"/>
    </row>
    <row r="267" spans="8:8" ht="43.5" customHeight="1">
      <c r="A267" s="170">
        <v>1.0</v>
      </c>
      <c r="B267" s="171" t="s">
        <v>3718</v>
      </c>
      <c r="C267" s="172">
        <v>251571.0</v>
      </c>
      <c r="D267" s="171" t="s">
        <v>4845</v>
      </c>
      <c r="E267" s="172" t="s">
        <v>111</v>
      </c>
      <c r="F267" s="172" t="b">
        <v>0</v>
      </c>
      <c r="G267" s="172" t="b">
        <v>0</v>
      </c>
      <c r="H267" s="172" t="b">
        <v>0</v>
      </c>
      <c r="I267" s="172" t="b">
        <v>0</v>
      </c>
      <c r="J267" s="172" t="b">
        <v>0</v>
      </c>
      <c r="K267" s="172" t="b">
        <v>0</v>
      </c>
      <c r="L267" s="172" t="b">
        <v>0</v>
      </c>
      <c r="M267" s="172" t="b">
        <v>0</v>
      </c>
      <c r="N267" s="173" t="s">
        <v>4804</v>
      </c>
      <c r="O267" s="167"/>
      <c r="P267" s="168"/>
      <c r="Q267" s="174"/>
    </row>
    <row r="268" spans="8:8" ht="43.5" customHeight="1">
      <c r="A268" s="170">
        <v>2.0</v>
      </c>
      <c r="B268" s="171" t="s">
        <v>3719</v>
      </c>
      <c r="C268" s="172">
        <v>251572.0</v>
      </c>
      <c r="D268" s="171" t="s">
        <v>4845</v>
      </c>
      <c r="E268" s="172" t="s">
        <v>111</v>
      </c>
      <c r="F268" s="172" t="b">
        <v>0</v>
      </c>
      <c r="G268" s="172" t="b">
        <v>0</v>
      </c>
      <c r="H268" s="172" t="b">
        <v>1</v>
      </c>
      <c r="I268" s="172" t="b">
        <v>0</v>
      </c>
      <c r="J268" s="172" t="b">
        <v>0</v>
      </c>
      <c r="K268" s="172" t="b">
        <v>0</v>
      </c>
      <c r="L268" s="172" t="b">
        <v>0</v>
      </c>
      <c r="M268" s="172" t="b">
        <v>0</v>
      </c>
      <c r="N268" s="175" t="s">
        <v>4805</v>
      </c>
      <c r="O268" s="176" t="s">
        <v>4806</v>
      </c>
      <c r="P268" s="97" t="s">
        <v>4807</v>
      </c>
      <c r="Q268" s="174"/>
    </row>
    <row r="269" spans="8:8" ht="43.5" customHeight="1">
      <c r="A269" s="170">
        <v>4.0</v>
      </c>
      <c r="B269" s="171" t="s">
        <v>3720</v>
      </c>
      <c r="C269" s="172">
        <v>251603.0</v>
      </c>
      <c r="D269" s="171" t="s">
        <v>4823</v>
      </c>
      <c r="E269" s="172" t="s">
        <v>111</v>
      </c>
      <c r="F269" s="172" t="b">
        <v>0</v>
      </c>
      <c r="G269" s="172" t="b">
        <v>1</v>
      </c>
      <c r="H269" s="172" t="b">
        <v>1</v>
      </c>
      <c r="I269" s="172" t="b">
        <v>0</v>
      </c>
      <c r="J269" s="172" t="b">
        <v>0</v>
      </c>
      <c r="K269" s="172" t="b">
        <v>0</v>
      </c>
      <c r="L269" s="172" t="b">
        <v>0</v>
      </c>
      <c r="M269" s="172" t="b">
        <v>0</v>
      </c>
      <c r="N269" s="97" t="s">
        <v>4794</v>
      </c>
      <c r="O269" s="172" t="b">
        <v>1</v>
      </c>
      <c r="P269" s="97" t="s">
        <v>4853</v>
      </c>
      <c r="Q269" s="174"/>
    </row>
    <row r="270" spans="8:8" ht="43.5" customHeight="1">
      <c r="A270" s="170">
        <v>5.0</v>
      </c>
      <c r="B270" s="171" t="s">
        <v>3721</v>
      </c>
      <c r="C270" s="172">
        <v>251604.0</v>
      </c>
      <c r="D270" s="171" t="s">
        <v>4823</v>
      </c>
      <c r="E270" s="172" t="s">
        <v>111</v>
      </c>
      <c r="F270" s="172" t="b">
        <v>0</v>
      </c>
      <c r="G270" s="172" t="b">
        <v>1</v>
      </c>
      <c r="H270" s="172" t="b">
        <v>0</v>
      </c>
      <c r="I270" s="172" t="b">
        <v>0</v>
      </c>
      <c r="J270" s="172" t="b">
        <v>0</v>
      </c>
      <c r="K270" s="172" t="b">
        <v>0</v>
      </c>
      <c r="L270" s="172" t="b">
        <v>0</v>
      </c>
      <c r="M270" s="172" t="b">
        <v>0</v>
      </c>
      <c r="N270" s="97" t="s">
        <v>4795</v>
      </c>
      <c r="O270" s="172" t="b">
        <v>1</v>
      </c>
      <c r="P270" s="97" t="s">
        <v>4854</v>
      </c>
      <c r="Q270" s="174"/>
    </row>
    <row r="271" spans="8:8" ht="43.5" customHeight="1">
      <c r="A271" s="170">
        <v>6.0</v>
      </c>
      <c r="B271" s="171" t="s">
        <v>3722</v>
      </c>
      <c r="C271" s="172">
        <v>251609.0</v>
      </c>
      <c r="D271" s="171" t="s">
        <v>4823</v>
      </c>
      <c r="E271" s="172" t="s">
        <v>111</v>
      </c>
      <c r="F271" s="172" t="b">
        <v>0</v>
      </c>
      <c r="G271" s="172" t="b">
        <v>0</v>
      </c>
      <c r="H271" s="172" t="b">
        <v>1</v>
      </c>
      <c r="I271" s="172" t="b">
        <v>0</v>
      </c>
      <c r="J271" s="172" t="b">
        <v>0</v>
      </c>
      <c r="K271" s="172" t="b">
        <v>0</v>
      </c>
      <c r="L271" s="172" t="b">
        <v>0</v>
      </c>
      <c r="M271" s="172" t="b">
        <v>0</v>
      </c>
      <c r="N271" s="97" t="s">
        <v>4796</v>
      </c>
      <c r="O271" s="172" t="b">
        <v>1</v>
      </c>
      <c r="P271" s="97" t="s">
        <v>4855</v>
      </c>
      <c r="Q271" s="174"/>
    </row>
    <row r="272" spans="8:8" ht="43.5" customHeight="1">
      <c r="A272" s="170">
        <v>7.0</v>
      </c>
      <c r="B272" s="171" t="s">
        <v>3723</v>
      </c>
      <c r="C272" s="172">
        <v>251611.0</v>
      </c>
      <c r="D272" s="171" t="s">
        <v>4823</v>
      </c>
      <c r="E272" s="172" t="s">
        <v>111</v>
      </c>
      <c r="F272" s="172" t="b">
        <v>0</v>
      </c>
      <c r="G272" s="172" t="b">
        <v>1</v>
      </c>
      <c r="H272" s="172" t="b">
        <v>1</v>
      </c>
      <c r="I272" s="172" t="b">
        <v>0</v>
      </c>
      <c r="J272" s="172" t="b">
        <v>0</v>
      </c>
      <c r="K272" s="172" t="b">
        <v>0</v>
      </c>
      <c r="L272" s="172" t="b">
        <v>0</v>
      </c>
      <c r="M272" s="172" t="b">
        <v>0</v>
      </c>
      <c r="N272" s="97" t="s">
        <v>4797</v>
      </c>
      <c r="O272" s="172" t="b">
        <v>0</v>
      </c>
      <c r="P272" s="97"/>
      <c r="Q272" s="174"/>
    </row>
    <row r="273" spans="8:8" ht="43.5" customHeight="1">
      <c r="A273" s="170">
        <v>8.0</v>
      </c>
      <c r="B273" s="171" t="s">
        <v>3724</v>
      </c>
      <c r="C273" s="172">
        <v>251616.0</v>
      </c>
      <c r="D273" s="171" t="s">
        <v>4823</v>
      </c>
      <c r="E273" s="172" t="s">
        <v>111</v>
      </c>
      <c r="F273" s="172" t="b">
        <v>0</v>
      </c>
      <c r="G273" s="172" t="b">
        <v>1</v>
      </c>
      <c r="H273" s="172" t="b">
        <v>1</v>
      </c>
      <c r="I273" s="172" t="b">
        <v>0</v>
      </c>
      <c r="J273" s="172" t="b">
        <v>0</v>
      </c>
      <c r="K273" s="172" t="b">
        <v>0</v>
      </c>
      <c r="L273" s="172" t="b">
        <v>0</v>
      </c>
      <c r="M273" s="172" t="b">
        <v>0</v>
      </c>
      <c r="N273" s="97" t="s">
        <v>4798</v>
      </c>
      <c r="O273" s="172" t="b">
        <v>0</v>
      </c>
      <c r="P273" s="97"/>
      <c r="Q273" s="174"/>
    </row>
    <row r="274" spans="8:8" ht="43.5" customHeight="1">
      <c r="A274" s="170">
        <v>10.0</v>
      </c>
      <c r="B274" s="171" t="s">
        <v>3725</v>
      </c>
      <c r="C274" s="172">
        <v>241350.0</v>
      </c>
      <c r="D274" s="171" t="s">
        <v>4856</v>
      </c>
      <c r="E274" s="172" t="s">
        <v>111</v>
      </c>
      <c r="F274" s="172" t="b">
        <v>0</v>
      </c>
      <c r="G274" s="172" t="b">
        <v>0</v>
      </c>
      <c r="H274" s="172" t="b">
        <v>1</v>
      </c>
      <c r="I274" s="172" t="b">
        <v>0</v>
      </c>
      <c r="J274" s="172" t="b">
        <v>0</v>
      </c>
      <c r="K274" s="172" t="b">
        <v>0</v>
      </c>
      <c r="L274" s="172" t="b">
        <v>0</v>
      </c>
      <c r="M274" s="172" t="b">
        <v>0</v>
      </c>
      <c r="N274" s="97" t="s">
        <v>4799</v>
      </c>
      <c r="O274" s="172" t="b">
        <v>0</v>
      </c>
      <c r="P274" s="97"/>
      <c r="Q274" s="174"/>
    </row>
    <row r="275" spans="8:8" ht="43.5" customHeight="1">
      <c r="A275" s="170">
        <v>11.0</v>
      </c>
      <c r="B275" s="171" t="s">
        <v>3726</v>
      </c>
      <c r="C275" s="172">
        <v>241890.0</v>
      </c>
      <c r="D275" s="171" t="s">
        <v>4857</v>
      </c>
      <c r="E275" s="172" t="s">
        <v>111</v>
      </c>
      <c r="F275" s="172" t="b">
        <v>0</v>
      </c>
      <c r="G275" s="172" t="b">
        <v>0</v>
      </c>
      <c r="H275" s="172" t="b">
        <v>0</v>
      </c>
      <c r="I275" s="172" t="b">
        <v>0</v>
      </c>
      <c r="J275" s="172" t="b">
        <v>0</v>
      </c>
      <c r="K275" s="172" t="b">
        <v>0</v>
      </c>
      <c r="L275" s="172" t="b">
        <v>0</v>
      </c>
      <c r="M275" s="172" t="b">
        <v>0</v>
      </c>
      <c r="N275" s="97" t="s">
        <v>4800</v>
      </c>
      <c r="O275" s="172" t="b">
        <v>0</v>
      </c>
      <c r="P275" s="97"/>
      <c r="Q275" s="174"/>
    </row>
    <row r="276" spans="8:8" ht="43.5" customHeight="1">
      <c r="A276" s="170">
        <v>12.0</v>
      </c>
      <c r="B276" s="171" t="s">
        <v>3727</v>
      </c>
      <c r="C276" s="172">
        <v>241660.0</v>
      </c>
      <c r="D276" s="171" t="s">
        <v>4857</v>
      </c>
      <c r="E276" s="172" t="s">
        <v>111</v>
      </c>
      <c r="F276" s="172" t="b">
        <v>0</v>
      </c>
      <c r="G276" s="172" t="b">
        <v>1</v>
      </c>
      <c r="H276" s="172" t="b">
        <v>1</v>
      </c>
      <c r="I276" s="172" t="b">
        <v>0</v>
      </c>
      <c r="J276" s="172" t="b">
        <v>0</v>
      </c>
      <c r="K276" s="172" t="b">
        <v>0</v>
      </c>
      <c r="L276" s="172" t="b">
        <v>0</v>
      </c>
      <c r="M276" s="172" t="b">
        <v>0</v>
      </c>
      <c r="N276" s="97" t="s">
        <v>4801</v>
      </c>
      <c r="O276" s="172" t="b">
        <v>0</v>
      </c>
      <c r="P276" s="97"/>
      <c r="Q276" s="174"/>
    </row>
    <row r="277" spans="8:8" ht="43.5" customHeight="1">
      <c r="A277" s="170">
        <v>13.0</v>
      </c>
      <c r="B277" s="171" t="s">
        <v>3728</v>
      </c>
      <c r="C277" s="172">
        <v>241655.0</v>
      </c>
      <c r="D277" s="171" t="s">
        <v>4857</v>
      </c>
      <c r="E277" s="172" t="s">
        <v>111</v>
      </c>
      <c r="F277" s="172" t="b">
        <v>0</v>
      </c>
      <c r="G277" s="172" t="b">
        <v>0</v>
      </c>
      <c r="H277" s="172" t="b">
        <v>0</v>
      </c>
      <c r="I277" s="172" t="b">
        <v>0</v>
      </c>
      <c r="J277" s="172" t="b">
        <v>0</v>
      </c>
      <c r="K277" s="172" t="b">
        <v>0</v>
      </c>
      <c r="L277" s="172" t="b">
        <v>0</v>
      </c>
      <c r="M277" s="172" t="b">
        <v>0</v>
      </c>
      <c r="N277" s="97"/>
      <c r="O277" s="97"/>
      <c r="P277" s="97"/>
      <c r="Q277" s="174"/>
    </row>
    <row r="278" spans="8:8" ht="43.5" customHeight="1">
      <c r="A278" s="170">
        <v>14.0</v>
      </c>
      <c r="B278" s="171" t="s">
        <v>3729</v>
      </c>
      <c r="C278" s="172">
        <v>241904.0</v>
      </c>
      <c r="D278" s="171" t="s">
        <v>4857</v>
      </c>
      <c r="E278" s="172" t="s">
        <v>111</v>
      </c>
      <c r="F278" s="172" t="b">
        <v>0</v>
      </c>
      <c r="G278" s="172" t="b">
        <v>0</v>
      </c>
      <c r="H278" s="172" t="b">
        <v>1</v>
      </c>
      <c r="I278" s="172" t="b">
        <v>0</v>
      </c>
      <c r="J278" s="172" t="b">
        <v>0</v>
      </c>
      <c r="K278" s="172" t="b">
        <v>0</v>
      </c>
      <c r="L278" s="172" t="b">
        <v>0</v>
      </c>
      <c r="M278" s="172" t="b">
        <v>0</v>
      </c>
      <c r="N278" s="97"/>
      <c r="O278" s="97"/>
      <c r="P278" s="97"/>
      <c r="Q278" s="174"/>
    </row>
    <row r="279" spans="8:8" ht="43.5" customHeight="1">
      <c r="A279" s="170">
        <v>15.0</v>
      </c>
      <c r="B279" s="171" t="s">
        <v>3730</v>
      </c>
      <c r="C279" s="172">
        <v>241816.0</v>
      </c>
      <c r="D279" s="171" t="s">
        <v>4857</v>
      </c>
      <c r="E279" s="172" t="s">
        <v>111</v>
      </c>
      <c r="F279" s="172" t="b">
        <v>0</v>
      </c>
      <c r="G279" s="172" t="b">
        <v>1</v>
      </c>
      <c r="H279" s="172" t="b">
        <v>0</v>
      </c>
      <c r="I279" s="172" t="b">
        <v>0</v>
      </c>
      <c r="J279" s="172" t="b">
        <v>0</v>
      </c>
      <c r="K279" s="172" t="b">
        <v>0</v>
      </c>
      <c r="L279" s="172" t="b">
        <v>0</v>
      </c>
      <c r="M279" s="172" t="b">
        <v>0</v>
      </c>
      <c r="N279" s="97"/>
      <c r="O279" s="97"/>
      <c r="P279" s="97"/>
      <c r="Q279" s="174"/>
    </row>
    <row r="280" spans="8:8" ht="43.5" customHeight="1">
      <c r="A280" s="170">
        <v>16.0</v>
      </c>
      <c r="B280" s="171" t="s">
        <v>3731</v>
      </c>
      <c r="C280" s="172">
        <v>251318.0</v>
      </c>
      <c r="D280" s="171" t="s">
        <v>4818</v>
      </c>
      <c r="E280" s="172" t="s">
        <v>111</v>
      </c>
      <c r="F280" s="172" t="b">
        <v>0</v>
      </c>
      <c r="G280" s="172" t="b">
        <v>0</v>
      </c>
      <c r="H280" s="172" t="b">
        <v>0</v>
      </c>
      <c r="I280" s="172" t="b">
        <v>0</v>
      </c>
      <c r="J280" s="172" t="b">
        <v>0</v>
      </c>
      <c r="K280" s="172" t="b">
        <v>0</v>
      </c>
      <c r="L280" s="172" t="b">
        <v>0</v>
      </c>
      <c r="M280" s="172" t="b">
        <v>0</v>
      </c>
      <c r="N280" s="97"/>
      <c r="O280" s="97"/>
      <c r="P280" s="97"/>
      <c r="Q280" s="174"/>
    </row>
    <row r="281" spans="8:8" ht="43.5" customHeight="1">
      <c r="A281" s="170">
        <v>17.0</v>
      </c>
      <c r="B281" s="171" t="s">
        <v>1064</v>
      </c>
      <c r="C281" s="172">
        <v>241970.0</v>
      </c>
      <c r="D281" s="171" t="s">
        <v>4858</v>
      </c>
      <c r="E281" s="172" t="s">
        <v>111</v>
      </c>
      <c r="F281" s="172" t="b">
        <v>0</v>
      </c>
      <c r="G281" s="172" t="b">
        <v>1</v>
      </c>
      <c r="H281" s="172" t="b">
        <v>0</v>
      </c>
      <c r="I281" s="172" t="b">
        <v>0</v>
      </c>
      <c r="J281" s="172" t="b">
        <v>0</v>
      </c>
      <c r="K281" s="172" t="b">
        <v>0</v>
      </c>
      <c r="L281" s="172" t="b">
        <v>0</v>
      </c>
      <c r="M281" s="172" t="b">
        <v>0</v>
      </c>
      <c r="N281" s="97"/>
      <c r="O281" s="97"/>
      <c r="P281" s="97"/>
      <c r="Q281" s="174"/>
    </row>
    <row r="282" spans="8:8" ht="43.5" customHeight="1">
      <c r="A282" s="170">
        <v>20.0</v>
      </c>
      <c r="B282" s="171" t="s">
        <v>3732</v>
      </c>
      <c r="C282" s="172">
        <v>241938.0</v>
      </c>
      <c r="D282" s="171" t="s">
        <v>4859</v>
      </c>
      <c r="E282" s="172" t="s">
        <v>111</v>
      </c>
      <c r="F282" s="172" t="b">
        <v>0</v>
      </c>
      <c r="G282" s="172" t="b">
        <v>0</v>
      </c>
      <c r="H282" s="172" t="b">
        <v>0</v>
      </c>
      <c r="I282" s="172" t="b">
        <v>0</v>
      </c>
      <c r="J282" s="172" t="b">
        <v>0</v>
      </c>
      <c r="K282" s="172" t="b">
        <v>0</v>
      </c>
      <c r="L282" s="172" t="b">
        <v>0</v>
      </c>
      <c r="M282" s="172" t="b">
        <v>0</v>
      </c>
      <c r="N282" s="189"/>
      <c r="O282" s="189"/>
      <c r="P282" s="189"/>
    </row>
    <row r="283" spans="8:8" ht="43.5" customHeight="1">
      <c r="A283" s="170">
        <v>21.0</v>
      </c>
      <c r="B283" s="181" t="s">
        <v>3733</v>
      </c>
      <c r="C283" s="97">
        <v>252883.0</v>
      </c>
      <c r="D283" s="181" t="s">
        <v>4860</v>
      </c>
      <c r="E283" s="172" t="s">
        <v>111</v>
      </c>
      <c r="F283" s="172" t="b">
        <v>0</v>
      </c>
      <c r="G283" s="172" t="b">
        <v>0</v>
      </c>
      <c r="H283" s="172" t="b">
        <v>0</v>
      </c>
      <c r="I283" s="172" t="b">
        <v>0</v>
      </c>
      <c r="J283" s="172" t="b">
        <v>0</v>
      </c>
      <c r="K283" s="172" t="b">
        <v>0</v>
      </c>
      <c r="L283" s="172" t="b">
        <v>0</v>
      </c>
      <c r="M283" s="172" t="b">
        <v>0</v>
      </c>
      <c r="N283" s="189"/>
      <c r="O283" s="189"/>
      <c r="P283" s="189"/>
    </row>
    <row r="284" spans="8:8" ht="43.5" customHeight="1">
      <c r="A284" s="170">
        <v>22.0</v>
      </c>
      <c r="B284" s="171" t="s">
        <v>1474</v>
      </c>
      <c r="C284" s="172">
        <v>241931.0</v>
      </c>
      <c r="D284" s="171" t="s">
        <v>4861</v>
      </c>
      <c r="E284" s="172" t="s">
        <v>111</v>
      </c>
      <c r="F284" s="172" t="b">
        <v>0</v>
      </c>
      <c r="G284" s="172" t="b">
        <v>0</v>
      </c>
      <c r="H284" s="172" t="b">
        <v>1</v>
      </c>
      <c r="I284" s="172" t="b">
        <v>0</v>
      </c>
      <c r="J284" s="172" t="b">
        <v>0</v>
      </c>
      <c r="K284" s="172" t="b">
        <v>0</v>
      </c>
      <c r="L284" s="172" t="b">
        <v>0</v>
      </c>
      <c r="M284" s="172" t="b">
        <v>0</v>
      </c>
      <c r="N284" s="97"/>
      <c r="O284" s="97"/>
      <c r="P284" s="97"/>
      <c r="Q284" s="174"/>
    </row>
    <row r="285" spans="8:8" ht="43.5" customHeight="1">
      <c r="A285" s="170">
        <v>23.0</v>
      </c>
      <c r="B285" s="171" t="s">
        <v>3734</v>
      </c>
      <c r="C285" s="172">
        <v>251598.0</v>
      </c>
      <c r="D285" s="172"/>
      <c r="E285" s="97" t="s">
        <v>111</v>
      </c>
      <c r="F285" s="172" t="b">
        <v>0</v>
      </c>
      <c r="G285" s="172" t="b">
        <v>0</v>
      </c>
      <c r="H285" s="172" t="b">
        <v>1</v>
      </c>
      <c r="I285" s="172" t="b">
        <v>0</v>
      </c>
      <c r="J285" s="172" t="b">
        <v>0</v>
      </c>
      <c r="K285" s="172" t="b">
        <v>0</v>
      </c>
      <c r="L285" s="172" t="b">
        <v>0</v>
      </c>
      <c r="M285" s="172" t="b">
        <v>0</v>
      </c>
      <c r="N285" s="97"/>
      <c r="O285" s="97"/>
      <c r="P285" s="97"/>
      <c r="Q285" s="174"/>
    </row>
    <row r="286" spans="8:8" ht="43.5" customHeight="1">
      <c r="A286" s="170">
        <v>24.0</v>
      </c>
      <c r="B286" s="171" t="s">
        <v>3735</v>
      </c>
      <c r="C286" s="172">
        <v>253173.0</v>
      </c>
      <c r="D286" s="171" t="s">
        <v>4819</v>
      </c>
      <c r="E286" s="97" t="s">
        <v>111</v>
      </c>
      <c r="F286" s="172" t="b">
        <v>0</v>
      </c>
      <c r="G286" s="172" t="b">
        <v>1</v>
      </c>
      <c r="H286" s="172" t="b">
        <v>1</v>
      </c>
      <c r="I286" s="172" t="b">
        <v>0</v>
      </c>
      <c r="J286" s="172" t="b">
        <v>0</v>
      </c>
      <c r="K286" s="172" t="b">
        <v>0</v>
      </c>
      <c r="L286" s="172" t="b">
        <v>0</v>
      </c>
      <c r="M286" s="172" t="b">
        <v>0</v>
      </c>
      <c r="N286" s="97"/>
      <c r="O286" s="97"/>
      <c r="P286" s="97"/>
      <c r="Q286" s="174"/>
    </row>
    <row r="287" spans="8:8" ht="43.5" customHeight="1">
      <c r="A287" s="170">
        <v>25.0</v>
      </c>
      <c r="B287" s="171" t="s">
        <v>3736</v>
      </c>
      <c r="C287" s="172">
        <v>251682.0</v>
      </c>
      <c r="D287" s="171" t="s">
        <v>4840</v>
      </c>
      <c r="E287" s="172" t="s">
        <v>111</v>
      </c>
      <c r="F287" s="172" t="b">
        <v>1</v>
      </c>
      <c r="G287" s="172" t="b">
        <v>1</v>
      </c>
      <c r="H287" s="172" t="b">
        <v>1</v>
      </c>
      <c r="I287" s="172" t="b">
        <v>0</v>
      </c>
      <c r="J287" s="172" t="b">
        <v>0</v>
      </c>
      <c r="K287" s="172" t="b">
        <v>0</v>
      </c>
      <c r="L287" s="172" t="b">
        <v>0</v>
      </c>
      <c r="M287" s="172" t="b">
        <v>0</v>
      </c>
      <c r="N287" s="97"/>
      <c r="O287" s="97"/>
      <c r="P287" s="97"/>
      <c r="Q287" s="174"/>
    </row>
    <row r="288" spans="8:8" ht="43.5" customHeight="1">
      <c r="A288" s="172">
        <v>22.0</v>
      </c>
      <c r="B288" s="171" t="s">
        <v>3737</v>
      </c>
      <c r="C288" s="172">
        <v>251759.0</v>
      </c>
      <c r="D288" s="171" t="s">
        <v>4828</v>
      </c>
      <c r="E288" s="172" t="s">
        <v>111</v>
      </c>
      <c r="F288" s="172" t="b">
        <v>1</v>
      </c>
      <c r="G288" s="172" t="b">
        <v>1</v>
      </c>
      <c r="H288" s="172" t="b">
        <v>1</v>
      </c>
      <c r="I288" s="172" t="b">
        <v>0</v>
      </c>
      <c r="J288" s="172" t="b">
        <v>0</v>
      </c>
      <c r="K288" s="172" t="b">
        <v>0</v>
      </c>
      <c r="L288" s="172" t="b">
        <v>0</v>
      </c>
      <c r="M288" s="172" t="b">
        <v>0</v>
      </c>
      <c r="N288" s="189"/>
      <c r="O288" s="189"/>
      <c r="P288" s="189"/>
    </row>
    <row r="289" spans="8:8" ht="43.5" customHeight="1">
      <c r="A289" s="172">
        <v>3.0</v>
      </c>
      <c r="B289" s="171" t="s">
        <v>3738</v>
      </c>
      <c r="C289" s="172">
        <v>251683.0</v>
      </c>
      <c r="D289" s="171" t="s">
        <v>4840</v>
      </c>
      <c r="E289" s="172" t="s">
        <v>111</v>
      </c>
      <c r="F289" s="172" t="b">
        <v>1</v>
      </c>
      <c r="G289" s="172" t="b">
        <v>1</v>
      </c>
      <c r="H289" s="172" t="b">
        <v>1</v>
      </c>
      <c r="I289" s="172" t="b">
        <v>0</v>
      </c>
      <c r="J289" s="172" t="b">
        <v>0</v>
      </c>
      <c r="K289" s="172" t="b">
        <v>0</v>
      </c>
      <c r="L289" s="172" t="b">
        <v>0</v>
      </c>
      <c r="M289" s="172" t="b">
        <v>0</v>
      </c>
      <c r="N289" s="189"/>
      <c r="O289" s="189"/>
      <c r="P289" s="189"/>
    </row>
    <row r="290" spans="8:8" ht="43.5" customHeight="1">
      <c r="A290" s="172">
        <v>16.0</v>
      </c>
      <c r="B290" s="171" t="s">
        <v>3739</v>
      </c>
      <c r="C290" s="172">
        <v>251492.0</v>
      </c>
      <c r="D290" s="171" t="s">
        <v>4834</v>
      </c>
      <c r="E290" s="172" t="s">
        <v>111</v>
      </c>
      <c r="F290" s="172" t="b">
        <v>1</v>
      </c>
      <c r="G290" s="172" t="b">
        <v>0</v>
      </c>
      <c r="H290" s="172" t="b">
        <v>1</v>
      </c>
      <c r="I290" s="172" t="b">
        <v>0</v>
      </c>
      <c r="J290" s="172" t="b">
        <v>0</v>
      </c>
      <c r="K290" s="172" t="b">
        <v>0</v>
      </c>
      <c r="L290" s="172" t="b">
        <v>0</v>
      </c>
      <c r="M290" s="172" t="b">
        <v>0</v>
      </c>
      <c r="N290" s="189"/>
      <c r="O290" s="189"/>
      <c r="P290" s="189"/>
    </row>
    <row r="291" spans="8:8" ht="43.5" customHeight="1">
      <c r="A291" s="170"/>
      <c r="B291" s="182" t="s">
        <v>4815</v>
      </c>
      <c r="C291" s="97"/>
      <c r="D291" s="97"/>
      <c r="E291" s="183"/>
      <c r="F291" s="184">
        <f t="shared" si="9" ref="F291:M291">COUNTIF(F256:F281,TRUE)/COUNTA(F256:F281)</f>
        <v>0.15384615384615385</v>
      </c>
      <c r="G291" s="184">
        <f t="shared" si="9"/>
        <v>0.46153846153846156</v>
      </c>
      <c r="H291" s="184">
        <f t="shared" si="9"/>
        <v>0.5769230769230769</v>
      </c>
      <c r="I291" s="184">
        <f t="shared" si="9"/>
        <v>0.0</v>
      </c>
      <c r="J291" s="184">
        <f t="shared" si="9"/>
        <v>0.0</v>
      </c>
      <c r="K291" s="184">
        <f t="shared" si="9"/>
        <v>0.0</v>
      </c>
      <c r="L291" s="184">
        <f t="shared" si="9"/>
        <v>0.0</v>
      </c>
      <c r="M291" s="184">
        <f t="shared" si="9"/>
        <v>0.0</v>
      </c>
      <c r="N291" s="189"/>
      <c r="O291" s="189"/>
      <c r="P291" s="189"/>
    </row>
    <row r="292" spans="8:8" ht="43.5" customHeight="1">
      <c r="A292" s="185" t="s">
        <v>18</v>
      </c>
      <c r="B292" s="162" t="s">
        <v>19</v>
      </c>
      <c r="C292" s="163"/>
      <c r="D292" s="162" t="s">
        <v>4530</v>
      </c>
      <c r="E292" s="162" t="s">
        <v>22</v>
      </c>
      <c r="F292" s="163" t="s">
        <v>4794</v>
      </c>
      <c r="G292" s="163" t="s">
        <v>4795</v>
      </c>
      <c r="H292" s="163" t="s">
        <v>4796</v>
      </c>
      <c r="I292" s="163" t="s">
        <v>4797</v>
      </c>
      <c r="J292" s="163" t="s">
        <v>4798</v>
      </c>
      <c r="K292" s="163" t="s">
        <v>4799</v>
      </c>
      <c r="L292" s="163" t="s">
        <v>4800</v>
      </c>
      <c r="M292" s="163" t="s">
        <v>4801</v>
      </c>
      <c r="N292" s="166" t="s">
        <v>4862</v>
      </c>
      <c r="O292" s="167"/>
      <c r="P292" s="168"/>
      <c r="Q292" s="169"/>
    </row>
    <row r="293" spans="8:8" ht="43.5" customHeight="1">
      <c r="A293" s="170">
        <v>1.0</v>
      </c>
      <c r="B293" s="171" t="s">
        <v>3748</v>
      </c>
      <c r="C293" s="172">
        <v>251243.0</v>
      </c>
      <c r="D293" s="171" t="s">
        <v>4803</v>
      </c>
      <c r="E293" s="172" t="s">
        <v>580</v>
      </c>
      <c r="F293" s="172" t="b">
        <v>1</v>
      </c>
      <c r="G293" s="172" t="b">
        <v>1</v>
      </c>
      <c r="H293" s="172" t="b">
        <v>1</v>
      </c>
      <c r="I293" s="172" t="b">
        <v>0</v>
      </c>
      <c r="J293" s="172" t="b">
        <v>0</v>
      </c>
      <c r="K293" s="172" t="b">
        <v>0</v>
      </c>
      <c r="L293" s="172" t="b">
        <v>0</v>
      </c>
      <c r="M293" s="172" t="b">
        <v>0</v>
      </c>
      <c r="N293" s="173" t="s">
        <v>4804</v>
      </c>
      <c r="O293" s="167"/>
      <c r="P293" s="168"/>
      <c r="Q293" s="174"/>
    </row>
    <row r="294" spans="8:8" ht="43.5" customHeight="1">
      <c r="A294" s="170">
        <v>2.0</v>
      </c>
      <c r="B294" s="171" t="s">
        <v>3749</v>
      </c>
      <c r="C294" s="172">
        <v>251247.0</v>
      </c>
      <c r="D294" s="171" t="s">
        <v>4803</v>
      </c>
      <c r="E294" s="172" t="s">
        <v>580</v>
      </c>
      <c r="F294" s="172" t="b">
        <v>1</v>
      </c>
      <c r="G294" s="172" t="b">
        <v>1</v>
      </c>
      <c r="H294" s="172" t="b">
        <v>1</v>
      </c>
      <c r="I294" s="172" t="b">
        <v>0</v>
      </c>
      <c r="J294" s="172" t="b">
        <v>0</v>
      </c>
      <c r="K294" s="172" t="b">
        <v>0</v>
      </c>
      <c r="L294" s="172" t="b">
        <v>0</v>
      </c>
      <c r="M294" s="172" t="b">
        <v>0</v>
      </c>
      <c r="N294" s="175" t="s">
        <v>4805</v>
      </c>
      <c r="O294" s="176" t="s">
        <v>4806</v>
      </c>
      <c r="P294" s="97" t="s">
        <v>4807</v>
      </c>
      <c r="Q294" s="174"/>
    </row>
    <row r="295" spans="8:8" ht="43.5" customHeight="1">
      <c r="A295" s="170">
        <v>3.0</v>
      </c>
      <c r="B295" s="171" t="s">
        <v>3750</v>
      </c>
      <c r="C295" s="172">
        <v>251253.0</v>
      </c>
      <c r="D295" s="171" t="s">
        <v>4803</v>
      </c>
      <c r="E295" s="172" t="s">
        <v>580</v>
      </c>
      <c r="F295" s="172" t="b">
        <v>0</v>
      </c>
      <c r="G295" s="172" t="b">
        <v>0</v>
      </c>
      <c r="H295" s="172" t="b">
        <v>1</v>
      </c>
      <c r="I295" s="172" t="b">
        <v>0</v>
      </c>
      <c r="J295" s="172" t="b">
        <v>0</v>
      </c>
      <c r="K295" s="172" t="b">
        <v>0</v>
      </c>
      <c r="L295" s="172" t="b">
        <v>0</v>
      </c>
      <c r="M295" s="172" t="b">
        <v>0</v>
      </c>
      <c r="N295" s="97" t="s">
        <v>4794</v>
      </c>
      <c r="O295" s="172" t="b">
        <v>1</v>
      </c>
      <c r="P295" s="97"/>
      <c r="Q295" s="174"/>
    </row>
    <row r="296" spans="8:8" ht="43.5" customHeight="1">
      <c r="A296" s="170">
        <v>4.0</v>
      </c>
      <c r="B296" s="171" t="s">
        <v>3751</v>
      </c>
      <c r="C296" s="172">
        <v>251271.0</v>
      </c>
      <c r="D296" s="171" t="s">
        <v>4810</v>
      </c>
      <c r="E296" s="172" t="s">
        <v>580</v>
      </c>
      <c r="F296" s="172" t="b">
        <v>1</v>
      </c>
      <c r="G296" s="172" t="b">
        <v>1</v>
      </c>
      <c r="H296" s="172" t="b">
        <v>1</v>
      </c>
      <c r="I296" s="172" t="b">
        <v>0</v>
      </c>
      <c r="J296" s="172" t="b">
        <v>0</v>
      </c>
      <c r="K296" s="172" t="b">
        <v>0</v>
      </c>
      <c r="L296" s="172" t="b">
        <v>0</v>
      </c>
      <c r="M296" s="172" t="b">
        <v>0</v>
      </c>
      <c r="N296" s="97" t="s">
        <v>4795</v>
      </c>
      <c r="O296" s="172" t="b">
        <v>1</v>
      </c>
      <c r="P296" s="97"/>
      <c r="Q296" s="174"/>
    </row>
    <row r="297" spans="8:8" ht="43.5" customHeight="1">
      <c r="A297" s="170">
        <v>5.0</v>
      </c>
      <c r="B297" s="171" t="s">
        <v>3752</v>
      </c>
      <c r="C297" s="172">
        <v>251279.0</v>
      </c>
      <c r="D297" s="171" t="s">
        <v>4810</v>
      </c>
      <c r="E297" s="172" t="s">
        <v>580</v>
      </c>
      <c r="F297" s="172" t="b">
        <v>1</v>
      </c>
      <c r="G297" s="172" t="b">
        <v>1</v>
      </c>
      <c r="H297" s="172" t="b">
        <v>1</v>
      </c>
      <c r="I297" s="172" t="b">
        <v>0</v>
      </c>
      <c r="J297" s="172" t="b">
        <v>0</v>
      </c>
      <c r="K297" s="172" t="b">
        <v>0</v>
      </c>
      <c r="L297" s="172" t="b">
        <v>0</v>
      </c>
      <c r="M297" s="172" t="b">
        <v>0</v>
      </c>
      <c r="N297" s="97" t="s">
        <v>4796</v>
      </c>
      <c r="O297" s="172" t="b">
        <v>1</v>
      </c>
      <c r="P297" s="97"/>
      <c r="Q297" s="174"/>
    </row>
    <row r="298" spans="8:8" ht="43.5" customHeight="1">
      <c r="A298" s="170">
        <v>6.0</v>
      </c>
      <c r="B298" s="171" t="s">
        <v>3753</v>
      </c>
      <c r="C298" s="172">
        <v>251298.0</v>
      </c>
      <c r="D298" s="171" t="s">
        <v>4810</v>
      </c>
      <c r="E298" s="172" t="s">
        <v>580</v>
      </c>
      <c r="F298" s="172" t="b">
        <v>0</v>
      </c>
      <c r="G298" s="172" t="b">
        <v>1</v>
      </c>
      <c r="H298" s="172" t="b">
        <v>1</v>
      </c>
      <c r="I298" s="172" t="b">
        <v>0</v>
      </c>
      <c r="J298" s="172" t="b">
        <v>0</v>
      </c>
      <c r="K298" s="172" t="b">
        <v>0</v>
      </c>
      <c r="L298" s="172" t="b">
        <v>0</v>
      </c>
      <c r="M298" s="172" t="b">
        <v>0</v>
      </c>
      <c r="N298" s="97" t="s">
        <v>4797</v>
      </c>
      <c r="O298" s="172" t="b">
        <v>0</v>
      </c>
      <c r="P298" s="97"/>
      <c r="Q298" s="174"/>
    </row>
    <row r="299" spans="8:8" ht="43.5" customHeight="1">
      <c r="A299" s="170">
        <v>7.0</v>
      </c>
      <c r="B299" s="171" t="s">
        <v>3754</v>
      </c>
      <c r="C299" s="172">
        <v>251302.0</v>
      </c>
      <c r="D299" s="171" t="s">
        <v>4818</v>
      </c>
      <c r="E299" s="172" t="s">
        <v>580</v>
      </c>
      <c r="F299" s="172" t="b">
        <v>0</v>
      </c>
      <c r="G299" s="172" t="b">
        <v>0</v>
      </c>
      <c r="H299" s="172" t="b">
        <v>1</v>
      </c>
      <c r="I299" s="172" t="b">
        <v>0</v>
      </c>
      <c r="J299" s="172" t="b">
        <v>0</v>
      </c>
      <c r="K299" s="172" t="b">
        <v>0</v>
      </c>
      <c r="L299" s="172" t="b">
        <v>0</v>
      </c>
      <c r="M299" s="172" t="b">
        <v>0</v>
      </c>
      <c r="N299" s="97" t="s">
        <v>4798</v>
      </c>
      <c r="O299" s="172" t="b">
        <v>0</v>
      </c>
      <c r="P299" s="97"/>
      <c r="Q299" s="174"/>
    </row>
    <row r="300" spans="8:8" ht="43.5" customHeight="1">
      <c r="A300" s="170">
        <v>8.0</v>
      </c>
      <c r="B300" s="171" t="s">
        <v>4708</v>
      </c>
      <c r="C300" s="172">
        <v>251306.0</v>
      </c>
      <c r="D300" s="171" t="s">
        <v>4818</v>
      </c>
      <c r="E300" s="172" t="s">
        <v>580</v>
      </c>
      <c r="F300" s="172" t="b">
        <v>0</v>
      </c>
      <c r="G300" s="172" t="b">
        <v>0</v>
      </c>
      <c r="H300" s="172" t="b">
        <v>0</v>
      </c>
      <c r="I300" s="172" t="b">
        <v>0</v>
      </c>
      <c r="J300" s="172" t="b">
        <v>0</v>
      </c>
      <c r="K300" s="172" t="b">
        <v>0</v>
      </c>
      <c r="L300" s="172" t="b">
        <v>0</v>
      </c>
      <c r="M300" s="172" t="b">
        <v>0</v>
      </c>
      <c r="N300" s="97" t="s">
        <v>4799</v>
      </c>
      <c r="O300" s="172" t="b">
        <v>0</v>
      </c>
      <c r="P300" s="97"/>
      <c r="Q300" s="174"/>
    </row>
    <row r="301" spans="8:8" ht="43.5" customHeight="1">
      <c r="A301" s="170">
        <v>9.0</v>
      </c>
      <c r="B301" s="171" t="s">
        <v>3755</v>
      </c>
      <c r="C301" s="172">
        <v>251308.0</v>
      </c>
      <c r="D301" s="171" t="s">
        <v>4818</v>
      </c>
      <c r="E301" s="172" t="s">
        <v>580</v>
      </c>
      <c r="F301" s="172" t="b">
        <v>0</v>
      </c>
      <c r="G301" s="172" t="b">
        <v>0</v>
      </c>
      <c r="H301" s="172" t="b">
        <v>1</v>
      </c>
      <c r="I301" s="172" t="b">
        <v>0</v>
      </c>
      <c r="J301" s="172" t="b">
        <v>0</v>
      </c>
      <c r="K301" s="172" t="b">
        <v>0</v>
      </c>
      <c r="L301" s="172" t="b">
        <v>0</v>
      </c>
      <c r="M301" s="172" t="b">
        <v>0</v>
      </c>
      <c r="N301" s="97" t="s">
        <v>4800</v>
      </c>
      <c r="O301" s="172" t="b">
        <v>0</v>
      </c>
      <c r="P301" s="97"/>
      <c r="Q301" s="174"/>
    </row>
    <row r="302" spans="8:8" ht="43.5" customHeight="1">
      <c r="A302" s="170">
        <v>10.0</v>
      </c>
      <c r="B302" s="171" t="s">
        <v>3756</v>
      </c>
      <c r="C302" s="172">
        <v>251323.0</v>
      </c>
      <c r="D302" s="171" t="s">
        <v>4818</v>
      </c>
      <c r="E302" s="172" t="s">
        <v>580</v>
      </c>
      <c r="F302" s="172" t="b">
        <v>1</v>
      </c>
      <c r="G302" s="172" t="b">
        <v>0</v>
      </c>
      <c r="H302" s="172" t="b">
        <v>1</v>
      </c>
      <c r="I302" s="172" t="b">
        <v>0</v>
      </c>
      <c r="J302" s="172" t="b">
        <v>0</v>
      </c>
      <c r="K302" s="172" t="b">
        <v>0</v>
      </c>
      <c r="L302" s="172" t="b">
        <v>0</v>
      </c>
      <c r="M302" s="172" t="b">
        <v>0</v>
      </c>
      <c r="N302" s="97" t="s">
        <v>4801</v>
      </c>
      <c r="O302" s="172" t="b">
        <v>0</v>
      </c>
      <c r="P302" s="97"/>
      <c r="Q302" s="174"/>
    </row>
    <row r="303" spans="8:8" ht="43.5" customHeight="1">
      <c r="A303" s="170">
        <v>11.0</v>
      </c>
      <c r="B303" s="171" t="s">
        <v>3757</v>
      </c>
      <c r="C303" s="172">
        <v>251327.0</v>
      </c>
      <c r="D303" s="171" t="s">
        <v>4818</v>
      </c>
      <c r="E303" s="172" t="s">
        <v>580</v>
      </c>
      <c r="F303" s="172" t="b">
        <v>1</v>
      </c>
      <c r="G303" s="172" t="b">
        <v>0</v>
      </c>
      <c r="H303" s="172" t="b">
        <v>1</v>
      </c>
      <c r="I303" s="172" t="b">
        <v>0</v>
      </c>
      <c r="J303" s="172" t="b">
        <v>0</v>
      </c>
      <c r="K303" s="172" t="b">
        <v>0</v>
      </c>
      <c r="L303" s="172" t="b">
        <v>0</v>
      </c>
      <c r="M303" s="172" t="b">
        <v>0</v>
      </c>
      <c r="N303" s="97"/>
      <c r="O303" s="97"/>
      <c r="P303" s="97"/>
      <c r="Q303" s="174"/>
    </row>
    <row r="304" spans="8:8" ht="43.5" customHeight="1">
      <c r="A304" s="170">
        <v>12.0</v>
      </c>
      <c r="B304" s="171" t="s">
        <v>3758</v>
      </c>
      <c r="C304" s="172">
        <v>251332.0</v>
      </c>
      <c r="D304" s="171" t="s">
        <v>4818</v>
      </c>
      <c r="E304" s="172" t="s">
        <v>580</v>
      </c>
      <c r="F304" s="172" t="b">
        <v>1</v>
      </c>
      <c r="G304" s="172" t="b">
        <v>1</v>
      </c>
      <c r="H304" s="172" t="b">
        <v>1</v>
      </c>
      <c r="I304" s="172" t="b">
        <v>0</v>
      </c>
      <c r="J304" s="172" t="b">
        <v>0</v>
      </c>
      <c r="K304" s="172" t="b">
        <v>0</v>
      </c>
      <c r="L304" s="172" t="b">
        <v>0</v>
      </c>
      <c r="M304" s="172" t="b">
        <v>0</v>
      </c>
      <c r="N304" s="97"/>
      <c r="O304" s="97"/>
      <c r="P304" s="97"/>
      <c r="Q304" s="174"/>
    </row>
    <row r="305" spans="8:8" ht="43.5" customHeight="1">
      <c r="A305" s="170">
        <v>13.0</v>
      </c>
      <c r="B305" s="171" t="s">
        <v>3759</v>
      </c>
      <c r="C305" s="172">
        <v>251334.0</v>
      </c>
      <c r="D305" s="171" t="s">
        <v>4818</v>
      </c>
      <c r="E305" s="172" t="s">
        <v>580</v>
      </c>
      <c r="F305" s="172" t="b">
        <v>0</v>
      </c>
      <c r="G305" s="172" t="b">
        <v>1</v>
      </c>
      <c r="H305" s="172" t="b">
        <v>1</v>
      </c>
      <c r="I305" s="172" t="b">
        <v>0</v>
      </c>
      <c r="J305" s="172" t="b">
        <v>0</v>
      </c>
      <c r="K305" s="172" t="b">
        <v>0</v>
      </c>
      <c r="L305" s="172" t="b">
        <v>0</v>
      </c>
      <c r="M305" s="172" t="b">
        <v>0</v>
      </c>
      <c r="N305" s="97"/>
      <c r="O305" s="97"/>
      <c r="P305" s="97"/>
      <c r="Q305" s="174"/>
    </row>
    <row r="306" spans="8:8" ht="43.5" customHeight="1">
      <c r="A306" s="170">
        <v>14.0</v>
      </c>
      <c r="B306" s="171" t="s">
        <v>3760</v>
      </c>
      <c r="C306" s="172">
        <v>251335.0</v>
      </c>
      <c r="D306" s="171" t="s">
        <v>4818</v>
      </c>
      <c r="E306" s="172" t="s">
        <v>580</v>
      </c>
      <c r="F306" s="172" t="b">
        <v>0</v>
      </c>
      <c r="G306" s="172" t="b">
        <v>0</v>
      </c>
      <c r="H306" s="172" t="b">
        <v>1</v>
      </c>
      <c r="I306" s="172" t="b">
        <v>0</v>
      </c>
      <c r="J306" s="172" t="b">
        <v>0</v>
      </c>
      <c r="K306" s="172" t="b">
        <v>0</v>
      </c>
      <c r="L306" s="172" t="b">
        <v>0</v>
      </c>
      <c r="M306" s="172" t="b">
        <v>0</v>
      </c>
      <c r="N306" s="97"/>
      <c r="O306" s="97"/>
      <c r="P306" s="97"/>
      <c r="Q306" s="174"/>
    </row>
    <row r="307" spans="8:8" ht="43.5" customHeight="1">
      <c r="A307" s="170">
        <v>15.0</v>
      </c>
      <c r="B307" s="171" t="s">
        <v>3761</v>
      </c>
      <c r="C307" s="172">
        <v>251337.0</v>
      </c>
      <c r="D307" s="171" t="s">
        <v>4822</v>
      </c>
      <c r="E307" s="172" t="s">
        <v>580</v>
      </c>
      <c r="F307" s="172" t="b">
        <v>0</v>
      </c>
      <c r="G307" s="172" t="b">
        <v>0</v>
      </c>
      <c r="H307" s="172" t="b">
        <v>1</v>
      </c>
      <c r="I307" s="172" t="b">
        <v>0</v>
      </c>
      <c r="J307" s="172" t="b">
        <v>0</v>
      </c>
      <c r="K307" s="172" t="b">
        <v>0</v>
      </c>
      <c r="L307" s="172" t="b">
        <v>0</v>
      </c>
      <c r="M307" s="172" t="b">
        <v>0</v>
      </c>
      <c r="N307" s="97"/>
      <c r="O307" s="97"/>
      <c r="P307" s="97"/>
      <c r="Q307" s="174"/>
    </row>
    <row r="308" spans="8:8" ht="43.5" customHeight="1">
      <c r="A308" s="170">
        <v>16.0</v>
      </c>
      <c r="B308" s="171" t="s">
        <v>3762</v>
      </c>
      <c r="C308" s="172">
        <v>251339.0</v>
      </c>
      <c r="D308" s="171" t="s">
        <v>4822</v>
      </c>
      <c r="E308" s="172" t="s">
        <v>580</v>
      </c>
      <c r="F308" s="172" t="b">
        <v>1</v>
      </c>
      <c r="G308" s="172" t="b">
        <v>0</v>
      </c>
      <c r="H308" s="172" t="b">
        <v>1</v>
      </c>
      <c r="I308" s="172" t="b">
        <v>0</v>
      </c>
      <c r="J308" s="172" t="b">
        <v>0</v>
      </c>
      <c r="K308" s="172" t="b">
        <v>0</v>
      </c>
      <c r="L308" s="172" t="b">
        <v>0</v>
      </c>
      <c r="M308" s="172" t="b">
        <v>0</v>
      </c>
      <c r="N308" s="97"/>
      <c r="O308" s="97"/>
      <c r="P308" s="97"/>
      <c r="Q308" s="174"/>
    </row>
    <row r="309" spans="8:8" ht="43.5" customHeight="1">
      <c r="A309" s="170">
        <v>17.0</v>
      </c>
      <c r="B309" s="171" t="s">
        <v>3763</v>
      </c>
      <c r="C309" s="172">
        <v>251341.0</v>
      </c>
      <c r="D309" s="171" t="s">
        <v>4822</v>
      </c>
      <c r="E309" s="172" t="s">
        <v>580</v>
      </c>
      <c r="F309" s="172" t="b">
        <v>1</v>
      </c>
      <c r="G309" s="172" t="b">
        <v>0</v>
      </c>
      <c r="H309" s="172" t="b">
        <v>1</v>
      </c>
      <c r="I309" s="172" t="b">
        <v>0</v>
      </c>
      <c r="J309" s="172" t="b">
        <v>0</v>
      </c>
      <c r="K309" s="172" t="b">
        <v>0</v>
      </c>
      <c r="L309" s="172" t="b">
        <v>0</v>
      </c>
      <c r="M309" s="172" t="b">
        <v>0</v>
      </c>
      <c r="N309" s="97"/>
      <c r="O309" s="97"/>
      <c r="P309" s="97"/>
      <c r="Q309" s="174"/>
    </row>
    <row r="310" spans="8:8" ht="43.5" customHeight="1">
      <c r="A310" s="170">
        <v>18.0</v>
      </c>
      <c r="B310" s="171" t="s">
        <v>3764</v>
      </c>
      <c r="C310" s="172">
        <v>251345.0</v>
      </c>
      <c r="D310" s="171" t="s">
        <v>4822</v>
      </c>
      <c r="E310" s="172" t="s">
        <v>580</v>
      </c>
      <c r="F310" s="172" t="b">
        <v>0</v>
      </c>
      <c r="G310" s="172" t="b">
        <v>1</v>
      </c>
      <c r="H310" s="172" t="b">
        <v>1</v>
      </c>
      <c r="I310" s="172" t="b">
        <v>0</v>
      </c>
      <c r="J310" s="172" t="b">
        <v>0</v>
      </c>
      <c r="K310" s="172" t="b">
        <v>0</v>
      </c>
      <c r="L310" s="172" t="b">
        <v>0</v>
      </c>
      <c r="M310" s="172" t="b">
        <v>0</v>
      </c>
      <c r="N310" s="97"/>
      <c r="O310" s="97"/>
      <c r="P310" s="97"/>
      <c r="Q310" s="174"/>
    </row>
    <row r="311" spans="8:8" ht="43.5" customHeight="1">
      <c r="A311" s="170">
        <v>19.0</v>
      </c>
      <c r="B311" s="171" t="s">
        <v>3765</v>
      </c>
      <c r="C311" s="172">
        <v>251348.0</v>
      </c>
      <c r="D311" s="171" t="s">
        <v>4822</v>
      </c>
      <c r="E311" s="172" t="s">
        <v>580</v>
      </c>
      <c r="F311" s="172" t="b">
        <v>1</v>
      </c>
      <c r="G311" s="172" t="b">
        <v>0</v>
      </c>
      <c r="H311" s="172" t="b">
        <v>0</v>
      </c>
      <c r="I311" s="172" t="b">
        <v>0</v>
      </c>
      <c r="J311" s="172" t="b">
        <v>0</v>
      </c>
      <c r="K311" s="172" t="b">
        <v>0</v>
      </c>
      <c r="L311" s="172" t="b">
        <v>0</v>
      </c>
      <c r="M311" s="172" t="b">
        <v>0</v>
      </c>
      <c r="N311" s="97"/>
      <c r="O311" s="97"/>
      <c r="P311" s="97"/>
      <c r="Q311" s="174"/>
    </row>
    <row r="312" spans="8:8" ht="43.5" customHeight="1">
      <c r="A312" s="170">
        <v>20.0</v>
      </c>
      <c r="B312" s="171" t="s">
        <v>3766</v>
      </c>
      <c r="C312" s="172">
        <v>251360.0</v>
      </c>
      <c r="D312" s="171" t="s">
        <v>4822</v>
      </c>
      <c r="E312" s="172" t="s">
        <v>580</v>
      </c>
      <c r="F312" s="172" t="b">
        <v>0</v>
      </c>
      <c r="G312" s="172" t="b">
        <v>0</v>
      </c>
      <c r="H312" s="172" t="b">
        <v>1</v>
      </c>
      <c r="I312" s="172" t="b">
        <v>0</v>
      </c>
      <c r="J312" s="172" t="b">
        <v>0</v>
      </c>
      <c r="K312" s="172" t="b">
        <v>0</v>
      </c>
      <c r="L312" s="172" t="b">
        <v>0</v>
      </c>
      <c r="M312" s="172" t="b">
        <v>0</v>
      </c>
      <c r="N312" s="97"/>
      <c r="O312" s="97"/>
      <c r="P312" s="97"/>
      <c r="Q312" s="174"/>
    </row>
    <row r="313" spans="8:8" ht="43.5" customHeight="1">
      <c r="A313" s="170">
        <v>22.0</v>
      </c>
      <c r="B313" s="171" t="s">
        <v>3767</v>
      </c>
      <c r="C313" s="172">
        <v>251371.0</v>
      </c>
      <c r="D313" s="171" t="s">
        <v>4825</v>
      </c>
      <c r="E313" s="172" t="s">
        <v>580</v>
      </c>
      <c r="F313" s="172" t="b">
        <v>1</v>
      </c>
      <c r="G313" s="172" t="b">
        <v>1</v>
      </c>
      <c r="H313" s="172" t="b">
        <v>1</v>
      </c>
      <c r="I313" s="172" t="b">
        <v>0</v>
      </c>
      <c r="J313" s="172" t="b">
        <v>0</v>
      </c>
      <c r="K313" s="172" t="b">
        <v>0</v>
      </c>
      <c r="L313" s="172" t="b">
        <v>0</v>
      </c>
      <c r="M313" s="172" t="b">
        <v>0</v>
      </c>
      <c r="N313" s="97"/>
      <c r="O313" s="97"/>
      <c r="P313" s="97"/>
      <c r="Q313" s="174"/>
    </row>
    <row r="314" spans="8:8" ht="43.5" customHeight="1">
      <c r="A314" s="170">
        <v>23.0</v>
      </c>
      <c r="B314" s="171" t="s">
        <v>3768</v>
      </c>
      <c r="C314" s="172">
        <v>251375.0</v>
      </c>
      <c r="D314" s="171" t="s">
        <v>4825</v>
      </c>
      <c r="E314" s="172" t="s">
        <v>580</v>
      </c>
      <c r="F314" s="172" t="b">
        <v>1</v>
      </c>
      <c r="G314" s="172" t="b">
        <v>1</v>
      </c>
      <c r="H314" s="172" t="b">
        <v>1</v>
      </c>
      <c r="I314" s="172" t="b">
        <v>0</v>
      </c>
      <c r="J314" s="172" t="b">
        <v>0</v>
      </c>
      <c r="K314" s="172" t="b">
        <v>0</v>
      </c>
      <c r="L314" s="172" t="b">
        <v>0</v>
      </c>
      <c r="M314" s="172" t="b">
        <v>0</v>
      </c>
      <c r="N314" s="97"/>
      <c r="O314" s="97"/>
      <c r="P314" s="97"/>
      <c r="Q314" s="174"/>
    </row>
    <row r="315" spans="8:8" ht="43.5" customHeight="1">
      <c r="A315" s="170">
        <v>24.0</v>
      </c>
      <c r="B315" s="171" t="s">
        <v>3769</v>
      </c>
      <c r="C315" s="172">
        <v>251581.0</v>
      </c>
      <c r="D315" s="171" t="s">
        <v>4845</v>
      </c>
      <c r="E315" s="172" t="s">
        <v>580</v>
      </c>
      <c r="F315" s="172" t="b">
        <v>0</v>
      </c>
      <c r="G315" s="172" t="b">
        <v>1</v>
      </c>
      <c r="H315" s="172" t="b">
        <v>1</v>
      </c>
      <c r="I315" s="172" t="b">
        <v>0</v>
      </c>
      <c r="J315" s="172" t="b">
        <v>0</v>
      </c>
      <c r="K315" s="172" t="b">
        <v>0</v>
      </c>
      <c r="L315" s="172" t="b">
        <v>0</v>
      </c>
      <c r="M315" s="172" t="b">
        <v>0</v>
      </c>
      <c r="N315" s="97"/>
      <c r="O315" s="97"/>
      <c r="P315" s="97"/>
      <c r="Q315" s="174"/>
    </row>
    <row r="316" spans="8:8" ht="43.5" customHeight="1">
      <c r="A316" s="170">
        <v>25.0</v>
      </c>
      <c r="B316" s="181" t="s">
        <v>3770</v>
      </c>
      <c r="C316" s="97">
        <v>251377.0</v>
      </c>
      <c r="D316" s="181" t="s">
        <v>4825</v>
      </c>
      <c r="E316" s="97" t="s">
        <v>580</v>
      </c>
      <c r="F316" s="172" t="b">
        <v>1</v>
      </c>
      <c r="G316" s="172" t="b">
        <v>1</v>
      </c>
      <c r="H316" s="172" t="b">
        <v>1</v>
      </c>
      <c r="I316" s="172" t="b">
        <v>0</v>
      </c>
      <c r="J316" s="172" t="b">
        <v>0</v>
      </c>
      <c r="K316" s="172" t="b">
        <v>0</v>
      </c>
      <c r="L316" s="172" t="b">
        <v>0</v>
      </c>
      <c r="M316" s="172" t="b">
        <v>0</v>
      </c>
      <c r="N316" s="97"/>
      <c r="O316" s="97"/>
      <c r="P316" s="97"/>
      <c r="Q316" s="174"/>
    </row>
    <row r="317" spans="8:8" ht="43.5" customHeight="1">
      <c r="A317" s="172">
        <v>19.0</v>
      </c>
      <c r="B317" s="171" t="s">
        <v>3912</v>
      </c>
      <c r="C317" s="172">
        <v>241180.0</v>
      </c>
      <c r="D317" s="171" t="s">
        <v>4859</v>
      </c>
      <c r="E317" s="172" t="s">
        <v>580</v>
      </c>
      <c r="F317" s="172" t="b">
        <v>0</v>
      </c>
      <c r="G317" s="172" t="b">
        <v>1</v>
      </c>
      <c r="H317" s="172" t="b">
        <v>1</v>
      </c>
      <c r="I317" s="172" t="b">
        <v>0</v>
      </c>
      <c r="J317" s="172" t="b">
        <v>0</v>
      </c>
      <c r="K317" s="172" t="b">
        <v>0</v>
      </c>
      <c r="L317" s="172" t="b">
        <v>0</v>
      </c>
      <c r="M317" s="172" t="b">
        <v>0</v>
      </c>
      <c r="N317" s="97"/>
      <c r="O317" s="97"/>
      <c r="P317" s="97"/>
      <c r="Q317" s="174"/>
    </row>
    <row r="318" spans="8:8" ht="43.5" customHeight="1">
      <c r="A318" s="172">
        <v>7.0</v>
      </c>
      <c r="B318" s="171" t="s">
        <v>3771</v>
      </c>
      <c r="C318" s="172">
        <v>251670.0</v>
      </c>
      <c r="D318" s="171" t="s">
        <v>4840</v>
      </c>
      <c r="E318" s="172" t="s">
        <v>580</v>
      </c>
      <c r="F318" s="172" t="b">
        <v>1</v>
      </c>
      <c r="G318" s="172" t="b">
        <v>1</v>
      </c>
      <c r="H318" s="172" t="b">
        <v>1</v>
      </c>
      <c r="I318" s="172" t="b">
        <v>0</v>
      </c>
      <c r="J318" s="172" t="b">
        <v>0</v>
      </c>
      <c r="K318" s="172" t="b">
        <v>0</v>
      </c>
      <c r="L318" s="172" t="b">
        <v>0</v>
      </c>
      <c r="M318" s="172" t="b">
        <v>0</v>
      </c>
      <c r="N318" s="97"/>
      <c r="O318" s="97"/>
      <c r="P318" s="97"/>
      <c r="Q318" s="174"/>
    </row>
    <row r="319" spans="8:8" ht="43.5" customHeight="1">
      <c r="A319" s="190">
        <v>23.0</v>
      </c>
      <c r="B319" s="96" t="s">
        <v>3772</v>
      </c>
      <c r="C319" s="177">
        <v>240170.0</v>
      </c>
      <c r="D319" s="96" t="s">
        <v>1065</v>
      </c>
      <c r="E319" s="177" t="s">
        <v>580</v>
      </c>
      <c r="F319" s="177" t="b">
        <v>0</v>
      </c>
      <c r="G319" s="190" t="b">
        <v>0</v>
      </c>
      <c r="H319" s="190" t="b">
        <v>0</v>
      </c>
      <c r="I319" s="190" t="b">
        <v>0</v>
      </c>
      <c r="J319" s="190" t="b">
        <v>0</v>
      </c>
      <c r="K319" s="190" t="b">
        <v>0</v>
      </c>
      <c r="L319" s="190" t="b">
        <v>0</v>
      </c>
      <c r="M319" s="190" t="b">
        <v>0</v>
      </c>
      <c r="N319" s="177"/>
      <c r="O319" s="177"/>
      <c r="P319" s="97"/>
      <c r="Q319" s="174"/>
    </row>
    <row r="320" spans="8:8" ht="43.5" customHeight="1">
      <c r="A320" s="170">
        <v>5.0</v>
      </c>
      <c r="B320" s="171" t="s">
        <v>3773</v>
      </c>
      <c r="C320" s="172">
        <v>251481.0</v>
      </c>
      <c r="D320" s="171" t="s">
        <v>4834</v>
      </c>
      <c r="E320" s="172" t="s">
        <v>580</v>
      </c>
      <c r="F320" s="172" t="b">
        <v>0</v>
      </c>
      <c r="G320" s="172" t="b">
        <v>1</v>
      </c>
      <c r="H320" s="172" t="b">
        <v>1</v>
      </c>
      <c r="I320" s="172" t="b">
        <v>0</v>
      </c>
      <c r="J320" s="172" t="b">
        <v>0</v>
      </c>
      <c r="K320" s="172" t="b">
        <v>0</v>
      </c>
      <c r="L320" s="172" t="b">
        <v>0</v>
      </c>
      <c r="M320" s="172" t="b">
        <v>0</v>
      </c>
      <c r="N320" s="97"/>
      <c r="O320" s="97"/>
      <c r="P320" s="97"/>
      <c r="Q320" s="174"/>
    </row>
    <row r="321" spans="8:8" ht="43.5" customHeight="1">
      <c r="A321" s="172" t="b">
        <v>1</v>
      </c>
      <c r="B321" s="181" t="s">
        <v>3774</v>
      </c>
      <c r="C321" s="97">
        <v>251435.0</v>
      </c>
      <c r="D321" s="181" t="s">
        <v>4827</v>
      </c>
      <c r="E321" s="172" t="s">
        <v>580</v>
      </c>
      <c r="F321" s="172" t="b">
        <v>1</v>
      </c>
      <c r="G321" s="172" t="b">
        <v>0</v>
      </c>
      <c r="H321" s="172" t="b">
        <v>1</v>
      </c>
      <c r="I321" s="172" t="b">
        <v>0</v>
      </c>
      <c r="J321" s="172" t="b">
        <v>0</v>
      </c>
      <c r="K321" s="172" t="b">
        <v>0</v>
      </c>
      <c r="L321" s="172" t="b">
        <v>0</v>
      </c>
      <c r="M321" s="172" t="b">
        <v>0</v>
      </c>
      <c r="N321" s="97"/>
      <c r="O321" s="97"/>
      <c r="P321" s="97"/>
      <c r="Q321" s="174"/>
    </row>
    <row r="322" spans="8:8" ht="43.5" customHeight="1">
      <c r="A322" s="172">
        <v>15.0</v>
      </c>
      <c r="B322" s="171" t="s">
        <v>3775</v>
      </c>
      <c r="C322" s="172">
        <v>251694.0</v>
      </c>
      <c r="D322" s="171" t="s">
        <v>4843</v>
      </c>
      <c r="E322" s="172" t="s">
        <v>580</v>
      </c>
      <c r="F322" s="172" t="b">
        <v>1</v>
      </c>
      <c r="G322" s="172" t="b">
        <v>0</v>
      </c>
      <c r="H322" s="172" t="b">
        <v>1</v>
      </c>
      <c r="I322" s="172" t="b">
        <v>0</v>
      </c>
      <c r="J322" s="172" t="b">
        <v>0</v>
      </c>
      <c r="K322" s="172" t="b">
        <v>0</v>
      </c>
      <c r="L322" s="172" t="b">
        <v>0</v>
      </c>
      <c r="M322" s="172" t="b">
        <v>0</v>
      </c>
      <c r="N322" s="97"/>
      <c r="O322" s="97"/>
      <c r="P322" s="97"/>
      <c r="Q322" s="174"/>
    </row>
    <row r="323" spans="8:8" ht="43.5" customHeight="1">
      <c r="A323" s="190">
        <v>1.0</v>
      </c>
      <c r="B323" s="191" t="s">
        <v>1618</v>
      </c>
      <c r="C323" s="190">
        <v>241042.0</v>
      </c>
      <c r="D323" s="191" t="s">
        <v>606</v>
      </c>
      <c r="E323" s="190" t="s">
        <v>580</v>
      </c>
      <c r="F323" s="177" t="b">
        <v>1</v>
      </c>
      <c r="G323" s="190" t="b">
        <v>1</v>
      </c>
      <c r="H323" s="190" t="b">
        <v>1</v>
      </c>
      <c r="I323" s="190" t="b">
        <v>1</v>
      </c>
      <c r="J323" s="190" t="b">
        <v>0</v>
      </c>
      <c r="K323" s="190" t="b">
        <v>0</v>
      </c>
      <c r="L323" s="190" t="b">
        <v>0</v>
      </c>
      <c r="M323" s="190" t="b">
        <v>0</v>
      </c>
      <c r="N323" s="97"/>
      <c r="O323" s="97"/>
      <c r="P323" s="97"/>
      <c r="Q323" s="174"/>
    </row>
    <row r="324" spans="8:8" ht="43.5" customHeight="1">
      <c r="A324" s="172">
        <v>15.0</v>
      </c>
      <c r="B324" s="171" t="s">
        <v>3776</v>
      </c>
      <c r="C324" s="172">
        <v>251767.0</v>
      </c>
      <c r="D324" s="171" t="s">
        <v>4828</v>
      </c>
      <c r="E324" s="97" t="s">
        <v>580</v>
      </c>
      <c r="F324" s="172" t="b">
        <v>0</v>
      </c>
      <c r="G324" s="172" t="b">
        <v>1</v>
      </c>
      <c r="H324" s="172" t="b">
        <v>1</v>
      </c>
      <c r="I324" s="172" t="b">
        <v>0</v>
      </c>
      <c r="J324" s="172" t="b">
        <v>0</v>
      </c>
      <c r="K324" s="172" t="b">
        <v>0</v>
      </c>
      <c r="L324" s="172" t="b">
        <v>0</v>
      </c>
      <c r="M324" s="172" t="b">
        <v>0</v>
      </c>
      <c r="N324" s="97"/>
      <c r="O324" s="97"/>
      <c r="P324" s="97"/>
      <c r="Q324" s="174"/>
    </row>
    <row r="325" spans="8:8" ht="43.5" customHeight="1">
      <c r="A325" s="170"/>
      <c r="B325" s="182" t="s">
        <v>4815</v>
      </c>
      <c r="C325" s="97"/>
      <c r="D325" s="97"/>
      <c r="E325" s="183"/>
      <c r="F325" s="184">
        <f t="shared" si="10" ref="F325:M325">COUNTIF(F296:F316,TRUE)/COUNTA(F296:F316)</f>
        <v>0.5238095238095238</v>
      </c>
      <c r="G325" s="184">
        <f t="shared" si="10"/>
        <v>0.47619047619047616</v>
      </c>
      <c r="H325" s="184">
        <f t="shared" si="10"/>
        <v>0.9047619047619048</v>
      </c>
      <c r="I325" s="184">
        <f t="shared" si="10"/>
        <v>0.0</v>
      </c>
      <c r="J325" s="184">
        <f t="shared" si="10"/>
        <v>0.0</v>
      </c>
      <c r="K325" s="184">
        <f t="shared" si="10"/>
        <v>0.0</v>
      </c>
      <c r="L325" s="184">
        <f t="shared" si="10"/>
        <v>0.0</v>
      </c>
      <c r="M325" s="184">
        <f t="shared" si="10"/>
        <v>0.0</v>
      </c>
      <c r="N325" s="97"/>
      <c r="O325" s="97"/>
      <c r="P325" s="97"/>
      <c r="Q325" s="174"/>
    </row>
    <row r="326" spans="8:8" ht="43.5" customHeight="1">
      <c r="A326" s="185" t="s">
        <v>18</v>
      </c>
      <c r="B326" s="162" t="s">
        <v>19</v>
      </c>
      <c r="C326" s="163"/>
      <c r="D326" s="162" t="s">
        <v>4530</v>
      </c>
      <c r="E326" s="162" t="s">
        <v>22</v>
      </c>
      <c r="F326" s="163" t="s">
        <v>4794</v>
      </c>
      <c r="G326" s="163" t="s">
        <v>4795</v>
      </c>
      <c r="H326" s="163" t="s">
        <v>4796</v>
      </c>
      <c r="I326" s="163" t="s">
        <v>4797</v>
      </c>
      <c r="J326" s="163" t="s">
        <v>4798</v>
      </c>
      <c r="K326" s="163" t="s">
        <v>4799</v>
      </c>
      <c r="L326" s="163" t="s">
        <v>4800</v>
      </c>
      <c r="M326" s="163" t="s">
        <v>4801</v>
      </c>
      <c r="N326" s="166" t="s">
        <v>4863</v>
      </c>
      <c r="O326" s="167"/>
      <c r="P326" s="168"/>
      <c r="Q326" s="169"/>
    </row>
    <row r="327" spans="8:8" ht="43.5" customHeight="1">
      <c r="A327" s="170">
        <v>1.0</v>
      </c>
      <c r="B327" s="171" t="s">
        <v>3783</v>
      </c>
      <c r="C327" s="172">
        <v>251382.0</v>
      </c>
      <c r="D327" s="171" t="s">
        <v>4825</v>
      </c>
      <c r="E327" s="172" t="s">
        <v>580</v>
      </c>
      <c r="F327" s="172" t="b">
        <v>0</v>
      </c>
      <c r="G327" s="172" t="b">
        <v>1</v>
      </c>
      <c r="H327" s="172" t="b">
        <v>1</v>
      </c>
      <c r="I327" s="172" t="b">
        <v>1</v>
      </c>
      <c r="J327" s="172" t="b">
        <v>0</v>
      </c>
      <c r="K327" s="172" t="b">
        <v>0</v>
      </c>
      <c r="L327" s="172" t="b">
        <v>0</v>
      </c>
      <c r="M327" s="172" t="b">
        <v>0</v>
      </c>
      <c r="N327" s="173" t="s">
        <v>4804</v>
      </c>
      <c r="O327" s="167"/>
      <c r="P327" s="168"/>
      <c r="Q327" s="174"/>
    </row>
    <row r="328" spans="8:8" ht="43.5" customHeight="1">
      <c r="A328" s="170">
        <v>2.0</v>
      </c>
      <c r="B328" s="171" t="s">
        <v>3784</v>
      </c>
      <c r="C328" s="172">
        <v>251385.0</v>
      </c>
      <c r="D328" s="171" t="s">
        <v>4825</v>
      </c>
      <c r="E328" s="172" t="s">
        <v>580</v>
      </c>
      <c r="F328" s="172" t="b">
        <v>0</v>
      </c>
      <c r="G328" s="172" t="b">
        <v>1</v>
      </c>
      <c r="H328" s="172" t="b">
        <v>1</v>
      </c>
      <c r="I328" s="172" t="b">
        <v>1</v>
      </c>
      <c r="J328" s="172" t="b">
        <v>0</v>
      </c>
      <c r="K328" s="172" t="b">
        <v>0</v>
      </c>
      <c r="L328" s="172" t="b">
        <v>0</v>
      </c>
      <c r="M328" s="172" t="b">
        <v>0</v>
      </c>
      <c r="N328" s="175" t="s">
        <v>4805</v>
      </c>
      <c r="O328" s="176" t="s">
        <v>4806</v>
      </c>
      <c r="P328" s="97" t="s">
        <v>4807</v>
      </c>
      <c r="Q328" s="174"/>
    </row>
    <row r="329" spans="8:8" ht="43.5" customHeight="1">
      <c r="A329" s="170">
        <v>3.0</v>
      </c>
      <c r="B329" s="171" t="s">
        <v>3785</v>
      </c>
      <c r="C329" s="172">
        <v>251387.0</v>
      </c>
      <c r="D329" s="171" t="s">
        <v>4825</v>
      </c>
      <c r="E329" s="172" t="s">
        <v>580</v>
      </c>
      <c r="F329" s="172" t="b">
        <v>0</v>
      </c>
      <c r="G329" s="172" t="b">
        <v>1</v>
      </c>
      <c r="H329" s="172" t="b">
        <v>1</v>
      </c>
      <c r="I329" s="172" t="b">
        <v>1</v>
      </c>
      <c r="J329" s="172" t="b">
        <v>0</v>
      </c>
      <c r="K329" s="172" t="b">
        <v>0</v>
      </c>
      <c r="L329" s="172" t="b">
        <v>0</v>
      </c>
      <c r="M329" s="172" t="b">
        <v>0</v>
      </c>
      <c r="N329" s="97" t="s">
        <v>4794</v>
      </c>
      <c r="O329" s="172" t="b">
        <v>1</v>
      </c>
      <c r="P329" s="97" t="s">
        <v>4864</v>
      </c>
      <c r="Q329" s="174"/>
    </row>
    <row r="330" spans="8:8" ht="43.5" customHeight="1">
      <c r="A330" s="170">
        <v>4.0</v>
      </c>
      <c r="B330" s="171" t="s">
        <v>3786</v>
      </c>
      <c r="C330" s="172">
        <v>251391.0</v>
      </c>
      <c r="D330" s="171" t="s">
        <v>4825</v>
      </c>
      <c r="E330" s="172" t="s">
        <v>580</v>
      </c>
      <c r="F330" s="172" t="b">
        <v>0</v>
      </c>
      <c r="G330" s="172" t="b">
        <v>0</v>
      </c>
      <c r="H330" s="172" t="b">
        <v>1</v>
      </c>
      <c r="I330" s="172" t="b">
        <v>1</v>
      </c>
      <c r="J330" s="172" t="b">
        <v>0</v>
      </c>
      <c r="K330" s="172" t="b">
        <v>0</v>
      </c>
      <c r="L330" s="172" t="b">
        <v>0</v>
      </c>
      <c r="M330" s="172" t="b">
        <v>0</v>
      </c>
      <c r="N330" s="97" t="s">
        <v>4795</v>
      </c>
      <c r="O330" s="172" t="b">
        <v>0</v>
      </c>
      <c r="P330" s="97"/>
      <c r="Q330" s="174"/>
    </row>
    <row r="331" spans="8:8" ht="43.5" customHeight="1">
      <c r="A331" s="170">
        <v>5.0</v>
      </c>
      <c r="B331" s="171" t="s">
        <v>3787</v>
      </c>
      <c r="C331" s="172">
        <v>251392.0</v>
      </c>
      <c r="D331" s="171" t="s">
        <v>4825</v>
      </c>
      <c r="E331" s="172" t="s">
        <v>580</v>
      </c>
      <c r="F331" s="172" t="b">
        <v>0</v>
      </c>
      <c r="G331" s="172" t="b">
        <v>0</v>
      </c>
      <c r="H331" s="172" t="b">
        <v>1</v>
      </c>
      <c r="I331" s="172" t="b">
        <v>1</v>
      </c>
      <c r="J331" s="172" t="b">
        <v>0</v>
      </c>
      <c r="K331" s="172" t="b">
        <v>0</v>
      </c>
      <c r="L331" s="172" t="b">
        <v>0</v>
      </c>
      <c r="M331" s="172" t="b">
        <v>0</v>
      </c>
      <c r="N331" s="97" t="s">
        <v>4796</v>
      </c>
      <c r="O331" s="172" t="b">
        <v>0</v>
      </c>
      <c r="P331" s="97"/>
      <c r="Q331" s="174"/>
    </row>
    <row r="332" spans="8:8" ht="43.5" customHeight="1">
      <c r="A332" s="170">
        <v>6.0</v>
      </c>
      <c r="B332" s="171" t="s">
        <v>3788</v>
      </c>
      <c r="C332" s="172">
        <v>251396.0</v>
      </c>
      <c r="D332" s="171" t="s">
        <v>4825</v>
      </c>
      <c r="E332" s="172" t="s">
        <v>580</v>
      </c>
      <c r="F332" s="172" t="b">
        <v>0</v>
      </c>
      <c r="G332" s="172" t="b">
        <v>0</v>
      </c>
      <c r="H332" s="172" t="b">
        <v>0</v>
      </c>
      <c r="I332" s="172" t="b">
        <v>0</v>
      </c>
      <c r="J332" s="172" t="b">
        <v>0</v>
      </c>
      <c r="K332" s="172" t="b">
        <v>0</v>
      </c>
      <c r="L332" s="172" t="b">
        <v>0</v>
      </c>
      <c r="M332" s="172" t="b">
        <v>0</v>
      </c>
      <c r="N332" s="97" t="s">
        <v>4797</v>
      </c>
      <c r="O332" s="172" t="b">
        <v>1</v>
      </c>
      <c r="P332" s="97"/>
      <c r="Q332" s="174"/>
    </row>
    <row r="333" spans="8:8" ht="43.5" customHeight="1">
      <c r="A333" s="170">
        <v>7.0</v>
      </c>
      <c r="B333" s="171" t="s">
        <v>3789</v>
      </c>
      <c r="C333" s="172">
        <v>251397.0</v>
      </c>
      <c r="D333" s="171" t="s">
        <v>4825</v>
      </c>
      <c r="E333" s="172" t="s">
        <v>580</v>
      </c>
      <c r="F333" s="172" t="b">
        <v>0</v>
      </c>
      <c r="G333" s="172" t="b">
        <v>1</v>
      </c>
      <c r="H333" s="172" t="b">
        <v>1</v>
      </c>
      <c r="I333" s="172" t="b">
        <v>1</v>
      </c>
      <c r="J333" s="172" t="b">
        <v>0</v>
      </c>
      <c r="K333" s="172" t="b">
        <v>0</v>
      </c>
      <c r="L333" s="172" t="b">
        <v>0</v>
      </c>
      <c r="M333" s="172" t="b">
        <v>0</v>
      </c>
      <c r="N333" s="97" t="s">
        <v>4798</v>
      </c>
      <c r="O333" s="172" t="b">
        <v>0</v>
      </c>
      <c r="P333" s="97"/>
      <c r="Q333" s="174"/>
    </row>
    <row r="334" spans="8:8" ht="43.5" customHeight="1">
      <c r="A334" s="170">
        <v>8.0</v>
      </c>
      <c r="B334" s="171" t="s">
        <v>3790</v>
      </c>
      <c r="C334" s="172">
        <v>251398.0</v>
      </c>
      <c r="D334" s="171" t="s">
        <v>4825</v>
      </c>
      <c r="E334" s="172" t="s">
        <v>580</v>
      </c>
      <c r="F334" s="172" t="b">
        <v>0</v>
      </c>
      <c r="G334" s="172" t="b">
        <v>1</v>
      </c>
      <c r="H334" s="172" t="b">
        <v>1</v>
      </c>
      <c r="I334" s="172" t="b">
        <v>1</v>
      </c>
      <c r="J334" s="172" t="b">
        <v>0</v>
      </c>
      <c r="K334" s="172" t="b">
        <v>0</v>
      </c>
      <c r="L334" s="172" t="b">
        <v>0</v>
      </c>
      <c r="M334" s="172" t="b">
        <v>0</v>
      </c>
      <c r="N334" s="97" t="s">
        <v>4799</v>
      </c>
      <c r="O334" s="172" t="b">
        <v>0</v>
      </c>
      <c r="P334" s="97"/>
      <c r="Q334" s="174"/>
    </row>
    <row r="335" spans="8:8" ht="43.5" customHeight="1">
      <c r="A335" s="170">
        <v>9.0</v>
      </c>
      <c r="B335" s="171" t="s">
        <v>3791</v>
      </c>
      <c r="C335" s="172">
        <v>251407.0</v>
      </c>
      <c r="D335" s="171" t="s">
        <v>4832</v>
      </c>
      <c r="E335" s="172" t="s">
        <v>580</v>
      </c>
      <c r="F335" s="172" t="b">
        <v>1</v>
      </c>
      <c r="G335" s="172" t="b">
        <v>1</v>
      </c>
      <c r="H335" s="172" t="b">
        <v>1</v>
      </c>
      <c r="I335" s="172" t="b">
        <v>1</v>
      </c>
      <c r="J335" s="172" t="b">
        <v>0</v>
      </c>
      <c r="K335" s="172" t="b">
        <v>0</v>
      </c>
      <c r="L335" s="172" t="b">
        <v>0</v>
      </c>
      <c r="M335" s="172" t="b">
        <v>0</v>
      </c>
      <c r="N335" s="97" t="s">
        <v>4800</v>
      </c>
      <c r="O335" s="172" t="b">
        <v>0</v>
      </c>
      <c r="P335" s="97"/>
      <c r="Q335" s="174"/>
    </row>
    <row r="336" spans="8:8" ht="43.5" customHeight="1">
      <c r="A336" s="170">
        <v>10.0</v>
      </c>
      <c r="B336" s="171" t="s">
        <v>3792</v>
      </c>
      <c r="C336" s="172">
        <v>251542.0</v>
      </c>
      <c r="D336" s="171" t="s">
        <v>4838</v>
      </c>
      <c r="E336" s="172" t="s">
        <v>580</v>
      </c>
      <c r="F336" s="172" t="b">
        <v>1</v>
      </c>
      <c r="G336" s="172" t="b">
        <v>1</v>
      </c>
      <c r="H336" s="172" t="b">
        <v>0</v>
      </c>
      <c r="I336" s="172" t="b">
        <v>0</v>
      </c>
      <c r="J336" s="172" t="b">
        <v>0</v>
      </c>
      <c r="K336" s="172" t="b">
        <v>0</v>
      </c>
      <c r="L336" s="172" t="b">
        <v>0</v>
      </c>
      <c r="M336" s="172" t="b">
        <v>0</v>
      </c>
      <c r="N336" s="97" t="s">
        <v>4801</v>
      </c>
      <c r="O336" s="172" t="b">
        <v>0</v>
      </c>
      <c r="P336" s="97"/>
      <c r="Q336" s="174"/>
    </row>
    <row r="337" spans="8:8" ht="43.5" customHeight="1">
      <c r="A337" s="170">
        <v>11.0</v>
      </c>
      <c r="B337" s="171" t="s">
        <v>3793</v>
      </c>
      <c r="C337" s="172">
        <v>251548.0</v>
      </c>
      <c r="D337" s="171" t="s">
        <v>4838</v>
      </c>
      <c r="E337" s="172" t="s">
        <v>580</v>
      </c>
      <c r="F337" s="172" t="b">
        <v>0</v>
      </c>
      <c r="G337" s="172" t="b">
        <v>1</v>
      </c>
      <c r="H337" s="172" t="b">
        <v>1</v>
      </c>
      <c r="I337" s="172" t="b">
        <v>1</v>
      </c>
      <c r="J337" s="172" t="b">
        <v>0</v>
      </c>
      <c r="K337" s="172" t="b">
        <v>0</v>
      </c>
      <c r="L337" s="172" t="b">
        <v>0</v>
      </c>
      <c r="M337" s="172" t="b">
        <v>0</v>
      </c>
      <c r="N337" s="97"/>
      <c r="O337" s="97"/>
      <c r="P337" s="97"/>
      <c r="Q337" s="174"/>
    </row>
    <row r="338" spans="8:8" ht="43.5" customHeight="1">
      <c r="A338" s="170">
        <v>12.0</v>
      </c>
      <c r="B338" s="171" t="s">
        <v>3794</v>
      </c>
      <c r="C338" s="172">
        <v>251550.0</v>
      </c>
      <c r="D338" s="171" t="s">
        <v>4838</v>
      </c>
      <c r="E338" s="172" t="s">
        <v>580</v>
      </c>
      <c r="F338" s="172" t="b">
        <v>1</v>
      </c>
      <c r="G338" s="172" t="b">
        <v>1</v>
      </c>
      <c r="H338" s="172" t="b">
        <v>1</v>
      </c>
      <c r="I338" s="172" t="b">
        <v>1</v>
      </c>
      <c r="J338" s="172" t="b">
        <v>0</v>
      </c>
      <c r="K338" s="172" t="b">
        <v>0</v>
      </c>
      <c r="L338" s="172" t="b">
        <v>0</v>
      </c>
      <c r="M338" s="172" t="b">
        <v>0</v>
      </c>
      <c r="N338" s="97"/>
      <c r="O338" s="97"/>
      <c r="P338" s="97"/>
      <c r="Q338" s="174"/>
    </row>
    <row r="339" spans="8:8" ht="43.5" customHeight="1">
      <c r="A339" s="170">
        <v>13.0</v>
      </c>
      <c r="B339" s="171" t="s">
        <v>3795</v>
      </c>
      <c r="C339" s="172">
        <v>251560.0</v>
      </c>
      <c r="D339" s="171" t="s">
        <v>4838</v>
      </c>
      <c r="E339" s="172" t="s">
        <v>580</v>
      </c>
      <c r="F339" s="172" t="b">
        <v>0</v>
      </c>
      <c r="G339" s="172" t="b">
        <v>1</v>
      </c>
      <c r="H339" s="172" t="b">
        <v>1</v>
      </c>
      <c r="I339" s="172" t="b">
        <v>1</v>
      </c>
      <c r="J339" s="172" t="b">
        <v>0</v>
      </c>
      <c r="K339" s="172" t="b">
        <v>0</v>
      </c>
      <c r="L339" s="172" t="b">
        <v>0</v>
      </c>
      <c r="M339" s="172" t="b">
        <v>0</v>
      </c>
      <c r="N339" s="97"/>
      <c r="O339" s="97"/>
      <c r="P339" s="97"/>
      <c r="Q339" s="174"/>
    </row>
    <row r="340" spans="8:8" ht="43.5" customHeight="1">
      <c r="A340" s="170">
        <v>14.0</v>
      </c>
      <c r="B340" s="171" t="s">
        <v>3797</v>
      </c>
      <c r="C340" s="172">
        <v>251562.0</v>
      </c>
      <c r="D340" s="171" t="s">
        <v>4845</v>
      </c>
      <c r="E340" s="172" t="s">
        <v>580</v>
      </c>
      <c r="F340" s="172" t="b">
        <v>0</v>
      </c>
      <c r="G340" s="172" t="b">
        <v>1</v>
      </c>
      <c r="H340" s="172" t="b">
        <v>1</v>
      </c>
      <c r="I340" s="172" t="b">
        <v>1</v>
      </c>
      <c r="J340" s="172" t="b">
        <v>0</v>
      </c>
      <c r="K340" s="172" t="b">
        <v>0</v>
      </c>
      <c r="L340" s="172" t="b">
        <v>0</v>
      </c>
      <c r="M340" s="172" t="b">
        <v>0</v>
      </c>
      <c r="N340" s="97"/>
      <c r="O340" s="97"/>
      <c r="P340" s="97"/>
      <c r="Q340" s="174"/>
    </row>
    <row r="341" spans="8:8" ht="43.5" customHeight="1">
      <c r="A341" s="170">
        <v>15.0</v>
      </c>
      <c r="B341" s="171" t="s">
        <v>3798</v>
      </c>
      <c r="C341" s="172">
        <v>251610.0</v>
      </c>
      <c r="D341" s="171" t="s">
        <v>4823</v>
      </c>
      <c r="E341" s="172" t="s">
        <v>580</v>
      </c>
      <c r="F341" s="172" t="b">
        <v>0</v>
      </c>
      <c r="G341" s="172" t="b">
        <v>1</v>
      </c>
      <c r="H341" s="172" t="b">
        <v>1</v>
      </c>
      <c r="I341" s="172" t="b">
        <v>1</v>
      </c>
      <c r="J341" s="172" t="b">
        <v>0</v>
      </c>
      <c r="K341" s="172" t="b">
        <v>0</v>
      </c>
      <c r="L341" s="172" t="b">
        <v>0</v>
      </c>
      <c r="M341" s="172" t="b">
        <v>0</v>
      </c>
      <c r="N341" s="97"/>
      <c r="O341" s="97"/>
      <c r="P341" s="97"/>
      <c r="Q341" s="174"/>
    </row>
    <row r="342" spans="8:8" ht="43.5" customHeight="1">
      <c r="A342" s="170">
        <v>16.0</v>
      </c>
      <c r="B342" s="171" t="s">
        <v>3799</v>
      </c>
      <c r="C342" s="172">
        <v>251613.0</v>
      </c>
      <c r="D342" s="171" t="s">
        <v>4823</v>
      </c>
      <c r="E342" s="172" t="s">
        <v>580</v>
      </c>
      <c r="F342" s="172" t="b">
        <v>1</v>
      </c>
      <c r="G342" s="172" t="b">
        <v>1</v>
      </c>
      <c r="H342" s="172" t="b">
        <v>1</v>
      </c>
      <c r="I342" s="172" t="b">
        <v>1</v>
      </c>
      <c r="J342" s="172" t="b">
        <v>0</v>
      </c>
      <c r="K342" s="172" t="b">
        <v>0</v>
      </c>
      <c r="L342" s="172" t="b">
        <v>0</v>
      </c>
      <c r="M342" s="172" t="b">
        <v>0</v>
      </c>
      <c r="N342" s="97"/>
      <c r="O342" s="97"/>
      <c r="P342" s="97"/>
      <c r="Q342" s="174"/>
    </row>
    <row r="343" spans="8:8" ht="43.5" customHeight="1">
      <c r="A343" s="170">
        <v>17.0</v>
      </c>
      <c r="B343" s="171" t="s">
        <v>4865</v>
      </c>
      <c r="C343" s="172">
        <v>241317.0</v>
      </c>
      <c r="D343" s="171" t="s">
        <v>4856</v>
      </c>
      <c r="E343" s="172" t="s">
        <v>580</v>
      </c>
      <c r="F343" s="172" t="b">
        <v>0</v>
      </c>
      <c r="G343" s="172" t="b">
        <v>0</v>
      </c>
      <c r="H343" s="172" t="b">
        <v>0</v>
      </c>
      <c r="I343" s="172" t="b">
        <v>0</v>
      </c>
      <c r="J343" s="172" t="b">
        <v>0</v>
      </c>
      <c r="K343" s="172" t="b">
        <v>0</v>
      </c>
      <c r="L343" s="172" t="b">
        <v>0</v>
      </c>
      <c r="M343" s="172" t="b">
        <v>0</v>
      </c>
      <c r="N343" s="97"/>
      <c r="O343" s="97"/>
      <c r="P343" s="97"/>
      <c r="Q343" s="174"/>
    </row>
    <row r="344" spans="8:8" ht="43.5" customHeight="1">
      <c r="A344" s="170">
        <v>18.0</v>
      </c>
      <c r="B344" s="171" t="s">
        <v>3800</v>
      </c>
      <c r="C344" s="172">
        <v>241843.0</v>
      </c>
      <c r="D344" s="171" t="s">
        <v>4857</v>
      </c>
      <c r="E344" s="172" t="s">
        <v>580</v>
      </c>
      <c r="F344" s="172" t="b">
        <v>0</v>
      </c>
      <c r="G344" s="172" t="b">
        <v>0</v>
      </c>
      <c r="H344" s="172" t="b">
        <v>0</v>
      </c>
      <c r="I344" s="172" t="b">
        <v>0</v>
      </c>
      <c r="J344" s="172" t="b">
        <v>0</v>
      </c>
      <c r="K344" s="172" t="b">
        <v>0</v>
      </c>
      <c r="L344" s="172" t="b">
        <v>0</v>
      </c>
      <c r="M344" s="172" t="b">
        <v>0</v>
      </c>
      <c r="N344" s="97"/>
      <c r="O344" s="97"/>
      <c r="P344" s="97"/>
      <c r="Q344" s="174"/>
    </row>
    <row r="345" spans="8:8" ht="43.5" customHeight="1">
      <c r="A345" s="170">
        <v>19.0</v>
      </c>
      <c r="B345" s="171" t="s">
        <v>3801</v>
      </c>
      <c r="C345" s="172">
        <v>241394.0</v>
      </c>
      <c r="D345" s="171" t="s">
        <v>4856</v>
      </c>
      <c r="E345" s="172" t="s">
        <v>580</v>
      </c>
      <c r="F345" s="172" t="b">
        <v>0</v>
      </c>
      <c r="G345" s="172" t="b">
        <v>1</v>
      </c>
      <c r="H345" s="172" t="b">
        <v>0</v>
      </c>
      <c r="I345" s="172" t="b">
        <v>0</v>
      </c>
      <c r="J345" s="172" t="b">
        <v>0</v>
      </c>
      <c r="K345" s="172" t="b">
        <v>0</v>
      </c>
      <c r="L345" s="172" t="b">
        <v>0</v>
      </c>
      <c r="M345" s="172" t="b">
        <v>0</v>
      </c>
      <c r="N345" s="97"/>
      <c r="O345" s="97"/>
      <c r="P345" s="97"/>
      <c r="Q345" s="174"/>
    </row>
    <row r="346" spans="8:8" ht="43.5" customHeight="1">
      <c r="A346" s="170">
        <v>20.0</v>
      </c>
      <c r="B346" s="171" t="s">
        <v>3802</v>
      </c>
      <c r="C346" s="172">
        <v>241337.0</v>
      </c>
      <c r="D346" s="171" t="s">
        <v>4856</v>
      </c>
      <c r="E346" s="172" t="s">
        <v>580</v>
      </c>
      <c r="F346" s="172" t="b">
        <v>0</v>
      </c>
      <c r="G346" s="172" t="b">
        <v>1</v>
      </c>
      <c r="H346" s="172" t="b">
        <v>1</v>
      </c>
      <c r="I346" s="172" t="b">
        <v>1</v>
      </c>
      <c r="J346" s="172" t="b">
        <v>0</v>
      </c>
      <c r="K346" s="172" t="b">
        <v>0</v>
      </c>
      <c r="L346" s="172" t="b">
        <v>0</v>
      </c>
      <c r="M346" s="172" t="b">
        <v>0</v>
      </c>
      <c r="N346" s="97"/>
      <c r="O346" s="97"/>
      <c r="P346" s="97"/>
      <c r="Q346" s="174"/>
    </row>
    <row r="347" spans="8:8" ht="43.5" customHeight="1">
      <c r="A347" s="170">
        <v>21.0</v>
      </c>
      <c r="B347" s="171" t="s">
        <v>3803</v>
      </c>
      <c r="C347" s="172">
        <v>241610.0</v>
      </c>
      <c r="D347" s="171" t="s">
        <v>4857</v>
      </c>
      <c r="E347" s="172" t="s">
        <v>580</v>
      </c>
      <c r="F347" s="172" t="b">
        <v>1</v>
      </c>
      <c r="G347" s="172" t="b">
        <v>0</v>
      </c>
      <c r="H347" s="172" t="b">
        <v>1</v>
      </c>
      <c r="I347" s="172" t="b">
        <v>1</v>
      </c>
      <c r="J347" s="172" t="b">
        <v>0</v>
      </c>
      <c r="K347" s="172" t="b">
        <v>0</v>
      </c>
      <c r="L347" s="172" t="b">
        <v>0</v>
      </c>
      <c r="M347" s="172" t="b">
        <v>0</v>
      </c>
      <c r="N347" s="97"/>
      <c r="O347" s="97"/>
      <c r="P347" s="97"/>
      <c r="Q347" s="174"/>
    </row>
    <row r="348" spans="8:8" ht="43.5" customHeight="1">
      <c r="A348" s="170">
        <v>22.0</v>
      </c>
      <c r="B348" s="181" t="s">
        <v>1620</v>
      </c>
      <c r="C348" s="97">
        <v>240796.0</v>
      </c>
      <c r="D348" s="171" t="s">
        <v>4866</v>
      </c>
      <c r="E348" s="172" t="s">
        <v>580</v>
      </c>
      <c r="F348" s="172" t="b">
        <v>1</v>
      </c>
      <c r="G348" s="172" t="b">
        <v>0</v>
      </c>
      <c r="H348" s="172" t="b">
        <v>1</v>
      </c>
      <c r="I348" s="172" t="b">
        <v>1</v>
      </c>
      <c r="J348" s="172" t="b">
        <v>0</v>
      </c>
      <c r="K348" s="172" t="b">
        <v>0</v>
      </c>
      <c r="L348" s="172" t="b">
        <v>0</v>
      </c>
      <c r="M348" s="172" t="b">
        <v>0</v>
      </c>
      <c r="N348" s="97"/>
      <c r="O348" s="97"/>
      <c r="P348" s="97"/>
      <c r="Q348" s="174"/>
    </row>
    <row r="349" spans="8:8" ht="43.5" customHeight="1">
      <c r="A349" s="170">
        <v>23.0</v>
      </c>
      <c r="B349" s="171" t="s">
        <v>3804</v>
      </c>
      <c r="C349" s="172">
        <v>241821.0</v>
      </c>
      <c r="D349" s="171" t="s">
        <v>4857</v>
      </c>
      <c r="E349" s="172" t="s">
        <v>580</v>
      </c>
      <c r="F349" s="172" t="b">
        <v>0</v>
      </c>
      <c r="G349" s="172" t="b">
        <v>0</v>
      </c>
      <c r="H349" s="172" t="b">
        <v>1</v>
      </c>
      <c r="I349" s="172" t="b">
        <v>1</v>
      </c>
      <c r="J349" s="172" t="b">
        <v>0</v>
      </c>
      <c r="K349" s="172" t="b">
        <v>0</v>
      </c>
      <c r="L349" s="172" t="b">
        <v>0</v>
      </c>
      <c r="M349" s="172" t="b">
        <v>0</v>
      </c>
      <c r="N349" s="97"/>
      <c r="O349" s="97"/>
      <c r="P349" s="97"/>
      <c r="Q349" s="174"/>
    </row>
    <row r="350" spans="8:8" ht="43.5" customHeight="1">
      <c r="A350" s="170">
        <v>24.0</v>
      </c>
      <c r="B350" s="171" t="s">
        <v>4186</v>
      </c>
      <c r="C350" s="172">
        <v>241162.0</v>
      </c>
      <c r="D350" s="171" t="s">
        <v>4859</v>
      </c>
      <c r="E350" s="97" t="s">
        <v>580</v>
      </c>
      <c r="F350" s="172" t="b">
        <v>0</v>
      </c>
      <c r="G350" s="172" t="b">
        <v>0</v>
      </c>
      <c r="H350" s="172" t="b">
        <v>0</v>
      </c>
      <c r="I350" s="172" t="b">
        <v>0</v>
      </c>
      <c r="J350" s="172" t="b">
        <v>0</v>
      </c>
      <c r="K350" s="172" t="b">
        <v>0</v>
      </c>
      <c r="L350" s="172" t="b">
        <v>0</v>
      </c>
      <c r="M350" s="172" t="b">
        <v>0</v>
      </c>
      <c r="N350" s="97"/>
      <c r="O350" s="97"/>
      <c r="P350" s="97"/>
      <c r="Q350" s="174"/>
    </row>
    <row r="351" spans="8:8" ht="43.5" customHeight="1">
      <c r="A351" s="172">
        <v>10.0</v>
      </c>
      <c r="B351" s="171" t="s">
        <v>3805</v>
      </c>
      <c r="C351" s="172">
        <v>241596.0</v>
      </c>
      <c r="D351" s="171" t="s">
        <v>4851</v>
      </c>
      <c r="E351" s="172" t="s">
        <v>580</v>
      </c>
      <c r="F351" s="172" t="b">
        <v>0</v>
      </c>
      <c r="G351" s="172" t="b">
        <v>0</v>
      </c>
      <c r="H351" s="172" t="b">
        <v>1</v>
      </c>
      <c r="I351" s="172" t="b">
        <v>1</v>
      </c>
      <c r="J351" s="172" t="b">
        <v>0</v>
      </c>
      <c r="K351" s="172" t="b">
        <v>0</v>
      </c>
      <c r="L351" s="172" t="b">
        <v>0</v>
      </c>
      <c r="M351" s="172" t="b">
        <v>0</v>
      </c>
      <c r="N351" s="97"/>
      <c r="O351" s="97"/>
      <c r="P351" s="97"/>
      <c r="Q351" s="174"/>
    </row>
    <row r="352" spans="8:8" ht="43.5" customHeight="1">
      <c r="A352" s="172">
        <v>10.0</v>
      </c>
      <c r="B352" s="181" t="s">
        <v>3782</v>
      </c>
      <c r="C352" s="97">
        <v>241160.0</v>
      </c>
      <c r="D352" s="181" t="s">
        <v>4859</v>
      </c>
      <c r="E352" s="172" t="s">
        <v>580</v>
      </c>
      <c r="F352" s="172" t="b">
        <v>0</v>
      </c>
      <c r="G352" s="172" t="b">
        <v>1</v>
      </c>
      <c r="H352" s="172" t="b">
        <v>0</v>
      </c>
      <c r="I352" s="172" t="b">
        <v>0</v>
      </c>
      <c r="J352" s="172" t="b">
        <v>0</v>
      </c>
      <c r="K352" s="172" t="b">
        <v>0</v>
      </c>
      <c r="L352" s="172" t="b">
        <v>0</v>
      </c>
      <c r="M352" s="172" t="b">
        <v>0</v>
      </c>
      <c r="N352" s="97"/>
      <c r="O352" s="97"/>
      <c r="P352" s="97"/>
      <c r="Q352" s="174"/>
    </row>
    <row r="353" spans="8:8" ht="43.5" customHeight="1">
      <c r="A353" s="172">
        <v>8.0</v>
      </c>
      <c r="B353" s="171" t="s">
        <v>3806</v>
      </c>
      <c r="C353" s="172">
        <v>251741.0</v>
      </c>
      <c r="D353" s="171" t="s">
        <v>4820</v>
      </c>
      <c r="E353" s="172" t="s">
        <v>580</v>
      </c>
      <c r="F353" s="172" t="b">
        <v>1</v>
      </c>
      <c r="G353" s="172" t="b">
        <v>1</v>
      </c>
      <c r="H353" s="172" t="b">
        <v>1</v>
      </c>
      <c r="I353" s="172" t="b">
        <v>1</v>
      </c>
      <c r="J353" s="172" t="b">
        <v>0</v>
      </c>
      <c r="K353" s="172" t="b">
        <v>0</v>
      </c>
      <c r="L353" s="172" t="b">
        <v>0</v>
      </c>
      <c r="M353" s="172" t="b">
        <v>0</v>
      </c>
      <c r="N353" s="97"/>
      <c r="O353" s="97"/>
      <c r="P353" s="97"/>
      <c r="Q353" s="174"/>
    </row>
    <row r="354" spans="8:8" ht="43.5" customHeight="1">
      <c r="A354" s="172">
        <v>11.0</v>
      </c>
      <c r="B354" s="171" t="s">
        <v>3807</v>
      </c>
      <c r="C354" s="172">
        <v>251506.0</v>
      </c>
      <c r="D354" s="171" t="s">
        <v>4867</v>
      </c>
      <c r="E354" s="172" t="s">
        <v>580</v>
      </c>
      <c r="F354" s="172" t="b">
        <v>0</v>
      </c>
      <c r="G354" s="172" t="b">
        <v>1</v>
      </c>
      <c r="H354" s="172" t="b">
        <v>1</v>
      </c>
      <c r="I354" s="172" t="b">
        <v>1</v>
      </c>
      <c r="J354" s="172" t="b">
        <v>0</v>
      </c>
      <c r="K354" s="172" t="b">
        <v>0</v>
      </c>
      <c r="L354" s="172" t="b">
        <v>0</v>
      </c>
      <c r="M354" s="172" t="b">
        <v>0</v>
      </c>
      <c r="N354" s="97"/>
      <c r="O354" s="97"/>
      <c r="P354" s="97"/>
      <c r="Q354" s="174"/>
    </row>
    <row r="355" spans="8:8" ht="43.5" customHeight="1">
      <c r="A355" s="172">
        <v>19.0</v>
      </c>
      <c r="B355" s="171" t="s">
        <v>3808</v>
      </c>
      <c r="C355" s="172">
        <v>251772.0</v>
      </c>
      <c r="D355" s="171" t="s">
        <v>4828</v>
      </c>
      <c r="E355" s="172" t="s">
        <v>580</v>
      </c>
      <c r="F355" s="172" t="b">
        <v>0</v>
      </c>
      <c r="G355" s="172" t="b">
        <v>1</v>
      </c>
      <c r="H355" s="172" t="b">
        <v>1</v>
      </c>
      <c r="I355" s="172" t="b">
        <v>1</v>
      </c>
      <c r="J355" s="172" t="b">
        <v>0</v>
      </c>
      <c r="K355" s="172" t="b">
        <v>0</v>
      </c>
      <c r="L355" s="172" t="b">
        <v>0</v>
      </c>
      <c r="M355" s="172" t="b">
        <v>0</v>
      </c>
      <c r="N355" s="97"/>
      <c r="O355" s="97"/>
      <c r="P355" s="97"/>
      <c r="Q355" s="174"/>
    </row>
    <row r="356" spans="8:8" ht="43.5" customHeight="1">
      <c r="A356" s="172">
        <v>15.0</v>
      </c>
      <c r="B356" s="171" t="s">
        <v>3809</v>
      </c>
      <c r="C356" s="172">
        <v>251762.0</v>
      </c>
      <c r="D356" s="171" t="s">
        <v>4828</v>
      </c>
      <c r="E356" s="172" t="s">
        <v>580</v>
      </c>
      <c r="F356" s="172" t="b">
        <v>1</v>
      </c>
      <c r="G356" s="172" t="b">
        <v>1</v>
      </c>
      <c r="H356" s="172" t="b">
        <v>1</v>
      </c>
      <c r="I356" s="172" t="b">
        <v>1</v>
      </c>
      <c r="J356" s="172" t="b">
        <v>0</v>
      </c>
      <c r="K356" s="172" t="b">
        <v>0</v>
      </c>
      <c r="L356" s="172" t="b">
        <v>0</v>
      </c>
      <c r="M356" s="172" t="b">
        <v>0</v>
      </c>
      <c r="N356" s="97"/>
      <c r="O356" s="97"/>
      <c r="P356" s="97"/>
      <c r="Q356" s="174"/>
    </row>
    <row r="357" spans="8:8" ht="43.5" customHeight="1">
      <c r="A357" s="172">
        <v>13.0</v>
      </c>
      <c r="B357" s="171" t="s">
        <v>3810</v>
      </c>
      <c r="C357" s="172">
        <v>251653.0</v>
      </c>
      <c r="D357" s="171" t="s">
        <v>4814</v>
      </c>
      <c r="E357" s="172" t="s">
        <v>580</v>
      </c>
      <c r="F357" s="172" t="b">
        <v>0</v>
      </c>
      <c r="G357" s="172" t="b">
        <v>0</v>
      </c>
      <c r="H357" s="172" t="b">
        <v>1</v>
      </c>
      <c r="I357" s="172" t="b">
        <v>0</v>
      </c>
      <c r="J357" s="172" t="b">
        <v>0</v>
      </c>
      <c r="K357" s="172" t="b">
        <v>0</v>
      </c>
      <c r="L357" s="172" t="b">
        <v>0</v>
      </c>
      <c r="M357" s="172" t="b">
        <v>0</v>
      </c>
      <c r="N357" s="97"/>
      <c r="O357" s="97"/>
      <c r="P357" s="97"/>
      <c r="Q357" s="174"/>
    </row>
    <row r="358" spans="8:8" ht="43.5" customHeight="1">
      <c r="A358" s="172">
        <v>8.0</v>
      </c>
      <c r="B358" s="171" t="s">
        <v>3811</v>
      </c>
      <c r="C358" s="172">
        <v>251671.0</v>
      </c>
      <c r="D358" s="171" t="s">
        <v>4840</v>
      </c>
      <c r="E358" s="172" t="s">
        <v>580</v>
      </c>
      <c r="F358" s="172" t="b">
        <v>1</v>
      </c>
      <c r="G358" s="172" t="b">
        <v>1</v>
      </c>
      <c r="H358" s="172" t="b">
        <v>1</v>
      </c>
      <c r="I358" s="172" t="b">
        <v>1</v>
      </c>
      <c r="J358" s="172" t="b">
        <v>0</v>
      </c>
      <c r="K358" s="172" t="b">
        <v>0</v>
      </c>
      <c r="L358" s="172" t="b">
        <v>0</v>
      </c>
      <c r="M358" s="172" t="b">
        <v>0</v>
      </c>
      <c r="N358" s="97"/>
      <c r="O358" s="97"/>
      <c r="P358" s="97"/>
      <c r="Q358" s="174"/>
    </row>
    <row r="359" spans="8:8" ht="43.5" customHeight="1">
      <c r="A359" s="172">
        <v>7.0</v>
      </c>
      <c r="B359" s="171" t="s">
        <v>3779</v>
      </c>
      <c r="C359" s="172">
        <v>251370.0</v>
      </c>
      <c r="D359" s="171" t="s">
        <v>4825</v>
      </c>
      <c r="E359" s="172" t="s">
        <v>580</v>
      </c>
      <c r="F359" s="172" t="b">
        <v>1</v>
      </c>
      <c r="G359" s="172" t="b">
        <v>1</v>
      </c>
      <c r="H359" s="172" t="b">
        <v>0</v>
      </c>
      <c r="I359" s="172" t="b">
        <v>0</v>
      </c>
      <c r="J359" s="172" t="b">
        <v>0</v>
      </c>
      <c r="K359" s="172" t="b">
        <v>0</v>
      </c>
      <c r="L359" s="172" t="b">
        <v>0</v>
      </c>
      <c r="M359" s="172" t="b">
        <v>0</v>
      </c>
      <c r="N359" s="97"/>
      <c r="O359" s="97"/>
      <c r="P359" s="97"/>
      <c r="Q359" s="174"/>
    </row>
    <row r="360" spans="8:8" ht="43.5" customHeight="1">
      <c r="A360" s="172">
        <v>2.0</v>
      </c>
      <c r="B360" s="171" t="s">
        <v>3812</v>
      </c>
      <c r="C360" s="172">
        <v>241516.0</v>
      </c>
      <c r="D360" s="171" t="s">
        <v>4851</v>
      </c>
      <c r="E360" s="172" t="s">
        <v>580</v>
      </c>
      <c r="F360" s="172" t="b">
        <v>0</v>
      </c>
      <c r="G360" s="172" t="b">
        <v>0</v>
      </c>
      <c r="H360" s="172" t="b">
        <v>1</v>
      </c>
      <c r="I360" s="172" t="b">
        <v>0</v>
      </c>
      <c r="J360" s="172" t="b">
        <v>0</v>
      </c>
      <c r="K360" s="172" t="b">
        <v>0</v>
      </c>
      <c r="L360" s="172" t="b">
        <v>0</v>
      </c>
      <c r="M360" s="172" t="b">
        <v>0</v>
      </c>
    </row>
    <row r="361" spans="8:8" ht="43.5" customHeight="1">
      <c r="A361" s="172">
        <v>11.0</v>
      </c>
      <c r="B361" s="171" t="s">
        <v>3813</v>
      </c>
      <c r="C361" s="172">
        <v>251685.0</v>
      </c>
      <c r="D361" s="171" t="s">
        <v>4840</v>
      </c>
      <c r="E361" s="172" t="s">
        <v>580</v>
      </c>
      <c r="F361" s="172" t="b">
        <v>1</v>
      </c>
      <c r="G361" s="172" t="b">
        <v>1</v>
      </c>
      <c r="H361" s="172" t="b">
        <v>1</v>
      </c>
      <c r="I361" s="172" t="b">
        <v>1</v>
      </c>
      <c r="J361" s="172" t="b">
        <v>0</v>
      </c>
      <c r="K361" s="172" t="b">
        <v>0</v>
      </c>
      <c r="L361" s="172" t="b">
        <v>0</v>
      </c>
      <c r="M361" s="172" t="b">
        <v>0</v>
      </c>
    </row>
    <row r="362" spans="8:8" ht="43.5" customHeight="1">
      <c r="A362" s="172">
        <v>4.0</v>
      </c>
      <c r="B362" s="171" t="s">
        <v>3814</v>
      </c>
      <c r="C362" s="172">
        <v>241528.0</v>
      </c>
      <c r="D362" s="171" t="s">
        <v>4851</v>
      </c>
      <c r="E362" s="172" t="s">
        <v>580</v>
      </c>
      <c r="F362" s="172" t="b">
        <v>0</v>
      </c>
      <c r="G362" s="172" t="b">
        <v>0</v>
      </c>
      <c r="H362" s="172" t="b">
        <v>0</v>
      </c>
      <c r="I362" s="172" t="b">
        <v>0</v>
      </c>
      <c r="J362" s="172" t="b">
        <v>0</v>
      </c>
      <c r="K362" s="172" t="b">
        <v>0</v>
      </c>
      <c r="L362" s="172" t="b">
        <v>0</v>
      </c>
      <c r="M362" s="172" t="b">
        <v>0</v>
      </c>
    </row>
    <row r="363" spans="8:8" ht="43.5" customHeight="1">
      <c r="A363" s="170"/>
      <c r="B363" s="182" t="s">
        <v>4815</v>
      </c>
      <c r="C363" s="97"/>
      <c r="D363" s="97"/>
      <c r="E363" s="183"/>
      <c r="F363" s="184">
        <f t="shared" si="11" ref="F363:M363">COUNTIF(F325:F346,TRUE)/COUNTA(F325:F346)</f>
        <v>0.18181818181818182</v>
      </c>
      <c r="G363" s="184">
        <f t="shared" si="11"/>
        <v>0.6818181818181818</v>
      </c>
      <c r="H363" s="184">
        <f t="shared" si="11"/>
        <v>0.6818181818181818</v>
      </c>
      <c r="I363" s="184">
        <f t="shared" si="11"/>
        <v>0.6818181818181818</v>
      </c>
      <c r="J363" s="184">
        <f t="shared" si="11"/>
        <v>0.0</v>
      </c>
      <c r="K363" s="184">
        <f t="shared" si="11"/>
        <v>0.0</v>
      </c>
      <c r="L363" s="184">
        <f t="shared" si="11"/>
        <v>0.0</v>
      </c>
      <c r="M363" s="184">
        <f t="shared" si="11"/>
        <v>0.0</v>
      </c>
      <c r="N363" s="97"/>
      <c r="O363" s="97"/>
      <c r="P363" s="97"/>
      <c r="Q363" s="174"/>
    </row>
    <row r="364" spans="8:8" ht="43.5" customHeight="1">
      <c r="A364" s="185" t="s">
        <v>18</v>
      </c>
      <c r="B364" s="162" t="s">
        <v>19</v>
      </c>
      <c r="C364" s="163"/>
      <c r="D364" s="162" t="s">
        <v>4530</v>
      </c>
      <c r="E364" s="162" t="s">
        <v>22</v>
      </c>
      <c r="F364" s="163" t="s">
        <v>4794</v>
      </c>
      <c r="G364" s="163" t="s">
        <v>4795</v>
      </c>
      <c r="H364" s="163" t="s">
        <v>4796</v>
      </c>
      <c r="I364" s="163" t="s">
        <v>4797</v>
      </c>
      <c r="J364" s="163" t="s">
        <v>4798</v>
      </c>
      <c r="K364" s="163" t="s">
        <v>4799</v>
      </c>
      <c r="L364" s="163" t="s">
        <v>4800</v>
      </c>
      <c r="M364" s="163" t="s">
        <v>4801</v>
      </c>
      <c r="N364" s="166" t="s">
        <v>4868</v>
      </c>
      <c r="O364" s="167"/>
      <c r="P364" s="168"/>
      <c r="Q364" s="169"/>
    </row>
    <row r="365" spans="8:8" ht="43.5" customHeight="1">
      <c r="A365" s="170">
        <v>1.0</v>
      </c>
      <c r="B365" s="171" t="s">
        <v>3817</v>
      </c>
      <c r="C365" s="172">
        <v>241338.0</v>
      </c>
      <c r="D365" s="171" t="s">
        <v>4856</v>
      </c>
      <c r="E365" s="172" t="s">
        <v>580</v>
      </c>
      <c r="F365" s="172" t="b">
        <v>0</v>
      </c>
      <c r="G365" s="172" t="b">
        <v>1</v>
      </c>
      <c r="H365" s="172" t="b">
        <v>0</v>
      </c>
      <c r="I365" s="172" t="b">
        <v>0</v>
      </c>
      <c r="J365" s="172" t="b">
        <v>0</v>
      </c>
      <c r="K365" s="172" t="b">
        <v>0</v>
      </c>
      <c r="L365" s="172" t="b">
        <v>0</v>
      </c>
      <c r="M365" s="172" t="b">
        <v>0</v>
      </c>
      <c r="N365" s="173" t="s">
        <v>4804</v>
      </c>
      <c r="O365" s="167"/>
      <c r="P365" s="168"/>
      <c r="Q365" s="174"/>
    </row>
    <row r="366" spans="8:8" ht="43.5" customHeight="1">
      <c r="A366" s="170">
        <v>2.0</v>
      </c>
      <c r="B366" s="171" t="s">
        <v>3818</v>
      </c>
      <c r="C366" s="172">
        <v>241341.0</v>
      </c>
      <c r="D366" s="171" t="s">
        <v>4856</v>
      </c>
      <c r="E366" s="172" t="s">
        <v>580</v>
      </c>
      <c r="F366" s="172" t="b">
        <v>0</v>
      </c>
      <c r="G366" s="172" t="b">
        <v>1</v>
      </c>
      <c r="H366" s="172" t="b">
        <v>1</v>
      </c>
      <c r="I366" s="172" t="b">
        <v>0</v>
      </c>
      <c r="J366" s="172" t="b">
        <v>0</v>
      </c>
      <c r="K366" s="172" t="b">
        <v>0</v>
      </c>
      <c r="L366" s="172" t="b">
        <v>0</v>
      </c>
      <c r="M366" s="172" t="b">
        <v>0</v>
      </c>
      <c r="N366" s="175" t="s">
        <v>4805</v>
      </c>
      <c r="O366" s="176" t="s">
        <v>4806</v>
      </c>
      <c r="P366" s="97" t="s">
        <v>4807</v>
      </c>
      <c r="Q366" s="174"/>
    </row>
    <row r="367" spans="8:8" ht="43.5" customHeight="1">
      <c r="A367" s="170">
        <v>3.0</v>
      </c>
      <c r="B367" s="171" t="s">
        <v>3819</v>
      </c>
      <c r="C367" s="172">
        <v>241342.0</v>
      </c>
      <c r="D367" s="171" t="s">
        <v>4856</v>
      </c>
      <c r="E367" s="172" t="s">
        <v>580</v>
      </c>
      <c r="F367" s="172" t="b">
        <v>0</v>
      </c>
      <c r="G367" s="172" t="b">
        <v>1</v>
      </c>
      <c r="H367" s="172" t="b">
        <v>1</v>
      </c>
      <c r="I367" s="172" t="b">
        <v>0</v>
      </c>
      <c r="J367" s="172" t="b">
        <v>0</v>
      </c>
      <c r="K367" s="172" t="b">
        <v>0</v>
      </c>
      <c r="L367" s="172" t="b">
        <v>0</v>
      </c>
      <c r="M367" s="172" t="b">
        <v>0</v>
      </c>
      <c r="N367" s="97" t="s">
        <v>4794</v>
      </c>
      <c r="O367" s="172" t="b">
        <v>1</v>
      </c>
      <c r="P367" s="97"/>
      <c r="Q367" s="174"/>
    </row>
    <row r="368" spans="8:8" ht="43.5" customHeight="1">
      <c r="A368" s="170">
        <v>4.0</v>
      </c>
      <c r="B368" s="171" t="s">
        <v>3820</v>
      </c>
      <c r="C368" s="172">
        <v>241343.0</v>
      </c>
      <c r="D368" s="171" t="s">
        <v>4856</v>
      </c>
      <c r="E368" s="172" t="s">
        <v>580</v>
      </c>
      <c r="F368" s="172" t="b">
        <v>0</v>
      </c>
      <c r="G368" s="172" t="b">
        <v>0</v>
      </c>
      <c r="H368" s="172" t="b">
        <v>0</v>
      </c>
      <c r="I368" s="172" t="b">
        <v>0</v>
      </c>
      <c r="J368" s="172" t="b">
        <v>0</v>
      </c>
      <c r="K368" s="172" t="b">
        <v>0</v>
      </c>
      <c r="L368" s="172" t="b">
        <v>0</v>
      </c>
      <c r="M368" s="172" t="b">
        <v>0</v>
      </c>
      <c r="N368" s="97" t="s">
        <v>4795</v>
      </c>
      <c r="O368" s="172" t="b">
        <v>1</v>
      </c>
      <c r="P368" s="97"/>
      <c r="Q368" s="174"/>
    </row>
    <row r="369" spans="8:8" ht="43.5" customHeight="1">
      <c r="A369" s="170">
        <v>5.0</v>
      </c>
      <c r="B369" s="171" t="s">
        <v>3821</v>
      </c>
      <c r="C369" s="172">
        <v>241345.0</v>
      </c>
      <c r="D369" s="171" t="s">
        <v>4856</v>
      </c>
      <c r="E369" s="172" t="s">
        <v>580</v>
      </c>
      <c r="F369" s="172" t="b">
        <v>0</v>
      </c>
      <c r="G369" s="172" t="b">
        <v>1</v>
      </c>
      <c r="H369" s="172" t="b">
        <v>1</v>
      </c>
      <c r="I369" s="172" t="b">
        <v>0</v>
      </c>
      <c r="J369" s="172" t="b">
        <v>0</v>
      </c>
      <c r="K369" s="172" t="b">
        <v>0</v>
      </c>
      <c r="L369" s="172" t="b">
        <v>0</v>
      </c>
      <c r="M369" s="172" t="b">
        <v>0</v>
      </c>
      <c r="N369" s="97" t="s">
        <v>4796</v>
      </c>
      <c r="O369" s="172" t="b">
        <v>1</v>
      </c>
      <c r="P369" s="97"/>
      <c r="Q369" s="174"/>
    </row>
    <row r="370" spans="8:8" ht="43.5" customHeight="1">
      <c r="A370" s="170">
        <v>6.0</v>
      </c>
      <c r="B370" s="171" t="s">
        <v>3822</v>
      </c>
      <c r="C370" s="172">
        <v>241346.0</v>
      </c>
      <c r="D370" s="171" t="s">
        <v>4856</v>
      </c>
      <c r="E370" s="172" t="s">
        <v>580</v>
      </c>
      <c r="F370" s="172" t="b">
        <v>0</v>
      </c>
      <c r="G370" s="172" t="b">
        <v>1</v>
      </c>
      <c r="H370" s="172" t="b">
        <v>1</v>
      </c>
      <c r="I370" s="172" t="b">
        <v>0</v>
      </c>
      <c r="J370" s="172" t="b">
        <v>0</v>
      </c>
      <c r="K370" s="172" t="b">
        <v>0</v>
      </c>
      <c r="L370" s="172" t="b">
        <v>0</v>
      </c>
      <c r="M370" s="172" t="b">
        <v>0</v>
      </c>
      <c r="N370" s="97" t="s">
        <v>4797</v>
      </c>
      <c r="O370" s="172" t="b">
        <v>0</v>
      </c>
      <c r="P370" s="97"/>
      <c r="Q370" s="174"/>
    </row>
    <row r="371" spans="8:8" ht="43.5" customHeight="1">
      <c r="A371" s="170">
        <v>7.0</v>
      </c>
      <c r="B371" s="171" t="s">
        <v>3823</v>
      </c>
      <c r="C371" s="172">
        <v>241349.0</v>
      </c>
      <c r="D371" s="171" t="s">
        <v>4856</v>
      </c>
      <c r="E371" s="172" t="s">
        <v>580</v>
      </c>
      <c r="F371" s="172" t="b">
        <v>0</v>
      </c>
      <c r="G371" s="172" t="b">
        <v>0</v>
      </c>
      <c r="H371" s="172" t="b">
        <v>1</v>
      </c>
      <c r="I371" s="172" t="b">
        <v>0</v>
      </c>
      <c r="J371" s="172" t="b">
        <v>0</v>
      </c>
      <c r="K371" s="172" t="b">
        <v>0</v>
      </c>
      <c r="L371" s="172" t="b">
        <v>0</v>
      </c>
      <c r="M371" s="172" t="b">
        <v>0</v>
      </c>
      <c r="N371" s="97" t="s">
        <v>4798</v>
      </c>
      <c r="O371" s="172" t="b">
        <v>0</v>
      </c>
      <c r="P371" s="97"/>
      <c r="Q371" s="174"/>
    </row>
    <row r="372" spans="8:8" ht="43.5" customHeight="1">
      <c r="A372" s="170">
        <v>8.0</v>
      </c>
      <c r="B372" s="171" t="s">
        <v>3824</v>
      </c>
      <c r="C372" s="172">
        <v>241351.0</v>
      </c>
      <c r="D372" s="171" t="s">
        <v>4856</v>
      </c>
      <c r="E372" s="172" t="s">
        <v>580</v>
      </c>
      <c r="F372" s="172" t="b">
        <v>0</v>
      </c>
      <c r="G372" s="172" t="b">
        <v>1</v>
      </c>
      <c r="H372" s="172" t="b">
        <v>1</v>
      </c>
      <c r="I372" s="172" t="b">
        <v>0</v>
      </c>
      <c r="J372" s="172" t="b">
        <v>0</v>
      </c>
      <c r="K372" s="172" t="b">
        <v>0</v>
      </c>
      <c r="L372" s="172" t="b">
        <v>0</v>
      </c>
      <c r="M372" s="172" t="b">
        <v>0</v>
      </c>
      <c r="N372" s="97" t="s">
        <v>4799</v>
      </c>
      <c r="O372" s="172" t="b">
        <v>0</v>
      </c>
      <c r="P372" s="97"/>
      <c r="Q372" s="174"/>
    </row>
    <row r="373" spans="8:8" ht="43.5" customHeight="1">
      <c r="A373" s="170">
        <v>9.0</v>
      </c>
      <c r="B373" s="171" t="s">
        <v>3825</v>
      </c>
      <c r="C373" s="172">
        <v>241364.0</v>
      </c>
      <c r="D373" s="171" t="s">
        <v>4856</v>
      </c>
      <c r="E373" s="172" t="s">
        <v>580</v>
      </c>
      <c r="F373" s="172" t="b">
        <v>0</v>
      </c>
      <c r="G373" s="172" t="b">
        <v>0</v>
      </c>
      <c r="H373" s="172" t="b">
        <v>1</v>
      </c>
      <c r="I373" s="172" t="b">
        <v>0</v>
      </c>
      <c r="J373" s="172" t="b">
        <v>0</v>
      </c>
      <c r="K373" s="172" t="b">
        <v>0</v>
      </c>
      <c r="L373" s="172" t="b">
        <v>0</v>
      </c>
      <c r="M373" s="172" t="b">
        <v>0</v>
      </c>
      <c r="N373" s="97" t="s">
        <v>4800</v>
      </c>
      <c r="O373" s="172" t="b">
        <v>0</v>
      </c>
      <c r="P373" s="97"/>
      <c r="Q373" s="174"/>
    </row>
    <row r="374" spans="8:8" ht="43.5" customHeight="1">
      <c r="A374" s="170">
        <v>10.0</v>
      </c>
      <c r="B374" s="171" t="s">
        <v>3826</v>
      </c>
      <c r="C374" s="172">
        <v>241366.0</v>
      </c>
      <c r="D374" s="171" t="s">
        <v>4856</v>
      </c>
      <c r="E374" s="172" t="s">
        <v>580</v>
      </c>
      <c r="F374" s="172" t="b">
        <v>0</v>
      </c>
      <c r="G374" s="172" t="b">
        <v>1</v>
      </c>
      <c r="H374" s="172" t="b">
        <v>0</v>
      </c>
      <c r="I374" s="172" t="b">
        <v>0</v>
      </c>
      <c r="J374" s="172" t="b">
        <v>0</v>
      </c>
      <c r="K374" s="172" t="b">
        <v>0</v>
      </c>
      <c r="L374" s="172" t="b">
        <v>0</v>
      </c>
      <c r="M374" s="172" t="b">
        <v>0</v>
      </c>
      <c r="N374" s="97" t="s">
        <v>4801</v>
      </c>
      <c r="O374" s="172" t="b">
        <v>0</v>
      </c>
      <c r="P374" s="97"/>
      <c r="Q374" s="174"/>
    </row>
    <row r="375" spans="8:8" ht="43.5" customHeight="1">
      <c r="A375" s="170">
        <v>11.0</v>
      </c>
      <c r="B375" s="171" t="s">
        <v>3827</v>
      </c>
      <c r="C375" s="172">
        <v>241368.0</v>
      </c>
      <c r="D375" s="171" t="s">
        <v>4856</v>
      </c>
      <c r="E375" s="172" t="s">
        <v>580</v>
      </c>
      <c r="F375" s="172" t="b">
        <v>0</v>
      </c>
      <c r="G375" s="172" t="b">
        <v>1</v>
      </c>
      <c r="H375" s="172" t="b">
        <v>1</v>
      </c>
      <c r="I375" s="172" t="b">
        <v>0</v>
      </c>
      <c r="J375" s="172" t="b">
        <v>0</v>
      </c>
      <c r="K375" s="172" t="b">
        <v>0</v>
      </c>
      <c r="L375" s="172" t="b">
        <v>0</v>
      </c>
      <c r="M375" s="172" t="b">
        <v>0</v>
      </c>
      <c r="N375" s="97"/>
      <c r="O375" s="97"/>
      <c r="P375" s="97"/>
      <c r="Q375" s="174"/>
    </row>
    <row r="376" spans="8:8" ht="43.5" customHeight="1">
      <c r="A376" s="170">
        <v>12.0</v>
      </c>
      <c r="B376" s="171" t="s">
        <v>3828</v>
      </c>
      <c r="C376" s="172">
        <v>241370.0</v>
      </c>
      <c r="D376" s="171" t="s">
        <v>4856</v>
      </c>
      <c r="E376" s="172" t="s">
        <v>580</v>
      </c>
      <c r="F376" s="172" t="b">
        <v>0</v>
      </c>
      <c r="G376" s="172" t="b">
        <v>1</v>
      </c>
      <c r="H376" s="172" t="b">
        <v>1</v>
      </c>
      <c r="I376" s="172" t="b">
        <v>0</v>
      </c>
      <c r="J376" s="172" t="b">
        <v>0</v>
      </c>
      <c r="K376" s="172" t="b">
        <v>0</v>
      </c>
      <c r="L376" s="172" t="b">
        <v>0</v>
      </c>
      <c r="M376" s="172" t="b">
        <v>0</v>
      </c>
      <c r="N376" s="97"/>
      <c r="O376" s="97"/>
      <c r="P376" s="97"/>
      <c r="Q376" s="174"/>
    </row>
    <row r="377" spans="8:8" ht="43.5" customHeight="1">
      <c r="A377" s="170">
        <v>13.0</v>
      </c>
      <c r="B377" s="171" t="s">
        <v>3829</v>
      </c>
      <c r="C377" s="172">
        <v>241373.0</v>
      </c>
      <c r="D377" s="171" t="s">
        <v>4856</v>
      </c>
      <c r="E377" s="172" t="s">
        <v>580</v>
      </c>
      <c r="F377" s="172" t="b">
        <v>1</v>
      </c>
      <c r="G377" s="172" t="b">
        <v>1</v>
      </c>
      <c r="H377" s="172" t="b">
        <v>1</v>
      </c>
      <c r="I377" s="172" t="b">
        <v>0</v>
      </c>
      <c r="J377" s="172" t="b">
        <v>0</v>
      </c>
      <c r="K377" s="172" t="b">
        <v>0</v>
      </c>
      <c r="L377" s="172" t="b">
        <v>0</v>
      </c>
      <c r="M377" s="172" t="b">
        <v>0</v>
      </c>
      <c r="N377" s="97"/>
      <c r="O377" s="97"/>
      <c r="P377" s="97"/>
      <c r="Q377" s="174"/>
    </row>
    <row r="378" spans="8:8" ht="43.5" customHeight="1">
      <c r="A378" s="170">
        <v>14.0</v>
      </c>
      <c r="B378" s="171" t="s">
        <v>3830</v>
      </c>
      <c r="C378" s="172">
        <v>241374.0</v>
      </c>
      <c r="D378" s="171" t="s">
        <v>4856</v>
      </c>
      <c r="E378" s="172" t="s">
        <v>580</v>
      </c>
      <c r="F378" s="172" t="b">
        <v>0</v>
      </c>
      <c r="G378" s="172" t="b">
        <v>0</v>
      </c>
      <c r="H378" s="172" t="b">
        <v>0</v>
      </c>
      <c r="I378" s="172" t="b">
        <v>0</v>
      </c>
      <c r="J378" s="172" t="b">
        <v>0</v>
      </c>
      <c r="K378" s="172" t="b">
        <v>0</v>
      </c>
      <c r="L378" s="172" t="b">
        <v>0</v>
      </c>
      <c r="M378" s="172" t="b">
        <v>0</v>
      </c>
      <c r="N378" s="97"/>
      <c r="O378" s="97"/>
      <c r="P378" s="97"/>
      <c r="Q378" s="174"/>
    </row>
    <row r="379" spans="8:8" ht="43.5" customHeight="1">
      <c r="A379" s="170">
        <v>15.0</v>
      </c>
      <c r="B379" s="171" t="s">
        <v>3831</v>
      </c>
      <c r="C379" s="172">
        <v>241376.0</v>
      </c>
      <c r="D379" s="171" t="s">
        <v>4856</v>
      </c>
      <c r="E379" s="172" t="s">
        <v>580</v>
      </c>
      <c r="F379" s="172" t="b">
        <v>0</v>
      </c>
      <c r="G379" s="172" t="b">
        <v>1</v>
      </c>
      <c r="H379" s="172" t="b">
        <v>1</v>
      </c>
      <c r="I379" s="172" t="b">
        <v>0</v>
      </c>
      <c r="J379" s="172" t="b">
        <v>0</v>
      </c>
      <c r="K379" s="172" t="b">
        <v>0</v>
      </c>
      <c r="L379" s="172" t="b">
        <v>0</v>
      </c>
      <c r="M379" s="172" t="b">
        <v>0</v>
      </c>
      <c r="N379" s="97"/>
      <c r="O379" s="97"/>
      <c r="P379" s="97"/>
      <c r="Q379" s="174"/>
    </row>
    <row r="380" spans="8:8" ht="43.5" customHeight="1">
      <c r="A380" s="170">
        <v>16.0</v>
      </c>
      <c r="B380" s="171" t="s">
        <v>3832</v>
      </c>
      <c r="C380" s="172">
        <v>241378.0</v>
      </c>
      <c r="D380" s="171" t="s">
        <v>4856</v>
      </c>
      <c r="E380" s="172" t="s">
        <v>580</v>
      </c>
      <c r="F380" s="172" t="b">
        <v>0</v>
      </c>
      <c r="G380" s="172" t="b">
        <v>0</v>
      </c>
      <c r="H380" s="172" t="b">
        <v>0</v>
      </c>
      <c r="I380" s="172" t="b">
        <v>0</v>
      </c>
      <c r="J380" s="172" t="b">
        <v>0</v>
      </c>
      <c r="K380" s="172" t="b">
        <v>0</v>
      </c>
      <c r="L380" s="172" t="b">
        <v>0</v>
      </c>
      <c r="M380" s="172" t="b">
        <v>0</v>
      </c>
      <c r="N380" s="97"/>
      <c r="O380" s="97"/>
      <c r="P380" s="97"/>
      <c r="Q380" s="174"/>
    </row>
    <row r="381" spans="8:8" ht="43.5" customHeight="1">
      <c r="A381" s="170">
        <v>17.0</v>
      </c>
      <c r="B381" s="171" t="s">
        <v>3833</v>
      </c>
      <c r="C381" s="172">
        <v>241379.0</v>
      </c>
      <c r="D381" s="171" t="s">
        <v>4856</v>
      </c>
      <c r="E381" s="172" t="s">
        <v>580</v>
      </c>
      <c r="F381" s="172" t="b">
        <v>1</v>
      </c>
      <c r="G381" s="172" t="b">
        <v>1</v>
      </c>
      <c r="H381" s="172" t="b">
        <v>1</v>
      </c>
      <c r="I381" s="172" t="b">
        <v>0</v>
      </c>
      <c r="J381" s="172" t="b">
        <v>0</v>
      </c>
      <c r="K381" s="172" t="b">
        <v>0</v>
      </c>
      <c r="L381" s="172" t="b">
        <v>0</v>
      </c>
      <c r="M381" s="172" t="b">
        <v>0</v>
      </c>
      <c r="N381" s="97"/>
      <c r="O381" s="97"/>
      <c r="P381" s="97"/>
      <c r="Q381" s="174"/>
    </row>
    <row r="382" spans="8:8" ht="43.5" customHeight="1">
      <c r="A382" s="170">
        <v>18.0</v>
      </c>
      <c r="B382" s="171" t="s">
        <v>3834</v>
      </c>
      <c r="C382" s="172">
        <v>241380.0</v>
      </c>
      <c r="D382" s="171" t="s">
        <v>4856</v>
      </c>
      <c r="E382" s="172" t="s">
        <v>580</v>
      </c>
      <c r="F382" s="172" t="b">
        <v>1</v>
      </c>
      <c r="G382" s="172" t="b">
        <v>1</v>
      </c>
      <c r="H382" s="172" t="b">
        <v>1</v>
      </c>
      <c r="I382" s="172" t="b">
        <v>0</v>
      </c>
      <c r="J382" s="172" t="b">
        <v>0</v>
      </c>
      <c r="K382" s="172" t="b">
        <v>0</v>
      </c>
      <c r="L382" s="172" t="b">
        <v>0</v>
      </c>
      <c r="M382" s="172" t="b">
        <v>0</v>
      </c>
      <c r="N382" s="97"/>
      <c r="O382" s="97"/>
      <c r="P382" s="97"/>
      <c r="Q382" s="174"/>
    </row>
    <row r="383" spans="8:8" ht="43.5" customHeight="1">
      <c r="A383" s="170">
        <v>19.0</v>
      </c>
      <c r="B383" s="171" t="s">
        <v>4287</v>
      </c>
      <c r="C383" s="172">
        <v>241383.0</v>
      </c>
      <c r="D383" s="171" t="s">
        <v>4856</v>
      </c>
      <c r="E383" s="172" t="s">
        <v>580</v>
      </c>
      <c r="F383" s="172" t="b">
        <v>0</v>
      </c>
      <c r="G383" s="172" t="b">
        <v>0</v>
      </c>
      <c r="H383" s="172" t="b">
        <v>0</v>
      </c>
      <c r="I383" s="172" t="b">
        <v>0</v>
      </c>
      <c r="J383" s="172" t="b">
        <v>0</v>
      </c>
      <c r="K383" s="172" t="b">
        <v>0</v>
      </c>
      <c r="L383" s="172" t="b">
        <v>0</v>
      </c>
      <c r="M383" s="172" t="b">
        <v>0</v>
      </c>
      <c r="N383" s="97"/>
      <c r="O383" s="97"/>
      <c r="P383" s="97"/>
      <c r="Q383" s="174"/>
    </row>
    <row r="384" spans="8:8" ht="43.5" customHeight="1">
      <c r="A384" s="170">
        <v>20.0</v>
      </c>
      <c r="B384" s="171" t="s">
        <v>3835</v>
      </c>
      <c r="C384" s="172">
        <v>241894.0</v>
      </c>
      <c r="D384" s="171" t="s">
        <v>4857</v>
      </c>
      <c r="E384" s="172" t="s">
        <v>580</v>
      </c>
      <c r="F384" s="172" t="b">
        <v>0</v>
      </c>
      <c r="G384" s="172" t="b">
        <v>0</v>
      </c>
      <c r="H384" s="172" t="b">
        <v>0</v>
      </c>
      <c r="I384" s="172" t="b">
        <v>0</v>
      </c>
      <c r="J384" s="172" t="b">
        <v>0</v>
      </c>
      <c r="K384" s="172" t="b">
        <v>0</v>
      </c>
      <c r="L384" s="172" t="b">
        <v>0</v>
      </c>
      <c r="M384" s="172" t="b">
        <v>0</v>
      </c>
      <c r="N384" s="97"/>
      <c r="O384" s="97"/>
      <c r="P384" s="97"/>
      <c r="Q384" s="174"/>
    </row>
    <row r="385" spans="8:8" ht="43.5" customHeight="1">
      <c r="A385" s="170">
        <v>21.0</v>
      </c>
      <c r="B385" s="171" t="s">
        <v>3836</v>
      </c>
      <c r="C385" s="172">
        <v>241602.0</v>
      </c>
      <c r="D385" s="171" t="s">
        <v>4857</v>
      </c>
      <c r="E385" s="172" t="s">
        <v>580</v>
      </c>
      <c r="F385" s="172" t="b">
        <v>0</v>
      </c>
      <c r="G385" s="172" t="b">
        <v>0</v>
      </c>
      <c r="H385" s="172" t="b">
        <v>1</v>
      </c>
      <c r="I385" s="172" t="b">
        <v>0</v>
      </c>
      <c r="J385" s="172" t="b">
        <v>0</v>
      </c>
      <c r="K385" s="172" t="b">
        <v>0</v>
      </c>
      <c r="L385" s="172" t="b">
        <v>0</v>
      </c>
      <c r="M385" s="172" t="b">
        <v>0</v>
      </c>
      <c r="N385" s="97"/>
      <c r="O385" s="97"/>
      <c r="P385" s="97"/>
      <c r="Q385" s="174"/>
    </row>
    <row r="386" spans="8:8" ht="43.5" customHeight="1">
      <c r="A386" s="170">
        <v>22.0</v>
      </c>
      <c r="B386" s="171" t="s">
        <v>3837</v>
      </c>
      <c r="C386" s="172">
        <v>241603.0</v>
      </c>
      <c r="D386" s="171" t="s">
        <v>4857</v>
      </c>
      <c r="E386" s="172" t="s">
        <v>580</v>
      </c>
      <c r="F386" s="172" t="b">
        <v>0</v>
      </c>
      <c r="G386" s="172" t="b">
        <v>0</v>
      </c>
      <c r="H386" s="172" t="b">
        <v>0</v>
      </c>
      <c r="I386" s="172" t="b">
        <v>0</v>
      </c>
      <c r="J386" s="172" t="b">
        <v>0</v>
      </c>
      <c r="K386" s="172" t="b">
        <v>0</v>
      </c>
      <c r="L386" s="172" t="b">
        <v>0</v>
      </c>
      <c r="M386" s="172" t="b">
        <v>0</v>
      </c>
      <c r="N386" s="97"/>
      <c r="O386" s="97"/>
      <c r="P386" s="97"/>
      <c r="Q386" s="174"/>
    </row>
    <row r="387" spans="8:8" ht="43.5" customHeight="1">
      <c r="A387" s="170">
        <v>23.0</v>
      </c>
      <c r="B387" s="171" t="s">
        <v>4204</v>
      </c>
      <c r="C387" s="172">
        <v>241604.0</v>
      </c>
      <c r="D387" s="171" t="s">
        <v>4857</v>
      </c>
      <c r="E387" s="172" t="s">
        <v>580</v>
      </c>
      <c r="F387" s="172" t="b">
        <v>0</v>
      </c>
      <c r="G387" s="172" t="b">
        <v>1</v>
      </c>
      <c r="H387" s="172" t="b">
        <v>0</v>
      </c>
      <c r="I387" s="172" t="b">
        <v>0</v>
      </c>
      <c r="J387" s="172" t="b">
        <v>0</v>
      </c>
      <c r="K387" s="172" t="b">
        <v>0</v>
      </c>
      <c r="L387" s="172" t="b">
        <v>0</v>
      </c>
      <c r="M387" s="172" t="b">
        <v>0</v>
      </c>
      <c r="N387" s="97"/>
      <c r="O387" s="97"/>
      <c r="P387" s="97"/>
      <c r="Q387" s="174"/>
    </row>
    <row r="388" spans="8:8" ht="43.5" customHeight="1">
      <c r="A388" s="170">
        <v>24.0</v>
      </c>
      <c r="B388" s="171" t="s">
        <v>3838</v>
      </c>
      <c r="C388" s="172">
        <v>241608.0</v>
      </c>
      <c r="D388" s="171" t="s">
        <v>4857</v>
      </c>
      <c r="E388" s="172" t="s">
        <v>580</v>
      </c>
      <c r="F388" s="172" t="b">
        <v>0</v>
      </c>
      <c r="G388" s="172" t="b">
        <v>0</v>
      </c>
      <c r="H388" s="172" t="b">
        <v>1</v>
      </c>
      <c r="I388" s="172" t="b">
        <v>0</v>
      </c>
      <c r="J388" s="172" t="b">
        <v>0</v>
      </c>
      <c r="K388" s="172" t="b">
        <v>0</v>
      </c>
      <c r="L388" s="172" t="b">
        <v>0</v>
      </c>
      <c r="M388" s="172" t="b">
        <v>0</v>
      </c>
      <c r="N388" s="97"/>
      <c r="O388" s="97"/>
      <c r="P388" s="97"/>
      <c r="Q388" s="174"/>
    </row>
    <row r="389" spans="8:8" ht="43.5" customHeight="1">
      <c r="A389" s="170">
        <v>25.0</v>
      </c>
      <c r="B389" s="171" t="s">
        <v>3839</v>
      </c>
      <c r="C389" s="172">
        <v>241609.0</v>
      </c>
      <c r="D389" s="171" t="s">
        <v>4857</v>
      </c>
      <c r="E389" s="97" t="s">
        <v>580</v>
      </c>
      <c r="F389" s="172" t="b">
        <v>0</v>
      </c>
      <c r="G389" s="172" t="b">
        <v>0</v>
      </c>
      <c r="H389" s="172" t="b">
        <v>1</v>
      </c>
      <c r="I389" s="172" t="b">
        <v>0</v>
      </c>
      <c r="J389" s="172" t="b">
        <v>0</v>
      </c>
      <c r="K389" s="172" t="b">
        <v>0</v>
      </c>
      <c r="L389" s="172" t="b">
        <v>0</v>
      </c>
      <c r="M389" s="172" t="b">
        <v>0</v>
      </c>
      <c r="N389" s="97"/>
      <c r="O389" s="97"/>
      <c r="P389" s="97"/>
      <c r="Q389" s="174"/>
    </row>
    <row r="390" spans="8:8" ht="43.5" customHeight="1">
      <c r="A390" s="172">
        <v>26.0</v>
      </c>
      <c r="B390" s="171" t="s">
        <v>4869</v>
      </c>
      <c r="C390" s="172">
        <v>241521.0</v>
      </c>
      <c r="D390" s="171" t="s">
        <v>4851</v>
      </c>
      <c r="E390" s="172" t="s">
        <v>580</v>
      </c>
      <c r="F390" s="172" t="b">
        <v>0</v>
      </c>
      <c r="G390" s="172" t="b">
        <v>0</v>
      </c>
      <c r="H390" s="172" t="b">
        <v>0</v>
      </c>
      <c r="I390" s="172" t="b">
        <v>0</v>
      </c>
      <c r="J390" s="172" t="b">
        <v>0</v>
      </c>
      <c r="K390" s="172" t="b">
        <v>0</v>
      </c>
      <c r="L390" s="172" t="b">
        <v>0</v>
      </c>
      <c r="M390" s="172" t="b">
        <v>0</v>
      </c>
      <c r="N390" s="97"/>
      <c r="O390" s="97"/>
      <c r="P390" s="97"/>
      <c r="Q390" s="174"/>
    </row>
    <row r="391" spans="8:8" ht="43.5" customHeight="1">
      <c r="A391" s="172">
        <v>16.0</v>
      </c>
      <c r="B391" s="171" t="s">
        <v>3841</v>
      </c>
      <c r="C391" s="172">
        <v>241578.0</v>
      </c>
      <c r="D391" s="171" t="s">
        <v>4851</v>
      </c>
      <c r="E391" s="172" t="s">
        <v>580</v>
      </c>
      <c r="F391" s="172" t="b">
        <v>0</v>
      </c>
      <c r="G391" s="172" t="b">
        <v>0</v>
      </c>
      <c r="H391" s="172" t="b">
        <v>0</v>
      </c>
      <c r="I391" s="172" t="b">
        <v>0</v>
      </c>
      <c r="J391" s="172" t="b">
        <v>0</v>
      </c>
      <c r="K391" s="172" t="b">
        <v>0</v>
      </c>
      <c r="L391" s="172" t="b">
        <v>0</v>
      </c>
      <c r="M391" s="172" t="b">
        <v>0</v>
      </c>
      <c r="N391" s="97"/>
      <c r="O391" s="97"/>
      <c r="P391" s="97"/>
      <c r="Q391" s="174"/>
    </row>
    <row r="392" spans="8:8" ht="43.5" customHeight="1">
      <c r="A392" s="172">
        <v>21.0</v>
      </c>
      <c r="B392" s="19" t="s">
        <v>3842</v>
      </c>
      <c r="C392" s="20">
        <v>252381.0</v>
      </c>
      <c r="D392" s="19" t="s">
        <v>104</v>
      </c>
      <c r="E392" s="20" t="s">
        <v>580</v>
      </c>
      <c r="F392" s="20" t="b">
        <v>0</v>
      </c>
      <c r="G392" s="20" t="b">
        <v>1</v>
      </c>
      <c r="H392" s="20" t="b">
        <v>1</v>
      </c>
      <c r="I392" s="20" t="b">
        <v>0</v>
      </c>
      <c r="J392" s="20" t="b">
        <v>0</v>
      </c>
      <c r="K392" s="20" t="b">
        <v>0</v>
      </c>
      <c r="L392" s="20" t="b">
        <v>0</v>
      </c>
      <c r="M392" s="20" t="b">
        <v>0</v>
      </c>
      <c r="N392" s="24"/>
      <c r="O392" s="24"/>
      <c r="P392" s="13"/>
      <c r="Q392" s="192"/>
    </row>
    <row r="393" spans="8:8" ht="43.5" customHeight="1">
      <c r="A393" s="172">
        <v>14.0</v>
      </c>
      <c r="B393" s="171" t="s">
        <v>3843</v>
      </c>
      <c r="C393" s="172">
        <v>251509.0</v>
      </c>
      <c r="D393" s="171" t="s">
        <v>4814</v>
      </c>
      <c r="E393" s="172" t="s">
        <v>580</v>
      </c>
      <c r="F393" s="172" t="b">
        <v>0</v>
      </c>
      <c r="G393" s="172" t="b">
        <v>1</v>
      </c>
      <c r="H393" s="172" t="b">
        <v>1</v>
      </c>
      <c r="I393" s="172" t="b">
        <v>0</v>
      </c>
      <c r="J393" s="172" t="b">
        <v>0</v>
      </c>
      <c r="K393" s="172" t="b">
        <v>0</v>
      </c>
      <c r="L393" s="172" t="b">
        <v>0</v>
      </c>
      <c r="M393" s="172" t="b">
        <v>0</v>
      </c>
      <c r="N393" s="97"/>
      <c r="O393" s="97"/>
      <c r="P393" s="97"/>
      <c r="Q393" s="174"/>
    </row>
    <row r="394" spans="8:8" ht="43.5" customHeight="1">
      <c r="A394" s="172">
        <v>13.0</v>
      </c>
      <c r="B394" s="171" t="s">
        <v>3844</v>
      </c>
      <c r="C394" s="172">
        <v>241569.0</v>
      </c>
      <c r="D394" s="171" t="s">
        <v>4851</v>
      </c>
      <c r="E394" s="172" t="s">
        <v>580</v>
      </c>
      <c r="F394" s="172" t="b">
        <v>0</v>
      </c>
      <c r="G394" s="172" t="b">
        <v>1</v>
      </c>
      <c r="H394" s="172" t="b">
        <v>1</v>
      </c>
      <c r="I394" s="172" t="b">
        <v>0</v>
      </c>
      <c r="J394" s="172" t="b">
        <v>0</v>
      </c>
      <c r="K394" s="172" t="b">
        <v>0</v>
      </c>
      <c r="L394" s="172" t="b">
        <v>0</v>
      </c>
      <c r="M394" s="172" t="b">
        <v>0</v>
      </c>
      <c r="N394" s="97"/>
      <c r="O394" s="97"/>
      <c r="P394" s="97"/>
      <c r="Q394" s="174"/>
    </row>
    <row r="395" spans="8:8" ht="43.5" customHeight="1">
      <c r="A395" s="172">
        <v>11.0</v>
      </c>
      <c r="B395" s="171" t="s">
        <v>3845</v>
      </c>
      <c r="C395" s="172">
        <v>251753.0</v>
      </c>
      <c r="D395" s="171" t="s">
        <v>4828</v>
      </c>
      <c r="E395" s="172" t="s">
        <v>580</v>
      </c>
      <c r="F395" s="172" t="b">
        <v>1</v>
      </c>
      <c r="G395" s="172" t="b">
        <v>1</v>
      </c>
      <c r="H395" s="172" t="b">
        <v>1</v>
      </c>
      <c r="I395" s="172" t="b">
        <v>0</v>
      </c>
      <c r="J395" s="172" t="b">
        <v>0</v>
      </c>
      <c r="K395" s="172" t="b">
        <v>0</v>
      </c>
      <c r="L395" s="172" t="b">
        <v>0</v>
      </c>
      <c r="M395" s="172" t="b">
        <v>0</v>
      </c>
      <c r="N395" s="97"/>
      <c r="O395" s="97"/>
      <c r="P395" s="97"/>
      <c r="Q395" s="174"/>
    </row>
    <row r="396" spans="8:8" ht="43.5" customHeight="1">
      <c r="A396" s="172">
        <v>7.0</v>
      </c>
      <c r="B396" s="171" t="s">
        <v>3846</v>
      </c>
      <c r="C396" s="172">
        <v>241556.0</v>
      </c>
      <c r="D396" s="171" t="s">
        <v>4851</v>
      </c>
      <c r="E396" s="172" t="s">
        <v>580</v>
      </c>
      <c r="F396" s="172" t="b">
        <v>0</v>
      </c>
      <c r="G396" s="172" t="b">
        <v>0</v>
      </c>
      <c r="H396" s="172" t="b">
        <v>1</v>
      </c>
      <c r="I396" s="172" t="b">
        <v>0</v>
      </c>
      <c r="J396" s="172" t="b">
        <v>0</v>
      </c>
      <c r="K396" s="172" t="b">
        <v>0</v>
      </c>
      <c r="L396" s="172" t="b">
        <v>0</v>
      </c>
      <c r="M396" s="172" t="b">
        <v>0</v>
      </c>
      <c r="N396" s="97"/>
      <c r="O396" s="97"/>
      <c r="P396" s="97"/>
      <c r="Q396" s="174"/>
    </row>
    <row r="397" spans="8:8" ht="43.5" customHeight="1">
      <c r="A397" s="172">
        <v>24.0</v>
      </c>
      <c r="B397" s="171" t="s">
        <v>3847</v>
      </c>
      <c r="C397" s="172">
        <v>251433.0</v>
      </c>
      <c r="D397" s="171" t="s">
        <v>4827</v>
      </c>
      <c r="E397" s="172" t="s">
        <v>580</v>
      </c>
      <c r="F397" s="172" t="b">
        <v>1</v>
      </c>
      <c r="G397" s="172" t="b">
        <v>0</v>
      </c>
      <c r="H397" s="172" t="b">
        <v>1</v>
      </c>
      <c r="I397" s="172" t="b">
        <v>0</v>
      </c>
      <c r="J397" s="172" t="b">
        <v>0</v>
      </c>
      <c r="K397" s="172" t="b">
        <v>0</v>
      </c>
      <c r="L397" s="172" t="b">
        <v>0</v>
      </c>
      <c r="M397" s="172" t="b">
        <v>0</v>
      </c>
      <c r="N397" s="97"/>
      <c r="O397" s="97"/>
      <c r="P397" s="97"/>
      <c r="Q397" s="174"/>
    </row>
    <row r="398" spans="8:8" ht="43.5" customHeight="1">
      <c r="A398" s="172">
        <v>21.0</v>
      </c>
      <c r="B398" s="171" t="s">
        <v>3848</v>
      </c>
      <c r="C398" s="172">
        <v>251710.0</v>
      </c>
      <c r="D398" s="171" t="s">
        <v>4843</v>
      </c>
      <c r="E398" s="172" t="s">
        <v>580</v>
      </c>
      <c r="F398" s="172" t="b">
        <v>1</v>
      </c>
      <c r="G398" s="172" t="b">
        <v>1</v>
      </c>
      <c r="H398" s="172" t="b">
        <v>1</v>
      </c>
      <c r="I398" s="172" t="b">
        <v>0</v>
      </c>
      <c r="J398" s="172" t="b">
        <v>0</v>
      </c>
      <c r="K398" s="172" t="b">
        <v>0</v>
      </c>
      <c r="L398" s="172" t="b">
        <v>0</v>
      </c>
      <c r="M398" s="172" t="b">
        <v>0</v>
      </c>
      <c r="N398" s="97"/>
      <c r="O398" s="97"/>
      <c r="P398" s="97"/>
      <c r="Q398" s="174"/>
    </row>
    <row r="399" spans="8:8" ht="43.5" customHeight="1">
      <c r="B399" s="191" t="s">
        <v>1621</v>
      </c>
      <c r="C399" s="190">
        <v>240911.0</v>
      </c>
      <c r="D399" s="191" t="s">
        <v>606</v>
      </c>
      <c r="E399" s="190" t="s">
        <v>580</v>
      </c>
      <c r="F399" s="177" t="b">
        <v>0</v>
      </c>
      <c r="G399" s="190" t="b">
        <v>1</v>
      </c>
      <c r="H399" s="190" t="b">
        <v>0</v>
      </c>
      <c r="I399" s="190" t="b">
        <v>0</v>
      </c>
      <c r="J399" s="190" t="b">
        <v>0</v>
      </c>
      <c r="K399" s="190" t="b">
        <v>0</v>
      </c>
      <c r="L399" s="190" t="b">
        <v>0</v>
      </c>
      <c r="M399" s="190" t="b">
        <v>0</v>
      </c>
      <c r="N399" s="97"/>
      <c r="O399" s="97"/>
      <c r="P399" s="97"/>
      <c r="Q399" s="174"/>
    </row>
    <row r="400" spans="8:8" ht="43.5" customHeight="1">
      <c r="A400" s="170"/>
      <c r="B400" s="182" t="s">
        <v>4815</v>
      </c>
      <c r="C400" s="97"/>
      <c r="D400" s="97"/>
      <c r="E400" s="183"/>
      <c r="F400" s="184">
        <f t="shared" si="12" ref="F400:M400">COUNTIF(F370:F389,TRUE)/COUNTA(F370:F389)</f>
        <v>0.15</v>
      </c>
      <c r="G400" s="184">
        <f t="shared" si="12"/>
        <v>0.5</v>
      </c>
      <c r="H400" s="184">
        <f t="shared" si="12"/>
        <v>0.65</v>
      </c>
      <c r="I400" s="184">
        <f t="shared" si="12"/>
        <v>0.0</v>
      </c>
      <c r="J400" s="184">
        <f t="shared" si="12"/>
        <v>0.0</v>
      </c>
      <c r="K400" s="184">
        <f t="shared" si="12"/>
        <v>0.0</v>
      </c>
      <c r="L400" s="184">
        <f t="shared" si="12"/>
        <v>0.0</v>
      </c>
      <c r="M400" s="184">
        <f t="shared" si="12"/>
        <v>0.0</v>
      </c>
      <c r="N400" s="97"/>
      <c r="O400" s="97"/>
      <c r="P400" s="97"/>
      <c r="Q400" s="174"/>
    </row>
    <row r="401" spans="8:8" ht="43.5" customHeight="1">
      <c r="A401" s="185" t="s">
        <v>18</v>
      </c>
      <c r="B401" s="162" t="s">
        <v>19</v>
      </c>
      <c r="C401" s="163"/>
      <c r="D401" s="162" t="s">
        <v>4530</v>
      </c>
      <c r="E401" s="162" t="s">
        <v>22</v>
      </c>
      <c r="F401" s="163" t="s">
        <v>4794</v>
      </c>
      <c r="G401" s="163" t="s">
        <v>4795</v>
      </c>
      <c r="H401" s="163" t="s">
        <v>4796</v>
      </c>
      <c r="I401" s="163" t="s">
        <v>4797</v>
      </c>
      <c r="J401" s="163" t="s">
        <v>4798</v>
      </c>
      <c r="K401" s="163" t="s">
        <v>4799</v>
      </c>
      <c r="L401" s="163" t="s">
        <v>4800</v>
      </c>
      <c r="M401" s="163" t="s">
        <v>4801</v>
      </c>
      <c r="N401" s="166" t="s">
        <v>4870</v>
      </c>
      <c r="O401" s="167"/>
      <c r="P401" s="168"/>
      <c r="Q401" s="169"/>
    </row>
    <row r="402" spans="8:8" ht="43.5" customHeight="1">
      <c r="A402" s="170">
        <v>2.0</v>
      </c>
      <c r="B402" s="171" t="s">
        <v>3850</v>
      </c>
      <c r="C402" s="172">
        <v>241613.0</v>
      </c>
      <c r="D402" s="171" t="s">
        <v>4857</v>
      </c>
      <c r="E402" s="172" t="s">
        <v>580</v>
      </c>
      <c r="F402" s="172" t="b">
        <v>0</v>
      </c>
      <c r="G402" s="172" t="b">
        <v>0</v>
      </c>
      <c r="H402" s="172" t="b">
        <v>0</v>
      </c>
      <c r="I402" s="172" t="b">
        <v>0</v>
      </c>
      <c r="J402" s="172" t="b">
        <v>0</v>
      </c>
      <c r="K402" s="172" t="b">
        <v>0</v>
      </c>
      <c r="L402" s="172" t="b">
        <v>0</v>
      </c>
      <c r="M402" s="172" t="b">
        <v>0</v>
      </c>
      <c r="N402" s="173" t="s">
        <v>4804</v>
      </c>
      <c r="O402" s="167"/>
      <c r="P402" s="168"/>
      <c r="Q402" s="174"/>
    </row>
    <row r="403" spans="8:8" ht="43.5" customHeight="1">
      <c r="A403" s="170">
        <v>4.0</v>
      </c>
      <c r="B403" s="171" t="s">
        <v>3851</v>
      </c>
      <c r="C403" s="172">
        <v>241615.0</v>
      </c>
      <c r="D403" s="171" t="s">
        <v>4857</v>
      </c>
      <c r="E403" s="172" t="s">
        <v>580</v>
      </c>
      <c r="F403" s="172" t="b">
        <v>0</v>
      </c>
      <c r="G403" s="172" t="b">
        <v>1</v>
      </c>
      <c r="H403" s="172" t="b">
        <v>1</v>
      </c>
      <c r="I403" s="172" t="b">
        <v>0</v>
      </c>
      <c r="J403" s="172" t="b">
        <v>0</v>
      </c>
      <c r="K403" s="172" t="b">
        <v>0</v>
      </c>
      <c r="L403" s="172" t="b">
        <v>0</v>
      </c>
      <c r="M403" s="172" t="b">
        <v>0</v>
      </c>
      <c r="N403" s="175" t="s">
        <v>4805</v>
      </c>
      <c r="O403" s="176" t="s">
        <v>4806</v>
      </c>
      <c r="P403" s="97" t="s">
        <v>4807</v>
      </c>
      <c r="Q403" s="174"/>
    </row>
    <row r="404" spans="8:8" ht="43.5" customHeight="1">
      <c r="A404" s="170">
        <v>6.0</v>
      </c>
      <c r="B404" s="171" t="s">
        <v>3852</v>
      </c>
      <c r="C404" s="172">
        <v>241621.0</v>
      </c>
      <c r="D404" s="171" t="s">
        <v>4857</v>
      </c>
      <c r="E404" s="172" t="s">
        <v>580</v>
      </c>
      <c r="F404" s="172" t="b">
        <v>0</v>
      </c>
      <c r="G404" s="172" t="b">
        <v>1</v>
      </c>
      <c r="H404" s="172" t="b">
        <v>0</v>
      </c>
      <c r="I404" s="172" t="b">
        <v>0</v>
      </c>
      <c r="J404" s="172" t="b">
        <v>0</v>
      </c>
      <c r="K404" s="172" t="b">
        <v>0</v>
      </c>
      <c r="L404" s="172" t="b">
        <v>0</v>
      </c>
      <c r="M404" s="172" t="b">
        <v>0</v>
      </c>
      <c r="N404" s="97" t="s">
        <v>4794</v>
      </c>
      <c r="O404" s="172" t="b">
        <v>1</v>
      </c>
      <c r="P404" s="97"/>
      <c r="Q404" s="174"/>
    </row>
    <row r="405" spans="8:8" ht="43.5" customHeight="1">
      <c r="A405" s="170">
        <v>7.0</v>
      </c>
      <c r="B405" s="171" t="s">
        <v>4258</v>
      </c>
      <c r="C405" s="172">
        <v>241622.0</v>
      </c>
      <c r="D405" s="171" t="s">
        <v>4857</v>
      </c>
      <c r="E405" s="172" t="s">
        <v>580</v>
      </c>
      <c r="F405" s="172" t="b">
        <v>0</v>
      </c>
      <c r="G405" s="172" t="b">
        <v>1</v>
      </c>
      <c r="H405" s="172" t="b">
        <v>0</v>
      </c>
      <c r="I405" s="172" t="b">
        <v>0</v>
      </c>
      <c r="J405" s="172" t="b">
        <v>0</v>
      </c>
      <c r="K405" s="172" t="b">
        <v>0</v>
      </c>
      <c r="L405" s="172" t="b">
        <v>0</v>
      </c>
      <c r="M405" s="172" t="b">
        <v>0</v>
      </c>
      <c r="N405" s="97" t="s">
        <v>4795</v>
      </c>
      <c r="O405" s="172" t="b">
        <v>1</v>
      </c>
      <c r="P405" s="97"/>
      <c r="Q405" s="174"/>
    </row>
    <row r="406" spans="8:8" ht="43.5" customHeight="1">
      <c r="A406" s="170">
        <v>10.0</v>
      </c>
      <c r="B406" s="171" t="s">
        <v>3853</v>
      </c>
      <c r="C406" s="172">
        <v>241628.0</v>
      </c>
      <c r="D406" s="171" t="s">
        <v>4857</v>
      </c>
      <c r="E406" s="172" t="s">
        <v>580</v>
      </c>
      <c r="F406" s="172" t="b">
        <v>0</v>
      </c>
      <c r="G406" s="172" t="b">
        <v>0</v>
      </c>
      <c r="H406" s="172" t="b">
        <v>1</v>
      </c>
      <c r="I406" s="172" t="b">
        <v>0</v>
      </c>
      <c r="J406" s="172" t="b">
        <v>0</v>
      </c>
      <c r="K406" s="172" t="b">
        <v>0</v>
      </c>
      <c r="L406" s="172" t="b">
        <v>0</v>
      </c>
      <c r="M406" s="172" t="b">
        <v>0</v>
      </c>
      <c r="N406" s="97" t="s">
        <v>4796</v>
      </c>
      <c r="O406" s="172" t="b">
        <v>1</v>
      </c>
      <c r="P406" s="97"/>
      <c r="Q406" s="174"/>
    </row>
    <row r="407" spans="8:8" ht="43.5" customHeight="1">
      <c r="A407" s="170">
        <v>12.0</v>
      </c>
      <c r="B407" s="171" t="s">
        <v>3854</v>
      </c>
      <c r="C407" s="172">
        <v>241630.0</v>
      </c>
      <c r="D407" s="171" t="s">
        <v>4857</v>
      </c>
      <c r="E407" s="172" t="s">
        <v>580</v>
      </c>
      <c r="F407" s="172" t="b">
        <v>0</v>
      </c>
      <c r="G407" s="172" t="b">
        <v>0</v>
      </c>
      <c r="H407" s="172" t="b">
        <v>1</v>
      </c>
      <c r="I407" s="172" t="b">
        <v>0</v>
      </c>
      <c r="J407" s="172" t="b">
        <v>0</v>
      </c>
      <c r="K407" s="172" t="b">
        <v>0</v>
      </c>
      <c r="L407" s="172" t="b">
        <v>0</v>
      </c>
      <c r="M407" s="172" t="b">
        <v>0</v>
      </c>
      <c r="N407" s="97" t="s">
        <v>4797</v>
      </c>
      <c r="O407" s="172" t="b">
        <v>0</v>
      </c>
      <c r="P407" s="97"/>
      <c r="Q407" s="174"/>
    </row>
    <row r="408" spans="8:8" ht="43.5" customHeight="1">
      <c r="A408" s="170">
        <v>18.0</v>
      </c>
      <c r="B408" s="171" t="s">
        <v>3855</v>
      </c>
      <c r="C408" s="172">
        <v>241903.0</v>
      </c>
      <c r="D408" s="171" t="s">
        <v>4857</v>
      </c>
      <c r="E408" s="172" t="s">
        <v>580</v>
      </c>
      <c r="F408" s="172" t="b">
        <v>0</v>
      </c>
      <c r="G408" s="172" t="b">
        <v>1</v>
      </c>
      <c r="H408" s="172" t="b">
        <v>1</v>
      </c>
      <c r="I408" s="172" t="b">
        <v>0</v>
      </c>
      <c r="J408" s="172" t="b">
        <v>0</v>
      </c>
      <c r="K408" s="172" t="b">
        <v>0</v>
      </c>
      <c r="L408" s="172" t="b">
        <v>0</v>
      </c>
      <c r="M408" s="172" t="b">
        <v>0</v>
      </c>
      <c r="N408" s="97" t="s">
        <v>4798</v>
      </c>
      <c r="O408" s="172" t="b">
        <v>0</v>
      </c>
      <c r="P408" s="97"/>
      <c r="Q408" s="174"/>
    </row>
    <row r="409" spans="8:8" ht="43.5" customHeight="1">
      <c r="A409" s="170">
        <v>20.0</v>
      </c>
      <c r="B409" s="171" t="s">
        <v>3856</v>
      </c>
      <c r="C409" s="172">
        <v>241649.0</v>
      </c>
      <c r="D409" s="171" t="s">
        <v>4857</v>
      </c>
      <c r="E409" s="172" t="s">
        <v>580</v>
      </c>
      <c r="F409" s="172" t="b">
        <v>0</v>
      </c>
      <c r="G409" s="172" t="b">
        <v>1</v>
      </c>
      <c r="H409" s="172" t="b">
        <v>1</v>
      </c>
      <c r="I409" s="172" t="b">
        <v>0</v>
      </c>
      <c r="J409" s="172" t="b">
        <v>0</v>
      </c>
      <c r="K409" s="172" t="b">
        <v>0</v>
      </c>
      <c r="L409" s="172" t="b">
        <v>0</v>
      </c>
      <c r="M409" s="172" t="b">
        <v>0</v>
      </c>
      <c r="N409" s="97" t="s">
        <v>4799</v>
      </c>
      <c r="O409" s="172" t="b">
        <v>0</v>
      </c>
      <c r="P409" s="97"/>
      <c r="Q409" s="174"/>
    </row>
    <row r="410" spans="8:8" ht="43.5" customHeight="1">
      <c r="A410" s="170">
        <v>21.0</v>
      </c>
      <c r="B410" s="171" t="s">
        <v>3857</v>
      </c>
      <c r="C410" s="172">
        <v>241652.0</v>
      </c>
      <c r="D410" s="171" t="s">
        <v>4857</v>
      </c>
      <c r="E410" s="172" t="s">
        <v>580</v>
      </c>
      <c r="F410" s="172" t="b">
        <v>0</v>
      </c>
      <c r="G410" s="172" t="b">
        <v>1</v>
      </c>
      <c r="H410" s="172" t="b">
        <v>0</v>
      </c>
      <c r="I410" s="172" t="b">
        <v>0</v>
      </c>
      <c r="J410" s="172" t="b">
        <v>0</v>
      </c>
      <c r="K410" s="172" t="b">
        <v>0</v>
      </c>
      <c r="L410" s="172" t="b">
        <v>0</v>
      </c>
      <c r="M410" s="172" t="b">
        <v>0</v>
      </c>
      <c r="N410" s="97" t="s">
        <v>4800</v>
      </c>
      <c r="O410" s="172" t="b">
        <v>0</v>
      </c>
      <c r="P410" s="97"/>
      <c r="Q410" s="174"/>
    </row>
    <row r="411" spans="8:8" ht="43.5" customHeight="1">
      <c r="A411" s="170">
        <v>23.0</v>
      </c>
      <c r="B411" s="171" t="s">
        <v>3858</v>
      </c>
      <c r="C411" s="172">
        <v>241657.0</v>
      </c>
      <c r="D411" s="171" t="s">
        <v>4857</v>
      </c>
      <c r="E411" s="172" t="s">
        <v>580</v>
      </c>
      <c r="F411" s="172" t="b">
        <v>0</v>
      </c>
      <c r="G411" s="172" t="b">
        <v>1</v>
      </c>
      <c r="H411" s="172" t="b">
        <v>0</v>
      </c>
      <c r="I411" s="172" t="b">
        <v>0</v>
      </c>
      <c r="J411" s="172" t="b">
        <v>0</v>
      </c>
      <c r="K411" s="172" t="b">
        <v>0</v>
      </c>
      <c r="L411" s="172" t="b">
        <v>0</v>
      </c>
      <c r="M411" s="172" t="b">
        <v>0</v>
      </c>
      <c r="N411" s="97" t="s">
        <v>4801</v>
      </c>
      <c r="O411" s="172" t="b">
        <v>0</v>
      </c>
      <c r="P411" s="97"/>
      <c r="Q411" s="174"/>
    </row>
    <row r="412" spans="8:8" ht="43.5" customHeight="1">
      <c r="A412" s="170">
        <v>24.0</v>
      </c>
      <c r="B412" s="171" t="s">
        <v>3859</v>
      </c>
      <c r="C412" s="172">
        <v>241662.0</v>
      </c>
      <c r="D412" s="171" t="s">
        <v>4857</v>
      </c>
      <c r="E412" s="172" t="s">
        <v>580</v>
      </c>
      <c r="F412" s="172" t="b">
        <v>0</v>
      </c>
      <c r="G412" s="172" t="b">
        <v>1</v>
      </c>
      <c r="H412" s="172" t="b">
        <v>0</v>
      </c>
      <c r="I412" s="172" t="b">
        <v>0</v>
      </c>
      <c r="J412" s="172" t="b">
        <v>0</v>
      </c>
      <c r="K412" s="172" t="b">
        <v>0</v>
      </c>
      <c r="L412" s="172" t="b">
        <v>0</v>
      </c>
      <c r="M412" s="172" t="b">
        <v>0</v>
      </c>
      <c r="N412" s="189"/>
      <c r="O412" s="189"/>
      <c r="P412" s="189"/>
    </row>
    <row r="413" spans="8:8" ht="43.5" customHeight="1">
      <c r="A413" s="170">
        <v>25.0</v>
      </c>
      <c r="B413" s="171" t="s">
        <v>3860</v>
      </c>
      <c r="C413" s="172">
        <v>241665.0</v>
      </c>
      <c r="D413" s="171" t="s">
        <v>4857</v>
      </c>
      <c r="E413" s="97" t="s">
        <v>580</v>
      </c>
      <c r="F413" s="172" t="b">
        <v>0</v>
      </c>
      <c r="G413" s="172" t="b">
        <v>1</v>
      </c>
      <c r="H413" s="172" t="b">
        <v>1</v>
      </c>
      <c r="I413" s="172" t="b">
        <v>0</v>
      </c>
      <c r="J413" s="172" t="b">
        <v>0</v>
      </c>
      <c r="K413" s="172" t="b">
        <v>0</v>
      </c>
      <c r="L413" s="172" t="b">
        <v>0</v>
      </c>
      <c r="M413" s="172" t="b">
        <v>0</v>
      </c>
      <c r="N413" s="97"/>
      <c r="O413" s="97"/>
      <c r="P413" s="97"/>
      <c r="Q413" s="174"/>
    </row>
    <row r="414" spans="8:8" ht="43.5" customHeight="1">
      <c r="A414" s="172">
        <v>22.0</v>
      </c>
      <c r="B414" s="171" t="s">
        <v>3861</v>
      </c>
      <c r="C414" s="172">
        <v>251712.0</v>
      </c>
      <c r="D414" s="171" t="s">
        <v>4843</v>
      </c>
      <c r="E414" s="172" t="s">
        <v>580</v>
      </c>
      <c r="F414" s="172" t="b">
        <v>0</v>
      </c>
      <c r="G414" s="172" t="b">
        <v>0</v>
      </c>
      <c r="H414" s="172" t="b">
        <v>1</v>
      </c>
      <c r="I414" s="172" t="b">
        <v>0</v>
      </c>
      <c r="J414" s="172" t="b">
        <v>0</v>
      </c>
      <c r="K414" s="172" t="b">
        <v>0</v>
      </c>
      <c r="L414" s="172" t="b">
        <v>0</v>
      </c>
      <c r="M414" s="172" t="b">
        <v>0</v>
      </c>
      <c r="N414" s="189"/>
      <c r="O414" s="189"/>
      <c r="P414" s="189"/>
    </row>
    <row r="415" spans="8:8" ht="43.5" customHeight="1">
      <c r="A415" s="172">
        <v>23.0</v>
      </c>
      <c r="B415" s="171" t="s">
        <v>3959</v>
      </c>
      <c r="C415" s="172">
        <v>241510.0</v>
      </c>
      <c r="D415" s="171" t="s">
        <v>4851</v>
      </c>
      <c r="E415" s="172" t="s">
        <v>580</v>
      </c>
      <c r="F415" s="172" t="b">
        <v>0</v>
      </c>
      <c r="G415" s="172" t="b">
        <v>0</v>
      </c>
      <c r="H415" s="172" t="b">
        <v>1</v>
      </c>
      <c r="I415" s="172" t="b">
        <v>0</v>
      </c>
      <c r="J415" s="172" t="b">
        <v>0</v>
      </c>
      <c r="K415" s="172" t="b">
        <v>0</v>
      </c>
      <c r="L415" s="172" t="b">
        <v>0</v>
      </c>
      <c r="M415" s="172" t="b">
        <v>0</v>
      </c>
      <c r="N415" s="97"/>
      <c r="O415" s="97"/>
      <c r="P415" s="97"/>
      <c r="Q415" s="174"/>
    </row>
    <row r="416" spans="8:8" ht="43.5" customHeight="1">
      <c r="A416" s="172" t="b">
        <v>1</v>
      </c>
      <c r="B416" s="171" t="s">
        <v>3862</v>
      </c>
      <c r="C416" s="172">
        <v>251728.0</v>
      </c>
      <c r="D416" s="171" t="s">
        <v>4820</v>
      </c>
      <c r="E416" s="172" t="s">
        <v>580</v>
      </c>
      <c r="F416" s="172" t="b">
        <v>1</v>
      </c>
      <c r="G416" s="172" t="b">
        <v>1</v>
      </c>
      <c r="H416" s="172" t="b">
        <v>1</v>
      </c>
      <c r="I416" s="172" t="b">
        <v>0</v>
      </c>
      <c r="J416" s="172" t="b">
        <v>0</v>
      </c>
      <c r="K416" s="172" t="b">
        <v>0</v>
      </c>
      <c r="L416" s="172" t="b">
        <v>0</v>
      </c>
      <c r="M416" s="172" t="b">
        <v>0</v>
      </c>
      <c r="N416" s="189"/>
      <c r="O416" s="189"/>
      <c r="P416" s="189"/>
    </row>
    <row r="417" spans="8:8" ht="43.5" customHeight="1">
      <c r="A417" s="172">
        <v>21.0</v>
      </c>
      <c r="B417" s="171" t="s">
        <v>3982</v>
      </c>
      <c r="C417" s="172">
        <v>241466.0</v>
      </c>
      <c r="D417" s="171" t="s">
        <v>4851</v>
      </c>
      <c r="E417" s="172" t="s">
        <v>580</v>
      </c>
      <c r="F417" s="172" t="b">
        <v>0</v>
      </c>
      <c r="G417" s="172" t="b">
        <v>0</v>
      </c>
      <c r="H417" s="172" t="b">
        <v>0</v>
      </c>
      <c r="I417" s="172" t="b">
        <v>0</v>
      </c>
      <c r="J417" s="172" t="b">
        <v>0</v>
      </c>
      <c r="K417" s="172" t="b">
        <v>0</v>
      </c>
      <c r="L417" s="172" t="b">
        <v>0</v>
      </c>
      <c r="M417" s="172" t="b">
        <v>0</v>
      </c>
      <c r="N417" s="97"/>
      <c r="O417" s="97"/>
      <c r="P417" s="97"/>
      <c r="Q417" s="174"/>
    </row>
    <row r="418" spans="8:8" ht="43.5" customHeight="1">
      <c r="A418" s="172">
        <v>14.0</v>
      </c>
      <c r="B418" s="171" t="s">
        <v>3863</v>
      </c>
      <c r="C418" s="172">
        <v>251758.0</v>
      </c>
      <c r="D418" s="171" t="s">
        <v>4828</v>
      </c>
      <c r="E418" s="172" t="s">
        <v>580</v>
      </c>
      <c r="F418" s="172" t="b">
        <v>1</v>
      </c>
      <c r="G418" s="172" t="b">
        <v>1</v>
      </c>
      <c r="H418" s="172" t="b">
        <v>1</v>
      </c>
      <c r="I418" s="172" t="b">
        <v>0</v>
      </c>
      <c r="J418" s="172" t="b">
        <v>0</v>
      </c>
      <c r="K418" s="172" t="b">
        <v>0</v>
      </c>
      <c r="L418" s="172" t="b">
        <v>0</v>
      </c>
      <c r="M418" s="172" t="b">
        <v>0</v>
      </c>
      <c r="N418" s="97"/>
      <c r="O418" s="97"/>
      <c r="P418" s="97"/>
      <c r="Q418" s="174"/>
    </row>
    <row r="419" spans="8:8" ht="43.5" customHeight="1">
      <c r="A419" s="190">
        <v>18.0</v>
      </c>
      <c r="B419" s="191" t="s">
        <v>3864</v>
      </c>
      <c r="C419" s="190">
        <v>241640.0</v>
      </c>
      <c r="D419" s="96" t="s">
        <v>1369</v>
      </c>
      <c r="E419" s="190" t="s">
        <v>580</v>
      </c>
      <c r="F419" s="177" t="b">
        <v>0</v>
      </c>
      <c r="G419" s="190" t="b">
        <v>0</v>
      </c>
      <c r="H419" s="190" t="b">
        <v>0</v>
      </c>
      <c r="I419" s="190" t="b">
        <v>0</v>
      </c>
      <c r="J419" s="190" t="b">
        <v>0</v>
      </c>
      <c r="K419" s="190" t="b">
        <v>0</v>
      </c>
      <c r="L419" s="190" t="b">
        <v>0</v>
      </c>
      <c r="M419" s="190" t="b">
        <v>0</v>
      </c>
      <c r="N419" s="97"/>
      <c r="O419" s="97"/>
      <c r="P419" s="97"/>
      <c r="Q419" s="174"/>
    </row>
    <row r="420" spans="8:8" ht="43.5" customHeight="1">
      <c r="A420" s="170">
        <v>24.0</v>
      </c>
      <c r="B420" s="96" t="s">
        <v>607</v>
      </c>
      <c r="C420" s="177">
        <v>241097.0</v>
      </c>
      <c r="D420" s="96" t="s">
        <v>606</v>
      </c>
      <c r="E420" s="177" t="s">
        <v>580</v>
      </c>
      <c r="F420" s="177" t="b">
        <v>0</v>
      </c>
      <c r="G420" s="177" t="b">
        <v>0</v>
      </c>
      <c r="H420" s="177" t="b">
        <v>1</v>
      </c>
      <c r="I420" s="177" t="b">
        <v>0</v>
      </c>
      <c r="J420" s="177" t="b">
        <v>0</v>
      </c>
      <c r="K420" s="177" t="b">
        <v>0</v>
      </c>
      <c r="L420" s="177" t="b">
        <v>0</v>
      </c>
      <c r="M420" s="177" t="b">
        <v>0</v>
      </c>
      <c r="N420" s="97"/>
      <c r="O420" s="97"/>
      <c r="P420" s="97"/>
      <c r="Q420" s="174"/>
    </row>
    <row r="421" spans="8:8" ht="43.5" customHeight="1">
      <c r="A421" s="172">
        <v>21.0</v>
      </c>
      <c r="B421" s="171" t="s">
        <v>3865</v>
      </c>
      <c r="C421" s="172">
        <v>251721.0</v>
      </c>
      <c r="D421" s="172"/>
      <c r="E421" s="172" t="s">
        <v>580</v>
      </c>
      <c r="F421" s="172" t="b">
        <v>1</v>
      </c>
      <c r="G421" s="172" t="b">
        <v>1</v>
      </c>
      <c r="H421" s="172" t="b">
        <v>1</v>
      </c>
      <c r="I421" s="172" t="b">
        <v>0</v>
      </c>
      <c r="J421" s="172" t="b">
        <v>0</v>
      </c>
      <c r="K421" s="172" t="b">
        <v>0</v>
      </c>
      <c r="L421" s="172" t="b">
        <v>0</v>
      </c>
      <c r="M421" s="172" t="b">
        <v>0</v>
      </c>
      <c r="N421" s="97"/>
      <c r="O421" s="97"/>
      <c r="P421" s="97"/>
      <c r="Q421" s="174"/>
    </row>
    <row r="422" spans="8:8" ht="43.5" customHeight="1">
      <c r="A422" s="172">
        <v>13.0</v>
      </c>
      <c r="B422" s="171" t="s">
        <v>3867</v>
      </c>
      <c r="C422" s="172">
        <v>251688.0</v>
      </c>
      <c r="D422" s="171" t="s">
        <v>4843</v>
      </c>
      <c r="E422" s="172" t="s">
        <v>580</v>
      </c>
      <c r="F422" s="172" t="b">
        <v>1</v>
      </c>
      <c r="G422" s="172" t="b">
        <v>1</v>
      </c>
      <c r="H422" s="172" t="b">
        <v>1</v>
      </c>
      <c r="I422" s="172" t="b">
        <v>0</v>
      </c>
      <c r="J422" s="172" t="b">
        <v>0</v>
      </c>
      <c r="K422" s="172" t="b">
        <v>0</v>
      </c>
      <c r="L422" s="172" t="b">
        <v>0</v>
      </c>
      <c r="M422" s="172" t="b">
        <v>0</v>
      </c>
      <c r="N422" s="97"/>
      <c r="O422" s="97"/>
      <c r="P422" s="97"/>
      <c r="Q422" s="174"/>
    </row>
    <row r="423" spans="8:8" ht="43.5" customHeight="1">
      <c r="A423" s="172">
        <v>16.0</v>
      </c>
      <c r="B423" s="171" t="s">
        <v>3868</v>
      </c>
      <c r="C423" s="172">
        <v>251763.0</v>
      </c>
      <c r="D423" s="171" t="s">
        <v>4828</v>
      </c>
      <c r="E423" s="172" t="s">
        <v>580</v>
      </c>
      <c r="F423" s="172" t="b">
        <v>1</v>
      </c>
      <c r="G423" s="172" t="b">
        <v>1</v>
      </c>
      <c r="H423" s="172" t="b">
        <v>1</v>
      </c>
      <c r="I423" s="172" t="b">
        <v>0</v>
      </c>
      <c r="J423" s="172" t="b">
        <v>0</v>
      </c>
      <c r="K423" s="172" t="b">
        <v>0</v>
      </c>
      <c r="L423" s="172" t="b">
        <v>0</v>
      </c>
      <c r="M423" s="172" t="b">
        <v>0</v>
      </c>
      <c r="N423" s="97"/>
      <c r="O423" s="97"/>
      <c r="P423" s="97"/>
      <c r="Q423" s="174"/>
    </row>
    <row r="424" spans="8:8" ht="43.5" customHeight="1">
      <c r="A424" s="172">
        <v>10.0</v>
      </c>
      <c r="B424" s="171" t="s">
        <v>3869</v>
      </c>
      <c r="C424" s="172">
        <v>251684.0</v>
      </c>
      <c r="D424" s="171" t="s">
        <v>4840</v>
      </c>
      <c r="E424" s="172" t="s">
        <v>580</v>
      </c>
      <c r="F424" s="172" t="b">
        <v>1</v>
      </c>
      <c r="G424" s="172" t="b">
        <v>1</v>
      </c>
      <c r="H424" s="172" t="b">
        <v>1</v>
      </c>
      <c r="I424" s="172" t="b">
        <v>0</v>
      </c>
      <c r="J424" s="172" t="b">
        <v>0</v>
      </c>
      <c r="K424" s="172" t="b">
        <v>0</v>
      </c>
      <c r="L424" s="172" t="b">
        <v>0</v>
      </c>
      <c r="M424" s="172" t="b">
        <v>0</v>
      </c>
      <c r="N424" s="189"/>
      <c r="O424" s="189"/>
      <c r="P424" s="189"/>
    </row>
    <row r="425" spans="8:8" ht="43.5" customHeight="1">
      <c r="A425" s="172">
        <v>12.0</v>
      </c>
      <c r="B425" s="171" t="s">
        <v>3870</v>
      </c>
      <c r="C425" s="172">
        <v>251686.0</v>
      </c>
      <c r="D425" s="171" t="s">
        <v>4840</v>
      </c>
      <c r="E425" s="172" t="s">
        <v>580</v>
      </c>
      <c r="F425" s="172" t="b">
        <v>1</v>
      </c>
      <c r="G425" s="172" t="b">
        <v>1</v>
      </c>
      <c r="H425" s="172" t="b">
        <v>0</v>
      </c>
      <c r="I425" s="172" t="b">
        <v>0</v>
      </c>
      <c r="J425" s="172" t="b">
        <v>0</v>
      </c>
      <c r="K425" s="172" t="b">
        <v>0</v>
      </c>
      <c r="L425" s="172" t="b">
        <v>0</v>
      </c>
      <c r="M425" s="172" t="b">
        <v>0</v>
      </c>
      <c r="N425" s="189"/>
      <c r="O425" s="189"/>
      <c r="P425" s="189"/>
    </row>
    <row r="426" spans="8:8" ht="43.5" customHeight="1">
      <c r="B426" s="96" t="s">
        <v>1605</v>
      </c>
      <c r="C426" s="177">
        <v>251189.0</v>
      </c>
      <c r="D426" s="96" t="s">
        <v>56</v>
      </c>
      <c r="E426" s="177" t="s">
        <v>580</v>
      </c>
      <c r="F426" s="177" t="b">
        <v>0</v>
      </c>
      <c r="G426" s="177" t="b">
        <v>0</v>
      </c>
      <c r="H426" s="177" t="b">
        <v>0</v>
      </c>
      <c r="I426" s="177" t="b">
        <v>0</v>
      </c>
      <c r="J426" s="177" t="b">
        <v>0</v>
      </c>
      <c r="K426" s="177" t="b">
        <v>0</v>
      </c>
      <c r="L426" s="177" t="b">
        <v>0</v>
      </c>
      <c r="M426" s="177" t="b">
        <v>0</v>
      </c>
      <c r="N426" s="189"/>
      <c r="O426" s="189"/>
      <c r="P426" s="189"/>
    </row>
    <row r="427" spans="8:8" ht="43.5" customHeight="1">
      <c r="A427" s="172">
        <v>13.0</v>
      </c>
      <c r="B427" s="171" t="s">
        <v>3871</v>
      </c>
      <c r="C427" s="172">
        <v>251755.0</v>
      </c>
      <c r="D427" s="171" t="s">
        <v>4828</v>
      </c>
      <c r="E427" s="172" t="s">
        <v>580</v>
      </c>
      <c r="F427" s="172" t="b">
        <v>1</v>
      </c>
      <c r="G427" s="172" t="b">
        <v>1</v>
      </c>
      <c r="H427" s="172" t="b">
        <v>1</v>
      </c>
      <c r="I427" s="172" t="b">
        <v>0</v>
      </c>
      <c r="J427" s="172" t="b">
        <v>0</v>
      </c>
      <c r="K427" s="172" t="b">
        <v>0</v>
      </c>
      <c r="L427" s="172" t="b">
        <v>0</v>
      </c>
      <c r="M427" s="172" t="b">
        <v>0</v>
      </c>
      <c r="N427" s="189"/>
      <c r="O427" s="189"/>
      <c r="P427" s="189"/>
    </row>
    <row r="428" spans="8:8" ht="43.5" customHeight="1">
      <c r="A428" s="170"/>
      <c r="B428" s="182" t="s">
        <v>4815</v>
      </c>
      <c r="C428" s="97"/>
      <c r="D428" s="97"/>
      <c r="E428" s="183"/>
      <c r="F428" s="184">
        <f t="shared" si="13" ref="F428:M428">COUNTIF(F404:F413,TRUE)/COUNTA(F404:F413)</f>
        <v>0.0</v>
      </c>
      <c r="G428" s="184">
        <f t="shared" si="13"/>
        <v>0.8</v>
      </c>
      <c r="H428" s="184">
        <f t="shared" si="13"/>
        <v>0.5</v>
      </c>
      <c r="I428" s="184">
        <f t="shared" si="13"/>
        <v>0.0</v>
      </c>
      <c r="J428" s="184">
        <f t="shared" si="13"/>
        <v>0.0</v>
      </c>
      <c r="K428" s="184">
        <f t="shared" si="13"/>
        <v>0.0</v>
      </c>
      <c r="L428" s="184">
        <f t="shared" si="13"/>
        <v>0.0</v>
      </c>
      <c r="M428" s="184">
        <f t="shared" si="13"/>
        <v>0.0</v>
      </c>
      <c r="N428" s="189"/>
      <c r="O428" s="189"/>
      <c r="P428" s="189"/>
    </row>
    <row r="429" spans="8:8" ht="43.5" customHeight="1">
      <c r="A429" s="185" t="s">
        <v>18</v>
      </c>
      <c r="B429" s="162" t="s">
        <v>19</v>
      </c>
      <c r="C429" s="163"/>
      <c r="D429" s="162" t="s">
        <v>4530</v>
      </c>
      <c r="E429" s="162" t="s">
        <v>22</v>
      </c>
      <c r="F429" s="163" t="s">
        <v>4794</v>
      </c>
      <c r="G429" s="163" t="s">
        <v>4795</v>
      </c>
      <c r="H429" s="163" t="s">
        <v>4796</v>
      </c>
      <c r="I429" s="163" t="s">
        <v>4797</v>
      </c>
      <c r="J429" s="163" t="s">
        <v>4798</v>
      </c>
      <c r="K429" s="163" t="s">
        <v>4799</v>
      </c>
      <c r="L429" s="163" t="s">
        <v>4800</v>
      </c>
      <c r="M429" s="163" t="s">
        <v>4801</v>
      </c>
      <c r="N429" s="166" t="s">
        <v>4871</v>
      </c>
      <c r="O429" s="167"/>
      <c r="P429" s="168"/>
      <c r="Q429" s="169"/>
    </row>
    <row r="430" spans="8:8" ht="43.5" customHeight="1">
      <c r="A430" s="170">
        <v>1.0</v>
      </c>
      <c r="B430" s="171" t="s">
        <v>3882</v>
      </c>
      <c r="C430" s="172">
        <v>241835.0</v>
      </c>
      <c r="D430" s="171" t="s">
        <v>4857</v>
      </c>
      <c r="E430" s="172" t="s">
        <v>580</v>
      </c>
      <c r="F430" s="172" t="b">
        <v>0</v>
      </c>
      <c r="G430" s="172" t="b">
        <v>0</v>
      </c>
      <c r="H430" s="172" t="b">
        <v>1</v>
      </c>
      <c r="I430" s="172" t="b">
        <v>0</v>
      </c>
      <c r="J430" s="172" t="b">
        <v>0</v>
      </c>
      <c r="K430" s="172" t="b">
        <v>0</v>
      </c>
      <c r="L430" s="172" t="b">
        <v>0</v>
      </c>
      <c r="M430" s="172" t="b">
        <v>0</v>
      </c>
      <c r="N430" s="173" t="s">
        <v>4804</v>
      </c>
      <c r="O430" s="167"/>
      <c r="P430" s="168"/>
      <c r="Q430" s="174"/>
    </row>
    <row r="431" spans="8:8" ht="43.5" customHeight="1">
      <c r="A431" s="170">
        <v>2.0</v>
      </c>
      <c r="B431" s="171" t="s">
        <v>3883</v>
      </c>
      <c r="C431" s="172">
        <v>241851.0</v>
      </c>
      <c r="D431" s="171" t="s">
        <v>4857</v>
      </c>
      <c r="E431" s="172" t="s">
        <v>580</v>
      </c>
      <c r="F431" s="172" t="b">
        <v>0</v>
      </c>
      <c r="G431" s="172" t="b">
        <v>1</v>
      </c>
      <c r="H431" s="172" t="b">
        <v>1</v>
      </c>
      <c r="I431" s="172" t="b">
        <v>0</v>
      </c>
      <c r="J431" s="172" t="b">
        <v>0</v>
      </c>
      <c r="K431" s="172" t="b">
        <v>0</v>
      </c>
      <c r="L431" s="172" t="b">
        <v>0</v>
      </c>
      <c r="M431" s="172" t="b">
        <v>0</v>
      </c>
      <c r="N431" s="175" t="s">
        <v>4805</v>
      </c>
      <c r="O431" s="176" t="s">
        <v>4806</v>
      </c>
      <c r="P431" s="97" t="s">
        <v>4807</v>
      </c>
      <c r="Q431" s="174"/>
    </row>
    <row r="432" spans="8:8" ht="43.5" customHeight="1">
      <c r="A432" s="170">
        <v>3.0</v>
      </c>
      <c r="B432" s="171" t="s">
        <v>3884</v>
      </c>
      <c r="C432" s="172">
        <v>241852.0</v>
      </c>
      <c r="D432" s="171" t="s">
        <v>4857</v>
      </c>
      <c r="E432" s="172" t="s">
        <v>580</v>
      </c>
      <c r="F432" s="172" t="b">
        <v>0</v>
      </c>
      <c r="G432" s="172" t="b">
        <v>1</v>
      </c>
      <c r="H432" s="172" t="b">
        <v>1</v>
      </c>
      <c r="I432" s="172" t="b">
        <v>0</v>
      </c>
      <c r="J432" s="172" t="b">
        <v>0</v>
      </c>
      <c r="K432" s="172" t="b">
        <v>0</v>
      </c>
      <c r="L432" s="172" t="b">
        <v>0</v>
      </c>
      <c r="M432" s="172" t="b">
        <v>0</v>
      </c>
      <c r="N432" s="97" t="s">
        <v>4794</v>
      </c>
      <c r="O432" s="172" t="b">
        <v>0</v>
      </c>
      <c r="P432" s="97" t="s">
        <v>4872</v>
      </c>
      <c r="Q432" s="174"/>
    </row>
    <row r="433" spans="8:8" ht="43.5" customHeight="1">
      <c r="A433" s="170">
        <v>5.0</v>
      </c>
      <c r="B433" s="171" t="s">
        <v>3885</v>
      </c>
      <c r="C433" s="172">
        <v>241297.0</v>
      </c>
      <c r="D433" s="171" t="s">
        <v>4856</v>
      </c>
      <c r="E433" s="172" t="s">
        <v>580</v>
      </c>
      <c r="F433" s="172" t="b">
        <v>0</v>
      </c>
      <c r="G433" s="172" t="b">
        <v>1</v>
      </c>
      <c r="H433" s="172" t="b">
        <v>1</v>
      </c>
      <c r="I433" s="172" t="b">
        <v>0</v>
      </c>
      <c r="J433" s="172" t="b">
        <v>0</v>
      </c>
      <c r="K433" s="172" t="b">
        <v>0</v>
      </c>
      <c r="L433" s="172" t="b">
        <v>0</v>
      </c>
      <c r="M433" s="172" t="b">
        <v>0</v>
      </c>
      <c r="N433" s="97" t="s">
        <v>4795</v>
      </c>
      <c r="O433" s="172" t="b">
        <v>1</v>
      </c>
      <c r="P433" s="97"/>
      <c r="Q433" s="174"/>
    </row>
    <row r="434" spans="8:8" ht="43.5" customHeight="1">
      <c r="A434" s="170">
        <v>8.0</v>
      </c>
      <c r="B434" s="171" t="s">
        <v>3886</v>
      </c>
      <c r="C434" s="172">
        <v>241304.0</v>
      </c>
      <c r="D434" s="171" t="s">
        <v>4856</v>
      </c>
      <c r="E434" s="172" t="s">
        <v>580</v>
      </c>
      <c r="F434" s="172" t="b">
        <v>1</v>
      </c>
      <c r="G434" s="172" t="b">
        <v>1</v>
      </c>
      <c r="H434" s="172" t="b">
        <v>1</v>
      </c>
      <c r="I434" s="172" t="b">
        <v>0</v>
      </c>
      <c r="J434" s="172" t="b">
        <v>0</v>
      </c>
      <c r="K434" s="172" t="b">
        <v>0</v>
      </c>
      <c r="L434" s="172" t="b">
        <v>0</v>
      </c>
      <c r="M434" s="172" t="b">
        <v>0</v>
      </c>
      <c r="N434" s="97" t="s">
        <v>4796</v>
      </c>
      <c r="O434" s="172" t="b">
        <v>1</v>
      </c>
      <c r="P434" s="97"/>
      <c r="Q434" s="174"/>
    </row>
    <row r="435" spans="8:8" ht="43.5" customHeight="1">
      <c r="A435" s="170">
        <v>9.0</v>
      </c>
      <c r="B435" s="171" t="s">
        <v>3887</v>
      </c>
      <c r="C435" s="172">
        <v>241308.0</v>
      </c>
      <c r="D435" s="171" t="s">
        <v>4856</v>
      </c>
      <c r="E435" s="172" t="s">
        <v>580</v>
      </c>
      <c r="F435" s="172" t="b">
        <v>0</v>
      </c>
      <c r="G435" s="172" t="b">
        <v>1</v>
      </c>
      <c r="H435" s="172" t="b">
        <v>0</v>
      </c>
      <c r="I435" s="172" t="b">
        <v>0</v>
      </c>
      <c r="J435" s="172" t="b">
        <v>0</v>
      </c>
      <c r="K435" s="172" t="b">
        <v>0</v>
      </c>
      <c r="L435" s="172" t="b">
        <v>0</v>
      </c>
      <c r="M435" s="172" t="b">
        <v>0</v>
      </c>
      <c r="N435" s="97" t="s">
        <v>4797</v>
      </c>
      <c r="O435" s="172" t="b">
        <v>0</v>
      </c>
      <c r="P435" s="97"/>
      <c r="Q435" s="174"/>
    </row>
    <row r="436" spans="8:8" ht="43.5" customHeight="1">
      <c r="A436" s="170">
        <v>10.0</v>
      </c>
      <c r="B436" s="171" t="s">
        <v>3888</v>
      </c>
      <c r="C436" s="172">
        <v>241309.0</v>
      </c>
      <c r="D436" s="171" t="s">
        <v>4856</v>
      </c>
      <c r="E436" s="172" t="s">
        <v>580</v>
      </c>
      <c r="F436" s="172" t="b">
        <v>0</v>
      </c>
      <c r="G436" s="172" t="b">
        <v>1</v>
      </c>
      <c r="H436" s="172" t="b">
        <v>1</v>
      </c>
      <c r="I436" s="172" t="b">
        <v>0</v>
      </c>
      <c r="J436" s="172" t="b">
        <v>0</v>
      </c>
      <c r="K436" s="172" t="b">
        <v>0</v>
      </c>
      <c r="L436" s="172" t="b">
        <v>0</v>
      </c>
      <c r="M436" s="172" t="b">
        <v>0</v>
      </c>
      <c r="N436" s="97" t="s">
        <v>4798</v>
      </c>
      <c r="O436" s="172" t="b">
        <v>0</v>
      </c>
      <c r="P436" s="97"/>
      <c r="Q436" s="174"/>
    </row>
    <row r="437" spans="8:8" ht="43.5" customHeight="1">
      <c r="A437" s="170">
        <v>11.0</v>
      </c>
      <c r="B437" s="171" t="s">
        <v>3889</v>
      </c>
      <c r="C437" s="172">
        <v>241310.0</v>
      </c>
      <c r="D437" s="171" t="s">
        <v>4856</v>
      </c>
      <c r="E437" s="172" t="s">
        <v>580</v>
      </c>
      <c r="F437" s="172" t="b">
        <v>0</v>
      </c>
      <c r="G437" s="172" t="b">
        <v>1</v>
      </c>
      <c r="H437" s="172" t="b">
        <v>1</v>
      </c>
      <c r="I437" s="172" t="b">
        <v>0</v>
      </c>
      <c r="J437" s="172" t="b">
        <v>0</v>
      </c>
      <c r="K437" s="172" t="b">
        <v>0</v>
      </c>
      <c r="L437" s="172" t="b">
        <v>0</v>
      </c>
      <c r="M437" s="172" t="b">
        <v>0</v>
      </c>
      <c r="N437" s="97" t="s">
        <v>4799</v>
      </c>
      <c r="O437" s="172" t="b">
        <v>0</v>
      </c>
      <c r="P437" s="97"/>
      <c r="Q437" s="174"/>
    </row>
    <row r="438" spans="8:8" ht="43.5" customHeight="1">
      <c r="A438" s="170">
        <v>12.0</v>
      </c>
      <c r="B438" s="171" t="s">
        <v>3890</v>
      </c>
      <c r="C438" s="172">
        <v>241315.0</v>
      </c>
      <c r="D438" s="171" t="s">
        <v>4856</v>
      </c>
      <c r="E438" s="172" t="s">
        <v>580</v>
      </c>
      <c r="F438" s="172" t="b">
        <v>0</v>
      </c>
      <c r="G438" s="172" t="b">
        <v>1</v>
      </c>
      <c r="H438" s="172" t="b">
        <v>1</v>
      </c>
      <c r="I438" s="172" t="b">
        <v>0</v>
      </c>
      <c r="J438" s="172" t="b">
        <v>0</v>
      </c>
      <c r="K438" s="172" t="b">
        <v>0</v>
      </c>
      <c r="L438" s="172" t="b">
        <v>0</v>
      </c>
      <c r="M438" s="172" t="b">
        <v>0</v>
      </c>
      <c r="N438" s="97" t="s">
        <v>4800</v>
      </c>
      <c r="O438" s="172" t="b">
        <v>0</v>
      </c>
      <c r="P438" s="97"/>
      <c r="Q438" s="174"/>
    </row>
    <row r="439" spans="8:8" ht="43.5" customHeight="1">
      <c r="A439" s="170">
        <v>13.0</v>
      </c>
      <c r="B439" s="171" t="s">
        <v>3892</v>
      </c>
      <c r="C439" s="172">
        <v>241318.0</v>
      </c>
      <c r="D439" s="171" t="s">
        <v>4856</v>
      </c>
      <c r="E439" s="172" t="s">
        <v>580</v>
      </c>
      <c r="F439" s="172" t="b">
        <v>0</v>
      </c>
      <c r="G439" s="172" t="b">
        <v>1</v>
      </c>
      <c r="H439" s="172" t="b">
        <v>1</v>
      </c>
      <c r="I439" s="172" t="b">
        <v>0</v>
      </c>
      <c r="J439" s="172" t="b">
        <v>0</v>
      </c>
      <c r="K439" s="172" t="b">
        <v>0</v>
      </c>
      <c r="L439" s="172" t="b">
        <v>0</v>
      </c>
      <c r="M439" s="172" t="b">
        <v>0</v>
      </c>
      <c r="N439" s="97" t="s">
        <v>4801</v>
      </c>
      <c r="O439" s="172" t="b">
        <v>0</v>
      </c>
      <c r="P439" s="97"/>
      <c r="Q439" s="174"/>
    </row>
    <row r="440" spans="8:8" ht="43.5" customHeight="1">
      <c r="A440" s="170">
        <v>14.0</v>
      </c>
      <c r="B440" s="171" t="s">
        <v>3893</v>
      </c>
      <c r="C440" s="172">
        <v>241323.0</v>
      </c>
      <c r="D440" s="171" t="s">
        <v>4856</v>
      </c>
      <c r="E440" s="172" t="s">
        <v>580</v>
      </c>
      <c r="F440" s="172" t="b">
        <v>0</v>
      </c>
      <c r="G440" s="172" t="b">
        <v>0</v>
      </c>
      <c r="H440" s="172" t="b">
        <v>0</v>
      </c>
      <c r="I440" s="172" t="b">
        <v>0</v>
      </c>
      <c r="J440" s="172" t="b">
        <v>0</v>
      </c>
      <c r="K440" s="172" t="b">
        <v>0</v>
      </c>
      <c r="L440" s="172" t="b">
        <v>0</v>
      </c>
      <c r="M440" s="172" t="b">
        <v>0</v>
      </c>
      <c r="N440" s="97"/>
      <c r="O440" s="97"/>
      <c r="P440" s="97"/>
      <c r="Q440" s="174"/>
    </row>
    <row r="441" spans="8:8" ht="43.5" customHeight="1">
      <c r="A441" s="170">
        <v>15.0</v>
      </c>
      <c r="B441" s="171" t="s">
        <v>3894</v>
      </c>
      <c r="C441" s="172">
        <v>241328.0</v>
      </c>
      <c r="D441" s="171" t="s">
        <v>4856</v>
      </c>
      <c r="E441" s="172" t="s">
        <v>580</v>
      </c>
      <c r="F441" s="172" t="b">
        <v>0</v>
      </c>
      <c r="G441" s="172" t="b">
        <v>0</v>
      </c>
      <c r="H441" s="172" t="b">
        <v>0</v>
      </c>
      <c r="I441" s="172" t="b">
        <v>0</v>
      </c>
      <c r="J441" s="172" t="b">
        <v>0</v>
      </c>
      <c r="K441" s="172" t="b">
        <v>0</v>
      </c>
      <c r="L441" s="172" t="b">
        <v>0</v>
      </c>
      <c r="M441" s="172" t="b">
        <v>0</v>
      </c>
      <c r="N441" s="97"/>
      <c r="O441" s="97"/>
      <c r="P441" s="97"/>
      <c r="Q441" s="174"/>
    </row>
    <row r="442" spans="8:8" ht="43.5" customHeight="1">
      <c r="A442" s="170">
        <v>16.0</v>
      </c>
      <c r="B442" s="171" t="s">
        <v>3895</v>
      </c>
      <c r="C442" s="172">
        <v>241330.0</v>
      </c>
      <c r="D442" s="171" t="s">
        <v>4856</v>
      </c>
      <c r="E442" s="172" t="s">
        <v>580</v>
      </c>
      <c r="F442" s="172" t="b">
        <v>0</v>
      </c>
      <c r="G442" s="172" t="b">
        <v>1</v>
      </c>
      <c r="H442" s="172" t="b">
        <v>1</v>
      </c>
      <c r="I442" s="172" t="b">
        <v>0</v>
      </c>
      <c r="J442" s="172" t="b">
        <v>0</v>
      </c>
      <c r="K442" s="172" t="b">
        <v>0</v>
      </c>
      <c r="L442" s="172" t="b">
        <v>0</v>
      </c>
      <c r="M442" s="172" t="b">
        <v>0</v>
      </c>
      <c r="N442" s="97"/>
      <c r="O442" s="97"/>
      <c r="P442" s="97"/>
      <c r="Q442" s="174"/>
    </row>
    <row r="443" spans="8:8" ht="43.5" customHeight="1">
      <c r="A443" s="170">
        <v>17.0</v>
      </c>
      <c r="B443" s="171" t="s">
        <v>3896</v>
      </c>
      <c r="C443" s="172">
        <v>241335.0</v>
      </c>
      <c r="D443" s="171" t="s">
        <v>4856</v>
      </c>
      <c r="E443" s="172" t="s">
        <v>580</v>
      </c>
      <c r="F443" s="172" t="b">
        <v>0</v>
      </c>
      <c r="G443" s="172" t="b">
        <v>1</v>
      </c>
      <c r="H443" s="172" t="b">
        <v>1</v>
      </c>
      <c r="I443" s="172" t="b">
        <v>0</v>
      </c>
      <c r="J443" s="172" t="b">
        <v>0</v>
      </c>
      <c r="K443" s="172" t="b">
        <v>0</v>
      </c>
      <c r="L443" s="172" t="b">
        <v>0</v>
      </c>
      <c r="M443" s="172" t="b">
        <v>0</v>
      </c>
      <c r="N443" s="97"/>
      <c r="O443" s="97"/>
      <c r="P443" s="97"/>
      <c r="Q443" s="174"/>
    </row>
    <row r="444" spans="8:8" ht="43.5" customHeight="1">
      <c r="A444" s="170">
        <v>18.0</v>
      </c>
      <c r="B444" s="171" t="s">
        <v>2850</v>
      </c>
      <c r="C444" s="172">
        <v>241336.0</v>
      </c>
      <c r="D444" s="171" t="s">
        <v>4856</v>
      </c>
      <c r="E444" s="172" t="s">
        <v>580</v>
      </c>
      <c r="F444" s="172" t="b">
        <v>0</v>
      </c>
      <c r="G444" s="172" t="b">
        <v>0</v>
      </c>
      <c r="H444" s="172" t="b">
        <v>0</v>
      </c>
      <c r="I444" s="172" t="b">
        <v>0</v>
      </c>
      <c r="J444" s="172" t="b">
        <v>0</v>
      </c>
      <c r="K444" s="172" t="b">
        <v>0</v>
      </c>
      <c r="L444" s="172" t="b">
        <v>0</v>
      </c>
      <c r="M444" s="172" t="b">
        <v>0</v>
      </c>
      <c r="N444" s="97"/>
      <c r="O444" s="97"/>
      <c r="P444" s="97"/>
      <c r="Q444" s="174"/>
    </row>
    <row r="445" spans="8:8" ht="43.5" customHeight="1">
      <c r="A445" s="170">
        <v>19.0</v>
      </c>
      <c r="B445" s="171" t="s">
        <v>3897</v>
      </c>
      <c r="C445" s="172">
        <v>241385.0</v>
      </c>
      <c r="D445" s="171" t="s">
        <v>4856</v>
      </c>
      <c r="E445" s="172" t="s">
        <v>580</v>
      </c>
      <c r="F445" s="172" t="b">
        <v>0</v>
      </c>
      <c r="G445" s="172" t="b">
        <v>1</v>
      </c>
      <c r="H445" s="172" t="b">
        <v>1</v>
      </c>
      <c r="I445" s="172" t="b">
        <v>0</v>
      </c>
      <c r="J445" s="172" t="b">
        <v>0</v>
      </c>
      <c r="K445" s="172" t="b">
        <v>0</v>
      </c>
      <c r="L445" s="172" t="b">
        <v>0</v>
      </c>
      <c r="M445" s="172" t="b">
        <v>0</v>
      </c>
      <c r="N445" s="97"/>
      <c r="O445" s="97"/>
      <c r="P445" s="97"/>
      <c r="Q445" s="174"/>
    </row>
    <row r="446" spans="8:8" ht="43.5" customHeight="1">
      <c r="A446" s="170">
        <v>20.0</v>
      </c>
      <c r="B446" s="171" t="s">
        <v>3898</v>
      </c>
      <c r="C446" s="172">
        <v>241391.0</v>
      </c>
      <c r="D446" s="171" t="s">
        <v>4856</v>
      </c>
      <c r="E446" s="172" t="s">
        <v>580</v>
      </c>
      <c r="F446" s="172" t="b">
        <v>0</v>
      </c>
      <c r="G446" s="172" t="b">
        <v>0</v>
      </c>
      <c r="H446" s="172" t="b">
        <v>1</v>
      </c>
      <c r="I446" s="172" t="b">
        <v>0</v>
      </c>
      <c r="J446" s="172" t="b">
        <v>0</v>
      </c>
      <c r="K446" s="172" t="b">
        <v>0</v>
      </c>
      <c r="L446" s="172" t="b">
        <v>0</v>
      </c>
      <c r="M446" s="172" t="b">
        <v>0</v>
      </c>
      <c r="N446" s="97"/>
      <c r="O446" s="97"/>
      <c r="P446" s="97"/>
      <c r="Q446" s="174"/>
    </row>
    <row r="447" spans="8:8" ht="43.5" customHeight="1">
      <c r="A447" s="170">
        <v>21.0</v>
      </c>
      <c r="B447" s="171" t="s">
        <v>3899</v>
      </c>
      <c r="C447" s="172">
        <v>241397.0</v>
      </c>
      <c r="D447" s="171" t="s">
        <v>4856</v>
      </c>
      <c r="E447" s="172" t="s">
        <v>580</v>
      </c>
      <c r="F447" s="172" t="b">
        <v>0</v>
      </c>
      <c r="G447" s="172" t="b">
        <v>0</v>
      </c>
      <c r="H447" s="172" t="b">
        <v>1</v>
      </c>
      <c r="I447" s="172" t="b">
        <v>0</v>
      </c>
      <c r="J447" s="172" t="b">
        <v>0</v>
      </c>
      <c r="K447" s="172" t="b">
        <v>0</v>
      </c>
      <c r="L447" s="172" t="b">
        <v>0</v>
      </c>
      <c r="M447" s="172" t="b">
        <v>0</v>
      </c>
      <c r="N447" s="97"/>
      <c r="O447" s="97"/>
      <c r="P447" s="97"/>
      <c r="Q447" s="174"/>
    </row>
    <row r="448" spans="8:8" ht="43.5" customHeight="1">
      <c r="A448" s="170">
        <v>22.0</v>
      </c>
      <c r="B448" s="171" t="s">
        <v>3900</v>
      </c>
      <c r="C448" s="172">
        <v>241399.0</v>
      </c>
      <c r="D448" s="171" t="s">
        <v>4856</v>
      </c>
      <c r="E448" s="172" t="s">
        <v>580</v>
      </c>
      <c r="F448" s="172" t="b">
        <v>0</v>
      </c>
      <c r="G448" s="172" t="b">
        <v>0</v>
      </c>
      <c r="H448" s="172" t="b">
        <v>1</v>
      </c>
      <c r="I448" s="172" t="b">
        <v>0</v>
      </c>
      <c r="J448" s="172" t="b">
        <v>0</v>
      </c>
      <c r="K448" s="172" t="b">
        <v>0</v>
      </c>
      <c r="L448" s="172" t="b">
        <v>0</v>
      </c>
      <c r="M448" s="172" t="b">
        <v>0</v>
      </c>
      <c r="N448" s="97"/>
      <c r="O448" s="97"/>
      <c r="P448" s="97"/>
      <c r="Q448" s="174"/>
    </row>
    <row r="449" spans="8:8" ht="43.5" customHeight="1">
      <c r="A449" s="170">
        <v>23.0</v>
      </c>
      <c r="B449" s="171" t="s">
        <v>3901</v>
      </c>
      <c r="C449" s="172">
        <v>241401.0</v>
      </c>
      <c r="D449" s="171" t="s">
        <v>4856</v>
      </c>
      <c r="E449" s="172" t="s">
        <v>580</v>
      </c>
      <c r="F449" s="172" t="b">
        <v>0</v>
      </c>
      <c r="G449" s="172" t="b">
        <v>1</v>
      </c>
      <c r="H449" s="172" t="b">
        <v>1</v>
      </c>
      <c r="I449" s="172" t="b">
        <v>0</v>
      </c>
      <c r="J449" s="172" t="b">
        <v>0</v>
      </c>
      <c r="K449" s="172" t="b">
        <v>0</v>
      </c>
      <c r="L449" s="172" t="b">
        <v>0</v>
      </c>
      <c r="M449" s="172" t="b">
        <v>0</v>
      </c>
      <c r="N449" s="97"/>
      <c r="O449" s="97"/>
      <c r="P449" s="97"/>
      <c r="Q449" s="174"/>
    </row>
    <row r="450" spans="8:8" ht="43.5" customHeight="1">
      <c r="A450" s="170">
        <v>24.0</v>
      </c>
      <c r="B450" s="171" t="s">
        <v>3902</v>
      </c>
      <c r="C450" s="172">
        <v>241410.0</v>
      </c>
      <c r="D450" s="171" t="s">
        <v>4856</v>
      </c>
      <c r="E450" s="172" t="s">
        <v>580</v>
      </c>
      <c r="F450" s="172" t="b">
        <v>0</v>
      </c>
      <c r="G450" s="172" t="b">
        <v>1</v>
      </c>
      <c r="H450" s="172" t="b">
        <v>1</v>
      </c>
      <c r="I450" s="172" t="b">
        <v>0</v>
      </c>
      <c r="J450" s="172" t="b">
        <v>0</v>
      </c>
      <c r="K450" s="172" t="b">
        <v>0</v>
      </c>
      <c r="L450" s="172" t="b">
        <v>0</v>
      </c>
      <c r="M450" s="172" t="b">
        <v>0</v>
      </c>
      <c r="N450" s="97"/>
      <c r="O450" s="97"/>
      <c r="P450" s="97"/>
      <c r="Q450" s="174"/>
    </row>
    <row r="451" spans="8:8" ht="43.5" customHeight="1">
      <c r="A451" s="170">
        <v>25.0</v>
      </c>
      <c r="B451" s="171" t="s">
        <v>3903</v>
      </c>
      <c r="C451" s="172">
        <v>241940.0</v>
      </c>
      <c r="D451" s="171" t="s">
        <v>4859</v>
      </c>
      <c r="E451" s="97" t="s">
        <v>580</v>
      </c>
      <c r="F451" s="172" t="b">
        <v>0</v>
      </c>
      <c r="G451" s="172" t="b">
        <v>1</v>
      </c>
      <c r="H451" s="172" t="b">
        <v>1</v>
      </c>
      <c r="I451" s="172" t="b">
        <v>0</v>
      </c>
      <c r="J451" s="172" t="b">
        <v>0</v>
      </c>
      <c r="K451" s="172" t="b">
        <v>0</v>
      </c>
      <c r="L451" s="172" t="b">
        <v>0</v>
      </c>
      <c r="M451" s="172" t="b">
        <v>0</v>
      </c>
      <c r="N451" s="97"/>
      <c r="O451" s="97"/>
      <c r="P451" s="97"/>
      <c r="Q451" s="174"/>
    </row>
    <row r="452" spans="8:8" ht="43.5" customHeight="1">
      <c r="A452" s="172">
        <v>26.0</v>
      </c>
      <c r="B452" s="171" t="s">
        <v>3904</v>
      </c>
      <c r="C452" s="172">
        <v>241473.0</v>
      </c>
      <c r="D452" s="171" t="s">
        <v>4851</v>
      </c>
      <c r="E452" s="172" t="s">
        <v>580</v>
      </c>
      <c r="F452" s="172" t="b">
        <v>0</v>
      </c>
      <c r="G452" s="172" t="b">
        <v>0</v>
      </c>
      <c r="H452" s="172" t="b">
        <v>1</v>
      </c>
      <c r="I452" s="172" t="b">
        <v>0</v>
      </c>
      <c r="J452" s="172" t="b">
        <v>0</v>
      </c>
      <c r="K452" s="172" t="b">
        <v>0</v>
      </c>
      <c r="L452" s="172" t="b">
        <v>0</v>
      </c>
      <c r="M452" s="172" t="b">
        <v>0</v>
      </c>
      <c r="N452" s="97"/>
      <c r="O452" s="97"/>
      <c r="P452" s="97"/>
      <c r="Q452" s="174"/>
    </row>
    <row r="453" spans="8:8" ht="43.5" customHeight="1">
      <c r="A453" s="172">
        <v>16.0</v>
      </c>
      <c r="B453" s="171" t="s">
        <v>3905</v>
      </c>
      <c r="C453" s="172">
        <v>241448.0</v>
      </c>
      <c r="D453" s="171" t="s">
        <v>4851</v>
      </c>
      <c r="E453" s="172" t="s">
        <v>580</v>
      </c>
      <c r="F453" s="172" t="b">
        <v>0</v>
      </c>
      <c r="G453" s="172" t="b">
        <v>0</v>
      </c>
      <c r="H453" s="172" t="b">
        <v>1</v>
      </c>
      <c r="I453" s="172" t="b">
        <v>0</v>
      </c>
      <c r="J453" s="172" t="b">
        <v>0</v>
      </c>
      <c r="K453" s="172" t="b">
        <v>0</v>
      </c>
      <c r="L453" s="172" t="b">
        <v>0</v>
      </c>
      <c r="M453" s="172" t="b">
        <v>0</v>
      </c>
      <c r="N453" s="97"/>
      <c r="O453" s="97"/>
      <c r="P453" s="97"/>
      <c r="Q453" s="174"/>
    </row>
    <row r="454" spans="8:8" ht="43.5" customHeight="1">
      <c r="A454" s="172">
        <v>23.0</v>
      </c>
      <c r="B454" s="171" t="s">
        <v>3906</v>
      </c>
      <c r="C454" s="172">
        <v>241512.0</v>
      </c>
      <c r="D454" s="171" t="s">
        <v>4851</v>
      </c>
      <c r="E454" s="172" t="s">
        <v>580</v>
      </c>
      <c r="F454" s="172" t="b">
        <v>0</v>
      </c>
      <c r="G454" s="172" t="b">
        <v>0</v>
      </c>
      <c r="H454" s="172" t="b">
        <v>1</v>
      </c>
      <c r="I454" s="172" t="b">
        <v>0</v>
      </c>
      <c r="J454" s="172" t="b">
        <v>0</v>
      </c>
      <c r="K454" s="172" t="b">
        <v>0</v>
      </c>
      <c r="L454" s="172" t="b">
        <v>0</v>
      </c>
      <c r="M454" s="172" t="b">
        <v>0</v>
      </c>
      <c r="N454" s="97"/>
      <c r="O454" s="97"/>
      <c r="P454" s="97"/>
      <c r="Q454" s="174"/>
    </row>
    <row r="455" spans="8:8" ht="43.5" customHeight="1">
      <c r="A455" s="172">
        <v>9.0</v>
      </c>
      <c r="B455" s="171" t="s">
        <v>3907</v>
      </c>
      <c r="C455" s="172">
        <v>251742.0</v>
      </c>
      <c r="D455" s="171" t="s">
        <v>4820</v>
      </c>
      <c r="E455" s="172" t="s">
        <v>580</v>
      </c>
      <c r="F455" s="172" t="b">
        <v>1</v>
      </c>
      <c r="G455" s="172" t="b">
        <v>1</v>
      </c>
      <c r="H455" s="172" t="b">
        <v>1</v>
      </c>
      <c r="I455" s="172" t="b">
        <v>0</v>
      </c>
      <c r="J455" s="172" t="b">
        <v>0</v>
      </c>
      <c r="K455" s="172" t="b">
        <v>0</v>
      </c>
      <c r="L455" s="172" t="b">
        <v>0</v>
      </c>
      <c r="M455" s="172" t="b">
        <v>0</v>
      </c>
      <c r="N455" s="97"/>
      <c r="O455" s="97"/>
      <c r="P455" s="97"/>
      <c r="Q455" s="174"/>
    </row>
    <row r="456" spans="8:8" ht="43.5" customHeight="1">
      <c r="A456" s="172">
        <v>19.0</v>
      </c>
      <c r="B456" s="171" t="s">
        <v>3908</v>
      </c>
      <c r="C456" s="172">
        <v>251439.0</v>
      </c>
      <c r="D456" s="171" t="s">
        <v>4827</v>
      </c>
      <c r="E456" s="172" t="s">
        <v>580</v>
      </c>
      <c r="F456" s="172" t="b">
        <v>1</v>
      </c>
      <c r="G456" s="172" t="b">
        <v>0</v>
      </c>
      <c r="H456" s="172" t="b">
        <v>1</v>
      </c>
      <c r="I456" s="172" t="b">
        <v>0</v>
      </c>
      <c r="J456" s="172" t="b">
        <v>0</v>
      </c>
      <c r="K456" s="172" t="b">
        <v>0</v>
      </c>
      <c r="L456" s="172" t="b">
        <v>0</v>
      </c>
      <c r="M456" s="172" t="b">
        <v>0</v>
      </c>
      <c r="N456" s="97"/>
      <c r="O456" s="97"/>
      <c r="P456" s="97"/>
      <c r="Q456" s="174"/>
    </row>
    <row r="457" spans="8:8" ht="43.5" customHeight="1">
      <c r="A457" s="172">
        <v>7.0</v>
      </c>
      <c r="B457" s="181" t="s">
        <v>3781</v>
      </c>
      <c r="C457" s="97">
        <v>251485.0</v>
      </c>
      <c r="D457" s="181" t="s">
        <v>4834</v>
      </c>
      <c r="E457" s="172" t="s">
        <v>580</v>
      </c>
      <c r="F457" s="172" t="b">
        <v>0</v>
      </c>
      <c r="G457" s="172" t="b">
        <v>0</v>
      </c>
      <c r="H457" s="172" t="b">
        <v>0</v>
      </c>
      <c r="I457" s="172" t="b">
        <v>0</v>
      </c>
      <c r="J457" s="172" t="b">
        <v>0</v>
      </c>
      <c r="K457" s="172" t="b">
        <v>0</v>
      </c>
      <c r="L457" s="172" t="b">
        <v>0</v>
      </c>
      <c r="M457" s="172" t="b">
        <v>0</v>
      </c>
      <c r="N457" s="97"/>
      <c r="O457" s="97"/>
      <c r="P457" s="97"/>
      <c r="Q457" s="174"/>
    </row>
    <row r="458" spans="8:8" ht="43.5" customHeight="1">
      <c r="A458" s="172">
        <v>1.0</v>
      </c>
      <c r="B458" s="171" t="s">
        <v>3909</v>
      </c>
      <c r="C458" s="172">
        <v>251716.0</v>
      </c>
      <c r="D458" s="171" t="s">
        <v>4843</v>
      </c>
      <c r="E458" s="172" t="s">
        <v>580</v>
      </c>
      <c r="F458" s="172" t="b">
        <v>1</v>
      </c>
      <c r="G458" s="172" t="b">
        <v>1</v>
      </c>
      <c r="H458" s="172" t="b">
        <v>1</v>
      </c>
      <c r="I458" s="172" t="b">
        <v>0</v>
      </c>
      <c r="J458" s="172" t="b">
        <v>0</v>
      </c>
      <c r="K458" s="172" t="b">
        <v>0</v>
      </c>
      <c r="L458" s="172" t="b">
        <v>0</v>
      </c>
      <c r="M458" s="172" t="b">
        <v>0</v>
      </c>
      <c r="N458" s="97"/>
      <c r="O458" s="97"/>
      <c r="P458" s="97"/>
      <c r="Q458" s="174"/>
    </row>
    <row r="459" spans="8:8" ht="43.5" customHeight="1">
      <c r="A459" s="172">
        <v>10.0</v>
      </c>
      <c r="B459" s="171" t="s">
        <v>3910</v>
      </c>
      <c r="C459" s="172">
        <v>241463.0</v>
      </c>
      <c r="D459" s="171" t="s">
        <v>4851</v>
      </c>
      <c r="E459" s="172" t="s">
        <v>580</v>
      </c>
      <c r="F459" s="172" t="b">
        <v>0</v>
      </c>
      <c r="G459" s="172" t="b">
        <v>0</v>
      </c>
      <c r="H459" s="172" t="b">
        <v>0</v>
      </c>
      <c r="I459" s="172" t="b">
        <v>0</v>
      </c>
      <c r="J459" s="172" t="b">
        <v>0</v>
      </c>
      <c r="K459" s="172" t="b">
        <v>0</v>
      </c>
      <c r="L459" s="172" t="b">
        <v>0</v>
      </c>
      <c r="M459" s="172" t="b">
        <v>0</v>
      </c>
      <c r="N459" s="97"/>
      <c r="O459" s="97"/>
      <c r="P459" s="97"/>
      <c r="Q459" s="174"/>
    </row>
    <row r="460" spans="8:8" ht="43.5" customHeight="1">
      <c r="A460" s="170"/>
      <c r="B460" s="182" t="s">
        <v>4815</v>
      </c>
      <c r="C460" s="97"/>
      <c r="D460" s="97"/>
      <c r="E460" s="183"/>
      <c r="F460" s="184">
        <f t="shared" si="14" ref="F460:M460">COUNTIF(F434:F451,TRUE)/COUNTA(F434:F451)</f>
        <v>0.05555555555555555</v>
      </c>
      <c r="G460" s="184">
        <f t="shared" si="14"/>
        <v>0.6666666666666666</v>
      </c>
      <c r="H460" s="184">
        <f t="shared" si="14"/>
        <v>0.7777777777777778</v>
      </c>
      <c r="I460" s="184">
        <f t="shared" si="14"/>
        <v>0.0</v>
      </c>
      <c r="J460" s="184">
        <f t="shared" si="14"/>
        <v>0.0</v>
      </c>
      <c r="K460" s="184">
        <f t="shared" si="14"/>
        <v>0.0</v>
      </c>
      <c r="L460" s="184">
        <f t="shared" si="14"/>
        <v>0.0</v>
      </c>
      <c r="M460" s="184">
        <f t="shared" si="14"/>
        <v>0.0</v>
      </c>
      <c r="N460" s="97"/>
      <c r="O460" s="97"/>
      <c r="P460" s="97"/>
      <c r="Q460" s="174"/>
    </row>
    <row r="461" spans="8:8" ht="43.5" customHeight="1">
      <c r="A461" s="185" t="s">
        <v>18</v>
      </c>
      <c r="B461" s="162" t="s">
        <v>19</v>
      </c>
      <c r="C461" s="163"/>
      <c r="D461" s="162" t="s">
        <v>4530</v>
      </c>
      <c r="E461" s="162" t="s">
        <v>22</v>
      </c>
      <c r="F461" s="163" t="s">
        <v>4794</v>
      </c>
      <c r="G461" s="163" t="s">
        <v>4795</v>
      </c>
      <c r="H461" s="163" t="s">
        <v>4796</v>
      </c>
      <c r="I461" s="163" t="s">
        <v>4797</v>
      </c>
      <c r="J461" s="163" t="s">
        <v>4798</v>
      </c>
      <c r="K461" s="163" t="s">
        <v>4799</v>
      </c>
      <c r="L461" s="163" t="s">
        <v>4800</v>
      </c>
      <c r="M461" s="163" t="s">
        <v>4801</v>
      </c>
      <c r="N461" s="166" t="s">
        <v>4873</v>
      </c>
      <c r="O461" s="167"/>
      <c r="P461" s="168"/>
      <c r="Q461" s="169"/>
    </row>
    <row r="462" spans="8:8" ht="43.5" customHeight="1">
      <c r="A462" s="170">
        <v>1.0</v>
      </c>
      <c r="B462" s="171" t="s">
        <v>3916</v>
      </c>
      <c r="C462" s="172">
        <v>241411.0</v>
      </c>
      <c r="D462" s="171" t="s">
        <v>4856</v>
      </c>
      <c r="E462" s="172" t="s">
        <v>580</v>
      </c>
      <c r="F462" s="172" t="b">
        <v>0</v>
      </c>
      <c r="G462" s="172" t="b">
        <v>1</v>
      </c>
      <c r="H462" s="172" t="b">
        <v>1</v>
      </c>
      <c r="I462" s="172" t="b">
        <v>0</v>
      </c>
      <c r="J462" s="172" t="b">
        <v>0</v>
      </c>
      <c r="K462" s="172" t="b">
        <v>0</v>
      </c>
      <c r="L462" s="172" t="b">
        <v>0</v>
      </c>
      <c r="M462" s="172" t="b">
        <v>0</v>
      </c>
      <c r="N462" s="173" t="s">
        <v>4804</v>
      </c>
      <c r="O462" s="167"/>
      <c r="P462" s="168"/>
      <c r="Q462" s="174"/>
    </row>
    <row r="463" spans="8:8" ht="43.5" customHeight="1">
      <c r="A463" s="170">
        <v>2.0</v>
      </c>
      <c r="B463" s="171" t="s">
        <v>3917</v>
      </c>
      <c r="C463" s="172">
        <v>241413.0</v>
      </c>
      <c r="D463" s="171" t="s">
        <v>4856</v>
      </c>
      <c r="E463" s="172" t="s">
        <v>580</v>
      </c>
      <c r="F463" s="172" t="b">
        <v>0</v>
      </c>
      <c r="G463" s="172" t="b">
        <v>1</v>
      </c>
      <c r="H463" s="172" t="b">
        <v>0</v>
      </c>
      <c r="I463" s="172" t="b">
        <v>0</v>
      </c>
      <c r="J463" s="172" t="b">
        <v>0</v>
      </c>
      <c r="K463" s="172" t="b">
        <v>0</v>
      </c>
      <c r="L463" s="172" t="b">
        <v>0</v>
      </c>
      <c r="M463" s="172" t="b">
        <v>0</v>
      </c>
      <c r="N463" s="175" t="s">
        <v>4805</v>
      </c>
      <c r="O463" s="176" t="s">
        <v>4806</v>
      </c>
      <c r="P463" s="97" t="s">
        <v>4807</v>
      </c>
      <c r="Q463" s="174"/>
    </row>
    <row r="464" spans="8:8" ht="43.5" customHeight="1">
      <c r="A464" s="170">
        <v>3.0</v>
      </c>
      <c r="B464" s="171" t="s">
        <v>3918</v>
      </c>
      <c r="C464" s="172">
        <v>241416.0</v>
      </c>
      <c r="D464" s="171" t="s">
        <v>4856</v>
      </c>
      <c r="E464" s="172" t="s">
        <v>580</v>
      </c>
      <c r="F464" s="172" t="b">
        <v>0</v>
      </c>
      <c r="G464" s="172" t="b">
        <v>1</v>
      </c>
      <c r="H464" s="172" t="b">
        <v>1</v>
      </c>
      <c r="I464" s="172" t="b">
        <v>0</v>
      </c>
      <c r="J464" s="172" t="b">
        <v>0</v>
      </c>
      <c r="K464" s="172" t="b">
        <v>0</v>
      </c>
      <c r="L464" s="172" t="b">
        <v>0</v>
      </c>
      <c r="M464" s="172" t="b">
        <v>0</v>
      </c>
      <c r="N464" s="97" t="s">
        <v>4794</v>
      </c>
      <c r="O464" s="172" t="b">
        <v>0</v>
      </c>
      <c r="P464" s="97" t="s">
        <v>4874</v>
      </c>
      <c r="Q464" s="174"/>
    </row>
    <row r="465" spans="8:8" ht="43.5" customHeight="1">
      <c r="A465" s="170">
        <v>4.0</v>
      </c>
      <c r="B465" s="171" t="s">
        <v>3919</v>
      </c>
      <c r="C465" s="172">
        <v>241417.0</v>
      </c>
      <c r="D465" s="171" t="s">
        <v>4856</v>
      </c>
      <c r="E465" s="172" t="s">
        <v>580</v>
      </c>
      <c r="F465" s="172" t="b">
        <v>0</v>
      </c>
      <c r="G465" s="172" t="b">
        <v>1</v>
      </c>
      <c r="H465" s="172" t="b">
        <v>0</v>
      </c>
      <c r="I465" s="172" t="b">
        <v>0</v>
      </c>
      <c r="J465" s="172" t="b">
        <v>0</v>
      </c>
      <c r="K465" s="172" t="b">
        <v>0</v>
      </c>
      <c r="L465" s="172" t="b">
        <v>0</v>
      </c>
      <c r="M465" s="172" t="b">
        <v>0</v>
      </c>
      <c r="N465" s="97" t="s">
        <v>4795</v>
      </c>
      <c r="O465" s="172" t="b">
        <v>1</v>
      </c>
      <c r="P465" s="97"/>
      <c r="Q465" s="174"/>
    </row>
    <row r="466" spans="8:8" ht="43.5" customHeight="1">
      <c r="A466" s="170">
        <v>5.0</v>
      </c>
      <c r="B466" s="171" t="s">
        <v>3920</v>
      </c>
      <c r="C466" s="172">
        <v>241420.0</v>
      </c>
      <c r="D466" s="171" t="s">
        <v>4856</v>
      </c>
      <c r="E466" s="172" t="s">
        <v>580</v>
      </c>
      <c r="F466" s="172" t="b">
        <v>0</v>
      </c>
      <c r="G466" s="172" t="b">
        <v>1</v>
      </c>
      <c r="H466" s="172" t="b">
        <v>0</v>
      </c>
      <c r="I466" s="172" t="b">
        <v>0</v>
      </c>
      <c r="J466" s="172" t="b">
        <v>0</v>
      </c>
      <c r="K466" s="172" t="b">
        <v>0</v>
      </c>
      <c r="L466" s="172" t="b">
        <v>0</v>
      </c>
      <c r="M466" s="172" t="b">
        <v>0</v>
      </c>
      <c r="N466" s="97" t="s">
        <v>4796</v>
      </c>
      <c r="O466" s="172" t="b">
        <v>1</v>
      </c>
      <c r="P466" s="97"/>
      <c r="Q466" s="174"/>
    </row>
    <row r="467" spans="8:8" ht="43.5" customHeight="1">
      <c r="A467" s="170">
        <v>6.0</v>
      </c>
      <c r="B467" s="171" t="s">
        <v>3921</v>
      </c>
      <c r="C467" s="172">
        <v>241426.0</v>
      </c>
      <c r="D467" s="171" t="s">
        <v>4856</v>
      </c>
      <c r="E467" s="172" t="s">
        <v>580</v>
      </c>
      <c r="F467" s="172" t="b">
        <v>1</v>
      </c>
      <c r="G467" s="172" t="b">
        <v>1</v>
      </c>
      <c r="H467" s="172" t="b">
        <v>0</v>
      </c>
      <c r="I467" s="172" t="b">
        <v>0</v>
      </c>
      <c r="J467" s="172" t="b">
        <v>0</v>
      </c>
      <c r="K467" s="172" t="b">
        <v>0</v>
      </c>
      <c r="L467" s="172" t="b">
        <v>0</v>
      </c>
      <c r="M467" s="172" t="b">
        <v>0</v>
      </c>
      <c r="N467" s="97" t="s">
        <v>4797</v>
      </c>
      <c r="O467" s="172" t="b">
        <v>0</v>
      </c>
      <c r="P467" s="97"/>
      <c r="Q467" s="174"/>
    </row>
    <row r="468" spans="8:8" ht="43.5" customHeight="1">
      <c r="A468" s="170">
        <v>7.0</v>
      </c>
      <c r="B468" s="171" t="s">
        <v>3922</v>
      </c>
      <c r="C468" s="172">
        <v>241429.0</v>
      </c>
      <c r="D468" s="171" t="s">
        <v>4856</v>
      </c>
      <c r="E468" s="172" t="s">
        <v>580</v>
      </c>
      <c r="F468" s="172" t="b">
        <v>1</v>
      </c>
      <c r="G468" s="172" t="b">
        <v>1</v>
      </c>
      <c r="H468" s="172" t="b">
        <v>1</v>
      </c>
      <c r="I468" s="172" t="b">
        <v>0</v>
      </c>
      <c r="J468" s="172" t="b">
        <v>0</v>
      </c>
      <c r="K468" s="172" t="b">
        <v>0</v>
      </c>
      <c r="L468" s="172" t="b">
        <v>0</v>
      </c>
      <c r="M468" s="172" t="b">
        <v>0</v>
      </c>
      <c r="N468" s="97" t="s">
        <v>4798</v>
      </c>
      <c r="O468" s="172" t="b">
        <v>0</v>
      </c>
      <c r="P468" s="97"/>
      <c r="Q468" s="174"/>
    </row>
    <row r="469" spans="8:8" ht="43.5" customHeight="1">
      <c r="A469" s="170">
        <v>8.0</v>
      </c>
      <c r="B469" s="171" t="s">
        <v>3923</v>
      </c>
      <c r="C469" s="172">
        <v>241430.0</v>
      </c>
      <c r="D469" s="171" t="s">
        <v>4856</v>
      </c>
      <c r="E469" s="172" t="s">
        <v>580</v>
      </c>
      <c r="F469" s="172" t="b">
        <v>0</v>
      </c>
      <c r="G469" s="172" t="b">
        <v>0</v>
      </c>
      <c r="H469" s="172" t="b">
        <v>1</v>
      </c>
      <c r="I469" s="172" t="b">
        <v>0</v>
      </c>
      <c r="J469" s="172" t="b">
        <v>0</v>
      </c>
      <c r="K469" s="172" t="b">
        <v>0</v>
      </c>
      <c r="L469" s="172" t="b">
        <v>0</v>
      </c>
      <c r="M469" s="172" t="b">
        <v>0</v>
      </c>
      <c r="N469" s="97" t="s">
        <v>4799</v>
      </c>
      <c r="O469" s="172" t="b">
        <v>0</v>
      </c>
      <c r="P469" s="97"/>
      <c r="Q469" s="174"/>
    </row>
    <row r="470" spans="8:8" ht="43.5" customHeight="1">
      <c r="A470" s="170">
        <v>9.0</v>
      </c>
      <c r="B470" s="171" t="s">
        <v>3924</v>
      </c>
      <c r="C470" s="172">
        <v>241434.0</v>
      </c>
      <c r="D470" s="171" t="s">
        <v>4856</v>
      </c>
      <c r="E470" s="172" t="s">
        <v>580</v>
      </c>
      <c r="F470" s="172" t="b">
        <v>0</v>
      </c>
      <c r="G470" s="172" t="b">
        <v>1</v>
      </c>
      <c r="H470" s="172" t="b">
        <v>0</v>
      </c>
      <c r="I470" s="172" t="b">
        <v>0</v>
      </c>
      <c r="J470" s="172" t="b">
        <v>0</v>
      </c>
      <c r="K470" s="172" t="b">
        <v>0</v>
      </c>
      <c r="L470" s="172" t="b">
        <v>0</v>
      </c>
      <c r="M470" s="172" t="b">
        <v>0</v>
      </c>
      <c r="N470" s="97" t="s">
        <v>4800</v>
      </c>
      <c r="O470" s="172" t="b">
        <v>0</v>
      </c>
      <c r="P470" s="97"/>
      <c r="Q470" s="174"/>
    </row>
    <row r="471" spans="8:8" ht="43.5" customHeight="1">
      <c r="A471" s="170">
        <v>10.0</v>
      </c>
      <c r="B471" s="171" t="s">
        <v>3925</v>
      </c>
      <c r="C471" s="172">
        <v>241436.0</v>
      </c>
      <c r="D471" s="171" t="s">
        <v>4856</v>
      </c>
      <c r="E471" s="172" t="s">
        <v>580</v>
      </c>
      <c r="F471" s="172" t="b">
        <v>0</v>
      </c>
      <c r="G471" s="172" t="b">
        <v>0</v>
      </c>
      <c r="H471" s="172" t="b">
        <v>0</v>
      </c>
      <c r="I471" s="172" t="b">
        <v>0</v>
      </c>
      <c r="J471" s="172" t="b">
        <v>0</v>
      </c>
      <c r="K471" s="172" t="b">
        <v>0</v>
      </c>
      <c r="L471" s="172" t="b">
        <v>0</v>
      </c>
      <c r="M471" s="172" t="b">
        <v>0</v>
      </c>
      <c r="N471" s="97" t="s">
        <v>4801</v>
      </c>
      <c r="O471" s="172" t="b">
        <v>0</v>
      </c>
      <c r="P471" s="97"/>
      <c r="Q471" s="174"/>
    </row>
    <row r="472" spans="8:8" ht="43.5" customHeight="1">
      <c r="A472" s="170">
        <v>11.0</v>
      </c>
      <c r="B472" s="171" t="s">
        <v>3926</v>
      </c>
      <c r="C472" s="172">
        <v>241437.0</v>
      </c>
      <c r="D472" s="171" t="s">
        <v>4856</v>
      </c>
      <c r="E472" s="172" t="s">
        <v>580</v>
      </c>
      <c r="F472" s="172" t="b">
        <v>0</v>
      </c>
      <c r="G472" s="172" t="b">
        <v>1</v>
      </c>
      <c r="H472" s="172" t="b">
        <v>0</v>
      </c>
      <c r="I472" s="172" t="b">
        <v>0</v>
      </c>
      <c r="J472" s="172" t="b">
        <v>0</v>
      </c>
      <c r="K472" s="172" t="b">
        <v>0</v>
      </c>
      <c r="L472" s="172" t="b">
        <v>0</v>
      </c>
      <c r="M472" s="172" t="b">
        <v>0</v>
      </c>
      <c r="N472" s="97"/>
      <c r="O472" s="97"/>
      <c r="P472" s="97"/>
      <c r="Q472" s="174"/>
    </row>
    <row r="473" spans="8:8" ht="43.5" customHeight="1">
      <c r="A473" s="170">
        <v>12.0</v>
      </c>
      <c r="B473" s="171" t="s">
        <v>3927</v>
      </c>
      <c r="C473" s="172">
        <v>241438.0</v>
      </c>
      <c r="D473" s="171" t="s">
        <v>4856</v>
      </c>
      <c r="E473" s="172" t="s">
        <v>580</v>
      </c>
      <c r="F473" s="172" t="b">
        <v>0</v>
      </c>
      <c r="G473" s="172" t="b">
        <v>1</v>
      </c>
      <c r="H473" s="172" t="b">
        <v>0</v>
      </c>
      <c r="I473" s="172" t="b">
        <v>0</v>
      </c>
      <c r="J473" s="172" t="b">
        <v>0</v>
      </c>
      <c r="K473" s="172" t="b">
        <v>0</v>
      </c>
      <c r="L473" s="172" t="b">
        <v>0</v>
      </c>
      <c r="M473" s="172" t="b">
        <v>0</v>
      </c>
      <c r="N473" s="97"/>
      <c r="O473" s="97"/>
      <c r="P473" s="97"/>
      <c r="Q473" s="174"/>
    </row>
    <row r="474" spans="8:8" ht="43.5" customHeight="1">
      <c r="A474" s="170">
        <v>13.0</v>
      </c>
      <c r="B474" s="171" t="s">
        <v>3928</v>
      </c>
      <c r="C474" s="172">
        <v>241442.0</v>
      </c>
      <c r="D474" s="171" t="s">
        <v>4856</v>
      </c>
      <c r="E474" s="172" t="s">
        <v>580</v>
      </c>
      <c r="F474" s="172" t="b">
        <v>0</v>
      </c>
      <c r="G474" s="172" t="b">
        <v>1</v>
      </c>
      <c r="H474" s="172" t="b">
        <v>0</v>
      </c>
      <c r="I474" s="172" t="b">
        <v>0</v>
      </c>
      <c r="J474" s="172" t="b">
        <v>0</v>
      </c>
      <c r="K474" s="172" t="b">
        <v>0</v>
      </c>
      <c r="L474" s="172" t="b">
        <v>0</v>
      </c>
      <c r="M474" s="172" t="b">
        <v>0</v>
      </c>
      <c r="N474" s="97"/>
      <c r="O474" s="97"/>
      <c r="P474" s="97"/>
      <c r="Q474" s="174"/>
    </row>
    <row r="475" spans="8:8" ht="43.5" customHeight="1">
      <c r="A475" s="170">
        <v>14.0</v>
      </c>
      <c r="B475" s="171" t="s">
        <v>4274</v>
      </c>
      <c r="C475" s="172">
        <v>241444.0</v>
      </c>
      <c r="D475" s="171" t="s">
        <v>4856</v>
      </c>
      <c r="E475" s="172" t="s">
        <v>580</v>
      </c>
      <c r="F475" s="172" t="b">
        <v>0</v>
      </c>
      <c r="G475" s="172" t="b">
        <v>0</v>
      </c>
      <c r="H475" s="172" t="b">
        <v>0</v>
      </c>
      <c r="I475" s="172" t="b">
        <v>0</v>
      </c>
      <c r="J475" s="172" t="b">
        <v>0</v>
      </c>
      <c r="K475" s="172" t="b">
        <v>0</v>
      </c>
      <c r="L475" s="172" t="b">
        <v>0</v>
      </c>
      <c r="M475" s="172" t="b">
        <v>0</v>
      </c>
      <c r="N475" s="97"/>
      <c r="O475" s="97"/>
      <c r="P475" s="97"/>
      <c r="Q475" s="174"/>
    </row>
    <row r="476" spans="8:8" ht="43.5" customHeight="1">
      <c r="A476" s="170">
        <v>15.0</v>
      </c>
      <c r="B476" s="171" t="s">
        <v>3929</v>
      </c>
      <c r="C476" s="172">
        <v>241445.0</v>
      </c>
      <c r="D476" s="171" t="s">
        <v>4856</v>
      </c>
      <c r="E476" s="172" t="s">
        <v>580</v>
      </c>
      <c r="F476" s="172" t="b">
        <v>0</v>
      </c>
      <c r="G476" s="172" t="b">
        <v>1</v>
      </c>
      <c r="H476" s="172" t="b">
        <v>0</v>
      </c>
      <c r="I476" s="172" t="b">
        <v>0</v>
      </c>
      <c r="J476" s="172" t="b">
        <v>0</v>
      </c>
      <c r="K476" s="172" t="b">
        <v>0</v>
      </c>
      <c r="L476" s="172" t="b">
        <v>0</v>
      </c>
      <c r="M476" s="172" t="b">
        <v>0</v>
      </c>
      <c r="N476" s="97"/>
      <c r="O476" s="97"/>
      <c r="P476" s="97"/>
      <c r="Q476" s="174"/>
    </row>
    <row r="477" spans="8:8" ht="43.5" customHeight="1">
      <c r="A477" s="170">
        <v>16.0</v>
      </c>
      <c r="B477" s="171" t="s">
        <v>3930</v>
      </c>
      <c r="C477" s="172">
        <v>241446.0</v>
      </c>
      <c r="D477" s="171" t="s">
        <v>4856</v>
      </c>
      <c r="E477" s="172" t="s">
        <v>580</v>
      </c>
      <c r="F477" s="172" t="b">
        <v>0</v>
      </c>
      <c r="G477" s="172" t="b">
        <v>0</v>
      </c>
      <c r="H477" s="172" t="b">
        <v>1</v>
      </c>
      <c r="I477" s="172" t="b">
        <v>0</v>
      </c>
      <c r="J477" s="172" t="b">
        <v>0</v>
      </c>
      <c r="K477" s="172" t="b">
        <v>0</v>
      </c>
      <c r="L477" s="172" t="b">
        <v>0</v>
      </c>
      <c r="M477" s="172" t="b">
        <v>0</v>
      </c>
      <c r="N477" s="97"/>
      <c r="O477" s="97"/>
      <c r="P477" s="97"/>
      <c r="Q477" s="174"/>
    </row>
    <row r="478" spans="8:8" ht="43.5" customHeight="1">
      <c r="A478" s="170">
        <v>17.0</v>
      </c>
      <c r="B478" s="171" t="s">
        <v>3931</v>
      </c>
      <c r="C478" s="172">
        <v>241601.0</v>
      </c>
      <c r="D478" s="171" t="s">
        <v>4857</v>
      </c>
      <c r="E478" s="172" t="s">
        <v>580</v>
      </c>
      <c r="F478" s="172" t="b">
        <v>0</v>
      </c>
      <c r="G478" s="172" t="b">
        <v>1</v>
      </c>
      <c r="H478" s="172" t="b">
        <v>1</v>
      </c>
      <c r="I478" s="172" t="b">
        <v>0</v>
      </c>
      <c r="J478" s="172" t="b">
        <v>0</v>
      </c>
      <c r="K478" s="172" t="b">
        <v>0</v>
      </c>
      <c r="L478" s="172" t="b">
        <v>0</v>
      </c>
      <c r="M478" s="172" t="b">
        <v>0</v>
      </c>
      <c r="N478" s="97"/>
      <c r="O478" s="97"/>
      <c r="P478" s="97"/>
      <c r="Q478" s="174"/>
    </row>
    <row r="479" spans="8:8" ht="43.5" customHeight="1">
      <c r="A479" s="170">
        <v>18.0</v>
      </c>
      <c r="B479" s="171" t="s">
        <v>3932</v>
      </c>
      <c r="C479" s="172">
        <v>241291.0</v>
      </c>
      <c r="D479" s="171" t="s">
        <v>4856</v>
      </c>
      <c r="E479" s="172" t="s">
        <v>580</v>
      </c>
      <c r="F479" s="172" t="b">
        <v>0</v>
      </c>
      <c r="G479" s="172" t="b">
        <v>1</v>
      </c>
      <c r="H479" s="172" t="b">
        <v>1</v>
      </c>
      <c r="I479" s="172" t="b">
        <v>0</v>
      </c>
      <c r="J479" s="172" t="b">
        <v>0</v>
      </c>
      <c r="K479" s="172" t="b">
        <v>0</v>
      </c>
      <c r="L479" s="172" t="b">
        <v>0</v>
      </c>
      <c r="M479" s="172" t="b">
        <v>0</v>
      </c>
      <c r="N479" s="97"/>
      <c r="O479" s="97"/>
      <c r="P479" s="97"/>
      <c r="Q479" s="174"/>
    </row>
    <row r="480" spans="8:8" ht="43.5" customHeight="1">
      <c r="A480" s="170">
        <v>19.0</v>
      </c>
      <c r="B480" s="171" t="s">
        <v>3933</v>
      </c>
      <c r="C480" s="172">
        <v>241365.0</v>
      </c>
      <c r="D480" s="171" t="s">
        <v>4856</v>
      </c>
      <c r="E480" s="172" t="s">
        <v>580</v>
      </c>
      <c r="F480" s="172" t="b">
        <v>0</v>
      </c>
      <c r="G480" s="172" t="b">
        <v>1</v>
      </c>
      <c r="H480" s="172" t="b">
        <v>0</v>
      </c>
      <c r="I480" s="172" t="b">
        <v>0</v>
      </c>
      <c r="J480" s="172" t="b">
        <v>0</v>
      </c>
      <c r="K480" s="172" t="b">
        <v>0</v>
      </c>
      <c r="L480" s="172" t="b">
        <v>0</v>
      </c>
      <c r="M480" s="172" t="b">
        <v>0</v>
      </c>
      <c r="N480" s="97"/>
      <c r="O480" s="97"/>
      <c r="P480" s="97"/>
      <c r="Q480" s="174"/>
    </row>
    <row r="481" spans="8:8" ht="43.5" customHeight="1">
      <c r="A481" s="170">
        <v>20.0</v>
      </c>
      <c r="B481" s="171" t="s">
        <v>3934</v>
      </c>
      <c r="C481" s="172">
        <v>241402.0</v>
      </c>
      <c r="D481" s="171" t="s">
        <v>4856</v>
      </c>
      <c r="E481" s="172" t="s">
        <v>580</v>
      </c>
      <c r="F481" s="172" t="b">
        <v>0</v>
      </c>
      <c r="G481" s="172" t="b">
        <v>0</v>
      </c>
      <c r="H481" s="172" t="b">
        <v>1</v>
      </c>
      <c r="I481" s="172" t="b">
        <v>0</v>
      </c>
      <c r="J481" s="172" t="b">
        <v>0</v>
      </c>
      <c r="K481" s="172" t="b">
        <v>0</v>
      </c>
      <c r="L481" s="172" t="b">
        <v>0</v>
      </c>
      <c r="M481" s="172" t="b">
        <v>0</v>
      </c>
      <c r="N481" s="97"/>
      <c r="O481" s="97"/>
      <c r="P481" s="97"/>
      <c r="Q481" s="174"/>
    </row>
    <row r="482" spans="8:8" ht="43.5" customHeight="1">
      <c r="A482" s="170">
        <v>21.0</v>
      </c>
      <c r="B482" s="171" t="s">
        <v>3935</v>
      </c>
      <c r="C482" s="172">
        <v>241319.0</v>
      </c>
      <c r="D482" s="171" t="s">
        <v>4856</v>
      </c>
      <c r="E482" s="172" t="s">
        <v>580</v>
      </c>
      <c r="F482" s="172" t="b">
        <v>0</v>
      </c>
      <c r="G482" s="172" t="b">
        <v>1</v>
      </c>
      <c r="H482" s="172" t="b">
        <v>1</v>
      </c>
      <c r="I482" s="172" t="b">
        <v>0</v>
      </c>
      <c r="J482" s="172" t="b">
        <v>0</v>
      </c>
      <c r="K482" s="172" t="b">
        <v>0</v>
      </c>
      <c r="L482" s="172" t="b">
        <v>0</v>
      </c>
      <c r="M482" s="172" t="b">
        <v>0</v>
      </c>
      <c r="N482" s="97"/>
      <c r="O482" s="97"/>
      <c r="P482" s="97"/>
      <c r="Q482" s="174"/>
    </row>
    <row r="483" spans="8:8" ht="43.5" customHeight="1">
      <c r="A483" s="170">
        <v>22.0</v>
      </c>
      <c r="B483" s="171" t="s">
        <v>3936</v>
      </c>
      <c r="C483" s="172">
        <v>251588.0</v>
      </c>
      <c r="D483" s="171" t="s">
        <v>4845</v>
      </c>
      <c r="E483" s="172" t="s">
        <v>580</v>
      </c>
      <c r="F483" s="172" t="b">
        <v>0</v>
      </c>
      <c r="G483" s="172" t="b">
        <v>1</v>
      </c>
      <c r="H483" s="172" t="b">
        <v>1</v>
      </c>
      <c r="I483" s="172" t="b">
        <v>0</v>
      </c>
      <c r="J483" s="172" t="b">
        <v>0</v>
      </c>
      <c r="K483" s="172" t="b">
        <v>0</v>
      </c>
      <c r="L483" s="172" t="b">
        <v>0</v>
      </c>
      <c r="M483" s="172" t="b">
        <v>0</v>
      </c>
      <c r="N483" s="97"/>
      <c r="O483" s="97"/>
      <c r="P483" s="97"/>
      <c r="Q483" s="174"/>
    </row>
    <row r="484" spans="8:8" ht="43.5" customHeight="1">
      <c r="A484" s="170">
        <v>23.0</v>
      </c>
      <c r="B484" s="171" t="s">
        <v>3937</v>
      </c>
      <c r="C484" s="97">
        <v>241863.0</v>
      </c>
      <c r="D484" s="181" t="s">
        <v>4875</v>
      </c>
      <c r="E484" s="172" t="s">
        <v>580</v>
      </c>
      <c r="F484" s="172" t="b">
        <v>0</v>
      </c>
      <c r="G484" s="172" t="b">
        <v>1</v>
      </c>
      <c r="H484" s="172" t="b">
        <v>0</v>
      </c>
      <c r="I484" s="172" t="b">
        <v>0</v>
      </c>
      <c r="J484" s="172" t="b">
        <v>0</v>
      </c>
      <c r="K484" s="172" t="b">
        <v>0</v>
      </c>
      <c r="L484" s="172" t="b">
        <v>0</v>
      </c>
      <c r="M484" s="172" t="b">
        <v>0</v>
      </c>
      <c r="N484" s="97"/>
      <c r="O484" s="97"/>
      <c r="P484" s="97"/>
      <c r="Q484" s="174"/>
    </row>
    <row r="485" spans="8:8" ht="43.5" customHeight="1">
      <c r="A485" s="170">
        <v>24.0</v>
      </c>
      <c r="B485" s="171" t="s">
        <v>3938</v>
      </c>
      <c r="C485" s="172">
        <v>241941.0</v>
      </c>
      <c r="D485" s="171" t="s">
        <v>4859</v>
      </c>
      <c r="E485" s="97" t="s">
        <v>580</v>
      </c>
      <c r="F485" s="172" t="b">
        <v>0</v>
      </c>
      <c r="G485" s="172" t="b">
        <v>1</v>
      </c>
      <c r="H485" s="172" t="b">
        <v>1</v>
      </c>
      <c r="I485" s="172" t="b">
        <v>0</v>
      </c>
      <c r="J485" s="172" t="b">
        <v>0</v>
      </c>
      <c r="K485" s="172" t="b">
        <v>0</v>
      </c>
      <c r="L485" s="172" t="b">
        <v>0</v>
      </c>
      <c r="M485" s="172" t="b">
        <v>0</v>
      </c>
      <c r="N485" s="97"/>
      <c r="O485" s="97"/>
      <c r="P485" s="97"/>
      <c r="Q485" s="174"/>
    </row>
    <row r="486" spans="8:8" ht="43.5" customHeight="1">
      <c r="A486" s="170">
        <v>25.0</v>
      </c>
      <c r="B486" s="171" t="s">
        <v>3939</v>
      </c>
      <c r="C486" s="172">
        <v>251722.0</v>
      </c>
      <c r="D486" s="171" t="s">
        <v>4820</v>
      </c>
      <c r="E486" s="172" t="s">
        <v>580</v>
      </c>
      <c r="F486" s="172" t="b">
        <v>1</v>
      </c>
      <c r="G486" s="172" t="b">
        <v>0</v>
      </c>
      <c r="H486" s="172" t="b">
        <v>1</v>
      </c>
      <c r="I486" s="172" t="b">
        <v>0</v>
      </c>
      <c r="J486" s="172" t="b">
        <v>0</v>
      </c>
      <c r="K486" s="172" t="b">
        <v>0</v>
      </c>
      <c r="L486" s="172" t="b">
        <v>0</v>
      </c>
      <c r="M486" s="172" t="b">
        <v>0</v>
      </c>
      <c r="N486" s="97"/>
      <c r="O486" s="97"/>
      <c r="P486" s="97"/>
      <c r="Q486" s="174"/>
    </row>
    <row r="487" spans="8:8" ht="43.5" customHeight="1">
      <c r="A487" s="170">
        <v>26.0</v>
      </c>
      <c r="B487" s="171" t="s">
        <v>4275</v>
      </c>
      <c r="C487" s="172">
        <v>241194.0</v>
      </c>
      <c r="D487" s="171" t="s">
        <v>4859</v>
      </c>
      <c r="E487" s="172" t="s">
        <v>580</v>
      </c>
      <c r="F487" s="172" t="b">
        <v>0</v>
      </c>
      <c r="G487" s="172" t="b">
        <v>0</v>
      </c>
      <c r="H487" s="172" t="b">
        <v>1</v>
      </c>
      <c r="I487" s="172" t="b">
        <v>0</v>
      </c>
      <c r="J487" s="172" t="b">
        <v>0</v>
      </c>
      <c r="K487" s="172" t="b">
        <v>0</v>
      </c>
      <c r="L487" s="172" t="b">
        <v>0</v>
      </c>
      <c r="M487" s="172" t="b">
        <v>0</v>
      </c>
      <c r="N487" s="97"/>
      <c r="O487" s="97"/>
      <c r="P487" s="97"/>
      <c r="Q487" s="174"/>
    </row>
    <row r="488" spans="8:8" ht="43.5" customHeight="1">
      <c r="A488" s="170">
        <v>27.0</v>
      </c>
      <c r="B488" s="171" t="s">
        <v>4276</v>
      </c>
      <c r="C488" s="172">
        <v>241484.0</v>
      </c>
      <c r="D488" s="171" t="s">
        <v>4851</v>
      </c>
      <c r="E488" s="172" t="s">
        <v>580</v>
      </c>
      <c r="F488" s="172" t="b">
        <v>0</v>
      </c>
      <c r="G488" s="172" t="b">
        <v>1</v>
      </c>
      <c r="H488" s="172" t="b">
        <v>1</v>
      </c>
      <c r="I488" s="172" t="b">
        <v>0</v>
      </c>
      <c r="J488" s="172" t="b">
        <v>0</v>
      </c>
      <c r="K488" s="172" t="b">
        <v>0</v>
      </c>
      <c r="L488" s="172" t="b">
        <v>0</v>
      </c>
      <c r="M488" s="172" t="b">
        <v>0</v>
      </c>
      <c r="N488" s="97"/>
      <c r="O488" s="97"/>
      <c r="P488" s="97"/>
      <c r="Q488" s="174"/>
    </row>
    <row r="489" spans="8:8" ht="43.5" customHeight="1">
      <c r="A489" s="172">
        <v>28.0</v>
      </c>
      <c r="B489" s="171" t="s">
        <v>4277</v>
      </c>
      <c r="C489" s="172">
        <v>241478.0</v>
      </c>
      <c r="D489" s="171" t="s">
        <v>4851</v>
      </c>
      <c r="E489" s="172" t="s">
        <v>580</v>
      </c>
      <c r="F489" s="172" t="b">
        <v>0</v>
      </c>
      <c r="G489" s="172" t="b">
        <v>1</v>
      </c>
      <c r="H489" s="172" t="b">
        <v>1</v>
      </c>
      <c r="I489" s="172" t="b">
        <v>0</v>
      </c>
      <c r="J489" s="172" t="b">
        <v>0</v>
      </c>
      <c r="K489" s="172" t="b">
        <v>0</v>
      </c>
      <c r="L489" s="172" t="b">
        <v>0</v>
      </c>
      <c r="M489" s="172" t="b">
        <v>0</v>
      </c>
      <c r="N489" s="97"/>
      <c r="O489" s="97"/>
      <c r="P489" s="97"/>
      <c r="Q489" s="174"/>
    </row>
    <row r="490" spans="8:8" ht="43.5" customHeight="1">
      <c r="A490" s="172">
        <v>29.0</v>
      </c>
      <c r="B490" s="171" t="s">
        <v>4278</v>
      </c>
      <c r="C490" s="172">
        <v>241483.0</v>
      </c>
      <c r="D490" s="171" t="s">
        <v>4851</v>
      </c>
      <c r="E490" s="172" t="s">
        <v>580</v>
      </c>
      <c r="F490" s="172" t="b">
        <v>0</v>
      </c>
      <c r="G490" s="172" t="b">
        <v>1</v>
      </c>
      <c r="H490" s="172" t="b">
        <v>0</v>
      </c>
      <c r="I490" s="172" t="b">
        <v>0</v>
      </c>
      <c r="J490" s="172" t="b">
        <v>0</v>
      </c>
      <c r="K490" s="172" t="b">
        <v>0</v>
      </c>
      <c r="L490" s="172" t="b">
        <v>0</v>
      </c>
      <c r="M490" s="172" t="b">
        <v>0</v>
      </c>
      <c r="N490" s="97"/>
      <c r="O490" s="97"/>
      <c r="P490" s="97"/>
      <c r="Q490" s="174"/>
    </row>
    <row r="491" spans="8:8" ht="43.5" customHeight="1">
      <c r="A491" s="172">
        <v>15.0</v>
      </c>
      <c r="B491" s="171" t="s">
        <v>4279</v>
      </c>
      <c r="C491" s="172">
        <v>241496.0</v>
      </c>
      <c r="D491" s="171" t="s">
        <v>4851</v>
      </c>
      <c r="E491" s="172" t="s">
        <v>580</v>
      </c>
      <c r="F491" s="172" t="b">
        <v>0</v>
      </c>
      <c r="G491" s="172" t="b">
        <v>1</v>
      </c>
      <c r="H491" s="172" t="b">
        <v>1</v>
      </c>
      <c r="I491" s="172" t="b">
        <v>0</v>
      </c>
      <c r="J491" s="172" t="b">
        <v>0</v>
      </c>
      <c r="K491" s="172" t="b">
        <v>0</v>
      </c>
      <c r="L491" s="172" t="b">
        <v>0</v>
      </c>
      <c r="M491" s="172" t="b">
        <v>0</v>
      </c>
      <c r="N491" s="97"/>
      <c r="O491" s="97"/>
      <c r="P491" s="97"/>
      <c r="Q491" s="174"/>
    </row>
    <row r="492" spans="8:8" ht="43.5" customHeight="1">
      <c r="A492" s="172">
        <v>5.0</v>
      </c>
      <c r="B492" s="171" t="s">
        <v>4280</v>
      </c>
      <c r="C492" s="172">
        <v>241479.0</v>
      </c>
      <c r="D492" s="171" t="s">
        <v>4851</v>
      </c>
      <c r="E492" s="172" t="s">
        <v>580</v>
      </c>
      <c r="F492" s="172" t="b">
        <v>0</v>
      </c>
      <c r="G492" s="172" t="b">
        <v>1</v>
      </c>
      <c r="H492" s="172" t="b">
        <v>1</v>
      </c>
      <c r="I492" s="172" t="b">
        <v>0</v>
      </c>
      <c r="J492" s="172" t="b">
        <v>0</v>
      </c>
      <c r="K492" s="172" t="b">
        <v>0</v>
      </c>
      <c r="L492" s="172" t="b">
        <v>0</v>
      </c>
      <c r="M492" s="172" t="b">
        <v>0</v>
      </c>
      <c r="N492" s="97"/>
      <c r="O492" s="97"/>
      <c r="P492" s="97"/>
      <c r="Q492" s="174"/>
    </row>
    <row r="493" spans="8:8" ht="43.5" customHeight="1">
      <c r="A493" s="172">
        <v>14.0</v>
      </c>
      <c r="B493" s="171" t="s">
        <v>4281</v>
      </c>
      <c r="C493" s="97">
        <v>241425.0</v>
      </c>
      <c r="D493" s="171" t="s">
        <v>1369</v>
      </c>
      <c r="E493" s="172" t="s">
        <v>580</v>
      </c>
      <c r="F493" s="172" t="b">
        <v>0</v>
      </c>
      <c r="G493" s="172" t="b">
        <v>0</v>
      </c>
      <c r="H493" s="172" t="b">
        <v>1</v>
      </c>
      <c r="I493" s="172" t="b">
        <v>0</v>
      </c>
      <c r="J493" s="172" t="b">
        <v>0</v>
      </c>
      <c r="K493" s="172" t="b">
        <v>0</v>
      </c>
      <c r="L493" s="172" t="b">
        <v>0</v>
      </c>
      <c r="M493" s="172" t="b">
        <v>0</v>
      </c>
      <c r="N493" s="97"/>
      <c r="O493" s="97"/>
      <c r="P493" s="97"/>
      <c r="Q493" s="174"/>
    </row>
    <row r="494" spans="8:8" ht="43.5" customHeight="1">
      <c r="A494" s="172"/>
      <c r="B494" s="171" t="s">
        <v>4282</v>
      </c>
      <c r="C494" s="172">
        <v>241504.0</v>
      </c>
      <c r="D494" s="171" t="s">
        <v>4851</v>
      </c>
      <c r="E494" s="172" t="s">
        <v>580</v>
      </c>
      <c r="F494" s="172" t="b">
        <v>0</v>
      </c>
      <c r="G494" s="172" t="b">
        <v>0</v>
      </c>
      <c r="H494" s="172" t="b">
        <v>0</v>
      </c>
      <c r="I494" s="172" t="b">
        <v>0</v>
      </c>
      <c r="J494" s="172" t="b">
        <v>0</v>
      </c>
      <c r="K494" s="172" t="b">
        <v>0</v>
      </c>
      <c r="L494" s="172" t="b">
        <v>0</v>
      </c>
      <c r="M494" s="172" t="b">
        <v>0</v>
      </c>
      <c r="N494" s="97"/>
      <c r="O494" s="97"/>
      <c r="P494" s="97"/>
      <c r="Q494" s="174"/>
    </row>
    <row r="495" spans="8:8" ht="43.5" customHeight="1">
      <c r="A495" s="170"/>
      <c r="B495" s="182" t="s">
        <v>4815</v>
      </c>
      <c r="C495" s="97"/>
      <c r="D495" s="97"/>
      <c r="E495" s="183"/>
      <c r="F495" s="184">
        <f t="shared" si="15" ref="F495:M495">COUNTIF(F466:F485,TRUE)/COUNTA(F466:F485)</f>
        <v>0.1</v>
      </c>
      <c r="G495" s="184">
        <f t="shared" si="15"/>
        <v>0.75</v>
      </c>
      <c r="H495" s="184">
        <f t="shared" si="15"/>
        <v>0.45</v>
      </c>
      <c r="I495" s="184">
        <f t="shared" si="15"/>
        <v>0.0</v>
      </c>
      <c r="J495" s="184">
        <f t="shared" si="15"/>
        <v>0.0</v>
      </c>
      <c r="K495" s="184">
        <f t="shared" si="15"/>
        <v>0.0</v>
      </c>
      <c r="L495" s="184">
        <f t="shared" si="15"/>
        <v>0.0</v>
      </c>
      <c r="M495" s="184">
        <f t="shared" si="15"/>
        <v>0.0</v>
      </c>
      <c r="N495" s="97"/>
      <c r="O495" s="97"/>
      <c r="P495" s="97"/>
      <c r="Q495" s="174"/>
    </row>
    <row r="496" spans="8:8" ht="43.5" customHeight="1">
      <c r="A496" s="185" t="s">
        <v>18</v>
      </c>
      <c r="B496" s="162" t="s">
        <v>19</v>
      </c>
      <c r="C496" s="163"/>
      <c r="D496" s="162" t="s">
        <v>4530</v>
      </c>
      <c r="E496" s="162" t="s">
        <v>22</v>
      </c>
      <c r="F496" s="163" t="s">
        <v>4794</v>
      </c>
      <c r="G496" s="163" t="s">
        <v>4795</v>
      </c>
      <c r="H496" s="163" t="s">
        <v>4796</v>
      </c>
      <c r="I496" s="163" t="s">
        <v>4797</v>
      </c>
      <c r="J496" s="163" t="s">
        <v>4798</v>
      </c>
      <c r="K496" s="163" t="s">
        <v>4799</v>
      </c>
      <c r="L496" s="163" t="s">
        <v>4800</v>
      </c>
      <c r="M496" s="163" t="s">
        <v>4801</v>
      </c>
      <c r="N496" s="166" t="s">
        <v>4876</v>
      </c>
      <c r="O496" s="167"/>
      <c r="P496" s="168"/>
      <c r="Q496" s="169"/>
    </row>
    <row r="497" spans="8:8" ht="43.5" customHeight="1">
      <c r="A497" s="170">
        <v>1.0</v>
      </c>
      <c r="B497" s="171" t="s">
        <v>3940</v>
      </c>
      <c r="C497" s="172">
        <v>251326.0</v>
      </c>
      <c r="D497" s="171" t="s">
        <v>4818</v>
      </c>
      <c r="E497" s="172" t="s">
        <v>781</v>
      </c>
      <c r="F497" s="172" t="b">
        <v>1</v>
      </c>
      <c r="G497" s="172" t="b">
        <v>1</v>
      </c>
      <c r="H497" s="172" t="b">
        <v>0</v>
      </c>
      <c r="I497" s="172" t="b">
        <v>0</v>
      </c>
      <c r="J497" s="172" t="b">
        <v>0</v>
      </c>
      <c r="K497" s="172" t="b">
        <v>0</v>
      </c>
      <c r="L497" s="172" t="b">
        <v>0</v>
      </c>
      <c r="M497" s="172" t="b">
        <v>0</v>
      </c>
      <c r="N497" s="173" t="s">
        <v>4804</v>
      </c>
      <c r="O497" s="167"/>
      <c r="P497" s="168"/>
      <c r="Q497" s="174"/>
    </row>
    <row r="498" spans="8:8" ht="43.5" customHeight="1">
      <c r="A498" s="170">
        <v>2.0</v>
      </c>
      <c r="B498" s="171" t="s">
        <v>3941</v>
      </c>
      <c r="C498" s="172">
        <v>251333.0</v>
      </c>
      <c r="D498" s="171" t="s">
        <v>4818</v>
      </c>
      <c r="E498" s="172" t="s">
        <v>781</v>
      </c>
      <c r="F498" s="172" t="b">
        <v>1</v>
      </c>
      <c r="G498" s="172" t="b">
        <v>1</v>
      </c>
      <c r="H498" s="172" t="b">
        <v>1</v>
      </c>
      <c r="I498" s="172" t="b">
        <v>0</v>
      </c>
      <c r="J498" s="172" t="b">
        <v>0</v>
      </c>
      <c r="K498" s="172" t="b">
        <v>0</v>
      </c>
      <c r="L498" s="172" t="b">
        <v>0</v>
      </c>
      <c r="M498" s="172" t="b">
        <v>0</v>
      </c>
      <c r="N498" s="175" t="s">
        <v>4805</v>
      </c>
      <c r="O498" s="176" t="s">
        <v>4806</v>
      </c>
      <c r="P498" s="97" t="s">
        <v>4807</v>
      </c>
      <c r="Q498" s="174"/>
    </row>
    <row r="499" spans="8:8" ht="43.5" customHeight="1">
      <c r="A499" s="170">
        <v>3.0</v>
      </c>
      <c r="B499" s="171" t="s">
        <v>3942</v>
      </c>
      <c r="C499" s="172">
        <v>251340.0</v>
      </c>
      <c r="D499" s="171" t="s">
        <v>4822</v>
      </c>
      <c r="E499" s="172" t="s">
        <v>781</v>
      </c>
      <c r="F499" s="172" t="b">
        <v>1</v>
      </c>
      <c r="G499" s="172" t="b">
        <v>1</v>
      </c>
      <c r="H499" s="172" t="b">
        <v>1</v>
      </c>
      <c r="I499" s="172" t="b">
        <v>0</v>
      </c>
      <c r="J499" s="172" t="b">
        <v>0</v>
      </c>
      <c r="K499" s="172" t="b">
        <v>0</v>
      </c>
      <c r="L499" s="172" t="b">
        <v>0</v>
      </c>
      <c r="M499" s="172" t="b">
        <v>0</v>
      </c>
      <c r="N499" s="97" t="s">
        <v>4794</v>
      </c>
      <c r="O499" s="172" t="b">
        <v>1</v>
      </c>
      <c r="P499" s="97" t="s">
        <v>4877</v>
      </c>
      <c r="Q499" s="174"/>
    </row>
    <row r="500" spans="8:8" ht="43.5" customHeight="1">
      <c r="A500" s="170">
        <v>4.0</v>
      </c>
      <c r="B500" s="171" t="s">
        <v>3943</v>
      </c>
      <c r="C500" s="172">
        <v>251342.0</v>
      </c>
      <c r="D500" s="171" t="s">
        <v>4822</v>
      </c>
      <c r="E500" s="172" t="s">
        <v>781</v>
      </c>
      <c r="F500" s="172" t="b">
        <v>1</v>
      </c>
      <c r="G500" s="172" t="b">
        <v>1</v>
      </c>
      <c r="H500" s="172" t="b">
        <v>1</v>
      </c>
      <c r="I500" s="172" t="b">
        <v>0</v>
      </c>
      <c r="J500" s="172" t="b">
        <v>0</v>
      </c>
      <c r="K500" s="172" t="b">
        <v>0</v>
      </c>
      <c r="L500" s="172" t="b">
        <v>0</v>
      </c>
      <c r="M500" s="172" t="b">
        <v>0</v>
      </c>
      <c r="N500" s="97" t="s">
        <v>4795</v>
      </c>
      <c r="O500" s="172" t="b">
        <v>1</v>
      </c>
      <c r="P500" s="97"/>
      <c r="Q500" s="174"/>
    </row>
    <row r="501" spans="8:8" ht="43.5" customHeight="1">
      <c r="A501" s="170">
        <v>5.0</v>
      </c>
      <c r="B501" s="171" t="s">
        <v>3944</v>
      </c>
      <c r="C501" s="172">
        <v>252971.0</v>
      </c>
      <c r="D501" s="171" t="s">
        <v>4803</v>
      </c>
      <c r="E501" s="172" t="s">
        <v>781</v>
      </c>
      <c r="F501" s="172" t="b">
        <v>1</v>
      </c>
      <c r="G501" s="172" t="b">
        <v>1</v>
      </c>
      <c r="H501" s="172" t="b">
        <v>1</v>
      </c>
      <c r="I501" s="172" t="b">
        <v>0</v>
      </c>
      <c r="J501" s="172" t="b">
        <v>0</v>
      </c>
      <c r="K501" s="172" t="b">
        <v>0</v>
      </c>
      <c r="L501" s="172" t="b">
        <v>0</v>
      </c>
      <c r="M501" s="172" t="b">
        <v>0</v>
      </c>
      <c r="N501" s="97" t="s">
        <v>4796</v>
      </c>
      <c r="O501" s="172" t="b">
        <v>1</v>
      </c>
      <c r="P501" s="97"/>
      <c r="Q501" s="174"/>
    </row>
    <row r="502" spans="8:8" ht="43.5" customHeight="1">
      <c r="A502" s="170">
        <v>6.0</v>
      </c>
      <c r="B502" s="171" t="s">
        <v>3945</v>
      </c>
      <c r="C502" s="172">
        <v>251549.0</v>
      </c>
      <c r="D502" s="171" t="s">
        <v>4838</v>
      </c>
      <c r="E502" s="172" t="s">
        <v>781</v>
      </c>
      <c r="F502" s="172" t="b">
        <v>0</v>
      </c>
      <c r="G502" s="172" t="b">
        <v>1</v>
      </c>
      <c r="H502" s="172" t="b">
        <v>1</v>
      </c>
      <c r="I502" s="172" t="b">
        <v>0</v>
      </c>
      <c r="J502" s="172" t="b">
        <v>0</v>
      </c>
      <c r="K502" s="172" t="b">
        <v>0</v>
      </c>
      <c r="L502" s="172" t="b">
        <v>0</v>
      </c>
      <c r="M502" s="172" t="b">
        <v>0</v>
      </c>
      <c r="N502" s="97" t="s">
        <v>4797</v>
      </c>
      <c r="O502" s="172" t="b">
        <v>0</v>
      </c>
      <c r="P502" s="97"/>
      <c r="Q502" s="174"/>
    </row>
    <row r="503" spans="8:8" ht="43.5" customHeight="1">
      <c r="A503" s="170">
        <v>7.0</v>
      </c>
      <c r="B503" s="171" t="s">
        <v>3946</v>
      </c>
      <c r="C503" s="172">
        <v>251554.0</v>
      </c>
      <c r="D503" s="171" t="s">
        <v>4838</v>
      </c>
      <c r="E503" s="172" t="s">
        <v>781</v>
      </c>
      <c r="F503" s="172" t="b">
        <v>1</v>
      </c>
      <c r="G503" s="172" t="b">
        <v>1</v>
      </c>
      <c r="H503" s="172" t="b">
        <v>1</v>
      </c>
      <c r="I503" s="172" t="b">
        <v>0</v>
      </c>
      <c r="J503" s="172" t="b">
        <v>0</v>
      </c>
      <c r="K503" s="172" t="b">
        <v>0</v>
      </c>
      <c r="L503" s="172" t="b">
        <v>0</v>
      </c>
      <c r="M503" s="172" t="b">
        <v>0</v>
      </c>
      <c r="N503" s="97" t="s">
        <v>4798</v>
      </c>
      <c r="O503" s="172" t="b">
        <v>0</v>
      </c>
      <c r="P503" s="97"/>
      <c r="Q503" s="174"/>
    </row>
    <row r="504" spans="8:8" ht="43.5" customHeight="1">
      <c r="A504" s="170">
        <v>8.0</v>
      </c>
      <c r="B504" s="171" t="s">
        <v>3947</v>
      </c>
      <c r="C504" s="172">
        <v>251559.0</v>
      </c>
      <c r="D504" s="171" t="s">
        <v>4838</v>
      </c>
      <c r="E504" s="172" t="s">
        <v>781</v>
      </c>
      <c r="F504" s="172" t="b">
        <v>0</v>
      </c>
      <c r="G504" s="172" t="b">
        <v>1</v>
      </c>
      <c r="H504" s="172" t="b">
        <v>0</v>
      </c>
      <c r="I504" s="172" t="b">
        <v>0</v>
      </c>
      <c r="J504" s="172" t="b">
        <v>0</v>
      </c>
      <c r="K504" s="172" t="b">
        <v>0</v>
      </c>
      <c r="L504" s="172" t="b">
        <v>0</v>
      </c>
      <c r="M504" s="172" t="b">
        <v>0</v>
      </c>
      <c r="N504" s="97" t="s">
        <v>4799</v>
      </c>
      <c r="O504" s="172" t="b">
        <v>0</v>
      </c>
      <c r="P504" s="97"/>
      <c r="Q504" s="174"/>
    </row>
    <row r="505" spans="8:8" ht="43.5" customHeight="1">
      <c r="A505" s="170">
        <v>9.0</v>
      </c>
      <c r="B505" s="171" t="s">
        <v>3948</v>
      </c>
      <c r="C505" s="172">
        <v>241324.0</v>
      </c>
      <c r="D505" s="171" t="s">
        <v>4856</v>
      </c>
      <c r="E505" s="172" t="s">
        <v>781</v>
      </c>
      <c r="F505" s="172" t="b">
        <v>1</v>
      </c>
      <c r="G505" s="172" t="b">
        <v>1</v>
      </c>
      <c r="H505" s="172" t="b">
        <v>1</v>
      </c>
      <c r="I505" s="172" t="b">
        <v>1</v>
      </c>
      <c r="J505" s="172" t="b">
        <v>0</v>
      </c>
      <c r="K505" s="172" t="b">
        <v>0</v>
      </c>
      <c r="L505" s="172" t="b">
        <v>0</v>
      </c>
      <c r="M505" s="172" t="b">
        <v>0</v>
      </c>
      <c r="N505" s="97" t="s">
        <v>4800</v>
      </c>
      <c r="O505" s="172" t="b">
        <v>0</v>
      </c>
      <c r="P505" s="97"/>
      <c r="Q505" s="174"/>
    </row>
    <row r="506" spans="8:8" ht="43.5" customHeight="1">
      <c r="A506" s="170">
        <v>12.0</v>
      </c>
      <c r="B506" s="171" t="s">
        <v>3949</v>
      </c>
      <c r="C506" s="172">
        <v>241396.0</v>
      </c>
      <c r="D506" s="171" t="s">
        <v>4856</v>
      </c>
      <c r="E506" s="172" t="s">
        <v>781</v>
      </c>
      <c r="F506" s="172" t="b">
        <v>0</v>
      </c>
      <c r="G506" s="172" t="b">
        <v>1</v>
      </c>
      <c r="H506" s="172" t="b">
        <v>1</v>
      </c>
      <c r="I506" s="172" t="b">
        <v>0</v>
      </c>
      <c r="J506" s="172" t="b">
        <v>0</v>
      </c>
      <c r="K506" s="172" t="b">
        <v>0</v>
      </c>
      <c r="L506" s="172" t="b">
        <v>0</v>
      </c>
      <c r="M506" s="172" t="b">
        <v>0</v>
      </c>
      <c r="N506" s="97" t="s">
        <v>4801</v>
      </c>
      <c r="O506" s="172" t="b">
        <v>0</v>
      </c>
      <c r="P506" s="97"/>
      <c r="Q506" s="174"/>
    </row>
    <row r="507" spans="8:8" ht="43.5" customHeight="1">
      <c r="A507" s="170">
        <v>16.0</v>
      </c>
      <c r="B507" s="171" t="s">
        <v>3950</v>
      </c>
      <c r="C507" s="172">
        <v>241645.0</v>
      </c>
      <c r="D507" s="171" t="s">
        <v>4857</v>
      </c>
      <c r="E507" s="172" t="s">
        <v>781</v>
      </c>
      <c r="F507" s="172" t="b">
        <v>0</v>
      </c>
      <c r="G507" s="172" t="b">
        <v>0</v>
      </c>
      <c r="H507" s="172" t="b">
        <v>0</v>
      </c>
      <c r="I507" s="172" t="b">
        <v>0</v>
      </c>
      <c r="J507" s="172" t="b">
        <v>0</v>
      </c>
      <c r="K507" s="172" t="b">
        <v>0</v>
      </c>
      <c r="L507" s="172" t="b">
        <v>0</v>
      </c>
      <c r="M507" s="172" t="b">
        <v>0</v>
      </c>
      <c r="N507" s="97"/>
      <c r="O507" s="97"/>
      <c r="P507" s="97"/>
      <c r="Q507" s="174"/>
    </row>
    <row r="508" spans="8:8" ht="43.5" customHeight="1">
      <c r="A508" s="170">
        <v>17.0</v>
      </c>
      <c r="B508" s="171" t="s">
        <v>3951</v>
      </c>
      <c r="C508" s="172">
        <v>241647.0</v>
      </c>
      <c r="D508" s="171" t="s">
        <v>4857</v>
      </c>
      <c r="E508" s="172" t="s">
        <v>781</v>
      </c>
      <c r="F508" s="172" t="b">
        <v>0</v>
      </c>
      <c r="G508" s="172" t="b">
        <v>0</v>
      </c>
      <c r="H508" s="172" t="b">
        <v>1</v>
      </c>
      <c r="I508" s="172" t="b">
        <v>0</v>
      </c>
      <c r="J508" s="172" t="b">
        <v>0</v>
      </c>
      <c r="K508" s="172" t="b">
        <v>0</v>
      </c>
      <c r="L508" s="172" t="b">
        <v>0</v>
      </c>
      <c r="M508" s="172" t="b">
        <v>0</v>
      </c>
      <c r="N508" s="97"/>
      <c r="O508" s="97"/>
      <c r="P508" s="97"/>
      <c r="Q508" s="174"/>
    </row>
    <row r="509" spans="8:8" ht="43.5" customHeight="1">
      <c r="A509" s="170">
        <v>18.0</v>
      </c>
      <c r="B509" s="171" t="s">
        <v>3952</v>
      </c>
      <c r="C509" s="172">
        <v>241650.0</v>
      </c>
      <c r="D509" s="171" t="s">
        <v>4857</v>
      </c>
      <c r="E509" s="172" t="s">
        <v>781</v>
      </c>
      <c r="F509" s="172" t="b">
        <v>0</v>
      </c>
      <c r="G509" s="172" t="b">
        <v>1</v>
      </c>
      <c r="H509" s="172" t="b">
        <v>1</v>
      </c>
      <c r="I509" s="172" t="b">
        <v>0</v>
      </c>
      <c r="J509" s="172" t="b">
        <v>0</v>
      </c>
      <c r="K509" s="172" t="b">
        <v>0</v>
      </c>
      <c r="L509" s="172" t="b">
        <v>0</v>
      </c>
      <c r="M509" s="172" t="b">
        <v>0</v>
      </c>
      <c r="N509" s="97"/>
      <c r="O509" s="97"/>
      <c r="P509" s="97"/>
      <c r="Q509" s="174"/>
    </row>
    <row r="510" spans="8:8" ht="43.5" customHeight="1">
      <c r="A510" s="170">
        <v>19.0</v>
      </c>
      <c r="B510" s="171" t="s">
        <v>3953</v>
      </c>
      <c r="C510" s="172">
        <v>241654.0</v>
      </c>
      <c r="D510" s="171" t="s">
        <v>4857</v>
      </c>
      <c r="E510" s="97" t="s">
        <v>781</v>
      </c>
      <c r="F510" s="172" t="b">
        <v>0</v>
      </c>
      <c r="G510" s="172" t="b">
        <v>1</v>
      </c>
      <c r="H510" s="172" t="b">
        <v>1</v>
      </c>
      <c r="I510" s="172" t="b">
        <v>0</v>
      </c>
      <c r="J510" s="172" t="b">
        <v>0</v>
      </c>
      <c r="K510" s="172" t="b">
        <v>0</v>
      </c>
      <c r="L510" s="172" t="b">
        <v>0</v>
      </c>
      <c r="M510" s="172" t="b">
        <v>0</v>
      </c>
      <c r="N510" s="97"/>
      <c r="O510" s="97"/>
      <c r="P510" s="97"/>
      <c r="Q510" s="174"/>
    </row>
    <row r="511" spans="8:8" ht="43.5" customHeight="1">
      <c r="A511" s="172">
        <v>11.0</v>
      </c>
      <c r="B511" s="171" t="s">
        <v>3954</v>
      </c>
      <c r="C511" s="172">
        <v>251939.0</v>
      </c>
      <c r="D511" s="171" t="s">
        <v>104</v>
      </c>
      <c r="E511" s="172" t="s">
        <v>781</v>
      </c>
      <c r="F511" s="172" t="b">
        <v>0</v>
      </c>
      <c r="G511" s="172" t="b">
        <v>0</v>
      </c>
      <c r="H511" s="172" t="b">
        <v>0</v>
      </c>
      <c r="I511" s="172" t="b">
        <v>0</v>
      </c>
      <c r="J511" s="172" t="b">
        <v>0</v>
      </c>
      <c r="K511" s="172" t="b">
        <v>0</v>
      </c>
      <c r="L511" s="172" t="b">
        <v>0</v>
      </c>
      <c r="M511" s="172" t="b">
        <v>0</v>
      </c>
      <c r="N511" s="97"/>
      <c r="O511" s="97"/>
      <c r="P511" s="97"/>
      <c r="Q511" s="174"/>
    </row>
    <row r="512" spans="8:8" ht="43.5" customHeight="1">
      <c r="A512" s="172">
        <v>27.0</v>
      </c>
      <c r="B512" s="171" t="s">
        <v>3955</v>
      </c>
      <c r="C512" s="172">
        <v>251987.0</v>
      </c>
      <c r="D512" s="171" t="s">
        <v>104</v>
      </c>
      <c r="E512" s="172" t="s">
        <v>781</v>
      </c>
      <c r="F512" s="172" t="b">
        <v>0</v>
      </c>
      <c r="G512" s="172" t="b">
        <v>1</v>
      </c>
      <c r="H512" s="172" t="b">
        <v>1</v>
      </c>
      <c r="I512" s="172" t="b">
        <v>0</v>
      </c>
      <c r="J512" s="172" t="b">
        <v>0</v>
      </c>
      <c r="K512" s="172" t="b">
        <v>0</v>
      </c>
      <c r="L512" s="172" t="b">
        <v>0</v>
      </c>
      <c r="M512" s="172" t="b">
        <v>0</v>
      </c>
      <c r="N512" s="97"/>
      <c r="O512" s="97"/>
      <c r="P512" s="97"/>
      <c r="Q512" s="174"/>
    </row>
    <row r="513" spans="8:8" ht="43.5" customHeight="1">
      <c r="A513" s="20">
        <v>29.0</v>
      </c>
      <c r="B513" s="171" t="s">
        <v>836</v>
      </c>
      <c r="C513" s="172">
        <v>240719.0</v>
      </c>
      <c r="D513" s="172"/>
      <c r="E513" s="172" t="s">
        <v>781</v>
      </c>
      <c r="F513" s="172" t="b">
        <v>0</v>
      </c>
      <c r="G513" s="172" t="b">
        <v>0</v>
      </c>
      <c r="H513" s="172" t="b">
        <v>1</v>
      </c>
      <c r="I513" s="172" t="b">
        <v>0</v>
      </c>
      <c r="J513" s="172" t="b">
        <v>0</v>
      </c>
      <c r="K513" s="172" t="b">
        <v>0</v>
      </c>
      <c r="L513" s="172" t="b">
        <v>0</v>
      </c>
      <c r="M513" s="172" t="b">
        <v>0</v>
      </c>
      <c r="N513" s="97"/>
      <c r="O513" s="97"/>
      <c r="P513" s="97"/>
      <c r="Q513" s="174"/>
    </row>
    <row r="514" spans="8:8" ht="43.5" customHeight="1">
      <c r="A514" s="172">
        <v>2.0</v>
      </c>
      <c r="B514" s="171" t="s">
        <v>3956</v>
      </c>
      <c r="C514" s="172">
        <v>251717.0</v>
      </c>
      <c r="D514" s="171" t="s">
        <v>4843</v>
      </c>
      <c r="E514" s="172" t="s">
        <v>781</v>
      </c>
      <c r="F514" s="172" t="b">
        <v>1</v>
      </c>
      <c r="G514" s="172" t="b">
        <v>0</v>
      </c>
      <c r="H514" s="172" t="b">
        <v>0</v>
      </c>
      <c r="I514" s="172" t="b">
        <v>0</v>
      </c>
      <c r="J514" s="172" t="b">
        <v>0</v>
      </c>
      <c r="K514" s="172" t="b">
        <v>0</v>
      </c>
      <c r="L514" s="172" t="b">
        <v>0</v>
      </c>
      <c r="M514" s="172" t="b">
        <v>0</v>
      </c>
      <c r="N514" s="97"/>
      <c r="O514" s="97"/>
      <c r="P514" s="97"/>
      <c r="Q514" s="174"/>
    </row>
    <row r="515" spans="8:8" ht="43.5" customHeight="1">
      <c r="A515" s="190">
        <v>13.0</v>
      </c>
      <c r="B515" s="96" t="s">
        <v>1399</v>
      </c>
      <c r="C515" s="177">
        <v>240766.0</v>
      </c>
      <c r="D515" s="96" t="s">
        <v>606</v>
      </c>
      <c r="E515" s="177" t="s">
        <v>781</v>
      </c>
      <c r="F515" s="177" t="b">
        <v>0</v>
      </c>
      <c r="G515" s="177" t="b">
        <v>0</v>
      </c>
      <c r="H515" s="177" t="b">
        <v>0</v>
      </c>
      <c r="I515" s="177" t="b">
        <v>0</v>
      </c>
      <c r="J515" s="177" t="b">
        <v>0</v>
      </c>
      <c r="K515" s="177" t="b">
        <v>0</v>
      </c>
      <c r="L515" s="177" t="b">
        <v>0</v>
      </c>
      <c r="M515" s="177" t="b">
        <v>0</v>
      </c>
      <c r="N515" s="97"/>
      <c r="O515" s="97"/>
      <c r="P515" s="177"/>
      <c r="Q515" s="178"/>
    </row>
    <row r="516" spans="8:8" ht="43.5" customHeight="1">
      <c r="A516" s="170"/>
      <c r="B516" s="182" t="s">
        <v>4815</v>
      </c>
      <c r="C516" s="97"/>
      <c r="D516" s="97"/>
      <c r="E516" s="183"/>
      <c r="F516" s="184">
        <f t="shared" si="16" ref="F516:M516">COUNTIF(F496:F510,TRUE)/COUNTA(F496:F510)</f>
        <v>0.4666666666666667</v>
      </c>
      <c r="G516" s="184">
        <f t="shared" si="16"/>
        <v>0.8</v>
      </c>
      <c r="H516" s="184">
        <f t="shared" si="16"/>
        <v>0.7333333333333333</v>
      </c>
      <c r="I516" s="184">
        <f t="shared" si="16"/>
        <v>0.06666666666666667</v>
      </c>
      <c r="J516" s="184">
        <f t="shared" si="16"/>
        <v>0.0</v>
      </c>
      <c r="K516" s="184">
        <f t="shared" si="16"/>
        <v>0.0</v>
      </c>
      <c r="L516" s="184">
        <f t="shared" si="16"/>
        <v>0.0</v>
      </c>
      <c r="M516" s="184">
        <f t="shared" si="16"/>
        <v>0.0</v>
      </c>
      <c r="N516" s="97"/>
      <c r="O516" s="97"/>
      <c r="P516" s="177"/>
      <c r="Q516" s="178"/>
    </row>
    <row r="517" spans="8:8" ht="43.5" customHeight="1">
      <c r="A517" s="185" t="s">
        <v>18</v>
      </c>
      <c r="B517" s="162" t="s">
        <v>19</v>
      </c>
      <c r="C517" s="163"/>
      <c r="D517" s="162" t="s">
        <v>4530</v>
      </c>
      <c r="E517" s="162" t="s">
        <v>22</v>
      </c>
      <c r="F517" s="163" t="s">
        <v>4794</v>
      </c>
      <c r="G517" s="163" t="s">
        <v>4795</v>
      </c>
      <c r="H517" s="163" t="s">
        <v>4796</v>
      </c>
      <c r="I517" s="163" t="s">
        <v>4797</v>
      </c>
      <c r="J517" s="163" t="s">
        <v>4798</v>
      </c>
      <c r="K517" s="163" t="s">
        <v>4799</v>
      </c>
      <c r="L517" s="163" t="s">
        <v>4800</v>
      </c>
      <c r="M517" s="163" t="s">
        <v>4801</v>
      </c>
      <c r="N517" s="166" t="s">
        <v>4878</v>
      </c>
      <c r="O517" s="167"/>
      <c r="P517" s="168"/>
      <c r="Q517" s="169"/>
    </row>
    <row r="518" spans="8:8" ht="43.5" customHeight="1">
      <c r="A518" s="170">
        <v>4.0</v>
      </c>
      <c r="B518" s="171" t="s">
        <v>4322</v>
      </c>
      <c r="C518" s="172">
        <v>241819.0</v>
      </c>
      <c r="D518" s="171" t="s">
        <v>4857</v>
      </c>
      <c r="E518" s="172" t="s">
        <v>781</v>
      </c>
      <c r="F518" s="172" t="b">
        <v>0</v>
      </c>
      <c r="G518" s="172" t="b">
        <v>1</v>
      </c>
      <c r="H518" s="172" t="b">
        <v>0</v>
      </c>
      <c r="I518" s="172" t="b">
        <v>0</v>
      </c>
      <c r="J518" s="172" t="b">
        <v>0</v>
      </c>
      <c r="K518" s="172" t="b">
        <v>0</v>
      </c>
      <c r="L518" s="172" t="b">
        <v>0</v>
      </c>
      <c r="M518" s="172" t="b">
        <v>0</v>
      </c>
      <c r="N518" s="173" t="s">
        <v>4804</v>
      </c>
      <c r="O518" s="167"/>
      <c r="P518" s="168"/>
      <c r="Q518" s="174"/>
    </row>
    <row r="519" spans="8:8" ht="43.5" customHeight="1">
      <c r="A519" s="170">
        <v>6.0</v>
      </c>
      <c r="B519" s="171" t="s">
        <v>4379</v>
      </c>
      <c r="C519" s="172">
        <v>241891.0</v>
      </c>
      <c r="D519" s="171" t="s">
        <v>4857</v>
      </c>
      <c r="E519" s="172" t="s">
        <v>781</v>
      </c>
      <c r="F519" s="172" t="b">
        <v>0</v>
      </c>
      <c r="G519" s="172" t="b">
        <v>1</v>
      </c>
      <c r="H519" s="172" t="b">
        <v>1</v>
      </c>
      <c r="I519" s="172" t="b">
        <v>0</v>
      </c>
      <c r="J519" s="172" t="b">
        <v>0</v>
      </c>
      <c r="K519" s="172" t="b">
        <v>0</v>
      </c>
      <c r="L519" s="172" t="b">
        <v>0</v>
      </c>
      <c r="M519" s="172" t="b">
        <v>0</v>
      </c>
      <c r="N519" s="175" t="s">
        <v>4805</v>
      </c>
      <c r="O519" s="176" t="s">
        <v>4806</v>
      </c>
      <c r="P519" s="97" t="s">
        <v>4807</v>
      </c>
      <c r="Q519" s="174"/>
    </row>
    <row r="520" spans="8:8" ht="43.5" customHeight="1">
      <c r="A520" s="170">
        <v>7.0</v>
      </c>
      <c r="B520" s="171" t="s">
        <v>3960</v>
      </c>
      <c r="C520" s="172">
        <v>241605.0</v>
      </c>
      <c r="D520" s="171" t="s">
        <v>4857</v>
      </c>
      <c r="E520" s="172" t="s">
        <v>781</v>
      </c>
      <c r="F520" s="172" t="b">
        <v>0</v>
      </c>
      <c r="G520" s="172" t="b">
        <v>0</v>
      </c>
      <c r="H520" s="172" t="b">
        <v>1</v>
      </c>
      <c r="I520" s="172" t="b">
        <v>0</v>
      </c>
      <c r="J520" s="172" t="b">
        <v>0</v>
      </c>
      <c r="K520" s="172" t="b">
        <v>0</v>
      </c>
      <c r="L520" s="172" t="b">
        <v>0</v>
      </c>
      <c r="M520" s="172" t="b">
        <v>0</v>
      </c>
      <c r="N520" s="97" t="s">
        <v>4794</v>
      </c>
      <c r="O520" s="172" t="b">
        <v>1</v>
      </c>
      <c r="P520" s="97" t="s">
        <v>4879</v>
      </c>
      <c r="Q520" s="174"/>
    </row>
    <row r="521" spans="8:8" ht="43.5" customHeight="1">
      <c r="A521" s="170">
        <v>8.0</v>
      </c>
      <c r="B521" s="171" t="s">
        <v>4376</v>
      </c>
      <c r="C521" s="172">
        <v>241293.0</v>
      </c>
      <c r="D521" s="171" t="s">
        <v>4856</v>
      </c>
      <c r="E521" s="172" t="s">
        <v>781</v>
      </c>
      <c r="F521" s="172" t="b">
        <v>0</v>
      </c>
      <c r="G521" s="172" t="b">
        <v>0</v>
      </c>
      <c r="H521" s="172" t="b">
        <v>0</v>
      </c>
      <c r="I521" s="172" t="b">
        <v>0</v>
      </c>
      <c r="J521" s="172" t="b">
        <v>0</v>
      </c>
      <c r="K521" s="172" t="b">
        <v>0</v>
      </c>
      <c r="L521" s="172" t="b">
        <v>0</v>
      </c>
      <c r="M521" s="172" t="b">
        <v>0</v>
      </c>
      <c r="N521" s="97" t="s">
        <v>4795</v>
      </c>
      <c r="O521" s="172" t="b">
        <v>1</v>
      </c>
      <c r="P521" s="97" t="s">
        <v>4880</v>
      </c>
      <c r="Q521" s="174"/>
    </row>
    <row r="522" spans="8:8" ht="43.5" customHeight="1">
      <c r="A522" s="170">
        <v>9.0</v>
      </c>
      <c r="B522" s="171" t="s">
        <v>3961</v>
      </c>
      <c r="C522" s="172">
        <v>241294.0</v>
      </c>
      <c r="D522" s="171" t="s">
        <v>4856</v>
      </c>
      <c r="E522" s="172" t="s">
        <v>781</v>
      </c>
      <c r="F522" s="172" t="b">
        <v>0</v>
      </c>
      <c r="G522" s="172" t="b">
        <v>1</v>
      </c>
      <c r="H522" s="172" t="b">
        <v>1</v>
      </c>
      <c r="I522" s="172" t="b">
        <v>0</v>
      </c>
      <c r="J522" s="172" t="b">
        <v>0</v>
      </c>
      <c r="K522" s="172" t="b">
        <v>0</v>
      </c>
      <c r="L522" s="172" t="b">
        <v>0</v>
      </c>
      <c r="M522" s="172" t="b">
        <v>0</v>
      </c>
      <c r="N522" s="97" t="s">
        <v>4796</v>
      </c>
      <c r="O522" s="172" t="b">
        <v>1</v>
      </c>
      <c r="P522" s="97" t="s">
        <v>4881</v>
      </c>
      <c r="Q522" s="174"/>
    </row>
    <row r="523" spans="8:8" ht="43.5" customHeight="1">
      <c r="A523" s="170">
        <v>11.0</v>
      </c>
      <c r="B523" s="171" t="s">
        <v>4377</v>
      </c>
      <c r="C523" s="172">
        <v>241306.0</v>
      </c>
      <c r="D523" s="171" t="s">
        <v>4856</v>
      </c>
      <c r="E523" s="172" t="s">
        <v>781</v>
      </c>
      <c r="F523" s="172" t="b">
        <v>0</v>
      </c>
      <c r="G523" s="172" t="b">
        <v>0</v>
      </c>
      <c r="H523" s="172" t="b">
        <v>0</v>
      </c>
      <c r="I523" s="172" t="b">
        <v>0</v>
      </c>
      <c r="J523" s="172" t="b">
        <v>0</v>
      </c>
      <c r="K523" s="172" t="b">
        <v>0</v>
      </c>
      <c r="L523" s="172" t="b">
        <v>0</v>
      </c>
      <c r="M523" s="172" t="b">
        <v>0</v>
      </c>
      <c r="N523" s="97" t="s">
        <v>4797</v>
      </c>
      <c r="O523" s="172" t="b">
        <v>0</v>
      </c>
      <c r="P523" s="97"/>
      <c r="Q523" s="174"/>
    </row>
    <row r="524" spans="8:8" ht="43.5" customHeight="1">
      <c r="A524" s="170">
        <v>12.0</v>
      </c>
      <c r="B524" s="171" t="s">
        <v>3962</v>
      </c>
      <c r="C524" s="172">
        <v>241313.0</v>
      </c>
      <c r="D524" s="171" t="s">
        <v>4856</v>
      </c>
      <c r="E524" s="172" t="s">
        <v>781</v>
      </c>
      <c r="F524" s="172" t="b">
        <v>0</v>
      </c>
      <c r="G524" s="172" t="b">
        <v>0</v>
      </c>
      <c r="H524" s="172" t="b">
        <v>1</v>
      </c>
      <c r="I524" s="172" t="b">
        <v>0</v>
      </c>
      <c r="J524" s="172" t="b">
        <v>0</v>
      </c>
      <c r="K524" s="172" t="b">
        <v>0</v>
      </c>
      <c r="L524" s="172" t="b">
        <v>0</v>
      </c>
      <c r="M524" s="172" t="b">
        <v>0</v>
      </c>
      <c r="N524" s="97" t="s">
        <v>4798</v>
      </c>
      <c r="O524" s="172" t="b">
        <v>0</v>
      </c>
      <c r="P524" s="97"/>
      <c r="Q524" s="174"/>
    </row>
    <row r="525" spans="8:8" ht="43.5" customHeight="1">
      <c r="A525" s="170">
        <v>13.0</v>
      </c>
      <c r="B525" s="171" t="s">
        <v>3963</v>
      </c>
      <c r="C525" s="172">
        <v>241314.0</v>
      </c>
      <c r="D525" s="171" t="s">
        <v>4856</v>
      </c>
      <c r="E525" s="172" t="s">
        <v>781</v>
      </c>
      <c r="F525" s="172" t="b">
        <v>0</v>
      </c>
      <c r="G525" s="172" t="b">
        <v>0</v>
      </c>
      <c r="H525" s="172" t="b">
        <v>1</v>
      </c>
      <c r="I525" s="172" t="b">
        <v>0</v>
      </c>
      <c r="J525" s="172" t="b">
        <v>0</v>
      </c>
      <c r="K525" s="172" t="b">
        <v>0</v>
      </c>
      <c r="L525" s="172" t="b">
        <v>0</v>
      </c>
      <c r="M525" s="172" t="b">
        <v>0</v>
      </c>
      <c r="N525" s="97" t="s">
        <v>4799</v>
      </c>
      <c r="O525" s="172" t="b">
        <v>0</v>
      </c>
      <c r="P525" s="97"/>
      <c r="Q525" s="174"/>
    </row>
    <row r="526" spans="8:8" ht="43.5" customHeight="1">
      <c r="A526" s="170">
        <v>15.0</v>
      </c>
      <c r="B526" s="181" t="s">
        <v>3964</v>
      </c>
      <c r="C526" s="97">
        <v>241847.0</v>
      </c>
      <c r="D526" s="181" t="s">
        <v>4875</v>
      </c>
      <c r="E526" s="97" t="s">
        <v>781</v>
      </c>
      <c r="F526" s="172" t="b">
        <v>0</v>
      </c>
      <c r="G526" s="172" t="b">
        <v>1</v>
      </c>
      <c r="H526" s="172" t="b">
        <v>1</v>
      </c>
      <c r="I526" s="172" t="b">
        <v>0</v>
      </c>
      <c r="J526" s="172" t="b">
        <v>0</v>
      </c>
      <c r="K526" s="172" t="b">
        <v>0</v>
      </c>
      <c r="L526" s="172" t="b">
        <v>0</v>
      </c>
      <c r="M526" s="172" t="b">
        <v>0</v>
      </c>
      <c r="N526" s="97" t="s">
        <v>4800</v>
      </c>
      <c r="O526" s="172" t="b">
        <v>0</v>
      </c>
      <c r="P526" s="97"/>
      <c r="Q526" s="174"/>
    </row>
    <row r="527" spans="8:8" ht="43.5" customHeight="1">
      <c r="A527" s="170">
        <v>16.0</v>
      </c>
      <c r="B527" s="191" t="s">
        <v>1452</v>
      </c>
      <c r="C527" s="190">
        <v>240852.0</v>
      </c>
      <c r="D527" s="191" t="s">
        <v>606</v>
      </c>
      <c r="E527" s="190" t="s">
        <v>781</v>
      </c>
      <c r="F527" s="177" t="b">
        <v>0</v>
      </c>
      <c r="G527" s="190" t="b">
        <v>1</v>
      </c>
      <c r="H527" s="190" t="b">
        <v>0</v>
      </c>
      <c r="I527" s="190" t="b">
        <v>0</v>
      </c>
      <c r="J527" s="190" t="b">
        <v>0</v>
      </c>
      <c r="K527" s="190" t="b">
        <v>0</v>
      </c>
      <c r="L527" s="190" t="b">
        <v>0</v>
      </c>
      <c r="M527" s="190" t="b">
        <v>0</v>
      </c>
      <c r="N527" s="97" t="s">
        <v>4801</v>
      </c>
      <c r="O527" s="172" t="b">
        <v>0</v>
      </c>
      <c r="P527" s="97"/>
      <c r="Q527" s="174"/>
    </row>
    <row r="528" spans="8:8" ht="43.5" customHeight="1">
      <c r="A528" s="170">
        <v>17.0</v>
      </c>
      <c r="B528" s="171" t="s">
        <v>3965</v>
      </c>
      <c r="C528" s="172">
        <v>241455.0</v>
      </c>
      <c r="D528" s="171" t="s">
        <v>4851</v>
      </c>
      <c r="E528" s="172" t="s">
        <v>781</v>
      </c>
      <c r="F528" s="172" t="b">
        <v>0</v>
      </c>
      <c r="G528" s="172" t="b">
        <v>0</v>
      </c>
      <c r="H528" s="172" t="b">
        <v>1</v>
      </c>
      <c r="I528" s="172" t="b">
        <v>0</v>
      </c>
      <c r="J528" s="172" t="b">
        <v>0</v>
      </c>
      <c r="K528" s="172" t="b">
        <v>0</v>
      </c>
      <c r="L528" s="172" t="b">
        <v>0</v>
      </c>
      <c r="M528" s="172" t="b">
        <v>0</v>
      </c>
      <c r="N528" s="97"/>
      <c r="O528" s="97"/>
      <c r="P528" s="97"/>
      <c r="Q528" s="174"/>
    </row>
    <row r="529" spans="8:8" ht="43.5" customHeight="1">
      <c r="A529" s="170">
        <v>18.0</v>
      </c>
      <c r="B529" s="171" t="s">
        <v>3966</v>
      </c>
      <c r="C529" s="172">
        <v>241566.0</v>
      </c>
      <c r="D529" s="171" t="s">
        <v>4851</v>
      </c>
      <c r="E529" s="172" t="s">
        <v>781</v>
      </c>
      <c r="F529" s="172" t="b">
        <v>0</v>
      </c>
      <c r="G529" s="172" t="b">
        <v>0</v>
      </c>
      <c r="H529" s="172" t="b">
        <v>0</v>
      </c>
      <c r="I529" s="172" t="b">
        <v>0</v>
      </c>
      <c r="J529" s="172" t="b">
        <v>0</v>
      </c>
      <c r="K529" s="172" t="b">
        <v>0</v>
      </c>
      <c r="L529" s="172" t="b">
        <v>0</v>
      </c>
      <c r="M529" s="172" t="b">
        <v>0</v>
      </c>
      <c r="N529" s="97"/>
      <c r="O529" s="97"/>
      <c r="P529" s="97"/>
      <c r="Q529" s="174"/>
    </row>
    <row r="530" spans="8:8" ht="43.5" customHeight="1">
      <c r="A530" s="170">
        <v>19.0</v>
      </c>
      <c r="B530" s="171" t="s">
        <v>3967</v>
      </c>
      <c r="C530" s="172">
        <v>241460.0</v>
      </c>
      <c r="D530" s="171" t="s">
        <v>4851</v>
      </c>
      <c r="E530" s="172" t="s">
        <v>781</v>
      </c>
      <c r="F530" s="172" t="b">
        <v>0</v>
      </c>
      <c r="G530" s="172" t="b">
        <v>0</v>
      </c>
      <c r="H530" s="172" t="b">
        <v>0</v>
      </c>
      <c r="I530" s="172" t="b">
        <v>0</v>
      </c>
      <c r="J530" s="172" t="b">
        <v>0</v>
      </c>
      <c r="K530" s="172" t="b">
        <v>0</v>
      </c>
      <c r="L530" s="172" t="b">
        <v>0</v>
      </c>
      <c r="M530" s="172" t="b">
        <v>0</v>
      </c>
      <c r="N530" s="97"/>
      <c r="O530" s="97"/>
      <c r="P530" s="97"/>
      <c r="Q530" s="174"/>
    </row>
    <row r="531" spans="8:8" ht="43.5" customHeight="1">
      <c r="A531" s="172">
        <v>7.0</v>
      </c>
      <c r="B531" s="171" t="s">
        <v>3968</v>
      </c>
      <c r="C531" s="172">
        <v>241201.0</v>
      </c>
      <c r="D531" s="171" t="s">
        <v>4859</v>
      </c>
      <c r="E531" s="172" t="s">
        <v>781</v>
      </c>
      <c r="F531" s="172" t="b">
        <v>0</v>
      </c>
      <c r="G531" s="172" t="b">
        <v>1</v>
      </c>
      <c r="H531" s="172" t="b">
        <v>1</v>
      </c>
      <c r="I531" s="172" t="b">
        <v>0</v>
      </c>
      <c r="J531" s="172" t="b">
        <v>0</v>
      </c>
      <c r="K531" s="172" t="b">
        <v>0</v>
      </c>
      <c r="L531" s="172" t="b">
        <v>0</v>
      </c>
      <c r="M531" s="172" t="b">
        <v>0</v>
      </c>
      <c r="N531" s="97"/>
      <c r="O531" s="97"/>
      <c r="P531" s="97"/>
      <c r="Q531" s="174"/>
    </row>
    <row r="532" spans="8:8" ht="43.5" customHeight="1">
      <c r="A532" s="190">
        <v>11.0</v>
      </c>
      <c r="B532" s="96" t="s">
        <v>1453</v>
      </c>
      <c r="C532" s="177">
        <v>241011.0</v>
      </c>
      <c r="D532" s="96" t="s">
        <v>606</v>
      </c>
      <c r="E532" s="177" t="s">
        <v>781</v>
      </c>
      <c r="F532" s="177" t="b">
        <v>0</v>
      </c>
      <c r="G532" s="177" t="b">
        <v>1</v>
      </c>
      <c r="H532" s="177" t="b">
        <v>0</v>
      </c>
      <c r="I532" s="177" t="b">
        <v>0</v>
      </c>
      <c r="J532" s="177" t="b">
        <v>0</v>
      </c>
      <c r="K532" s="177" t="b">
        <v>0</v>
      </c>
      <c r="L532" s="177" t="b">
        <v>0</v>
      </c>
      <c r="M532" s="177" t="b">
        <v>0</v>
      </c>
      <c r="N532" s="97"/>
      <c r="O532" s="97"/>
      <c r="P532" s="97"/>
      <c r="Q532" s="174"/>
    </row>
    <row r="533" spans="8:8" ht="43.5" customHeight="1">
      <c r="A533" s="170"/>
      <c r="B533" s="182" t="s">
        <v>4815</v>
      </c>
      <c r="C533" s="97"/>
      <c r="D533" s="97"/>
      <c r="E533" s="183"/>
      <c r="F533" s="184">
        <f t="shared" si="17" ref="F533:M533">COUNTIF(F518:F526,TRUE)/COUNTA(F518:F526)</f>
        <v>0.0</v>
      </c>
      <c r="G533" s="184">
        <f t="shared" si="17"/>
        <v>0.4444444444444444</v>
      </c>
      <c r="H533" s="184">
        <f t="shared" si="17"/>
        <v>0.6666666666666666</v>
      </c>
      <c r="I533" s="184">
        <f t="shared" si="17"/>
        <v>0.0</v>
      </c>
      <c r="J533" s="184">
        <f t="shared" si="17"/>
        <v>0.0</v>
      </c>
      <c r="K533" s="184">
        <f t="shared" si="17"/>
        <v>0.0</v>
      </c>
      <c r="L533" s="184">
        <f t="shared" si="17"/>
        <v>0.0</v>
      </c>
      <c r="M533" s="184">
        <f t="shared" si="17"/>
        <v>0.0</v>
      </c>
      <c r="N533" s="97"/>
      <c r="O533" s="97"/>
      <c r="P533" s="97"/>
      <c r="Q533" s="174"/>
    </row>
    <row r="534" spans="8:8" ht="43.5" customHeight="1">
      <c r="A534" s="185" t="s">
        <v>18</v>
      </c>
      <c r="B534" s="162" t="s">
        <v>19</v>
      </c>
      <c r="C534" s="163"/>
      <c r="D534" s="162" t="s">
        <v>4530</v>
      </c>
      <c r="E534" s="162" t="s">
        <v>22</v>
      </c>
      <c r="F534" s="163" t="s">
        <v>4794</v>
      </c>
      <c r="G534" s="163" t="s">
        <v>4795</v>
      </c>
      <c r="H534" s="163" t="s">
        <v>4796</v>
      </c>
      <c r="I534" s="163" t="s">
        <v>4797</v>
      </c>
      <c r="J534" s="163" t="s">
        <v>4798</v>
      </c>
      <c r="K534" s="163" t="s">
        <v>4799</v>
      </c>
      <c r="L534" s="163" t="s">
        <v>4800</v>
      </c>
      <c r="M534" s="163" t="s">
        <v>4801</v>
      </c>
      <c r="N534" s="166" t="s">
        <v>4882</v>
      </c>
      <c r="O534" s="167"/>
      <c r="P534" s="168"/>
      <c r="Q534" s="169"/>
    </row>
    <row r="535" spans="8:8" ht="43.5" customHeight="1">
      <c r="A535" s="170">
        <v>1.0</v>
      </c>
      <c r="B535" s="171" t="s">
        <v>3970</v>
      </c>
      <c r="C535" s="172">
        <v>241320.0</v>
      </c>
      <c r="D535" s="171" t="s">
        <v>4856</v>
      </c>
      <c r="E535" s="172" t="s">
        <v>781</v>
      </c>
      <c r="F535" s="172" t="b">
        <v>0</v>
      </c>
      <c r="G535" s="172" t="b">
        <v>1</v>
      </c>
      <c r="H535" s="172" t="b">
        <v>1</v>
      </c>
      <c r="I535" s="172" t="b">
        <v>0</v>
      </c>
      <c r="J535" s="172" t="b">
        <v>0</v>
      </c>
      <c r="K535" s="172" t="b">
        <v>0</v>
      </c>
      <c r="L535" s="172" t="b">
        <v>0</v>
      </c>
      <c r="M535" s="172" t="b">
        <v>0</v>
      </c>
      <c r="N535" s="173" t="s">
        <v>4804</v>
      </c>
      <c r="O535" s="167"/>
      <c r="P535" s="168"/>
      <c r="Q535" s="174"/>
    </row>
    <row r="536" spans="8:8" ht="43.5" customHeight="1">
      <c r="A536" s="170">
        <v>2.0</v>
      </c>
      <c r="B536" s="171" t="s">
        <v>3971</v>
      </c>
      <c r="C536" s="172">
        <v>241322.0</v>
      </c>
      <c r="D536" s="171" t="s">
        <v>4856</v>
      </c>
      <c r="E536" s="172" t="s">
        <v>781</v>
      </c>
      <c r="F536" s="172" t="b">
        <v>1</v>
      </c>
      <c r="G536" s="172" t="b">
        <v>1</v>
      </c>
      <c r="H536" s="172" t="b">
        <v>1</v>
      </c>
      <c r="I536" s="172" t="b">
        <v>0</v>
      </c>
      <c r="J536" s="172" t="b">
        <v>0</v>
      </c>
      <c r="K536" s="172" t="b">
        <v>0</v>
      </c>
      <c r="L536" s="172" t="b">
        <v>0</v>
      </c>
      <c r="M536" s="172" t="b">
        <v>0</v>
      </c>
      <c r="N536" s="175" t="s">
        <v>4805</v>
      </c>
      <c r="O536" s="176" t="s">
        <v>4806</v>
      </c>
      <c r="P536" s="97" t="s">
        <v>4807</v>
      </c>
      <c r="Q536" s="174"/>
    </row>
    <row r="537" spans="8:8" ht="43.5" customHeight="1">
      <c r="A537" s="170">
        <v>3.0</v>
      </c>
      <c r="B537" s="171" t="s">
        <v>3972</v>
      </c>
      <c r="C537" s="172">
        <v>241334.0</v>
      </c>
      <c r="D537" s="171" t="s">
        <v>4856</v>
      </c>
      <c r="E537" s="172" t="s">
        <v>781</v>
      </c>
      <c r="F537" s="172" t="b">
        <v>0</v>
      </c>
      <c r="G537" s="172" t="b">
        <v>1</v>
      </c>
      <c r="H537" s="172" t="b">
        <v>1</v>
      </c>
      <c r="I537" s="172" t="b">
        <v>0</v>
      </c>
      <c r="J537" s="172" t="b">
        <v>0</v>
      </c>
      <c r="K537" s="172" t="b">
        <v>0</v>
      </c>
      <c r="L537" s="172" t="b">
        <v>0</v>
      </c>
      <c r="M537" s="172" t="b">
        <v>0</v>
      </c>
      <c r="N537" s="97" t="s">
        <v>4794</v>
      </c>
      <c r="O537" s="172" t="b">
        <v>1</v>
      </c>
      <c r="P537" s="97"/>
      <c r="Q537" s="174"/>
    </row>
    <row r="538" spans="8:8" ht="43.5" customHeight="1">
      <c r="A538" s="170">
        <v>4.0</v>
      </c>
      <c r="B538" s="171" t="s">
        <v>3973</v>
      </c>
      <c r="C538" s="172">
        <v>241339.0</v>
      </c>
      <c r="D538" s="171" t="s">
        <v>4856</v>
      </c>
      <c r="E538" s="172" t="s">
        <v>781</v>
      </c>
      <c r="F538" s="172" t="b">
        <v>0</v>
      </c>
      <c r="G538" s="172" t="b">
        <v>0</v>
      </c>
      <c r="H538" s="172" t="b">
        <v>1</v>
      </c>
      <c r="I538" s="172" t="b">
        <v>0</v>
      </c>
      <c r="J538" s="172" t="b">
        <v>0</v>
      </c>
      <c r="K538" s="172" t="b">
        <v>0</v>
      </c>
      <c r="L538" s="172" t="b">
        <v>0</v>
      </c>
      <c r="M538" s="172" t="b">
        <v>0</v>
      </c>
      <c r="N538" s="97" t="s">
        <v>4795</v>
      </c>
      <c r="O538" s="172" t="b">
        <v>1</v>
      </c>
      <c r="P538" s="97"/>
      <c r="Q538" s="174"/>
    </row>
    <row r="539" spans="8:8" ht="43.5" customHeight="1">
      <c r="A539" s="170">
        <v>5.0</v>
      </c>
      <c r="B539" s="171" t="s">
        <v>3974</v>
      </c>
      <c r="C539" s="172">
        <v>241354.0</v>
      </c>
      <c r="D539" s="171" t="s">
        <v>4856</v>
      </c>
      <c r="E539" s="172" t="s">
        <v>781</v>
      </c>
      <c r="F539" s="172" t="b">
        <v>0</v>
      </c>
      <c r="G539" s="172" t="b">
        <v>1</v>
      </c>
      <c r="H539" s="172" t="b">
        <v>0</v>
      </c>
      <c r="I539" s="172" t="b">
        <v>0</v>
      </c>
      <c r="J539" s="172" t="b">
        <v>0</v>
      </c>
      <c r="K539" s="172" t="b">
        <v>0</v>
      </c>
      <c r="L539" s="172" t="b">
        <v>0</v>
      </c>
      <c r="M539" s="172" t="b">
        <v>0</v>
      </c>
      <c r="N539" s="97" t="s">
        <v>4796</v>
      </c>
      <c r="O539" s="172" t="b">
        <v>1</v>
      </c>
      <c r="P539" s="97"/>
      <c r="Q539" s="174"/>
    </row>
    <row r="540" spans="8:8" ht="43.5" customHeight="1">
      <c r="A540" s="170">
        <v>6.0</v>
      </c>
      <c r="B540" s="171" t="s">
        <v>3975</v>
      </c>
      <c r="C540" s="172">
        <v>241356.0</v>
      </c>
      <c r="D540" s="171" t="s">
        <v>4856</v>
      </c>
      <c r="E540" s="172" t="s">
        <v>781</v>
      </c>
      <c r="F540" s="172" t="b">
        <v>0</v>
      </c>
      <c r="G540" s="172" t="b">
        <v>0</v>
      </c>
      <c r="H540" s="172" t="b">
        <v>1</v>
      </c>
      <c r="I540" s="172" t="b">
        <v>0</v>
      </c>
      <c r="J540" s="172" t="b">
        <v>0</v>
      </c>
      <c r="K540" s="172" t="b">
        <v>0</v>
      </c>
      <c r="L540" s="172" t="b">
        <v>0</v>
      </c>
      <c r="M540" s="172" t="b">
        <v>0</v>
      </c>
      <c r="N540" s="97" t="s">
        <v>4797</v>
      </c>
      <c r="O540" s="172" t="b">
        <v>0</v>
      </c>
      <c r="P540" s="97"/>
      <c r="Q540" s="174"/>
    </row>
    <row r="541" spans="8:8" ht="43.5" customHeight="1">
      <c r="A541" s="170">
        <v>7.0</v>
      </c>
      <c r="B541" s="171" t="s">
        <v>3976</v>
      </c>
      <c r="C541" s="172">
        <v>241358.0</v>
      </c>
      <c r="D541" s="171" t="s">
        <v>4856</v>
      </c>
      <c r="E541" s="172" t="s">
        <v>781</v>
      </c>
      <c r="F541" s="172" t="b">
        <v>0</v>
      </c>
      <c r="G541" s="172" t="b">
        <v>1</v>
      </c>
      <c r="H541" s="172" t="b">
        <v>0</v>
      </c>
      <c r="I541" s="172" t="b">
        <v>0</v>
      </c>
      <c r="J541" s="172" t="b">
        <v>0</v>
      </c>
      <c r="K541" s="172" t="b">
        <v>0</v>
      </c>
      <c r="L541" s="172" t="b">
        <v>0</v>
      </c>
      <c r="M541" s="172" t="b">
        <v>0</v>
      </c>
      <c r="N541" s="97" t="s">
        <v>4798</v>
      </c>
      <c r="O541" s="172" t="b">
        <v>0</v>
      </c>
      <c r="P541" s="97"/>
      <c r="Q541" s="174"/>
    </row>
    <row r="542" spans="8:8" ht="43.5" customHeight="1">
      <c r="A542" s="170">
        <v>8.0</v>
      </c>
      <c r="B542" s="171" t="s">
        <v>3977</v>
      </c>
      <c r="C542" s="172">
        <v>241360.0</v>
      </c>
      <c r="D542" s="171" t="s">
        <v>4856</v>
      </c>
      <c r="E542" s="172" t="s">
        <v>781</v>
      </c>
      <c r="F542" s="172" t="b">
        <v>0</v>
      </c>
      <c r="G542" s="172" t="b">
        <v>0</v>
      </c>
      <c r="H542" s="172" t="b">
        <v>0</v>
      </c>
      <c r="I542" s="172" t="b">
        <v>0</v>
      </c>
      <c r="J542" s="172" t="b">
        <v>0</v>
      </c>
      <c r="K542" s="172" t="b">
        <v>0</v>
      </c>
      <c r="L542" s="172" t="b">
        <v>0</v>
      </c>
      <c r="M542" s="172" t="b">
        <v>0</v>
      </c>
      <c r="N542" s="97" t="s">
        <v>4799</v>
      </c>
      <c r="O542" s="172" t="b">
        <v>0</v>
      </c>
      <c r="P542" s="97"/>
      <c r="Q542" s="174"/>
    </row>
    <row r="543" spans="8:8" ht="43.5" customHeight="1">
      <c r="A543" s="170">
        <v>9.0</v>
      </c>
      <c r="B543" s="171" t="s">
        <v>3978</v>
      </c>
      <c r="C543" s="172">
        <v>241361.0</v>
      </c>
      <c r="D543" s="171" t="s">
        <v>4856</v>
      </c>
      <c r="E543" s="172" t="s">
        <v>781</v>
      </c>
      <c r="F543" s="172" t="b">
        <v>0</v>
      </c>
      <c r="G543" s="172" t="b">
        <v>0</v>
      </c>
      <c r="H543" s="172" t="b">
        <v>0</v>
      </c>
      <c r="I543" s="172" t="b">
        <v>0</v>
      </c>
      <c r="J543" s="172" t="b">
        <v>0</v>
      </c>
      <c r="K543" s="172" t="b">
        <v>0</v>
      </c>
      <c r="L543" s="172" t="b">
        <v>0</v>
      </c>
      <c r="M543" s="172" t="b">
        <v>0</v>
      </c>
      <c r="N543" s="97" t="s">
        <v>4800</v>
      </c>
      <c r="O543" s="172" t="b">
        <v>0</v>
      </c>
      <c r="P543" s="97"/>
      <c r="Q543" s="174"/>
    </row>
    <row r="544" spans="8:8" ht="43.5" customHeight="1">
      <c r="A544" s="170">
        <v>10.0</v>
      </c>
      <c r="B544" s="171" t="s">
        <v>3979</v>
      </c>
      <c r="C544" s="172">
        <v>241363.0</v>
      </c>
      <c r="D544" s="171" t="s">
        <v>4856</v>
      </c>
      <c r="E544" s="172" t="s">
        <v>781</v>
      </c>
      <c r="F544" s="172" t="b">
        <v>0</v>
      </c>
      <c r="G544" s="172" t="b">
        <v>1</v>
      </c>
      <c r="H544" s="172" t="b">
        <v>1</v>
      </c>
      <c r="I544" s="172" t="b">
        <v>0</v>
      </c>
      <c r="J544" s="172" t="b">
        <v>0</v>
      </c>
      <c r="K544" s="172" t="b">
        <v>0</v>
      </c>
      <c r="L544" s="172" t="b">
        <v>0</v>
      </c>
      <c r="M544" s="172" t="b">
        <v>0</v>
      </c>
      <c r="N544" s="97" t="s">
        <v>4801</v>
      </c>
      <c r="O544" s="172" t="b">
        <v>0</v>
      </c>
      <c r="P544" s="97"/>
      <c r="Q544" s="174"/>
    </row>
    <row r="545" spans="8:8" ht="43.5" customHeight="1">
      <c r="A545" s="170">
        <v>11.0</v>
      </c>
      <c r="B545" s="171" t="s">
        <v>3980</v>
      </c>
      <c r="C545" s="172">
        <v>241381.0</v>
      </c>
      <c r="D545" s="171" t="s">
        <v>4856</v>
      </c>
      <c r="E545" s="172" t="s">
        <v>781</v>
      </c>
      <c r="F545" s="172" t="b">
        <v>0</v>
      </c>
      <c r="G545" s="172" t="b">
        <v>0</v>
      </c>
      <c r="H545" s="172" t="b">
        <v>1</v>
      </c>
      <c r="I545" s="172" t="b">
        <v>0</v>
      </c>
      <c r="J545" s="172" t="b">
        <v>0</v>
      </c>
      <c r="K545" s="172" t="b">
        <v>0</v>
      </c>
      <c r="L545" s="172" t="b">
        <v>0</v>
      </c>
      <c r="M545" s="172" t="b">
        <v>0</v>
      </c>
      <c r="N545" s="97"/>
      <c r="O545" s="97"/>
      <c r="P545" s="97"/>
      <c r="Q545" s="174"/>
    </row>
    <row r="546" spans="8:8" ht="43.5" customHeight="1">
      <c r="A546" s="170">
        <v>12.0</v>
      </c>
      <c r="B546" s="171" t="s">
        <v>3981</v>
      </c>
      <c r="C546" s="172">
        <v>241386.0</v>
      </c>
      <c r="D546" s="171" t="s">
        <v>4856</v>
      </c>
      <c r="E546" s="172" t="s">
        <v>781</v>
      </c>
      <c r="F546" s="172" t="b">
        <v>0</v>
      </c>
      <c r="G546" s="172" t="b">
        <v>0</v>
      </c>
      <c r="H546" s="172" t="b">
        <v>0</v>
      </c>
      <c r="I546" s="172" t="b">
        <v>0</v>
      </c>
      <c r="J546" s="172" t="b">
        <v>0</v>
      </c>
      <c r="K546" s="172" t="b">
        <v>0</v>
      </c>
      <c r="L546" s="172" t="b">
        <v>0</v>
      </c>
      <c r="M546" s="172" t="b">
        <v>0</v>
      </c>
      <c r="N546" s="97"/>
      <c r="O546" s="97"/>
      <c r="P546" s="97"/>
      <c r="Q546" s="174"/>
    </row>
    <row r="547" spans="8:8" ht="43.5" customHeight="1">
      <c r="A547" s="170">
        <v>13.0</v>
      </c>
      <c r="B547" s="171" t="s">
        <v>4380</v>
      </c>
      <c r="C547" s="172">
        <v>241393.0</v>
      </c>
      <c r="D547" s="171" t="s">
        <v>4856</v>
      </c>
      <c r="E547" s="172" t="s">
        <v>781</v>
      </c>
      <c r="F547" s="172" t="b">
        <v>0</v>
      </c>
      <c r="G547" s="172" t="b">
        <v>1</v>
      </c>
      <c r="H547" s="172" t="b">
        <v>1</v>
      </c>
      <c r="I547" s="172" t="b">
        <v>0</v>
      </c>
      <c r="J547" s="172" t="b">
        <v>0</v>
      </c>
      <c r="K547" s="172" t="b">
        <v>0</v>
      </c>
      <c r="L547" s="172" t="b">
        <v>0</v>
      </c>
      <c r="M547" s="172" t="b">
        <v>0</v>
      </c>
      <c r="N547" s="97"/>
      <c r="O547" s="97"/>
      <c r="P547" s="97"/>
      <c r="Q547" s="174"/>
    </row>
    <row r="548" spans="8:8" ht="43.5" customHeight="1">
      <c r="A548" s="170">
        <v>14.0</v>
      </c>
      <c r="B548" s="171" t="s">
        <v>4381</v>
      </c>
      <c r="C548" s="172">
        <v>241407.0</v>
      </c>
      <c r="D548" s="171" t="s">
        <v>4856</v>
      </c>
      <c r="E548" s="172" t="s">
        <v>781</v>
      </c>
      <c r="F548" s="172" t="b">
        <v>0</v>
      </c>
      <c r="G548" s="172" t="b">
        <v>1</v>
      </c>
      <c r="H548" s="172" t="b">
        <v>1</v>
      </c>
      <c r="I548" s="172" t="b">
        <v>0</v>
      </c>
      <c r="J548" s="172" t="b">
        <v>0</v>
      </c>
      <c r="K548" s="172" t="b">
        <v>0</v>
      </c>
      <c r="L548" s="172" t="b">
        <v>0</v>
      </c>
      <c r="M548" s="172" t="b">
        <v>0</v>
      </c>
      <c r="N548" s="97"/>
      <c r="O548" s="97"/>
      <c r="P548" s="97"/>
      <c r="Q548" s="174"/>
    </row>
    <row r="549" spans="8:8" ht="43.5" customHeight="1">
      <c r="A549" s="170">
        <v>15.0</v>
      </c>
      <c r="B549" s="171" t="s">
        <v>4709</v>
      </c>
      <c r="C549" s="172">
        <v>241414.0</v>
      </c>
      <c r="D549" s="171" t="s">
        <v>4856</v>
      </c>
      <c r="E549" s="172" t="s">
        <v>781</v>
      </c>
      <c r="F549" s="172" t="b">
        <v>0</v>
      </c>
      <c r="G549" s="172" t="b">
        <v>0</v>
      </c>
      <c r="H549" s="172" t="b">
        <v>0</v>
      </c>
      <c r="I549" s="172" t="b">
        <v>0</v>
      </c>
      <c r="J549" s="172" t="b">
        <v>0</v>
      </c>
      <c r="K549" s="172" t="b">
        <v>0</v>
      </c>
      <c r="L549" s="172" t="b">
        <v>0</v>
      </c>
      <c r="M549" s="172" t="b">
        <v>0</v>
      </c>
      <c r="N549" s="97"/>
      <c r="O549" s="97"/>
      <c r="P549" s="97"/>
      <c r="Q549" s="174"/>
    </row>
    <row r="550" spans="8:8" ht="43.5" customHeight="1">
      <c r="A550" s="170">
        <v>16.0</v>
      </c>
      <c r="B550" s="171" t="s">
        <v>4488</v>
      </c>
      <c r="C550" s="172">
        <v>241418.0</v>
      </c>
      <c r="D550" s="171" t="s">
        <v>4856</v>
      </c>
      <c r="E550" s="172" t="s">
        <v>781</v>
      </c>
      <c r="F550" s="172" t="b">
        <v>1</v>
      </c>
      <c r="G550" s="172" t="b">
        <v>1</v>
      </c>
      <c r="H550" s="172" t="b">
        <v>1</v>
      </c>
      <c r="I550" s="172" t="b">
        <v>0</v>
      </c>
      <c r="J550" s="172" t="b">
        <v>0</v>
      </c>
      <c r="K550" s="172" t="b">
        <v>0</v>
      </c>
      <c r="L550" s="172" t="b">
        <v>0</v>
      </c>
      <c r="M550" s="172" t="b">
        <v>0</v>
      </c>
      <c r="N550" s="97"/>
      <c r="O550" s="97"/>
      <c r="P550" s="97"/>
      <c r="Q550" s="174"/>
    </row>
    <row r="551" spans="8:8" ht="43.5" customHeight="1">
      <c r="A551" s="170">
        <v>17.0</v>
      </c>
      <c r="B551" s="171" t="s">
        <v>4489</v>
      </c>
      <c r="C551" s="172">
        <v>241355.0</v>
      </c>
      <c r="D551" s="171" t="s">
        <v>4856</v>
      </c>
      <c r="E551" s="172" t="s">
        <v>781</v>
      </c>
      <c r="F551" s="172" t="b">
        <v>0</v>
      </c>
      <c r="G551" s="172" t="b">
        <v>1</v>
      </c>
      <c r="H551" s="172" t="b">
        <v>1</v>
      </c>
      <c r="I551" s="172" t="b">
        <v>0</v>
      </c>
      <c r="J551" s="172" t="b">
        <v>0</v>
      </c>
      <c r="K551" s="172" t="b">
        <v>0</v>
      </c>
      <c r="L551" s="172" t="b">
        <v>0</v>
      </c>
      <c r="M551" s="172" t="b">
        <v>0</v>
      </c>
      <c r="N551" s="97"/>
      <c r="O551" s="97"/>
      <c r="P551" s="97"/>
      <c r="Q551" s="174"/>
    </row>
    <row r="552" spans="8:8" ht="43.5" customHeight="1">
      <c r="A552" s="170">
        <v>18.0</v>
      </c>
      <c r="B552" s="171" t="s">
        <v>4490</v>
      </c>
      <c r="C552" s="172">
        <v>241422.0</v>
      </c>
      <c r="D552" s="171" t="s">
        <v>4856</v>
      </c>
      <c r="E552" s="172" t="s">
        <v>781</v>
      </c>
      <c r="F552" s="172" t="b">
        <v>0</v>
      </c>
      <c r="G552" s="172" t="b">
        <v>1</v>
      </c>
      <c r="H552" s="172" t="b">
        <v>0</v>
      </c>
      <c r="I552" s="172" t="b">
        <v>0</v>
      </c>
      <c r="J552" s="172" t="b">
        <v>0</v>
      </c>
      <c r="K552" s="172" t="b">
        <v>0</v>
      </c>
      <c r="L552" s="172" t="b">
        <v>0</v>
      </c>
      <c r="M552" s="172" t="b">
        <v>0</v>
      </c>
      <c r="N552" s="97"/>
      <c r="O552" s="97"/>
      <c r="P552" s="97"/>
      <c r="Q552" s="174"/>
    </row>
    <row r="553" spans="8:8" ht="43.5" customHeight="1">
      <c r="A553" s="170">
        <v>19.0</v>
      </c>
      <c r="B553" s="171" t="s">
        <v>4491</v>
      </c>
      <c r="C553" s="172">
        <v>241431.0</v>
      </c>
      <c r="D553" s="171" t="s">
        <v>4856</v>
      </c>
      <c r="E553" s="172" t="s">
        <v>781</v>
      </c>
      <c r="F553" s="172" t="b">
        <v>1</v>
      </c>
      <c r="G553" s="172" t="b">
        <v>0</v>
      </c>
      <c r="H553" s="172" t="b">
        <v>0</v>
      </c>
      <c r="I553" s="172" t="b">
        <v>0</v>
      </c>
      <c r="J553" s="172" t="b">
        <v>0</v>
      </c>
      <c r="K553" s="172" t="b">
        <v>0</v>
      </c>
      <c r="L553" s="172" t="b">
        <v>0</v>
      </c>
      <c r="M553" s="172" t="b">
        <v>0</v>
      </c>
      <c r="N553" s="97"/>
      <c r="O553" s="97"/>
      <c r="P553" s="97"/>
      <c r="Q553" s="174"/>
    </row>
    <row r="554" spans="8:8" ht="43.5" customHeight="1">
      <c r="A554" s="170">
        <v>20.0</v>
      </c>
      <c r="B554" s="171" t="s">
        <v>4492</v>
      </c>
      <c r="C554" s="172">
        <v>241433.0</v>
      </c>
      <c r="D554" s="171" t="s">
        <v>4856</v>
      </c>
      <c r="E554" s="172" t="s">
        <v>781</v>
      </c>
      <c r="F554" s="172" t="b">
        <v>1</v>
      </c>
      <c r="G554" s="172" t="b">
        <v>1</v>
      </c>
      <c r="H554" s="172" t="b">
        <v>0</v>
      </c>
      <c r="I554" s="172" t="b">
        <v>0</v>
      </c>
      <c r="J554" s="172" t="b">
        <v>0</v>
      </c>
      <c r="K554" s="172" t="b">
        <v>0</v>
      </c>
      <c r="L554" s="172" t="b">
        <v>0</v>
      </c>
      <c r="M554" s="172" t="b">
        <v>0</v>
      </c>
      <c r="N554" s="97"/>
      <c r="O554" s="97"/>
      <c r="P554" s="97"/>
      <c r="Q554" s="174"/>
    </row>
    <row r="555" spans="8:8" ht="43.5" customHeight="1">
      <c r="A555" s="170">
        <v>21.0</v>
      </c>
      <c r="B555" s="181" t="s">
        <v>864</v>
      </c>
      <c r="C555" s="97">
        <v>240892.0</v>
      </c>
      <c r="D555" s="171" t="s">
        <v>4883</v>
      </c>
      <c r="E555" s="172" t="s">
        <v>781</v>
      </c>
      <c r="F555" s="172" t="b">
        <v>0</v>
      </c>
      <c r="G555" s="172" t="b">
        <v>1</v>
      </c>
      <c r="H555" s="172" t="b">
        <v>0</v>
      </c>
      <c r="I555" s="172" t="b">
        <v>0</v>
      </c>
      <c r="J555" s="172" t="b">
        <v>0</v>
      </c>
      <c r="K555" s="172" t="b">
        <v>0</v>
      </c>
      <c r="L555" s="172" t="b">
        <v>0</v>
      </c>
      <c r="M555" s="172" t="b">
        <v>0</v>
      </c>
      <c r="N555" s="97"/>
      <c r="O555" s="97"/>
      <c r="P555" s="97"/>
      <c r="Q555" s="174"/>
    </row>
    <row r="556" spans="8:8" ht="43.5" customHeight="1">
      <c r="A556" s="170">
        <v>22.0</v>
      </c>
      <c r="B556" s="181" t="s">
        <v>834</v>
      </c>
      <c r="C556" s="97">
        <v>240550.0</v>
      </c>
      <c r="D556" s="171" t="s">
        <v>4883</v>
      </c>
      <c r="E556" s="97" t="s">
        <v>781</v>
      </c>
      <c r="F556" s="172" t="b">
        <v>0</v>
      </c>
      <c r="G556" s="172" t="b">
        <v>1</v>
      </c>
      <c r="H556" s="172" t="b">
        <v>0</v>
      </c>
      <c r="I556" s="172" t="b">
        <v>0</v>
      </c>
      <c r="J556" s="172" t="b">
        <v>0</v>
      </c>
      <c r="K556" s="172" t="b">
        <v>0</v>
      </c>
      <c r="L556" s="172" t="b">
        <v>0</v>
      </c>
      <c r="M556" s="172" t="b">
        <v>0</v>
      </c>
      <c r="N556" s="97"/>
      <c r="O556" s="97"/>
      <c r="P556" s="97"/>
      <c r="Q556" s="174"/>
    </row>
    <row r="557" spans="8:8" ht="43.5" customHeight="1">
      <c r="A557" s="170">
        <v>23.0</v>
      </c>
      <c r="B557" s="171" t="s">
        <v>4323</v>
      </c>
      <c r="C557" s="172">
        <v>241607.0</v>
      </c>
      <c r="D557" s="171" t="s">
        <v>4857</v>
      </c>
      <c r="E557" s="172" t="s">
        <v>4310</v>
      </c>
      <c r="F557" s="172" t="b">
        <v>0</v>
      </c>
      <c r="G557" s="172" t="b">
        <v>1</v>
      </c>
      <c r="H557" s="172" t="b">
        <v>0</v>
      </c>
      <c r="I557" s="172" t="b">
        <v>0</v>
      </c>
      <c r="J557" s="172" t="b">
        <v>0</v>
      </c>
      <c r="K557" s="172" t="b">
        <v>0</v>
      </c>
      <c r="L557" s="172" t="b">
        <v>0</v>
      </c>
      <c r="M557" s="172" t="b">
        <v>0</v>
      </c>
      <c r="N557" s="97"/>
      <c r="O557" s="97"/>
      <c r="P557" s="97"/>
      <c r="Q557" s="174"/>
    </row>
    <row r="558" spans="8:8" ht="43.5" customHeight="1">
      <c r="A558" s="172" t="b">
        <v>1</v>
      </c>
      <c r="B558" s="171" t="s">
        <v>4493</v>
      </c>
      <c r="C558" s="172">
        <v>241531.0</v>
      </c>
      <c r="D558" s="171" t="s">
        <v>4851</v>
      </c>
      <c r="E558" s="172" t="s">
        <v>781</v>
      </c>
      <c r="F558" s="172" t="b">
        <v>0</v>
      </c>
      <c r="G558" s="172" t="b">
        <v>1</v>
      </c>
      <c r="H558" s="172" t="b">
        <v>1</v>
      </c>
      <c r="I558" s="172" t="b">
        <v>0</v>
      </c>
      <c r="J558" s="172" t="b">
        <v>0</v>
      </c>
      <c r="K558" s="172" t="b">
        <v>0</v>
      </c>
      <c r="L558" s="172" t="b">
        <v>0</v>
      </c>
      <c r="M558" s="172" t="b">
        <v>0</v>
      </c>
      <c r="N558" s="97"/>
      <c r="O558" s="97"/>
      <c r="P558" s="97"/>
      <c r="Q558" s="174"/>
    </row>
    <row r="559" spans="8:8" ht="43.5" customHeight="1">
      <c r="A559" s="172">
        <v>16.0</v>
      </c>
      <c r="B559" s="171" t="s">
        <v>4378</v>
      </c>
      <c r="C559" s="172">
        <v>241451.0</v>
      </c>
      <c r="D559" s="171" t="s">
        <v>4851</v>
      </c>
      <c r="E559" s="172" t="s">
        <v>781</v>
      </c>
      <c r="F559" s="172" t="b">
        <v>0</v>
      </c>
      <c r="G559" s="172" t="b">
        <v>0</v>
      </c>
      <c r="H559" s="172" t="b">
        <v>0</v>
      </c>
      <c r="I559" s="172" t="b">
        <v>0</v>
      </c>
      <c r="J559" s="172" t="b">
        <v>0</v>
      </c>
      <c r="K559" s="172" t="b">
        <v>0</v>
      </c>
      <c r="L559" s="172" t="b">
        <v>0</v>
      </c>
      <c r="M559" s="172" t="b">
        <v>0</v>
      </c>
      <c r="N559" s="97"/>
      <c r="O559" s="97"/>
      <c r="P559" s="97"/>
      <c r="Q559" s="174"/>
    </row>
    <row r="560" spans="8:8" ht="43.5" customHeight="1">
      <c r="A560" s="172">
        <v>25.0</v>
      </c>
      <c r="B560" s="171" t="s">
        <v>4494</v>
      </c>
      <c r="C560" s="172">
        <v>251352.0</v>
      </c>
      <c r="D560" s="171" t="s">
        <v>4822</v>
      </c>
      <c r="E560" s="172" t="s">
        <v>781</v>
      </c>
      <c r="F560" s="172" t="b">
        <v>0</v>
      </c>
      <c r="G560" s="172" t="b">
        <v>1</v>
      </c>
      <c r="H560" s="172" t="b">
        <v>0</v>
      </c>
      <c r="I560" s="172" t="b">
        <v>0</v>
      </c>
      <c r="J560" s="172" t="b">
        <v>0</v>
      </c>
      <c r="K560" s="172" t="b">
        <v>0</v>
      </c>
      <c r="L560" s="172" t="b">
        <v>0</v>
      </c>
      <c r="M560" s="172" t="b">
        <v>0</v>
      </c>
      <c r="N560" s="97"/>
      <c r="O560" s="97"/>
      <c r="P560" s="97"/>
      <c r="Q560" s="174"/>
    </row>
    <row r="561" spans="8:8" ht="43.5" customHeight="1">
      <c r="A561" s="172">
        <v>19.0</v>
      </c>
      <c r="B561" s="171" t="s">
        <v>4495</v>
      </c>
      <c r="C561" s="172">
        <v>241565.0</v>
      </c>
      <c r="D561" s="171" t="s">
        <v>4851</v>
      </c>
      <c r="E561" s="172" t="s">
        <v>781</v>
      </c>
      <c r="F561" s="172" t="b">
        <v>0</v>
      </c>
      <c r="G561" s="172" t="b">
        <v>1</v>
      </c>
      <c r="H561" s="172" t="b">
        <v>1</v>
      </c>
      <c r="I561" s="172" t="b">
        <v>0</v>
      </c>
      <c r="J561" s="172" t="b">
        <v>0</v>
      </c>
      <c r="K561" s="172" t="b">
        <v>0</v>
      </c>
      <c r="L561" s="172" t="b">
        <v>0</v>
      </c>
      <c r="M561" s="172" t="b">
        <v>0</v>
      </c>
      <c r="N561" s="97"/>
      <c r="O561" s="97"/>
      <c r="P561" s="97"/>
      <c r="Q561" s="174"/>
    </row>
    <row r="562" spans="8:8" ht="43.5" customHeight="1">
      <c r="A562" s="170"/>
      <c r="B562" s="182" t="s">
        <v>4815</v>
      </c>
      <c r="C562" s="97"/>
      <c r="D562" s="97"/>
      <c r="E562" s="183"/>
      <c r="F562" s="184">
        <f t="shared" si="18" ref="F562:M562">COUNTIF(F541:F556,TRUE)/COUNTA(F541:F556)</f>
        <v>0.1875</v>
      </c>
      <c r="G562" s="184">
        <f t="shared" si="18"/>
        <v>0.625</v>
      </c>
      <c r="H562" s="184">
        <f t="shared" si="18"/>
        <v>0.375</v>
      </c>
      <c r="I562" s="184">
        <f t="shared" si="18"/>
        <v>0.0</v>
      </c>
      <c r="J562" s="184">
        <f t="shared" si="18"/>
        <v>0.0</v>
      </c>
      <c r="K562" s="184">
        <f t="shared" si="18"/>
        <v>0.0</v>
      </c>
      <c r="L562" s="184">
        <f t="shared" si="18"/>
        <v>0.0</v>
      </c>
      <c r="M562" s="184">
        <f t="shared" si="18"/>
        <v>0.0</v>
      </c>
      <c r="N562" s="97"/>
      <c r="O562" s="97"/>
      <c r="P562" s="97"/>
      <c r="Q562" s="174"/>
    </row>
    <row r="563" spans="8:8" ht="43.5" customHeight="1">
      <c r="A563" s="185" t="s">
        <v>18</v>
      </c>
      <c r="B563" s="162" t="s">
        <v>19</v>
      </c>
      <c r="C563" s="163"/>
      <c r="D563" s="162" t="s">
        <v>4530</v>
      </c>
      <c r="E563" s="162" t="s">
        <v>22</v>
      </c>
      <c r="F563" s="163" t="s">
        <v>4794</v>
      </c>
      <c r="G563" s="163" t="s">
        <v>4795</v>
      </c>
      <c r="H563" s="163" t="s">
        <v>4796</v>
      </c>
      <c r="I563" s="163" t="s">
        <v>4797</v>
      </c>
      <c r="J563" s="163" t="s">
        <v>4798</v>
      </c>
      <c r="K563" s="163" t="s">
        <v>4799</v>
      </c>
      <c r="L563" s="163" t="s">
        <v>4800</v>
      </c>
      <c r="M563" s="163" t="s">
        <v>4801</v>
      </c>
      <c r="N563" s="166" t="s">
        <v>4884</v>
      </c>
      <c r="O563" s="167"/>
      <c r="P563" s="168"/>
      <c r="Q563" s="169"/>
    </row>
    <row r="564" spans="8:8" ht="43.5" customHeight="1">
      <c r="A564" s="170">
        <v>4.0</v>
      </c>
      <c r="B564" s="171" t="s">
        <v>3983</v>
      </c>
      <c r="C564" s="172">
        <v>241303.0</v>
      </c>
      <c r="D564" s="171" t="s">
        <v>4856</v>
      </c>
      <c r="E564" s="172" t="s">
        <v>1645</v>
      </c>
      <c r="F564" s="172" t="b">
        <v>0</v>
      </c>
      <c r="G564" s="172" t="b">
        <v>0</v>
      </c>
      <c r="H564" s="172" t="b">
        <v>1</v>
      </c>
      <c r="I564" s="172" t="b">
        <v>0</v>
      </c>
      <c r="J564" s="172" t="b">
        <v>0</v>
      </c>
      <c r="K564" s="172" t="b">
        <v>0</v>
      </c>
      <c r="L564" s="172" t="b">
        <v>0</v>
      </c>
      <c r="M564" s="172" t="b">
        <v>0</v>
      </c>
      <c r="N564" s="173" t="s">
        <v>4804</v>
      </c>
      <c r="O564" s="167"/>
      <c r="P564" s="168"/>
      <c r="Q564" s="174"/>
    </row>
    <row r="565" spans="8:8" ht="43.5" customHeight="1">
      <c r="A565" s="170">
        <v>5.0</v>
      </c>
      <c r="B565" s="171" t="s">
        <v>3984</v>
      </c>
      <c r="C565" s="172">
        <v>241326.0</v>
      </c>
      <c r="D565" s="171" t="s">
        <v>4856</v>
      </c>
      <c r="E565" s="172" t="s">
        <v>1645</v>
      </c>
      <c r="F565" s="172" t="b">
        <v>0</v>
      </c>
      <c r="G565" s="172" t="b">
        <v>0</v>
      </c>
      <c r="H565" s="172" t="b">
        <v>0</v>
      </c>
      <c r="I565" s="172" t="b">
        <v>0</v>
      </c>
      <c r="J565" s="172" t="b">
        <v>0</v>
      </c>
      <c r="K565" s="172" t="b">
        <v>0</v>
      </c>
      <c r="L565" s="172" t="b">
        <v>0</v>
      </c>
      <c r="M565" s="172" t="b">
        <v>0</v>
      </c>
      <c r="N565" s="175" t="s">
        <v>4805</v>
      </c>
      <c r="O565" s="176" t="s">
        <v>4806</v>
      </c>
      <c r="P565" s="97" t="s">
        <v>4807</v>
      </c>
      <c r="Q565" s="174"/>
    </row>
    <row r="566" spans="8:8" ht="43.5" customHeight="1">
      <c r="A566" s="170">
        <v>6.0</v>
      </c>
      <c r="B566" s="171" t="s">
        <v>3985</v>
      </c>
      <c r="C566" s="172">
        <v>241329.0</v>
      </c>
      <c r="D566" s="171" t="s">
        <v>4856</v>
      </c>
      <c r="E566" s="172" t="s">
        <v>1645</v>
      </c>
      <c r="F566" s="172" t="b">
        <v>0</v>
      </c>
      <c r="G566" s="172" t="b">
        <v>0</v>
      </c>
      <c r="H566" s="172" t="b">
        <v>1</v>
      </c>
      <c r="I566" s="172" t="b">
        <v>0</v>
      </c>
      <c r="J566" s="172" t="b">
        <v>0</v>
      </c>
      <c r="K566" s="172" t="b">
        <v>0</v>
      </c>
      <c r="L566" s="172" t="b">
        <v>0</v>
      </c>
      <c r="M566" s="172" t="b">
        <v>0</v>
      </c>
      <c r="N566" s="97" t="s">
        <v>4794</v>
      </c>
      <c r="O566" s="172" t="b">
        <v>0</v>
      </c>
      <c r="P566" s="97" t="s">
        <v>4885</v>
      </c>
      <c r="Q566" s="174"/>
    </row>
    <row r="567" spans="8:8" ht="43.5" customHeight="1">
      <c r="A567" s="170">
        <v>7.0</v>
      </c>
      <c r="B567" s="171" t="s">
        <v>3986</v>
      </c>
      <c r="C567" s="172">
        <v>241332.0</v>
      </c>
      <c r="D567" s="171" t="s">
        <v>4856</v>
      </c>
      <c r="E567" s="172" t="s">
        <v>1645</v>
      </c>
      <c r="F567" s="172" t="b">
        <v>0</v>
      </c>
      <c r="G567" s="172" t="b">
        <v>0</v>
      </c>
      <c r="H567" s="172" t="b">
        <v>1</v>
      </c>
      <c r="I567" s="172" t="b">
        <v>0</v>
      </c>
      <c r="J567" s="172" t="b">
        <v>0</v>
      </c>
      <c r="K567" s="172" t="b">
        <v>0</v>
      </c>
      <c r="L567" s="172" t="b">
        <v>0</v>
      </c>
      <c r="M567" s="172" t="b">
        <v>0</v>
      </c>
      <c r="N567" s="97" t="s">
        <v>4795</v>
      </c>
      <c r="O567" s="172" t="b">
        <v>1</v>
      </c>
      <c r="P567" s="97" t="s">
        <v>4886</v>
      </c>
      <c r="Q567" s="174"/>
    </row>
    <row r="568" spans="8:8" ht="43.5" customHeight="1">
      <c r="A568" s="170">
        <v>8.0</v>
      </c>
      <c r="B568" s="171" t="s">
        <v>3987</v>
      </c>
      <c r="C568" s="172">
        <v>241347.0</v>
      </c>
      <c r="D568" s="171" t="s">
        <v>4856</v>
      </c>
      <c r="E568" s="172" t="s">
        <v>1645</v>
      </c>
      <c r="F568" s="172" t="b">
        <v>0</v>
      </c>
      <c r="G568" s="172" t="b">
        <v>1</v>
      </c>
      <c r="H568" s="172" t="b">
        <v>1</v>
      </c>
      <c r="I568" s="172" t="b">
        <v>0</v>
      </c>
      <c r="J568" s="172" t="b">
        <v>0</v>
      </c>
      <c r="K568" s="172" t="b">
        <v>0</v>
      </c>
      <c r="L568" s="172" t="b">
        <v>0</v>
      </c>
      <c r="M568" s="172" t="b">
        <v>0</v>
      </c>
      <c r="N568" s="97" t="s">
        <v>4796</v>
      </c>
      <c r="O568" s="172" t="b">
        <v>1</v>
      </c>
      <c r="P568" s="97" t="s">
        <v>4886</v>
      </c>
      <c r="Q568" s="174"/>
    </row>
    <row r="569" spans="8:8" ht="43.5" customHeight="1">
      <c r="A569" s="170">
        <v>9.0</v>
      </c>
      <c r="B569" s="171" t="s">
        <v>3988</v>
      </c>
      <c r="C569" s="172">
        <v>241359.0</v>
      </c>
      <c r="D569" s="171" t="s">
        <v>4856</v>
      </c>
      <c r="E569" s="172" t="s">
        <v>1645</v>
      </c>
      <c r="F569" s="172" t="b">
        <v>0</v>
      </c>
      <c r="G569" s="172" t="b">
        <v>1</v>
      </c>
      <c r="H569" s="172" t="b">
        <v>1</v>
      </c>
      <c r="I569" s="172" t="b">
        <v>0</v>
      </c>
      <c r="J569" s="172" t="b">
        <v>0</v>
      </c>
      <c r="K569" s="172" t="b">
        <v>0</v>
      </c>
      <c r="L569" s="172" t="b">
        <v>0</v>
      </c>
      <c r="M569" s="172" t="b">
        <v>0</v>
      </c>
      <c r="N569" s="97" t="s">
        <v>4797</v>
      </c>
      <c r="O569" s="172" t="b">
        <v>0</v>
      </c>
      <c r="P569" s="97"/>
      <c r="Q569" s="174"/>
    </row>
    <row r="570" spans="8:8" ht="43.5" customHeight="1">
      <c r="A570" s="170">
        <v>10.0</v>
      </c>
      <c r="B570" s="171" t="s">
        <v>3989</v>
      </c>
      <c r="C570" s="172">
        <v>241362.0</v>
      </c>
      <c r="D570" s="171" t="s">
        <v>4856</v>
      </c>
      <c r="E570" s="172" t="s">
        <v>1645</v>
      </c>
      <c r="F570" s="172" t="b">
        <v>0</v>
      </c>
      <c r="G570" s="172" t="b">
        <v>1</v>
      </c>
      <c r="H570" s="172" t="b">
        <v>1</v>
      </c>
      <c r="I570" s="172" t="b">
        <v>0</v>
      </c>
      <c r="J570" s="172" t="b">
        <v>0</v>
      </c>
      <c r="K570" s="172" t="b">
        <v>0</v>
      </c>
      <c r="L570" s="172" t="b">
        <v>0</v>
      </c>
      <c r="M570" s="172" t="b">
        <v>0</v>
      </c>
      <c r="N570" s="97" t="s">
        <v>4798</v>
      </c>
      <c r="O570" s="172" t="b">
        <v>0</v>
      </c>
      <c r="P570" s="97"/>
      <c r="Q570" s="174"/>
    </row>
    <row r="571" spans="8:8" ht="43.5" customHeight="1">
      <c r="A571" s="170">
        <v>11.0</v>
      </c>
      <c r="B571" s="171" t="s">
        <v>3990</v>
      </c>
      <c r="C571" s="172">
        <v>241375.0</v>
      </c>
      <c r="D571" s="171" t="s">
        <v>4856</v>
      </c>
      <c r="E571" s="172" t="s">
        <v>1645</v>
      </c>
      <c r="F571" s="172" t="b">
        <v>0</v>
      </c>
      <c r="G571" s="172" t="b">
        <v>1</v>
      </c>
      <c r="H571" s="172" t="b">
        <v>1</v>
      </c>
      <c r="I571" s="172" t="b">
        <v>0</v>
      </c>
      <c r="J571" s="172" t="b">
        <v>0</v>
      </c>
      <c r="K571" s="172" t="b">
        <v>0</v>
      </c>
      <c r="L571" s="172" t="b">
        <v>0</v>
      </c>
      <c r="M571" s="172" t="b">
        <v>0</v>
      </c>
      <c r="N571" s="97" t="s">
        <v>4799</v>
      </c>
      <c r="O571" s="172" t="b">
        <v>0</v>
      </c>
      <c r="P571" s="97"/>
      <c r="Q571" s="174"/>
    </row>
    <row r="572" spans="8:8" ht="43.5" customHeight="1">
      <c r="A572" s="170">
        <v>12.0</v>
      </c>
      <c r="B572" s="171" t="s">
        <v>3991</v>
      </c>
      <c r="C572" s="172">
        <v>241382.0</v>
      </c>
      <c r="D572" s="171" t="s">
        <v>4856</v>
      </c>
      <c r="E572" s="172" t="s">
        <v>1645</v>
      </c>
      <c r="F572" s="172" t="b">
        <v>0</v>
      </c>
      <c r="G572" s="172" t="b">
        <v>1</v>
      </c>
      <c r="H572" s="172" t="b">
        <v>1</v>
      </c>
      <c r="I572" s="172" t="b">
        <v>0</v>
      </c>
      <c r="J572" s="172" t="b">
        <v>0</v>
      </c>
      <c r="K572" s="172" t="b">
        <v>0</v>
      </c>
      <c r="L572" s="172" t="b">
        <v>0</v>
      </c>
      <c r="M572" s="172" t="b">
        <v>0</v>
      </c>
      <c r="N572" s="97" t="s">
        <v>4800</v>
      </c>
      <c r="O572" s="172" t="b">
        <v>0</v>
      </c>
      <c r="P572" s="97"/>
      <c r="Q572" s="174"/>
    </row>
    <row r="573" spans="8:8" ht="43.5" customHeight="1">
      <c r="A573" s="170">
        <v>13.0</v>
      </c>
      <c r="B573" s="171" t="s">
        <v>3992</v>
      </c>
      <c r="C573" s="172">
        <v>241387.0</v>
      </c>
      <c r="D573" s="171" t="s">
        <v>4856</v>
      </c>
      <c r="E573" s="172" t="s">
        <v>1645</v>
      </c>
      <c r="F573" s="172" t="b">
        <v>0</v>
      </c>
      <c r="G573" s="172" t="b">
        <v>0</v>
      </c>
      <c r="H573" s="172" t="b">
        <v>0</v>
      </c>
      <c r="I573" s="172" t="b">
        <v>0</v>
      </c>
      <c r="J573" s="172" t="b">
        <v>0</v>
      </c>
      <c r="K573" s="172" t="b">
        <v>0</v>
      </c>
      <c r="L573" s="172" t="b">
        <v>0</v>
      </c>
      <c r="M573" s="172" t="b">
        <v>0</v>
      </c>
      <c r="N573" s="97" t="s">
        <v>4801</v>
      </c>
      <c r="O573" s="172" t="b">
        <v>0</v>
      </c>
      <c r="P573" s="97"/>
      <c r="Q573" s="174"/>
    </row>
    <row r="574" spans="8:8" ht="43.5" customHeight="1">
      <c r="A574" s="170">
        <v>14.0</v>
      </c>
      <c r="B574" s="171" t="s">
        <v>3993</v>
      </c>
      <c r="C574" s="172">
        <v>241389.0</v>
      </c>
      <c r="D574" s="171" t="s">
        <v>4856</v>
      </c>
      <c r="E574" s="172" t="s">
        <v>1645</v>
      </c>
      <c r="F574" s="172" t="b">
        <v>0</v>
      </c>
      <c r="G574" s="172" t="b">
        <v>1</v>
      </c>
      <c r="H574" s="172" t="b">
        <v>0</v>
      </c>
      <c r="I574" s="172" t="b">
        <v>0</v>
      </c>
      <c r="J574" s="172" t="b">
        <v>0</v>
      </c>
      <c r="K574" s="172" t="b">
        <v>0</v>
      </c>
      <c r="L574" s="172" t="b">
        <v>0</v>
      </c>
      <c r="M574" s="172" t="b">
        <v>0</v>
      </c>
      <c r="N574" s="97"/>
      <c r="O574" s="97"/>
      <c r="P574" s="97"/>
      <c r="Q574" s="174"/>
    </row>
    <row r="575" spans="8:8" ht="43.5" customHeight="1">
      <c r="A575" s="170">
        <v>15.0</v>
      </c>
      <c r="B575" s="171" t="s">
        <v>3994</v>
      </c>
      <c r="C575" s="172">
        <v>241392.0</v>
      </c>
      <c r="D575" s="171" t="s">
        <v>4856</v>
      </c>
      <c r="E575" s="172" t="s">
        <v>1645</v>
      </c>
      <c r="F575" s="172" t="b">
        <v>1</v>
      </c>
      <c r="G575" s="172" t="b">
        <v>1</v>
      </c>
      <c r="H575" s="172" t="b">
        <v>1</v>
      </c>
      <c r="I575" s="172" t="b">
        <v>0</v>
      </c>
      <c r="J575" s="172" t="b">
        <v>0</v>
      </c>
      <c r="K575" s="172" t="b">
        <v>0</v>
      </c>
      <c r="L575" s="172" t="b">
        <v>0</v>
      </c>
      <c r="M575" s="172" t="b">
        <v>0</v>
      </c>
      <c r="N575" s="97"/>
      <c r="O575" s="97"/>
      <c r="P575" s="97"/>
      <c r="Q575" s="174"/>
    </row>
    <row r="576" spans="8:8" ht="43.5" customHeight="1">
      <c r="A576" s="170">
        <v>16.0</v>
      </c>
      <c r="B576" s="171" t="s">
        <v>3995</v>
      </c>
      <c r="C576" s="172">
        <v>241395.0</v>
      </c>
      <c r="D576" s="171" t="s">
        <v>4856</v>
      </c>
      <c r="E576" s="172" t="s">
        <v>1645</v>
      </c>
      <c r="F576" s="172" t="b">
        <v>1</v>
      </c>
      <c r="G576" s="172" t="b">
        <v>1</v>
      </c>
      <c r="H576" s="172" t="b">
        <v>1</v>
      </c>
      <c r="I576" s="172" t="b">
        <v>0</v>
      </c>
      <c r="J576" s="172" t="b">
        <v>0</v>
      </c>
      <c r="K576" s="172" t="b">
        <v>0</v>
      </c>
      <c r="L576" s="172" t="b">
        <v>0</v>
      </c>
      <c r="M576" s="172" t="b">
        <v>0</v>
      </c>
      <c r="N576" s="97"/>
      <c r="O576" s="97"/>
      <c r="P576" s="97"/>
      <c r="Q576" s="174"/>
    </row>
    <row r="577" spans="8:8" ht="43.5" customHeight="1">
      <c r="A577" s="170">
        <v>17.0</v>
      </c>
      <c r="B577" s="171" t="s">
        <v>3996</v>
      </c>
      <c r="C577" s="172">
        <v>241400.0</v>
      </c>
      <c r="D577" s="171" t="s">
        <v>4856</v>
      </c>
      <c r="E577" s="172" t="s">
        <v>1645</v>
      </c>
      <c r="F577" s="172" t="b">
        <v>0</v>
      </c>
      <c r="G577" s="172" t="b">
        <v>1</v>
      </c>
      <c r="H577" s="172" t="b">
        <v>1</v>
      </c>
      <c r="I577" s="172" t="b">
        <v>0</v>
      </c>
      <c r="J577" s="172" t="b">
        <v>0</v>
      </c>
      <c r="K577" s="172" t="b">
        <v>0</v>
      </c>
      <c r="L577" s="172" t="b">
        <v>0</v>
      </c>
      <c r="M577" s="172" t="b">
        <v>0</v>
      </c>
      <c r="N577" s="97"/>
      <c r="O577" s="97"/>
      <c r="P577" s="97"/>
      <c r="Q577" s="174"/>
    </row>
    <row r="578" spans="8:8" ht="43.5" customHeight="1">
      <c r="A578" s="170">
        <v>18.0</v>
      </c>
      <c r="B578" s="171" t="s">
        <v>3997</v>
      </c>
      <c r="C578" s="172">
        <v>241404.0</v>
      </c>
      <c r="D578" s="171" t="s">
        <v>4856</v>
      </c>
      <c r="E578" s="172" t="s">
        <v>1645</v>
      </c>
      <c r="F578" s="172" t="b">
        <v>0</v>
      </c>
      <c r="G578" s="172" t="b">
        <v>0</v>
      </c>
      <c r="H578" s="172" t="b">
        <v>0</v>
      </c>
      <c r="I578" s="172" t="b">
        <v>0</v>
      </c>
      <c r="J578" s="172" t="b">
        <v>0</v>
      </c>
      <c r="K578" s="172" t="b">
        <v>0</v>
      </c>
      <c r="L578" s="172" t="b">
        <v>0</v>
      </c>
      <c r="M578" s="172" t="b">
        <v>0</v>
      </c>
      <c r="N578" s="97"/>
      <c r="O578" s="97"/>
      <c r="P578" s="97"/>
      <c r="Q578" s="174"/>
    </row>
    <row r="579" spans="8:8" ht="43.5" customHeight="1">
      <c r="A579" s="170">
        <v>19.0</v>
      </c>
      <c r="B579" s="171" t="s">
        <v>3998</v>
      </c>
      <c r="C579" s="172">
        <v>241408.0</v>
      </c>
      <c r="D579" s="171" t="s">
        <v>4856</v>
      </c>
      <c r="E579" s="172" t="s">
        <v>1645</v>
      </c>
      <c r="F579" s="172" t="b">
        <v>0</v>
      </c>
      <c r="G579" s="172" t="b">
        <v>1</v>
      </c>
      <c r="H579" s="172" t="b">
        <v>1</v>
      </c>
      <c r="I579" s="172" t="b">
        <v>0</v>
      </c>
      <c r="J579" s="172" t="b">
        <v>0</v>
      </c>
      <c r="K579" s="172" t="b">
        <v>0</v>
      </c>
      <c r="L579" s="172" t="b">
        <v>0</v>
      </c>
      <c r="M579" s="172" t="b">
        <v>0</v>
      </c>
      <c r="N579" s="97"/>
      <c r="O579" s="97"/>
      <c r="P579" s="97"/>
      <c r="Q579" s="174"/>
    </row>
    <row r="580" spans="8:8" ht="43.5" customHeight="1">
      <c r="A580" s="170">
        <v>20.0</v>
      </c>
      <c r="B580" s="171" t="s">
        <v>3999</v>
      </c>
      <c r="C580" s="172">
        <v>241409.0</v>
      </c>
      <c r="D580" s="171" t="s">
        <v>4856</v>
      </c>
      <c r="E580" s="172" t="s">
        <v>1645</v>
      </c>
      <c r="F580" s="172" t="b">
        <v>0</v>
      </c>
      <c r="G580" s="172" t="b">
        <v>1</v>
      </c>
      <c r="H580" s="172" t="b">
        <v>1</v>
      </c>
      <c r="I580" s="172" t="b">
        <v>0</v>
      </c>
      <c r="J580" s="172" t="b">
        <v>0</v>
      </c>
      <c r="K580" s="172" t="b">
        <v>0</v>
      </c>
      <c r="L580" s="172" t="b">
        <v>0</v>
      </c>
      <c r="M580" s="172" t="b">
        <v>0</v>
      </c>
      <c r="N580" s="97"/>
      <c r="O580" s="97"/>
      <c r="P580" s="97"/>
      <c r="Q580" s="174"/>
    </row>
    <row r="581" spans="8:8" ht="43.5" customHeight="1">
      <c r="A581" s="170">
        <v>21.0</v>
      </c>
      <c r="B581" s="171" t="s">
        <v>4000</v>
      </c>
      <c r="C581" s="172">
        <v>241428.0</v>
      </c>
      <c r="D581" s="171" t="s">
        <v>4856</v>
      </c>
      <c r="E581" s="172" t="s">
        <v>1645</v>
      </c>
      <c r="F581" s="172" t="b">
        <v>1</v>
      </c>
      <c r="G581" s="172" t="b">
        <v>1</v>
      </c>
      <c r="H581" s="172" t="b">
        <v>0</v>
      </c>
      <c r="I581" s="172" t="b">
        <v>0</v>
      </c>
      <c r="J581" s="172" t="b">
        <v>0</v>
      </c>
      <c r="K581" s="172" t="b">
        <v>0</v>
      </c>
      <c r="L581" s="172" t="b">
        <v>0</v>
      </c>
      <c r="M581" s="172" t="b">
        <v>0</v>
      </c>
      <c r="N581" s="97"/>
      <c r="O581" s="97"/>
      <c r="P581" s="97"/>
      <c r="Q581" s="174"/>
    </row>
    <row r="582" spans="8:8" ht="43.5" customHeight="1">
      <c r="A582" s="170">
        <v>22.0</v>
      </c>
      <c r="B582" s="171" t="s">
        <v>4001</v>
      </c>
      <c r="C582" s="172">
        <v>241845.0</v>
      </c>
      <c r="D582" s="171" t="s">
        <v>4857</v>
      </c>
      <c r="E582" s="172" t="s">
        <v>1645</v>
      </c>
      <c r="F582" s="172" t="b">
        <v>0</v>
      </c>
      <c r="G582" s="172" t="b">
        <v>1</v>
      </c>
      <c r="H582" s="172" t="b">
        <v>1</v>
      </c>
      <c r="I582" s="172" t="b">
        <v>0</v>
      </c>
      <c r="J582" s="172" t="b">
        <v>0</v>
      </c>
      <c r="K582" s="172" t="b">
        <v>0</v>
      </c>
      <c r="L582" s="172" t="b">
        <v>0</v>
      </c>
      <c r="M582" s="172" t="b">
        <v>0</v>
      </c>
      <c r="N582" s="97"/>
      <c r="O582" s="97"/>
      <c r="P582" s="97"/>
      <c r="Q582" s="174"/>
    </row>
    <row r="583" spans="8:8" ht="43.5" customHeight="1">
      <c r="A583" s="170">
        <v>23.0</v>
      </c>
      <c r="B583" s="171" t="s">
        <v>4002</v>
      </c>
      <c r="C583" s="172">
        <v>241435.0</v>
      </c>
      <c r="D583" s="171" t="s">
        <v>4856</v>
      </c>
      <c r="E583" s="172" t="s">
        <v>1645</v>
      </c>
      <c r="F583" s="172" t="b">
        <v>0</v>
      </c>
      <c r="G583" s="172" t="b">
        <v>0</v>
      </c>
      <c r="H583" s="172" t="b">
        <v>1</v>
      </c>
      <c r="I583" s="172" t="b">
        <v>0</v>
      </c>
      <c r="J583" s="172" t="b">
        <v>0</v>
      </c>
      <c r="K583" s="172" t="b">
        <v>0</v>
      </c>
      <c r="L583" s="172" t="b">
        <v>0</v>
      </c>
      <c r="M583" s="172" t="b">
        <v>0</v>
      </c>
      <c r="N583" s="97"/>
      <c r="O583" s="97"/>
      <c r="P583" s="97"/>
      <c r="Q583" s="174"/>
    </row>
    <row r="584" spans="8:8" ht="43.5" customHeight="1">
      <c r="A584" s="170">
        <v>24.0</v>
      </c>
      <c r="B584" s="171" t="s">
        <v>4003</v>
      </c>
      <c r="C584" s="172">
        <v>241441.0</v>
      </c>
      <c r="D584" s="171" t="s">
        <v>4856</v>
      </c>
      <c r="E584" s="172" t="s">
        <v>1645</v>
      </c>
      <c r="F584" s="172" t="b">
        <v>1</v>
      </c>
      <c r="G584" s="172" t="b">
        <v>1</v>
      </c>
      <c r="H584" s="172" t="b">
        <v>1</v>
      </c>
      <c r="I584" s="172" t="b">
        <v>0</v>
      </c>
      <c r="J584" s="172" t="b">
        <v>0</v>
      </c>
      <c r="K584" s="172" t="b">
        <v>0</v>
      </c>
      <c r="L584" s="172" t="b">
        <v>0</v>
      </c>
      <c r="M584" s="172" t="b">
        <v>0</v>
      </c>
      <c r="N584" s="97"/>
      <c r="O584" s="97"/>
      <c r="P584" s="97"/>
      <c r="Q584" s="174"/>
    </row>
    <row r="585" spans="8:8" ht="43.5" customHeight="1">
      <c r="A585" s="170">
        <v>25.0</v>
      </c>
      <c r="B585" s="181" t="s">
        <v>1697</v>
      </c>
      <c r="C585" s="97">
        <v>240798.0</v>
      </c>
      <c r="D585" s="171" t="s">
        <v>4883</v>
      </c>
      <c r="E585" s="172" t="s">
        <v>1645</v>
      </c>
      <c r="F585" s="172" t="b">
        <v>1</v>
      </c>
      <c r="G585" s="172" t="b">
        <v>1</v>
      </c>
      <c r="H585" s="172" t="b">
        <v>1</v>
      </c>
      <c r="I585" s="172" t="b">
        <v>0</v>
      </c>
      <c r="J585" s="172" t="b">
        <v>0</v>
      </c>
      <c r="K585" s="172" t="b">
        <v>0</v>
      </c>
      <c r="L585" s="172" t="b">
        <v>0</v>
      </c>
      <c r="M585" s="172" t="b">
        <v>0</v>
      </c>
      <c r="N585" s="97"/>
      <c r="O585" s="97"/>
      <c r="P585" s="97"/>
      <c r="Q585" s="174"/>
    </row>
    <row r="586" spans="8:8" ht="43.5" customHeight="1">
      <c r="A586" s="172">
        <v>4.0</v>
      </c>
      <c r="B586" s="171" t="s">
        <v>4004</v>
      </c>
      <c r="C586" s="172">
        <v>241453.0</v>
      </c>
      <c r="D586" s="171" t="s">
        <v>4851</v>
      </c>
      <c r="E586" s="172" t="s">
        <v>1645</v>
      </c>
      <c r="F586" s="172" t="b">
        <v>0</v>
      </c>
      <c r="G586" s="172" t="b">
        <v>0</v>
      </c>
      <c r="H586" s="172" t="b">
        <v>1</v>
      </c>
      <c r="I586" s="172" t="b">
        <v>0</v>
      </c>
      <c r="J586" s="172" t="b">
        <v>0</v>
      </c>
      <c r="K586" s="172" t="b">
        <v>0</v>
      </c>
      <c r="L586" s="172" t="b">
        <v>0</v>
      </c>
      <c r="M586" s="172" t="b">
        <v>0</v>
      </c>
      <c r="N586" s="97"/>
      <c r="O586" s="97"/>
      <c r="P586" s="97"/>
      <c r="Q586" s="174"/>
    </row>
    <row r="587" spans="8:8" ht="43.5" customHeight="1">
      <c r="A587" s="172">
        <v>7.0</v>
      </c>
      <c r="B587" s="171" t="s">
        <v>4005</v>
      </c>
      <c r="C587" s="172">
        <v>241492.0</v>
      </c>
      <c r="D587" s="171" t="s">
        <v>4851</v>
      </c>
      <c r="E587" s="172" t="s">
        <v>1645</v>
      </c>
      <c r="F587" s="172" t="b">
        <v>0</v>
      </c>
      <c r="G587" s="172" t="b">
        <v>0</v>
      </c>
      <c r="H587" s="172" t="b">
        <v>0</v>
      </c>
      <c r="I587" s="172" t="b">
        <v>0</v>
      </c>
      <c r="J587" s="172" t="b">
        <v>0</v>
      </c>
      <c r="K587" s="172" t="b">
        <v>0</v>
      </c>
      <c r="L587" s="172" t="b">
        <v>0</v>
      </c>
      <c r="M587" s="172" t="b">
        <v>0</v>
      </c>
      <c r="N587" s="97"/>
      <c r="O587" s="97"/>
      <c r="P587" s="97"/>
      <c r="Q587" s="174"/>
    </row>
    <row r="588" spans="8:8" ht="43.5" customHeight="1">
      <c r="A588" s="172">
        <v>9.0</v>
      </c>
      <c r="B588" s="171" t="s">
        <v>4006</v>
      </c>
      <c r="C588" s="172">
        <v>241533.0</v>
      </c>
      <c r="D588" s="171" t="s">
        <v>4851</v>
      </c>
      <c r="E588" s="172" t="s">
        <v>1645</v>
      </c>
      <c r="F588" s="172" t="b">
        <v>0</v>
      </c>
      <c r="G588" s="172" t="b">
        <v>0</v>
      </c>
      <c r="H588" s="172" t="b">
        <v>1</v>
      </c>
      <c r="I588" s="172" t="b">
        <v>0</v>
      </c>
      <c r="J588" s="172" t="b">
        <v>0</v>
      </c>
      <c r="K588" s="172" t="b">
        <v>0</v>
      </c>
      <c r="L588" s="172" t="b">
        <v>0</v>
      </c>
      <c r="M588" s="172" t="b">
        <v>0</v>
      </c>
      <c r="N588" s="97"/>
      <c r="O588" s="97"/>
      <c r="P588" s="97"/>
      <c r="Q588" s="174"/>
    </row>
    <row r="589" spans="8:8" ht="43.5" customHeight="1">
      <c r="A589" s="172">
        <v>5.0</v>
      </c>
      <c r="B589" s="171" t="s">
        <v>4393</v>
      </c>
      <c r="C589" s="172">
        <v>241458.0</v>
      </c>
      <c r="D589" s="171" t="s">
        <v>4851</v>
      </c>
      <c r="E589" s="172" t="s">
        <v>1645</v>
      </c>
      <c r="F589" s="172" t="b">
        <v>0</v>
      </c>
      <c r="G589" s="172" t="b">
        <v>0</v>
      </c>
      <c r="H589" s="172" t="b">
        <v>0</v>
      </c>
      <c r="I589" s="172" t="b">
        <v>0</v>
      </c>
      <c r="J589" s="172" t="b">
        <v>0</v>
      </c>
      <c r="K589" s="172" t="b">
        <v>0</v>
      </c>
      <c r="L589" s="172" t="b">
        <v>0</v>
      </c>
      <c r="M589" s="172" t="b">
        <v>0</v>
      </c>
      <c r="N589" s="193"/>
      <c r="O589" s="193"/>
      <c r="P589" s="193"/>
      <c r="Q589" s="194"/>
    </row>
    <row r="590" spans="8:8" ht="43.5" customHeight="1">
      <c r="A590" s="172">
        <v>6.0</v>
      </c>
      <c r="B590" s="171" t="s">
        <v>4394</v>
      </c>
      <c r="C590" s="172">
        <v>241471.0</v>
      </c>
      <c r="D590" s="171" t="s">
        <v>4851</v>
      </c>
      <c r="E590" s="172" t="s">
        <v>1645</v>
      </c>
      <c r="F590" s="172" t="b">
        <v>0</v>
      </c>
      <c r="G590" s="172" t="b">
        <v>0</v>
      </c>
      <c r="H590" s="172" t="b">
        <v>0</v>
      </c>
      <c r="I590" s="172" t="b">
        <v>0</v>
      </c>
      <c r="J590" s="172" t="b">
        <v>0</v>
      </c>
      <c r="K590" s="172" t="b">
        <v>0</v>
      </c>
      <c r="L590" s="172" t="b">
        <v>0</v>
      </c>
      <c r="M590" s="172" t="b">
        <v>0</v>
      </c>
      <c r="N590" s="193"/>
      <c r="O590" s="193"/>
      <c r="P590" s="193"/>
      <c r="Q590" s="194"/>
    </row>
    <row r="591" spans="8:8" ht="43.5" customHeight="1">
      <c r="A591" s="172">
        <v>10.0</v>
      </c>
      <c r="B591" s="171" t="s">
        <v>4395</v>
      </c>
      <c r="C591" s="172">
        <v>241541.0</v>
      </c>
      <c r="D591" s="171" t="s">
        <v>4851</v>
      </c>
      <c r="E591" s="172" t="s">
        <v>1645</v>
      </c>
      <c r="F591" s="172" t="b">
        <v>0</v>
      </c>
      <c r="G591" s="172" t="b">
        <v>0</v>
      </c>
      <c r="H591" s="172" t="b">
        <v>1</v>
      </c>
      <c r="I591" s="172" t="b">
        <v>0</v>
      </c>
      <c r="J591" s="172" t="b">
        <v>0</v>
      </c>
      <c r="K591" s="172" t="b">
        <v>0</v>
      </c>
      <c r="L591" s="172" t="b">
        <v>0</v>
      </c>
      <c r="M591" s="172" t="b">
        <v>0</v>
      </c>
      <c r="N591" s="193"/>
      <c r="O591" s="193"/>
      <c r="P591" s="193"/>
      <c r="Q591" s="194"/>
    </row>
    <row r="592" spans="8:8" ht="43.5" customHeight="1">
      <c r="A592" s="172">
        <v>18.0</v>
      </c>
      <c r="B592" s="181" t="s">
        <v>4396</v>
      </c>
      <c r="C592" s="97">
        <v>241470.0</v>
      </c>
      <c r="D592" s="181" t="s">
        <v>4887</v>
      </c>
      <c r="E592" s="97" t="s">
        <v>1645</v>
      </c>
      <c r="F592" s="172" t="b">
        <v>0</v>
      </c>
      <c r="G592" s="172" t="b">
        <v>0</v>
      </c>
      <c r="H592" s="172" t="b">
        <v>1</v>
      </c>
      <c r="I592" s="172" t="b">
        <v>0</v>
      </c>
      <c r="J592" s="172" t="b">
        <v>0</v>
      </c>
      <c r="K592" s="172" t="b">
        <v>0</v>
      </c>
      <c r="L592" s="172" t="b">
        <v>0</v>
      </c>
      <c r="M592" s="172" t="b">
        <v>0</v>
      </c>
      <c r="N592" s="193"/>
      <c r="O592" s="193"/>
      <c r="P592" s="193"/>
      <c r="Q592" s="194"/>
    </row>
    <row r="593" spans="8:8" ht="43.5" customHeight="1">
      <c r="A593" s="177">
        <v>18.0</v>
      </c>
      <c r="B593" s="191" t="s">
        <v>1670</v>
      </c>
      <c r="C593" s="190">
        <v>240637.0</v>
      </c>
      <c r="D593" s="191" t="s">
        <v>606</v>
      </c>
      <c r="E593" s="177" t="s">
        <v>1645</v>
      </c>
      <c r="F593" s="177" t="b">
        <v>0</v>
      </c>
      <c r="G593" s="190" t="b">
        <v>0</v>
      </c>
      <c r="H593" s="190" t="b">
        <v>0</v>
      </c>
      <c r="I593" s="190" t="b">
        <v>0</v>
      </c>
      <c r="J593" s="190" t="b">
        <v>0</v>
      </c>
      <c r="K593" s="190" t="b">
        <v>0</v>
      </c>
      <c r="L593" s="190" t="b">
        <v>0</v>
      </c>
      <c r="M593" s="190" t="b">
        <v>0</v>
      </c>
      <c r="N593" s="177"/>
      <c r="O593" s="177"/>
      <c r="P593" s="97"/>
      <c r="Q593" s="174"/>
    </row>
    <row r="594" spans="8:8" ht="43.5" customHeight="1">
      <c r="A594" s="170"/>
      <c r="B594" s="182" t="s">
        <v>4815</v>
      </c>
      <c r="C594" s="97"/>
      <c r="D594" s="97"/>
      <c r="E594" s="183"/>
      <c r="F594" s="184">
        <f t="shared" si="19" ref="F594:M594">COUNTIF(F571:F586,TRUE)/COUNTA(F571:F586)</f>
        <v>0.3125</v>
      </c>
      <c r="G594" s="184">
        <f t="shared" si="19"/>
        <v>0.75</v>
      </c>
      <c r="H594" s="184">
        <f t="shared" si="19"/>
        <v>0.75</v>
      </c>
      <c r="I594" s="184">
        <f t="shared" si="19"/>
        <v>0.0</v>
      </c>
      <c r="J594" s="184">
        <f t="shared" si="19"/>
        <v>0.0</v>
      </c>
      <c r="K594" s="184">
        <f t="shared" si="19"/>
        <v>0.0</v>
      </c>
      <c r="L594" s="184">
        <f t="shared" si="19"/>
        <v>0.0</v>
      </c>
      <c r="M594" s="184">
        <f t="shared" si="19"/>
        <v>0.0</v>
      </c>
      <c r="N594" s="97"/>
      <c r="O594" s="97"/>
      <c r="P594" s="97"/>
      <c r="Q594" s="174"/>
    </row>
    <row r="595" spans="8:8" ht="43.5" customHeight="1">
      <c r="A595" s="185" t="s">
        <v>18</v>
      </c>
      <c r="B595" s="162" t="s">
        <v>19</v>
      </c>
      <c r="C595" s="163"/>
      <c r="D595" s="162" t="s">
        <v>4530</v>
      </c>
      <c r="E595" s="162" t="s">
        <v>22</v>
      </c>
      <c r="F595" s="163" t="s">
        <v>4794</v>
      </c>
      <c r="G595" s="163" t="s">
        <v>4795</v>
      </c>
      <c r="H595" s="163" t="s">
        <v>4796</v>
      </c>
      <c r="I595" s="163" t="s">
        <v>4797</v>
      </c>
      <c r="J595" s="163" t="s">
        <v>4798</v>
      </c>
      <c r="K595" s="163" t="s">
        <v>4799</v>
      </c>
      <c r="L595" s="163" t="s">
        <v>4800</v>
      </c>
      <c r="M595" s="163" t="s">
        <v>4801</v>
      </c>
      <c r="N595" s="195" t="s">
        <v>4888</v>
      </c>
      <c r="O595" s="167"/>
      <c r="P595" s="168"/>
      <c r="Q595" s="196"/>
    </row>
    <row r="596" spans="8:8" ht="43.5" customHeight="1">
      <c r="A596" s="170">
        <v>1.0</v>
      </c>
      <c r="B596" s="171" t="s">
        <v>4710</v>
      </c>
      <c r="C596" s="172">
        <v>251259.0</v>
      </c>
      <c r="D596" s="171" t="s">
        <v>4803</v>
      </c>
      <c r="E596" s="172" t="s">
        <v>1512</v>
      </c>
      <c r="F596" s="172" t="b">
        <v>0</v>
      </c>
      <c r="G596" s="172" t="b">
        <v>0</v>
      </c>
      <c r="H596" s="172" t="b">
        <v>0</v>
      </c>
      <c r="I596" s="172" t="b">
        <v>0</v>
      </c>
      <c r="J596" s="172" t="b">
        <v>0</v>
      </c>
      <c r="K596" s="172" t="b">
        <v>0</v>
      </c>
      <c r="L596" s="172" t="b">
        <v>0</v>
      </c>
      <c r="M596" s="172" t="b">
        <v>0</v>
      </c>
      <c r="N596" s="173" t="s">
        <v>4804</v>
      </c>
      <c r="O596" s="167"/>
      <c r="P596" s="168"/>
      <c r="Q596" s="174"/>
    </row>
    <row r="597" spans="8:8" ht="41.25" customHeight="1">
      <c r="A597" s="170">
        <v>2.0</v>
      </c>
      <c r="B597" s="181" t="s">
        <v>4889</v>
      </c>
      <c r="C597" s="97">
        <v>252425.0</v>
      </c>
      <c r="D597" s="181" t="s">
        <v>4890</v>
      </c>
      <c r="E597" s="172" t="s">
        <v>1512</v>
      </c>
      <c r="F597" s="172" t="b">
        <v>0</v>
      </c>
      <c r="G597" s="172" t="b">
        <v>0</v>
      </c>
      <c r="H597" s="172" t="b">
        <v>0</v>
      </c>
      <c r="I597" s="172" t="b">
        <v>0</v>
      </c>
      <c r="J597" s="172" t="b">
        <v>0</v>
      </c>
      <c r="K597" s="172" t="b">
        <v>0</v>
      </c>
      <c r="L597" s="172" t="b">
        <v>0</v>
      </c>
      <c r="M597" s="172" t="b">
        <v>0</v>
      </c>
      <c r="N597" s="175" t="s">
        <v>4805</v>
      </c>
      <c r="O597" s="176" t="s">
        <v>4806</v>
      </c>
      <c r="P597" s="97" t="s">
        <v>4807</v>
      </c>
      <c r="Q597" s="174"/>
    </row>
    <row r="598" spans="8:8" ht="43.5" customHeight="1">
      <c r="A598" s="170">
        <v>3.0</v>
      </c>
      <c r="B598" s="171" t="s">
        <v>4007</v>
      </c>
      <c r="C598" s="172">
        <v>251284.0</v>
      </c>
      <c r="D598" s="171" t="s">
        <v>4810</v>
      </c>
      <c r="E598" s="172" t="s">
        <v>1512</v>
      </c>
      <c r="F598" s="172" t="b">
        <v>0</v>
      </c>
      <c r="G598" s="172" t="b">
        <v>0</v>
      </c>
      <c r="H598" s="172" t="b">
        <v>0</v>
      </c>
      <c r="I598" s="172" t="b">
        <v>0</v>
      </c>
      <c r="J598" s="172" t="b">
        <v>0</v>
      </c>
      <c r="K598" s="172" t="b">
        <v>0</v>
      </c>
      <c r="L598" s="172" t="b">
        <v>0</v>
      </c>
      <c r="M598" s="172" t="b">
        <v>0</v>
      </c>
      <c r="N598" s="97" t="s">
        <v>4794</v>
      </c>
      <c r="O598" s="172" t="b">
        <v>1</v>
      </c>
      <c r="P598" s="97"/>
      <c r="Q598" s="174"/>
    </row>
    <row r="599" spans="8:8" ht="43.5" customHeight="1">
      <c r="A599" s="170">
        <v>4.0</v>
      </c>
      <c r="B599" s="171" t="s">
        <v>4008</v>
      </c>
      <c r="C599" s="172">
        <v>251297.0</v>
      </c>
      <c r="D599" s="171" t="s">
        <v>4810</v>
      </c>
      <c r="E599" s="172" t="s">
        <v>1512</v>
      </c>
      <c r="F599" s="172" t="b">
        <v>0</v>
      </c>
      <c r="G599" s="172" t="b">
        <v>0</v>
      </c>
      <c r="H599" s="172" t="b">
        <v>0</v>
      </c>
      <c r="I599" s="172" t="b">
        <v>0</v>
      </c>
      <c r="J599" s="172" t="b">
        <v>0</v>
      </c>
      <c r="K599" s="172" t="b">
        <v>0</v>
      </c>
      <c r="L599" s="172" t="b">
        <v>0</v>
      </c>
      <c r="M599" s="172" t="b">
        <v>0</v>
      </c>
      <c r="N599" s="97" t="s">
        <v>4795</v>
      </c>
      <c r="O599" s="172" t="b">
        <v>1</v>
      </c>
      <c r="P599" s="97"/>
      <c r="Q599" s="174"/>
    </row>
    <row r="600" spans="8:8" ht="43.5" customHeight="1">
      <c r="A600" s="170">
        <v>5.0</v>
      </c>
      <c r="B600" s="171" t="s">
        <v>4009</v>
      </c>
      <c r="C600" s="172">
        <v>251299.0</v>
      </c>
      <c r="D600" s="171" t="s">
        <v>4810</v>
      </c>
      <c r="E600" s="172" t="s">
        <v>1512</v>
      </c>
      <c r="F600" s="172" t="b">
        <v>1</v>
      </c>
      <c r="G600" s="172" t="b">
        <v>1</v>
      </c>
      <c r="H600" s="172" t="b">
        <v>1</v>
      </c>
      <c r="I600" s="172" t="b">
        <v>0</v>
      </c>
      <c r="J600" s="172" t="b">
        <v>0</v>
      </c>
      <c r="K600" s="172" t="b">
        <v>0</v>
      </c>
      <c r="L600" s="172" t="b">
        <v>0</v>
      </c>
      <c r="M600" s="172" t="b">
        <v>0</v>
      </c>
      <c r="N600" s="97" t="s">
        <v>4796</v>
      </c>
      <c r="O600" s="172" t="b">
        <v>1</v>
      </c>
      <c r="P600" s="97"/>
      <c r="Q600" s="174"/>
    </row>
    <row r="601" spans="8:8" ht="43.5" customHeight="1">
      <c r="A601" s="170">
        <v>6.0</v>
      </c>
      <c r="B601" s="171" t="s">
        <v>4711</v>
      </c>
      <c r="C601" s="172">
        <v>251305.0</v>
      </c>
      <c r="D601" s="171" t="s">
        <v>4818</v>
      </c>
      <c r="E601" s="172" t="s">
        <v>1512</v>
      </c>
      <c r="F601" s="172" t="b">
        <v>0</v>
      </c>
      <c r="G601" s="172" t="b">
        <v>0</v>
      </c>
      <c r="H601" s="172" t="b">
        <v>0</v>
      </c>
      <c r="I601" s="172" t="b">
        <v>0</v>
      </c>
      <c r="J601" s="172" t="b">
        <v>0</v>
      </c>
      <c r="K601" s="172" t="b">
        <v>0</v>
      </c>
      <c r="L601" s="172" t="b">
        <v>0</v>
      </c>
      <c r="M601" s="172" t="b">
        <v>0</v>
      </c>
      <c r="N601" s="97" t="s">
        <v>4797</v>
      </c>
      <c r="O601" s="172" t="b">
        <v>0</v>
      </c>
      <c r="P601" s="97"/>
      <c r="Q601" s="174"/>
    </row>
    <row r="602" spans="8:8" ht="43.5" customHeight="1">
      <c r="A602" s="170">
        <v>7.0</v>
      </c>
      <c r="B602" s="171" t="s">
        <v>4010</v>
      </c>
      <c r="C602" s="172">
        <v>251313.0</v>
      </c>
      <c r="D602" s="171" t="s">
        <v>4818</v>
      </c>
      <c r="E602" s="172" t="s">
        <v>1512</v>
      </c>
      <c r="F602" s="172" t="b">
        <v>0</v>
      </c>
      <c r="G602" s="172" t="b">
        <v>0</v>
      </c>
      <c r="H602" s="172" t="b">
        <v>0</v>
      </c>
      <c r="I602" s="172" t="b">
        <v>0</v>
      </c>
      <c r="J602" s="172" t="b">
        <v>0</v>
      </c>
      <c r="K602" s="172" t="b">
        <v>0</v>
      </c>
      <c r="L602" s="172" t="b">
        <v>0</v>
      </c>
      <c r="M602" s="172" t="b">
        <v>0</v>
      </c>
      <c r="N602" s="97" t="s">
        <v>4798</v>
      </c>
      <c r="O602" s="172" t="b">
        <v>0</v>
      </c>
      <c r="P602" s="97"/>
      <c r="Q602" s="174"/>
    </row>
    <row r="603" spans="8:8" ht="43.5" customHeight="1">
      <c r="A603" s="170">
        <v>8.0</v>
      </c>
      <c r="B603" s="171" t="s">
        <v>4011</v>
      </c>
      <c r="C603" s="172">
        <v>251317.0</v>
      </c>
      <c r="D603" s="171" t="s">
        <v>4818</v>
      </c>
      <c r="E603" s="172" t="s">
        <v>1512</v>
      </c>
      <c r="F603" s="172" t="b">
        <v>0</v>
      </c>
      <c r="G603" s="172" t="b">
        <v>1</v>
      </c>
      <c r="H603" s="172" t="b">
        <v>1</v>
      </c>
      <c r="I603" s="172" t="b">
        <v>0</v>
      </c>
      <c r="J603" s="172" t="b">
        <v>0</v>
      </c>
      <c r="K603" s="172" t="b">
        <v>0</v>
      </c>
      <c r="L603" s="172" t="b">
        <v>0</v>
      </c>
      <c r="M603" s="172" t="b">
        <v>0</v>
      </c>
      <c r="N603" s="97" t="s">
        <v>4799</v>
      </c>
      <c r="O603" s="172" t="b">
        <v>0</v>
      </c>
      <c r="P603" s="97"/>
      <c r="Q603" s="174"/>
    </row>
    <row r="604" spans="8:8" ht="43.5" customHeight="1">
      <c r="A604" s="170">
        <v>9.0</v>
      </c>
      <c r="B604" s="171" t="s">
        <v>4012</v>
      </c>
      <c r="C604" s="172">
        <v>251329.0</v>
      </c>
      <c r="D604" s="171" t="s">
        <v>4818</v>
      </c>
      <c r="E604" s="172" t="s">
        <v>1512</v>
      </c>
      <c r="F604" s="172" t="b">
        <v>0</v>
      </c>
      <c r="G604" s="172" t="b">
        <v>0</v>
      </c>
      <c r="H604" s="172" t="b">
        <v>1</v>
      </c>
      <c r="I604" s="172" t="b">
        <v>0</v>
      </c>
      <c r="J604" s="172" t="b">
        <v>0</v>
      </c>
      <c r="K604" s="172" t="b">
        <v>0</v>
      </c>
      <c r="L604" s="172" t="b">
        <v>0</v>
      </c>
      <c r="M604" s="172" t="b">
        <v>0</v>
      </c>
      <c r="N604" s="97" t="s">
        <v>4800</v>
      </c>
      <c r="O604" s="172" t="b">
        <v>0</v>
      </c>
      <c r="P604" s="97"/>
      <c r="Q604" s="174"/>
    </row>
    <row r="605" spans="8:8" ht="43.5" customHeight="1">
      <c r="A605" s="170">
        <v>10.0</v>
      </c>
      <c r="B605" s="171" t="s">
        <v>4013</v>
      </c>
      <c r="C605" s="172">
        <v>251331.0</v>
      </c>
      <c r="D605" s="171" t="s">
        <v>4818</v>
      </c>
      <c r="E605" s="172" t="s">
        <v>1512</v>
      </c>
      <c r="F605" s="172" t="b">
        <v>0</v>
      </c>
      <c r="G605" s="172" t="b">
        <v>1</v>
      </c>
      <c r="H605" s="172" t="b">
        <v>1</v>
      </c>
      <c r="I605" s="172" t="b">
        <v>0</v>
      </c>
      <c r="J605" s="172" t="b">
        <v>0</v>
      </c>
      <c r="K605" s="172" t="b">
        <v>0</v>
      </c>
      <c r="L605" s="172" t="b">
        <v>0</v>
      </c>
      <c r="M605" s="172" t="b">
        <v>0</v>
      </c>
      <c r="N605" s="97" t="s">
        <v>4801</v>
      </c>
      <c r="O605" s="172" t="b">
        <v>0</v>
      </c>
      <c r="P605" s="97"/>
      <c r="Q605" s="174"/>
    </row>
    <row r="606" spans="8:8" ht="43.5" customHeight="1">
      <c r="A606" s="170">
        <v>11.0</v>
      </c>
      <c r="B606" s="171" t="s">
        <v>4891</v>
      </c>
      <c r="C606" s="172">
        <v>251580.0</v>
      </c>
      <c r="D606" s="171" t="s">
        <v>1868</v>
      </c>
      <c r="E606" s="172" t="s">
        <v>1512</v>
      </c>
      <c r="F606" s="172" t="b">
        <v>0</v>
      </c>
      <c r="G606" s="172" t="b">
        <v>0</v>
      </c>
      <c r="H606" s="172" t="b">
        <v>0</v>
      </c>
      <c r="I606" s="172" t="b">
        <v>0</v>
      </c>
      <c r="J606" s="172" t="b">
        <v>0</v>
      </c>
      <c r="K606" s="172" t="b">
        <v>0</v>
      </c>
      <c r="L606" s="172" t="b">
        <v>0</v>
      </c>
      <c r="M606" s="172" t="b">
        <v>0</v>
      </c>
      <c r="N606" s="97"/>
      <c r="O606" s="97"/>
      <c r="P606" s="97"/>
      <c r="Q606" s="174"/>
    </row>
    <row r="607" spans="8:8" ht="43.5" customHeight="1">
      <c r="A607" s="170">
        <v>12.0</v>
      </c>
      <c r="B607" s="171" t="s">
        <v>4014</v>
      </c>
      <c r="C607" s="172">
        <v>251354.0</v>
      </c>
      <c r="D607" s="171" t="s">
        <v>4822</v>
      </c>
      <c r="E607" s="172" t="s">
        <v>1512</v>
      </c>
      <c r="F607" s="172" t="b">
        <v>0</v>
      </c>
      <c r="G607" s="172" t="b">
        <v>0</v>
      </c>
      <c r="H607" s="172" t="b">
        <v>1</v>
      </c>
      <c r="I607" s="172" t="b">
        <v>0</v>
      </c>
      <c r="J607" s="172" t="b">
        <v>0</v>
      </c>
      <c r="K607" s="172" t="b">
        <v>0</v>
      </c>
      <c r="L607" s="172" t="b">
        <v>0</v>
      </c>
      <c r="M607" s="172" t="b">
        <v>0</v>
      </c>
      <c r="N607" s="97"/>
      <c r="O607" s="97"/>
      <c r="P607" s="97"/>
      <c r="Q607" s="174"/>
    </row>
    <row r="608" spans="8:8" ht="43.5" customHeight="1">
      <c r="A608" s="170">
        <v>13.0</v>
      </c>
      <c r="B608" s="171" t="s">
        <v>4712</v>
      </c>
      <c r="C608" s="172">
        <v>251394.0</v>
      </c>
      <c r="D608" s="171" t="s">
        <v>4825</v>
      </c>
      <c r="E608" s="172" t="s">
        <v>1512</v>
      </c>
      <c r="F608" s="172" t="b">
        <v>0</v>
      </c>
      <c r="G608" s="172" t="b">
        <v>0</v>
      </c>
      <c r="H608" s="172" t="b">
        <v>0</v>
      </c>
      <c r="I608" s="172" t="b">
        <v>0</v>
      </c>
      <c r="J608" s="172" t="b">
        <v>0</v>
      </c>
      <c r="K608" s="172" t="b">
        <v>0</v>
      </c>
      <c r="L608" s="172" t="b">
        <v>0</v>
      </c>
      <c r="M608" s="172" t="b">
        <v>0</v>
      </c>
      <c r="N608" s="97"/>
      <c r="O608" s="97"/>
      <c r="P608" s="97"/>
      <c r="Q608" s="174"/>
    </row>
    <row r="609" spans="8:8" ht="43.5" customHeight="1">
      <c r="A609" s="170">
        <v>14.0</v>
      </c>
      <c r="B609" s="171" t="s">
        <v>4015</v>
      </c>
      <c r="C609" s="172">
        <v>251399.0</v>
      </c>
      <c r="D609" s="171" t="s">
        <v>4825</v>
      </c>
      <c r="E609" s="172" t="s">
        <v>1512</v>
      </c>
      <c r="F609" s="172" t="b">
        <v>0</v>
      </c>
      <c r="G609" s="172" t="b">
        <v>1</v>
      </c>
      <c r="H609" s="172" t="b">
        <v>1</v>
      </c>
      <c r="I609" s="172" t="b">
        <v>0</v>
      </c>
      <c r="J609" s="172" t="b">
        <v>0</v>
      </c>
      <c r="K609" s="172" t="b">
        <v>0</v>
      </c>
      <c r="L609" s="172" t="b">
        <v>0</v>
      </c>
      <c r="M609" s="172" t="b">
        <v>0</v>
      </c>
      <c r="N609" s="97"/>
      <c r="O609" s="97"/>
      <c r="P609" s="97"/>
      <c r="Q609" s="174"/>
    </row>
    <row r="610" spans="8:8" ht="43.5" customHeight="1">
      <c r="A610" s="170">
        <v>15.0</v>
      </c>
      <c r="B610" s="171" t="s">
        <v>4016</v>
      </c>
      <c r="C610" s="172">
        <v>251400.0</v>
      </c>
      <c r="D610" s="171" t="s">
        <v>4832</v>
      </c>
      <c r="E610" s="172" t="s">
        <v>1512</v>
      </c>
      <c r="F610" s="172" t="b">
        <v>1</v>
      </c>
      <c r="G610" s="172" t="b">
        <v>1</v>
      </c>
      <c r="H610" s="172" t="b">
        <v>1</v>
      </c>
      <c r="I610" s="172" t="b">
        <v>0</v>
      </c>
      <c r="J610" s="172" t="b">
        <v>0</v>
      </c>
      <c r="K610" s="172" t="b">
        <v>0</v>
      </c>
      <c r="L610" s="172" t="b">
        <v>0</v>
      </c>
      <c r="M610" s="172" t="b">
        <v>0</v>
      </c>
      <c r="N610" s="97"/>
      <c r="O610" s="97"/>
      <c r="P610" s="97"/>
      <c r="Q610" s="174"/>
    </row>
    <row r="611" spans="8:8" ht="43.5" customHeight="1">
      <c r="A611" s="170">
        <v>16.0</v>
      </c>
      <c r="B611" s="171" t="s">
        <v>4017</v>
      </c>
      <c r="C611" s="172">
        <v>252873.0</v>
      </c>
      <c r="D611" s="171" t="s">
        <v>104</v>
      </c>
      <c r="E611" s="172" t="s">
        <v>1512</v>
      </c>
      <c r="F611" s="172" t="b">
        <v>0</v>
      </c>
      <c r="G611" s="172" t="b">
        <v>0</v>
      </c>
      <c r="H611" s="172" t="b">
        <v>0</v>
      </c>
      <c r="I611" s="172" t="b">
        <v>0</v>
      </c>
      <c r="J611" s="172" t="b">
        <v>0</v>
      </c>
      <c r="K611" s="172" t="b">
        <v>0</v>
      </c>
      <c r="L611" s="172" t="b">
        <v>0</v>
      </c>
      <c r="M611" s="172" t="b">
        <v>0</v>
      </c>
      <c r="N611" s="97"/>
      <c r="O611" s="97"/>
      <c r="P611" s="97"/>
      <c r="Q611" s="174"/>
    </row>
    <row r="612" spans="8:8" ht="43.5" customHeight="1">
      <c r="A612" s="170">
        <v>17.0</v>
      </c>
      <c r="B612" s="171" t="s">
        <v>4892</v>
      </c>
      <c r="C612" s="172">
        <v>252876.0</v>
      </c>
      <c r="D612" s="171" t="s">
        <v>104</v>
      </c>
      <c r="E612" s="172" t="s">
        <v>1512</v>
      </c>
      <c r="F612" s="172" t="b">
        <v>0</v>
      </c>
      <c r="G612" s="172" t="b">
        <v>0</v>
      </c>
      <c r="H612" s="172" t="b">
        <v>0</v>
      </c>
      <c r="I612" s="172" t="b">
        <v>0</v>
      </c>
      <c r="J612" s="172" t="b">
        <v>0</v>
      </c>
      <c r="K612" s="172" t="b">
        <v>0</v>
      </c>
      <c r="L612" s="172" t="b">
        <v>0</v>
      </c>
      <c r="M612" s="172" t="b">
        <v>0</v>
      </c>
      <c r="N612" s="97"/>
      <c r="O612" s="97"/>
      <c r="P612" s="97"/>
      <c r="Q612" s="174"/>
    </row>
    <row r="613" spans="8:8" ht="43.5" customHeight="1">
      <c r="A613" s="170">
        <v>18.0</v>
      </c>
      <c r="B613" s="171" t="s">
        <v>4713</v>
      </c>
      <c r="C613" s="172">
        <v>251994.0</v>
      </c>
      <c r="D613" s="171" t="s">
        <v>104</v>
      </c>
      <c r="E613" s="172" t="s">
        <v>1512</v>
      </c>
      <c r="F613" s="172" t="b">
        <v>0</v>
      </c>
      <c r="G613" s="172" t="b">
        <v>0</v>
      </c>
      <c r="H613" s="172" t="b">
        <v>0</v>
      </c>
      <c r="I613" s="172" t="b">
        <v>0</v>
      </c>
      <c r="J613" s="172" t="b">
        <v>0</v>
      </c>
      <c r="K613" s="172" t="b">
        <v>0</v>
      </c>
      <c r="L613" s="172" t="b">
        <v>0</v>
      </c>
      <c r="M613" s="172" t="b">
        <v>0</v>
      </c>
      <c r="N613" s="97"/>
      <c r="O613" s="97"/>
      <c r="P613" s="97"/>
      <c r="Q613" s="174"/>
    </row>
    <row r="614" spans="8:8" ht="43.5" customHeight="1">
      <c r="A614" s="170">
        <v>19.0</v>
      </c>
      <c r="B614" s="171" t="s">
        <v>4893</v>
      </c>
      <c r="C614" s="172">
        <v>251995.0</v>
      </c>
      <c r="D614" s="171" t="s">
        <v>104</v>
      </c>
      <c r="E614" s="172" t="s">
        <v>1512</v>
      </c>
      <c r="F614" s="172" t="b">
        <v>0</v>
      </c>
      <c r="G614" s="172" t="b">
        <v>0</v>
      </c>
      <c r="H614" s="172" t="b">
        <v>0</v>
      </c>
      <c r="I614" s="172" t="b">
        <v>0</v>
      </c>
      <c r="J614" s="172" t="b">
        <v>0</v>
      </c>
      <c r="K614" s="172" t="b">
        <v>0</v>
      </c>
      <c r="L614" s="172" t="b">
        <v>0</v>
      </c>
      <c r="M614" s="172" t="b">
        <v>0</v>
      </c>
      <c r="N614" s="97"/>
      <c r="O614" s="97"/>
      <c r="P614" s="97"/>
      <c r="Q614" s="174"/>
    </row>
    <row r="615" spans="8:8" ht="43.5" customHeight="1">
      <c r="A615" s="170">
        <v>20.0</v>
      </c>
      <c r="B615" s="171" t="s">
        <v>4894</v>
      </c>
      <c r="C615" s="172">
        <v>252010.0</v>
      </c>
      <c r="D615" s="171" t="s">
        <v>104</v>
      </c>
      <c r="E615" s="172" t="s">
        <v>1512</v>
      </c>
      <c r="F615" s="172" t="b">
        <v>0</v>
      </c>
      <c r="G615" s="172" t="b">
        <v>0</v>
      </c>
      <c r="H615" s="172" t="b">
        <v>0</v>
      </c>
      <c r="I615" s="172" t="b">
        <v>0</v>
      </c>
      <c r="J615" s="172" t="b">
        <v>0</v>
      </c>
      <c r="K615" s="172" t="b">
        <v>0</v>
      </c>
      <c r="L615" s="172" t="b">
        <v>0</v>
      </c>
      <c r="M615" s="172" t="b">
        <v>0</v>
      </c>
      <c r="N615" s="97"/>
      <c r="O615" s="97"/>
      <c r="P615" s="97"/>
      <c r="Q615" s="174"/>
    </row>
    <row r="616" spans="8:8" ht="43.5" customHeight="1">
      <c r="A616" s="170">
        <v>21.0</v>
      </c>
      <c r="B616" s="171" t="s">
        <v>4025</v>
      </c>
      <c r="C616" s="172">
        <v>252940.0</v>
      </c>
      <c r="D616" s="171" t="s">
        <v>90</v>
      </c>
      <c r="E616" s="172" t="s">
        <v>1512</v>
      </c>
      <c r="F616" s="172" t="b">
        <v>0</v>
      </c>
      <c r="G616" s="172" t="b">
        <v>0</v>
      </c>
      <c r="H616" s="172" t="b">
        <v>0</v>
      </c>
      <c r="I616" s="172" t="b">
        <v>0</v>
      </c>
      <c r="J616" s="172" t="b">
        <v>0</v>
      </c>
      <c r="K616" s="172" t="b">
        <v>0</v>
      </c>
      <c r="L616" s="172" t="b">
        <v>0</v>
      </c>
      <c r="M616" s="172" t="b">
        <v>0</v>
      </c>
      <c r="N616" s="97"/>
      <c r="O616" s="97"/>
      <c r="P616" s="97"/>
      <c r="Q616" s="174"/>
    </row>
    <row r="617" spans="8:8" ht="43.5" customHeight="1">
      <c r="A617" s="170">
        <v>22.0</v>
      </c>
      <c r="B617" s="171" t="s">
        <v>4895</v>
      </c>
      <c r="C617" s="172">
        <v>252044.0</v>
      </c>
      <c r="D617" s="171" t="s">
        <v>104</v>
      </c>
      <c r="E617" s="172" t="s">
        <v>1512</v>
      </c>
      <c r="F617" s="172" t="b">
        <v>0</v>
      </c>
      <c r="G617" s="172" t="b">
        <v>0</v>
      </c>
      <c r="H617" s="172" t="b">
        <v>0</v>
      </c>
      <c r="I617" s="172" t="b">
        <v>0</v>
      </c>
      <c r="J617" s="172" t="b">
        <v>0</v>
      </c>
      <c r="K617" s="172" t="b">
        <v>0</v>
      </c>
      <c r="L617" s="172" t="b">
        <v>0</v>
      </c>
      <c r="M617" s="172" t="b">
        <v>0</v>
      </c>
      <c r="N617" s="97"/>
      <c r="O617" s="97"/>
      <c r="P617" s="97"/>
      <c r="Q617" s="174"/>
    </row>
    <row r="618" spans="8:8" ht="43.5" customHeight="1">
      <c r="A618" s="170">
        <v>25.0</v>
      </c>
      <c r="B618" s="171" t="s">
        <v>4896</v>
      </c>
      <c r="C618" s="172">
        <v>252087.0</v>
      </c>
      <c r="D618" s="171" t="s">
        <v>104</v>
      </c>
      <c r="E618" s="172" t="s">
        <v>1512</v>
      </c>
      <c r="F618" s="172" t="b">
        <v>0</v>
      </c>
      <c r="G618" s="172" t="b">
        <v>0</v>
      </c>
      <c r="H618" s="172" t="b">
        <v>0</v>
      </c>
      <c r="I618" s="172" t="b">
        <v>0</v>
      </c>
      <c r="J618" s="172" t="b">
        <v>0</v>
      </c>
      <c r="K618" s="172" t="b">
        <v>0</v>
      </c>
      <c r="L618" s="172" t="b">
        <v>0</v>
      </c>
      <c r="M618" s="172" t="b">
        <v>0</v>
      </c>
      <c r="N618" s="97"/>
      <c r="O618" s="97"/>
      <c r="P618" s="97"/>
      <c r="Q618" s="174"/>
    </row>
    <row r="619" spans="8:8" ht="43.5" customHeight="1">
      <c r="A619" s="170">
        <v>26.0</v>
      </c>
      <c r="B619" s="171" t="s">
        <v>4026</v>
      </c>
      <c r="C619" s="172">
        <v>252536.0</v>
      </c>
      <c r="D619" s="171" t="s">
        <v>90</v>
      </c>
      <c r="E619" s="172" t="s">
        <v>1512</v>
      </c>
      <c r="F619" s="172" t="b">
        <v>0</v>
      </c>
      <c r="G619" s="172" t="b">
        <v>0</v>
      </c>
      <c r="H619" s="172" t="b">
        <v>0</v>
      </c>
      <c r="I619" s="172" t="b">
        <v>0</v>
      </c>
      <c r="J619" s="172" t="b">
        <v>0</v>
      </c>
      <c r="K619" s="172" t="b">
        <v>0</v>
      </c>
      <c r="L619" s="172" t="b">
        <v>0</v>
      </c>
      <c r="M619" s="172" t="b">
        <v>0</v>
      </c>
      <c r="N619" s="97"/>
      <c r="O619" s="97"/>
      <c r="P619" s="97"/>
      <c r="Q619" s="174"/>
    </row>
    <row r="620" spans="8:8" ht="43.5" customHeight="1">
      <c r="A620" s="197">
        <v>27.0</v>
      </c>
      <c r="B620" s="171" t="s">
        <v>4723</v>
      </c>
      <c r="C620" s="172">
        <v>252808.0</v>
      </c>
      <c r="D620" s="171" t="s">
        <v>90</v>
      </c>
      <c r="E620" s="97" t="s">
        <v>1512</v>
      </c>
      <c r="F620" s="172" t="b">
        <v>0</v>
      </c>
      <c r="G620" s="172" t="b">
        <v>0</v>
      </c>
      <c r="H620" s="172" t="b">
        <v>0</v>
      </c>
      <c r="I620" s="172" t="b">
        <v>0</v>
      </c>
      <c r="J620" s="172" t="b">
        <v>0</v>
      </c>
      <c r="K620" s="172" t="b">
        <v>0</v>
      </c>
      <c r="L620" s="172" t="b">
        <v>0</v>
      </c>
      <c r="M620" s="172" t="b">
        <v>0</v>
      </c>
      <c r="N620" s="97"/>
      <c r="O620" s="97"/>
      <c r="P620" s="97"/>
      <c r="Q620" s="174"/>
    </row>
    <row r="621" spans="8:8" ht="43.5" customHeight="1">
      <c r="A621" s="170">
        <v>28.0</v>
      </c>
      <c r="B621" s="171" t="s">
        <v>4018</v>
      </c>
      <c r="C621" s="172">
        <v>251405.0</v>
      </c>
      <c r="D621" s="171" t="s">
        <v>4832</v>
      </c>
      <c r="E621" s="172" t="s">
        <v>1512</v>
      </c>
      <c r="F621" s="172" t="b">
        <v>0</v>
      </c>
      <c r="G621" s="172" t="b">
        <v>0</v>
      </c>
      <c r="H621" s="172" t="b">
        <v>0</v>
      </c>
      <c r="I621" s="172" t="b">
        <v>0</v>
      </c>
      <c r="J621" s="172" t="b">
        <v>0</v>
      </c>
      <c r="K621" s="172" t="b">
        <v>0</v>
      </c>
      <c r="L621" s="172" t="b">
        <v>0</v>
      </c>
      <c r="M621" s="172" t="b">
        <v>0</v>
      </c>
      <c r="N621" s="97"/>
      <c r="O621" s="97"/>
      <c r="P621" s="97"/>
      <c r="Q621" s="174"/>
    </row>
    <row r="622" spans="8:8" ht="43.5" customHeight="1">
      <c r="A622" s="170">
        <v>29.0</v>
      </c>
      <c r="B622" s="171" t="s">
        <v>4714</v>
      </c>
      <c r="C622" s="172">
        <v>251529.0</v>
      </c>
      <c r="D622" s="171" t="s">
        <v>4838</v>
      </c>
      <c r="E622" s="172" t="s">
        <v>1512</v>
      </c>
      <c r="F622" s="172" t="b">
        <v>0</v>
      </c>
      <c r="G622" s="172" t="b">
        <v>0</v>
      </c>
      <c r="H622" s="172" t="b">
        <v>0</v>
      </c>
      <c r="I622" s="172" t="b">
        <v>0</v>
      </c>
      <c r="J622" s="172" t="b">
        <v>0</v>
      </c>
      <c r="K622" s="172" t="b">
        <v>0</v>
      </c>
      <c r="L622" s="172" t="b">
        <v>0</v>
      </c>
      <c r="M622" s="172" t="b">
        <v>0</v>
      </c>
      <c r="N622" s="175"/>
      <c r="O622" s="176"/>
      <c r="P622" s="97"/>
      <c r="Q622" s="174"/>
    </row>
    <row r="623" spans="8:8" ht="43.5" customHeight="1">
      <c r="A623" s="170">
        <v>30.0</v>
      </c>
      <c r="B623" s="171" t="s">
        <v>4019</v>
      </c>
      <c r="C623" s="172">
        <v>251531.0</v>
      </c>
      <c r="D623" s="171" t="s">
        <v>4838</v>
      </c>
      <c r="E623" s="172" t="s">
        <v>1512</v>
      </c>
      <c r="F623" s="172" t="b">
        <v>0</v>
      </c>
      <c r="G623" s="172" t="b">
        <v>0</v>
      </c>
      <c r="H623" s="172" t="b">
        <v>0</v>
      </c>
      <c r="I623" s="172" t="b">
        <v>0</v>
      </c>
      <c r="J623" s="172" t="b">
        <v>0</v>
      </c>
      <c r="K623" s="172" t="b">
        <v>0</v>
      </c>
      <c r="L623" s="172" t="b">
        <v>0</v>
      </c>
      <c r="M623" s="172" t="b">
        <v>0</v>
      </c>
      <c r="N623" s="97"/>
      <c r="O623" s="172"/>
      <c r="P623" s="97"/>
      <c r="Q623" s="174"/>
    </row>
    <row r="624" spans="8:8" ht="43.5" customHeight="1">
      <c r="A624" s="170">
        <v>31.0</v>
      </c>
      <c r="B624" s="171" t="s">
        <v>4020</v>
      </c>
      <c r="C624" s="172">
        <v>251535.0</v>
      </c>
      <c r="D624" s="171" t="s">
        <v>4838</v>
      </c>
      <c r="E624" s="172" t="s">
        <v>1512</v>
      </c>
      <c r="F624" s="172" t="b">
        <v>0</v>
      </c>
      <c r="G624" s="172" t="b">
        <v>0</v>
      </c>
      <c r="H624" s="172" t="b">
        <v>1</v>
      </c>
      <c r="I624" s="172" t="b">
        <v>0</v>
      </c>
      <c r="J624" s="172" t="b">
        <v>0</v>
      </c>
      <c r="K624" s="172" t="b">
        <v>0</v>
      </c>
      <c r="L624" s="172" t="b">
        <v>0</v>
      </c>
      <c r="M624" s="172" t="b">
        <v>0</v>
      </c>
      <c r="N624" s="97"/>
      <c r="O624" s="172"/>
      <c r="P624" s="97"/>
      <c r="Q624" s="174"/>
    </row>
    <row r="625" spans="8:8" ht="43.5" customHeight="1">
      <c r="A625" s="170">
        <v>32.0</v>
      </c>
      <c r="B625" s="171" t="s">
        <v>4715</v>
      </c>
      <c r="C625" s="172">
        <v>251538.0</v>
      </c>
      <c r="D625" s="171" t="s">
        <v>4838</v>
      </c>
      <c r="E625" s="172" t="s">
        <v>1512</v>
      </c>
      <c r="F625" s="172" t="b">
        <v>0</v>
      </c>
      <c r="G625" s="172" t="b">
        <v>0</v>
      </c>
      <c r="H625" s="172" t="b">
        <v>0</v>
      </c>
      <c r="I625" s="172" t="b">
        <v>0</v>
      </c>
      <c r="J625" s="172" t="b">
        <v>0</v>
      </c>
      <c r="K625" s="172" t="b">
        <v>0</v>
      </c>
      <c r="L625" s="172" t="b">
        <v>0</v>
      </c>
      <c r="M625" s="172" t="b">
        <v>0</v>
      </c>
      <c r="N625" s="97"/>
      <c r="O625" s="172"/>
      <c r="P625" s="97"/>
      <c r="Q625" s="174"/>
    </row>
    <row r="626" spans="8:8" ht="43.5" customHeight="1">
      <c r="A626" s="170">
        <v>33.0</v>
      </c>
      <c r="B626" s="171" t="s">
        <v>4716</v>
      </c>
      <c r="C626" s="172">
        <v>251545.0</v>
      </c>
      <c r="D626" s="171" t="s">
        <v>4838</v>
      </c>
      <c r="E626" s="172" t="s">
        <v>1512</v>
      </c>
      <c r="F626" s="172" t="b">
        <v>0</v>
      </c>
      <c r="G626" s="172" t="b">
        <v>0</v>
      </c>
      <c r="H626" s="172" t="b">
        <v>0</v>
      </c>
      <c r="I626" s="172" t="b">
        <v>0</v>
      </c>
      <c r="J626" s="172" t="b">
        <v>0</v>
      </c>
      <c r="K626" s="172" t="b">
        <v>0</v>
      </c>
      <c r="L626" s="172" t="b">
        <v>0</v>
      </c>
      <c r="M626" s="172" t="b">
        <v>0</v>
      </c>
      <c r="N626" s="97"/>
      <c r="O626" s="172"/>
      <c r="P626" s="97"/>
      <c r="Q626" s="174"/>
    </row>
    <row r="627" spans="8:8" ht="43.5" customHeight="1">
      <c r="A627" s="170">
        <v>34.0</v>
      </c>
      <c r="B627" s="171" t="s">
        <v>4021</v>
      </c>
      <c r="C627" s="172">
        <v>251546.0</v>
      </c>
      <c r="D627" s="171" t="s">
        <v>4838</v>
      </c>
      <c r="E627" s="172" t="s">
        <v>1512</v>
      </c>
      <c r="F627" s="172" t="b">
        <v>0</v>
      </c>
      <c r="G627" s="172" t="b">
        <v>1</v>
      </c>
      <c r="H627" s="172" t="b">
        <v>1</v>
      </c>
      <c r="I627" s="172" t="b">
        <v>0</v>
      </c>
      <c r="J627" s="172" t="b">
        <v>0</v>
      </c>
      <c r="K627" s="172" t="b">
        <v>0</v>
      </c>
      <c r="L627" s="172" t="b">
        <v>0</v>
      </c>
      <c r="M627" s="172" t="b">
        <v>0</v>
      </c>
      <c r="N627" s="97"/>
      <c r="O627" s="172"/>
      <c r="P627" s="97"/>
      <c r="Q627" s="174"/>
    </row>
    <row r="628" spans="8:8" ht="43.5" customHeight="1">
      <c r="A628" s="170">
        <v>35.0</v>
      </c>
      <c r="B628" s="171" t="s">
        <v>4022</v>
      </c>
      <c r="C628" s="172">
        <v>251590.0</v>
      </c>
      <c r="D628" s="171" t="s">
        <v>4845</v>
      </c>
      <c r="E628" s="172" t="s">
        <v>1512</v>
      </c>
      <c r="F628" s="172" t="b">
        <v>0</v>
      </c>
      <c r="G628" s="172" t="b">
        <v>0</v>
      </c>
      <c r="H628" s="172" t="b">
        <v>1</v>
      </c>
      <c r="I628" s="172" t="b">
        <v>0</v>
      </c>
      <c r="J628" s="172" t="b">
        <v>0</v>
      </c>
      <c r="K628" s="172" t="b">
        <v>0</v>
      </c>
      <c r="L628" s="172" t="b">
        <v>0</v>
      </c>
      <c r="M628" s="172" t="b">
        <v>0</v>
      </c>
      <c r="N628" s="97"/>
      <c r="O628" s="172"/>
      <c r="P628" s="97"/>
      <c r="Q628" s="174"/>
    </row>
    <row r="629" spans="8:8" ht="43.5" customHeight="1">
      <c r="A629" s="170">
        <v>36.0</v>
      </c>
      <c r="B629" s="171" t="s">
        <v>4717</v>
      </c>
      <c r="C629" s="172">
        <v>251614.0</v>
      </c>
      <c r="D629" s="171" t="s">
        <v>4823</v>
      </c>
      <c r="E629" s="172" t="s">
        <v>1512</v>
      </c>
      <c r="F629" s="172" t="b">
        <v>0</v>
      </c>
      <c r="G629" s="172" t="b">
        <v>0</v>
      </c>
      <c r="H629" s="172" t="b">
        <v>0</v>
      </c>
      <c r="I629" s="172" t="b">
        <v>0</v>
      </c>
      <c r="J629" s="172" t="b">
        <v>0</v>
      </c>
      <c r="K629" s="172" t="b">
        <v>0</v>
      </c>
      <c r="L629" s="172" t="b">
        <v>0</v>
      </c>
      <c r="M629" s="172" t="b">
        <v>0</v>
      </c>
      <c r="N629" s="97"/>
      <c r="O629" s="172"/>
      <c r="P629" s="97"/>
      <c r="Q629" s="174"/>
    </row>
    <row r="630" spans="8:8" ht="43.5" customHeight="1">
      <c r="A630" s="170">
        <v>37.0</v>
      </c>
      <c r="B630" s="171" t="s">
        <v>4718</v>
      </c>
      <c r="C630" s="172">
        <v>241807.0</v>
      </c>
      <c r="D630" s="171" t="s">
        <v>4857</v>
      </c>
      <c r="E630" s="172" t="s">
        <v>1512</v>
      </c>
      <c r="F630" s="172" t="b">
        <v>0</v>
      </c>
      <c r="G630" s="172" t="b">
        <v>0</v>
      </c>
      <c r="H630" s="172" t="b">
        <v>0</v>
      </c>
      <c r="I630" s="172" t="b">
        <v>0</v>
      </c>
      <c r="J630" s="172" t="b">
        <v>0</v>
      </c>
      <c r="K630" s="172" t="b">
        <v>0</v>
      </c>
      <c r="L630" s="172" t="b">
        <v>0</v>
      </c>
      <c r="M630" s="172" t="b">
        <v>0</v>
      </c>
      <c r="N630" s="97"/>
      <c r="O630" s="172"/>
      <c r="P630" s="97"/>
      <c r="Q630" s="174"/>
    </row>
    <row r="631" spans="8:8" ht="43.5" customHeight="1">
      <c r="A631" s="170">
        <v>39.0</v>
      </c>
      <c r="B631" s="171" t="s">
        <v>4897</v>
      </c>
      <c r="C631" s="172">
        <v>241888.0</v>
      </c>
      <c r="D631" s="171" t="s">
        <v>4857</v>
      </c>
      <c r="E631" s="172" t="s">
        <v>1512</v>
      </c>
      <c r="F631" s="172" t="b">
        <v>0</v>
      </c>
      <c r="G631" s="172" t="b">
        <v>0</v>
      </c>
      <c r="H631" s="172" t="b">
        <v>0</v>
      </c>
      <c r="I631" s="172" t="b">
        <v>0</v>
      </c>
      <c r="J631" s="172" t="b">
        <v>0</v>
      </c>
      <c r="K631" s="172" t="b">
        <v>0</v>
      </c>
      <c r="L631" s="172" t="b">
        <v>0</v>
      </c>
      <c r="M631" s="172" t="b">
        <v>0</v>
      </c>
      <c r="N631" s="97"/>
      <c r="O631" s="97"/>
      <c r="P631" s="97"/>
      <c r="Q631" s="174"/>
    </row>
    <row r="632" spans="8:8" ht="43.5" customHeight="1">
      <c r="A632" s="170">
        <v>40.0</v>
      </c>
      <c r="B632" s="171" t="s">
        <v>4898</v>
      </c>
      <c r="C632" s="172">
        <v>241864.0</v>
      </c>
      <c r="D632" s="171" t="s">
        <v>4857</v>
      </c>
      <c r="E632" s="172" t="s">
        <v>1512</v>
      </c>
      <c r="F632" s="172" t="b">
        <v>0</v>
      </c>
      <c r="G632" s="172" t="b">
        <v>0</v>
      </c>
      <c r="H632" s="172" t="b">
        <v>0</v>
      </c>
      <c r="I632" s="172" t="b">
        <v>0</v>
      </c>
      <c r="J632" s="172" t="b">
        <v>0</v>
      </c>
      <c r="K632" s="172" t="b">
        <v>0</v>
      </c>
      <c r="L632" s="172" t="b">
        <v>0</v>
      </c>
      <c r="M632" s="172" t="b">
        <v>0</v>
      </c>
      <c r="N632" s="97"/>
      <c r="O632" s="97"/>
      <c r="P632" s="97"/>
      <c r="Q632" s="174"/>
    </row>
    <row r="633" spans="8:8" ht="43.5" customHeight="1">
      <c r="A633" s="170">
        <v>41.0</v>
      </c>
      <c r="B633" s="171" t="s">
        <v>4719</v>
      </c>
      <c r="C633" s="172">
        <v>241618.0</v>
      </c>
      <c r="D633" s="171" t="s">
        <v>4857</v>
      </c>
      <c r="E633" s="172" t="s">
        <v>1512</v>
      </c>
      <c r="F633" s="172" t="b">
        <v>0</v>
      </c>
      <c r="G633" s="172" t="b">
        <v>0</v>
      </c>
      <c r="H633" s="172" t="b">
        <v>0</v>
      </c>
      <c r="I633" s="172" t="b">
        <v>0</v>
      </c>
      <c r="J633" s="172" t="b">
        <v>0</v>
      </c>
      <c r="K633" s="172" t="b">
        <v>0</v>
      </c>
      <c r="L633" s="172" t="b">
        <v>0</v>
      </c>
      <c r="M633" s="172" t="b">
        <v>0</v>
      </c>
      <c r="N633" s="97"/>
      <c r="O633" s="97"/>
      <c r="P633" s="97"/>
      <c r="Q633" s="174"/>
    </row>
    <row r="634" spans="8:8" ht="43.5" customHeight="1">
      <c r="A634" s="170">
        <v>42.0</v>
      </c>
      <c r="B634" s="171" t="s">
        <v>4720</v>
      </c>
      <c r="C634" s="172">
        <v>241900.0</v>
      </c>
      <c r="D634" s="171" t="s">
        <v>4857</v>
      </c>
      <c r="E634" s="172" t="s">
        <v>1512</v>
      </c>
      <c r="F634" s="172" t="b">
        <v>0</v>
      </c>
      <c r="G634" s="172" t="b">
        <v>0</v>
      </c>
      <c r="H634" s="172" t="b">
        <v>0</v>
      </c>
      <c r="I634" s="172" t="b">
        <v>0</v>
      </c>
      <c r="J634" s="172" t="b">
        <v>0</v>
      </c>
      <c r="K634" s="172" t="b">
        <v>0</v>
      </c>
      <c r="L634" s="172" t="b">
        <v>0</v>
      </c>
      <c r="M634" s="172" t="b">
        <v>0</v>
      </c>
      <c r="N634" s="97"/>
      <c r="O634" s="97"/>
      <c r="P634" s="97"/>
      <c r="Q634" s="174"/>
    </row>
    <row r="635" spans="8:8" ht="43.5" customHeight="1">
      <c r="A635" s="170">
        <v>43.0</v>
      </c>
      <c r="B635" s="171" t="s">
        <v>4023</v>
      </c>
      <c r="C635" s="172">
        <v>241371.0</v>
      </c>
      <c r="D635" s="171" t="s">
        <v>4856</v>
      </c>
      <c r="E635" s="172" t="s">
        <v>1512</v>
      </c>
      <c r="F635" s="172" t="b">
        <v>0</v>
      </c>
      <c r="G635" s="172" t="b">
        <v>1</v>
      </c>
      <c r="H635" s="172" t="b">
        <v>0</v>
      </c>
      <c r="I635" s="172" t="b">
        <v>0</v>
      </c>
      <c r="J635" s="172" t="b">
        <v>0</v>
      </c>
      <c r="K635" s="172" t="b">
        <v>0</v>
      </c>
      <c r="L635" s="172" t="b">
        <v>0</v>
      </c>
      <c r="M635" s="172" t="b">
        <v>0</v>
      </c>
      <c r="N635" s="97"/>
      <c r="O635" s="97"/>
      <c r="P635" s="97"/>
      <c r="Q635" s="174"/>
    </row>
    <row r="636" spans="8:8" ht="43.5" customHeight="1">
      <c r="A636" s="170">
        <v>44.0</v>
      </c>
      <c r="B636" s="171" t="s">
        <v>4721</v>
      </c>
      <c r="C636" s="172">
        <v>252787.0</v>
      </c>
      <c r="D636" s="171" t="s">
        <v>90</v>
      </c>
      <c r="E636" s="172" t="s">
        <v>1512</v>
      </c>
      <c r="F636" s="172" t="b">
        <v>0</v>
      </c>
      <c r="G636" s="172" t="b">
        <v>0</v>
      </c>
      <c r="H636" s="172" t="b">
        <v>0</v>
      </c>
      <c r="I636" s="172" t="b">
        <v>0</v>
      </c>
      <c r="J636" s="172" t="b">
        <v>0</v>
      </c>
      <c r="K636" s="172" t="b">
        <v>0</v>
      </c>
      <c r="L636" s="172" t="b">
        <v>0</v>
      </c>
      <c r="M636" s="172" t="b">
        <v>0</v>
      </c>
      <c r="N636" s="97"/>
      <c r="O636" s="97"/>
      <c r="P636" s="97"/>
      <c r="Q636" s="174"/>
    </row>
    <row r="637" spans="8:8" ht="43.5" customHeight="1">
      <c r="A637" s="170">
        <v>45.0</v>
      </c>
      <c r="B637" s="171" t="s">
        <v>4722</v>
      </c>
      <c r="C637" s="172">
        <v>252596.0</v>
      </c>
      <c r="D637" s="171" t="s">
        <v>90</v>
      </c>
      <c r="E637" s="172" t="s">
        <v>1512</v>
      </c>
      <c r="F637" s="172" t="b">
        <v>0</v>
      </c>
      <c r="G637" s="172" t="b">
        <v>0</v>
      </c>
      <c r="H637" s="172" t="b">
        <v>0</v>
      </c>
      <c r="I637" s="172" t="b">
        <v>0</v>
      </c>
      <c r="J637" s="172" t="b">
        <v>0</v>
      </c>
      <c r="K637" s="172" t="b">
        <v>0</v>
      </c>
      <c r="L637" s="172" t="b">
        <v>0</v>
      </c>
      <c r="M637" s="172" t="b">
        <v>0</v>
      </c>
      <c r="N637" s="97"/>
      <c r="O637" s="97"/>
      <c r="P637" s="97"/>
      <c r="Q637" s="174"/>
    </row>
    <row r="638" spans="8:8" ht="43.5" customHeight="1">
      <c r="A638" s="170">
        <v>47.0</v>
      </c>
      <c r="B638" s="171" t="s">
        <v>4024</v>
      </c>
      <c r="C638" s="172">
        <v>252038.0</v>
      </c>
      <c r="D638" s="171" t="s">
        <v>104</v>
      </c>
      <c r="E638" s="172" t="s">
        <v>1512</v>
      </c>
      <c r="F638" s="172" t="b">
        <v>0</v>
      </c>
      <c r="G638" s="172" t="b">
        <v>0</v>
      </c>
      <c r="H638" s="172" t="b">
        <v>0</v>
      </c>
      <c r="I638" s="172" t="b">
        <v>0</v>
      </c>
      <c r="J638" s="172" t="b">
        <v>0</v>
      </c>
      <c r="K638" s="172" t="b">
        <v>0</v>
      </c>
      <c r="L638" s="172" t="b">
        <v>0</v>
      </c>
      <c r="M638" s="172" t="b">
        <v>0</v>
      </c>
      <c r="N638" s="97"/>
      <c r="O638" s="97"/>
      <c r="P638" s="97"/>
      <c r="Q638" s="174"/>
    </row>
    <row r="639" spans="8:8" ht="43.5" customHeight="1">
      <c r="A639" s="170">
        <v>48.0</v>
      </c>
      <c r="B639" s="171" t="s">
        <v>1639</v>
      </c>
      <c r="C639" s="172">
        <v>252055.0</v>
      </c>
      <c r="D639" s="171" t="s">
        <v>104</v>
      </c>
      <c r="E639" s="172" t="s">
        <v>1512</v>
      </c>
      <c r="F639" s="172" t="b">
        <v>0</v>
      </c>
      <c r="G639" s="172" t="b">
        <v>0</v>
      </c>
      <c r="H639" s="172" t="b">
        <v>0</v>
      </c>
      <c r="I639" s="172" t="b">
        <v>0</v>
      </c>
      <c r="J639" s="172" t="b">
        <v>0</v>
      </c>
      <c r="K639" s="172" t="b">
        <v>0</v>
      </c>
      <c r="L639" s="172" t="b">
        <v>0</v>
      </c>
      <c r="M639" s="172" t="b">
        <v>0</v>
      </c>
      <c r="N639" s="97"/>
      <c r="O639" s="97"/>
      <c r="P639" s="97"/>
      <c r="Q639" s="174"/>
    </row>
    <row r="640" spans="8:8" ht="43.5" customHeight="1">
      <c r="A640" s="170">
        <v>49.0</v>
      </c>
      <c r="B640" s="171" t="s">
        <v>4724</v>
      </c>
      <c r="C640" s="172">
        <v>252067.0</v>
      </c>
      <c r="D640" s="171" t="s">
        <v>104</v>
      </c>
      <c r="E640" s="172" t="s">
        <v>1512</v>
      </c>
      <c r="F640" s="172" t="b">
        <v>0</v>
      </c>
      <c r="G640" s="172" t="b">
        <v>0</v>
      </c>
      <c r="H640" s="172" t="b">
        <v>0</v>
      </c>
      <c r="I640" s="172" t="b">
        <v>0</v>
      </c>
      <c r="J640" s="172" t="b">
        <v>0</v>
      </c>
      <c r="K640" s="172" t="b">
        <v>0</v>
      </c>
      <c r="L640" s="172" t="b">
        <v>0</v>
      </c>
      <c r="M640" s="172" t="b">
        <v>0</v>
      </c>
      <c r="N640" s="97"/>
      <c r="O640" s="97"/>
      <c r="P640" s="97"/>
      <c r="Q640" s="174"/>
    </row>
    <row r="641" spans="8:8" ht="43.5" customHeight="1">
      <c r="A641" s="170">
        <v>50.0</v>
      </c>
      <c r="B641" s="171" t="s">
        <v>4027</v>
      </c>
      <c r="C641" s="172">
        <v>252756.0</v>
      </c>
      <c r="D641" s="171" t="s">
        <v>90</v>
      </c>
      <c r="E641" s="172" t="s">
        <v>1512</v>
      </c>
      <c r="F641" s="172" t="b">
        <v>0</v>
      </c>
      <c r="G641" s="172" t="b">
        <v>0</v>
      </c>
      <c r="H641" s="172" t="b">
        <v>0</v>
      </c>
      <c r="I641" s="172" t="b">
        <v>0</v>
      </c>
      <c r="J641" s="172" t="b">
        <v>0</v>
      </c>
      <c r="K641" s="172" t="b">
        <v>0</v>
      </c>
      <c r="L641" s="172" t="b">
        <v>0</v>
      </c>
      <c r="M641" s="172" t="b">
        <v>0</v>
      </c>
      <c r="N641" s="97"/>
      <c r="O641" s="97"/>
      <c r="P641" s="97"/>
      <c r="Q641" s="174"/>
    </row>
    <row r="642" spans="8:8" ht="43.5" customHeight="1">
      <c r="A642" s="170">
        <v>51.0</v>
      </c>
      <c r="B642" s="171" t="s">
        <v>4725</v>
      </c>
      <c r="C642" s="172">
        <v>252950.0</v>
      </c>
      <c r="D642" s="171" t="s">
        <v>90</v>
      </c>
      <c r="E642" s="172" t="s">
        <v>1512</v>
      </c>
      <c r="F642" s="172" t="b">
        <v>0</v>
      </c>
      <c r="G642" s="172" t="b">
        <v>0</v>
      </c>
      <c r="H642" s="172" t="b">
        <v>0</v>
      </c>
      <c r="I642" s="172" t="b">
        <v>0</v>
      </c>
      <c r="J642" s="172" t="b">
        <v>0</v>
      </c>
      <c r="K642" s="172" t="b">
        <v>0</v>
      </c>
      <c r="L642" s="172" t="b">
        <v>0</v>
      </c>
      <c r="M642" s="172" t="b">
        <v>0</v>
      </c>
      <c r="N642" s="97"/>
      <c r="O642" s="97"/>
      <c r="P642" s="97"/>
      <c r="Q642" s="174"/>
    </row>
    <row r="643" spans="8:8" ht="43.5" customHeight="1">
      <c r="A643" s="170">
        <v>52.0</v>
      </c>
      <c r="B643" s="171" t="s">
        <v>4498</v>
      </c>
      <c r="C643" s="172">
        <v>252090.0</v>
      </c>
      <c r="D643" s="171" t="s">
        <v>104</v>
      </c>
      <c r="E643" s="172" t="s">
        <v>1512</v>
      </c>
      <c r="F643" s="172" t="b">
        <v>0</v>
      </c>
      <c r="G643" s="172" t="b">
        <v>0</v>
      </c>
      <c r="H643" s="172" t="b">
        <v>0</v>
      </c>
      <c r="I643" s="172" t="b">
        <v>0</v>
      </c>
      <c r="J643" s="172" t="b">
        <v>0</v>
      </c>
      <c r="K643" s="172" t="b">
        <v>0</v>
      </c>
      <c r="L643" s="172" t="b">
        <v>0</v>
      </c>
      <c r="M643" s="172" t="b">
        <v>0</v>
      </c>
      <c r="N643" s="97"/>
      <c r="O643" s="97"/>
      <c r="P643" s="97"/>
      <c r="Q643" s="174"/>
    </row>
    <row r="644" spans="8:8" ht="43.5" customHeight="1">
      <c r="A644" s="170">
        <v>53.0</v>
      </c>
      <c r="B644" s="171" t="s">
        <v>4899</v>
      </c>
      <c r="C644" s="172">
        <v>252762.0</v>
      </c>
      <c r="D644" s="171" t="s">
        <v>90</v>
      </c>
      <c r="E644" s="97" t="s">
        <v>1512</v>
      </c>
      <c r="F644" s="172" t="b">
        <v>0</v>
      </c>
      <c r="G644" s="172" t="b">
        <v>0</v>
      </c>
      <c r="H644" s="172" t="b">
        <v>0</v>
      </c>
      <c r="I644" s="172" t="b">
        <v>0</v>
      </c>
      <c r="J644" s="172" t="b">
        <v>0</v>
      </c>
      <c r="K644" s="172" t="b">
        <v>0</v>
      </c>
      <c r="L644" s="172" t="b">
        <v>0</v>
      </c>
      <c r="M644" s="172" t="b">
        <v>0</v>
      </c>
      <c r="N644" s="97"/>
      <c r="O644" s="97"/>
      <c r="P644" s="97"/>
      <c r="Q644" s="174"/>
    </row>
    <row r="645" spans="8:8" ht="43.5" customHeight="1">
      <c r="A645" s="170">
        <v>54.0</v>
      </c>
      <c r="B645" s="171" t="s">
        <v>4028</v>
      </c>
      <c r="C645" s="97">
        <v>240053.0</v>
      </c>
      <c r="D645" s="171" t="s">
        <v>1065</v>
      </c>
      <c r="E645" s="172" t="s">
        <v>1512</v>
      </c>
      <c r="F645" s="172" t="b">
        <v>0</v>
      </c>
      <c r="G645" s="172" t="b">
        <v>0</v>
      </c>
      <c r="H645" s="172" t="b">
        <v>0</v>
      </c>
      <c r="I645" s="172" t="b">
        <v>0</v>
      </c>
      <c r="J645" s="172" t="b">
        <v>0</v>
      </c>
      <c r="K645" s="172" t="b">
        <v>0</v>
      </c>
      <c r="L645" s="172" t="b">
        <v>0</v>
      </c>
      <c r="M645" s="172" t="b">
        <v>0</v>
      </c>
      <c r="N645" s="97"/>
      <c r="O645" s="97"/>
      <c r="P645" s="97"/>
      <c r="Q645" s="174"/>
    </row>
    <row r="646" spans="8:8" ht="43.5" customHeight="1">
      <c r="A646" s="170">
        <v>55.0</v>
      </c>
      <c r="B646" s="171" t="s">
        <v>4029</v>
      </c>
      <c r="C646" s="97">
        <v>253182.0</v>
      </c>
      <c r="D646" s="171" t="s">
        <v>4775</v>
      </c>
      <c r="E646" s="172" t="s">
        <v>1512</v>
      </c>
      <c r="F646" s="172" t="b">
        <v>0</v>
      </c>
      <c r="G646" s="172" t="b">
        <v>1</v>
      </c>
      <c r="H646" s="172" t="b">
        <v>0</v>
      </c>
      <c r="I646" s="172" t="b">
        <v>0</v>
      </c>
      <c r="J646" s="172" t="b">
        <v>0</v>
      </c>
      <c r="K646" s="172" t="b">
        <v>0</v>
      </c>
      <c r="L646" s="172" t="b">
        <v>0</v>
      </c>
      <c r="M646" s="172" t="b">
        <v>0</v>
      </c>
      <c r="N646" s="97"/>
      <c r="O646" s="97"/>
      <c r="P646" s="97"/>
      <c r="Q646" s="174"/>
    </row>
    <row r="647" spans="8:8" ht="43.5" customHeight="1">
      <c r="A647" s="170">
        <v>56.0</v>
      </c>
      <c r="B647" s="171" t="s">
        <v>4030</v>
      </c>
      <c r="C647" s="97">
        <v>253278.0</v>
      </c>
      <c r="D647" s="171" t="s">
        <v>2922</v>
      </c>
      <c r="E647" s="172" t="s">
        <v>1512</v>
      </c>
      <c r="F647" s="172" t="b">
        <v>0</v>
      </c>
      <c r="G647" s="172" t="b">
        <v>0</v>
      </c>
      <c r="H647" s="172" t="b">
        <v>0</v>
      </c>
      <c r="I647" s="172" t="b">
        <v>0</v>
      </c>
      <c r="J647" s="172" t="b">
        <v>0</v>
      </c>
      <c r="K647" s="172" t="b">
        <v>0</v>
      </c>
      <c r="L647" s="172" t="b">
        <v>0</v>
      </c>
      <c r="M647" s="172" t="b">
        <v>0</v>
      </c>
      <c r="N647" s="97"/>
      <c r="O647" s="97"/>
      <c r="P647" s="97"/>
      <c r="Q647" s="174"/>
    </row>
    <row r="648" spans="8:8" ht="43.5" customHeight="1">
      <c r="A648" s="170">
        <v>57.0</v>
      </c>
      <c r="B648" s="171" t="s">
        <v>1566</v>
      </c>
      <c r="C648" s="97">
        <v>240964.0</v>
      </c>
      <c r="D648" s="172"/>
      <c r="E648" s="172" t="s">
        <v>1512</v>
      </c>
      <c r="F648" s="172" t="b">
        <v>0</v>
      </c>
      <c r="G648" s="172" t="b">
        <v>0</v>
      </c>
      <c r="H648" s="172" t="b">
        <v>1</v>
      </c>
      <c r="I648" s="172" t="b">
        <v>0</v>
      </c>
      <c r="J648" s="172" t="b">
        <v>0</v>
      </c>
      <c r="K648" s="172" t="b">
        <v>0</v>
      </c>
      <c r="L648" s="172" t="b">
        <v>0</v>
      </c>
      <c r="M648" s="172" t="b">
        <v>0</v>
      </c>
      <c r="N648" s="97"/>
      <c r="O648" s="97"/>
      <c r="P648" s="97"/>
      <c r="Q648" s="174"/>
    </row>
    <row r="649" spans="8:8" ht="43.5" customHeight="1">
      <c r="A649" s="170">
        <v>58.0</v>
      </c>
      <c r="B649" s="171" t="s">
        <v>4499</v>
      </c>
      <c r="C649" s="172">
        <v>252975.0</v>
      </c>
      <c r="D649" s="171" t="s">
        <v>4814</v>
      </c>
      <c r="E649" s="172" t="s">
        <v>1512</v>
      </c>
      <c r="F649" s="172" t="b">
        <v>0</v>
      </c>
      <c r="G649" s="172" t="b">
        <v>0</v>
      </c>
      <c r="H649" s="172" t="b">
        <v>0</v>
      </c>
      <c r="I649" s="172" t="b">
        <v>0</v>
      </c>
      <c r="J649" s="172" t="b">
        <v>0</v>
      </c>
      <c r="K649" s="172" t="b">
        <v>0</v>
      </c>
      <c r="L649" s="172" t="b">
        <v>0</v>
      </c>
      <c r="M649" s="172" t="b">
        <v>0</v>
      </c>
      <c r="N649" s="97"/>
      <c r="O649" s="97"/>
      <c r="P649" s="97"/>
      <c r="Q649" s="174"/>
    </row>
    <row r="650" spans="8:8" ht="43.5" customHeight="1">
      <c r="A650" s="170">
        <v>59.0</v>
      </c>
      <c r="B650" s="171" t="s">
        <v>4500</v>
      </c>
      <c r="C650" s="172">
        <v>253268.0</v>
      </c>
      <c r="D650" s="171" t="s">
        <v>2922</v>
      </c>
      <c r="E650" s="97" t="s">
        <v>1512</v>
      </c>
      <c r="F650" s="172" t="b">
        <v>0</v>
      </c>
      <c r="G650" s="172" t="b">
        <v>0</v>
      </c>
      <c r="H650" s="172" t="b">
        <v>1</v>
      </c>
      <c r="I650" s="172" t="b">
        <v>0</v>
      </c>
      <c r="J650" s="172" t="b">
        <v>0</v>
      </c>
      <c r="K650" s="172" t="b">
        <v>0</v>
      </c>
      <c r="L650" s="172" t="b">
        <v>0</v>
      </c>
      <c r="M650" s="172" t="b">
        <v>0</v>
      </c>
      <c r="N650" s="97"/>
      <c r="O650" s="97"/>
      <c r="P650" s="97"/>
      <c r="Q650" s="174"/>
    </row>
    <row r="651" spans="8:8" ht="43.5" customHeight="1">
      <c r="A651" s="170">
        <v>60.0</v>
      </c>
      <c r="B651" s="171" t="s">
        <v>4421</v>
      </c>
      <c r="C651" s="172">
        <v>252127.0</v>
      </c>
      <c r="D651" s="171" t="s">
        <v>104</v>
      </c>
      <c r="E651" s="172" t="s">
        <v>1512</v>
      </c>
      <c r="F651" s="172" t="b">
        <v>0</v>
      </c>
      <c r="G651" s="172" t="b">
        <v>0</v>
      </c>
      <c r="H651" s="172" t="b">
        <v>0</v>
      </c>
      <c r="I651" s="172" t="b">
        <v>0</v>
      </c>
      <c r="J651" s="172" t="b">
        <v>0</v>
      </c>
      <c r="K651" s="172" t="b">
        <v>0</v>
      </c>
      <c r="L651" s="172" t="b">
        <v>0</v>
      </c>
      <c r="M651" s="172" t="b">
        <v>0</v>
      </c>
      <c r="N651" s="97"/>
      <c r="O651" s="97"/>
      <c r="P651" s="97"/>
      <c r="Q651" s="174"/>
    </row>
    <row r="652" spans="8:8" ht="43.5" customHeight="1">
      <c r="A652" s="170">
        <v>61.0</v>
      </c>
      <c r="B652" s="171" t="s">
        <v>4501</v>
      </c>
      <c r="C652" s="172">
        <v>253282.0</v>
      </c>
      <c r="D652" s="171" t="s">
        <v>2922</v>
      </c>
      <c r="E652" s="172" t="s">
        <v>1512</v>
      </c>
      <c r="F652" s="172" t="b">
        <v>0</v>
      </c>
      <c r="G652" s="172" t="b">
        <v>0</v>
      </c>
      <c r="H652" s="172" t="b">
        <v>1</v>
      </c>
      <c r="I652" s="172" t="b">
        <v>0</v>
      </c>
      <c r="J652" s="172" t="b">
        <v>0</v>
      </c>
      <c r="K652" s="172" t="b">
        <v>0</v>
      </c>
      <c r="L652" s="172" t="b">
        <v>0</v>
      </c>
      <c r="M652" s="172" t="b">
        <v>0</v>
      </c>
      <c r="N652" s="97"/>
      <c r="O652" s="97"/>
      <c r="P652" s="97"/>
      <c r="Q652" s="174"/>
    </row>
    <row r="653" spans="8:8" ht="43.5" customHeight="1">
      <c r="A653" s="170">
        <v>63.0</v>
      </c>
      <c r="B653" s="171" t="s">
        <v>4502</v>
      </c>
      <c r="C653" s="172">
        <v>253279.0</v>
      </c>
      <c r="D653" s="171" t="s">
        <v>2922</v>
      </c>
      <c r="E653" s="172" t="s">
        <v>1512</v>
      </c>
      <c r="F653" s="172" t="b">
        <v>0</v>
      </c>
      <c r="G653" s="172" t="b">
        <v>0</v>
      </c>
      <c r="H653" s="172" t="b">
        <v>0</v>
      </c>
      <c r="I653" s="172" t="b">
        <v>0</v>
      </c>
      <c r="J653" s="172" t="b">
        <v>0</v>
      </c>
      <c r="K653" s="172" t="b">
        <v>0</v>
      </c>
      <c r="L653" s="172" t="b">
        <v>0</v>
      </c>
      <c r="M653" s="172" t="b">
        <v>0</v>
      </c>
      <c r="N653" s="97"/>
      <c r="O653" s="97"/>
      <c r="P653" s="97"/>
      <c r="Q653" s="174"/>
    </row>
    <row r="654" spans="8:8" ht="43.5" customHeight="1">
      <c r="A654" s="170">
        <v>64.0</v>
      </c>
      <c r="B654" s="171" t="s">
        <v>4503</v>
      </c>
      <c r="C654" s="172">
        <v>253265.0</v>
      </c>
      <c r="D654" s="171" t="s">
        <v>2922</v>
      </c>
      <c r="E654" s="172" t="s">
        <v>1512</v>
      </c>
      <c r="F654" s="172" t="b">
        <v>0</v>
      </c>
      <c r="G654" s="172" t="b">
        <v>0</v>
      </c>
      <c r="H654" s="172" t="b">
        <v>0</v>
      </c>
      <c r="I654" s="172" t="b">
        <v>0</v>
      </c>
      <c r="J654" s="172" t="b">
        <v>0</v>
      </c>
      <c r="K654" s="172" t="b">
        <v>0</v>
      </c>
      <c r="L654" s="172" t="b">
        <v>0</v>
      </c>
      <c r="M654" s="172" t="b">
        <v>0</v>
      </c>
      <c r="N654" s="97"/>
      <c r="O654" s="97"/>
      <c r="P654" s="97"/>
      <c r="Q654" s="174"/>
    </row>
    <row r="655" spans="8:8" ht="43.5" customHeight="1">
      <c r="A655" s="170">
        <v>30.0</v>
      </c>
      <c r="B655" s="171" t="s">
        <v>4504</v>
      </c>
      <c r="C655" s="172">
        <v>251494.0</v>
      </c>
      <c r="D655" s="171" t="s">
        <v>4834</v>
      </c>
      <c r="E655" s="172" t="s">
        <v>1512</v>
      </c>
      <c r="F655" s="172" t="b">
        <v>0</v>
      </c>
      <c r="G655" s="172" t="b">
        <v>0</v>
      </c>
      <c r="H655" s="172" t="b">
        <v>1</v>
      </c>
      <c r="I655" s="172" t="b">
        <v>0</v>
      </c>
      <c r="J655" s="172" t="b">
        <v>0</v>
      </c>
      <c r="K655" s="172" t="b">
        <v>0</v>
      </c>
      <c r="L655" s="172" t="b">
        <v>0</v>
      </c>
      <c r="M655" s="172" t="b">
        <v>0</v>
      </c>
      <c r="N655" s="97"/>
      <c r="O655" s="97"/>
      <c r="P655" s="97"/>
      <c r="Q655" s="174"/>
    </row>
    <row r="656" spans="8:8" ht="43.5" customHeight="1">
      <c r="A656" s="170"/>
      <c r="B656" s="171" t="s">
        <v>4505</v>
      </c>
      <c r="C656" s="172">
        <v>2529480.0</v>
      </c>
      <c r="D656" s="171" t="s">
        <v>2922</v>
      </c>
      <c r="E656" s="172" t="s">
        <v>1512</v>
      </c>
      <c r="F656" s="172" t="b">
        <v>0</v>
      </c>
      <c r="G656" s="172" t="b">
        <v>0</v>
      </c>
      <c r="H656" s="172" t="b">
        <v>1</v>
      </c>
      <c r="I656" s="172" t="b">
        <v>0</v>
      </c>
      <c r="J656" s="172" t="b">
        <v>0</v>
      </c>
      <c r="K656" s="172" t="b">
        <v>0</v>
      </c>
      <c r="L656" s="172" t="b">
        <v>0</v>
      </c>
      <c r="M656" s="172" t="b">
        <v>0</v>
      </c>
      <c r="N656" s="97"/>
      <c r="O656" s="97"/>
      <c r="P656" s="97"/>
      <c r="Q656" s="174"/>
    </row>
    <row r="657" spans="8:8" ht="43.5" customHeight="1">
      <c r="A657" s="172">
        <v>27.0</v>
      </c>
      <c r="B657" s="181" t="s">
        <v>4506</v>
      </c>
      <c r="C657" s="97">
        <v>253288.0</v>
      </c>
      <c r="D657" s="171" t="s">
        <v>2922</v>
      </c>
      <c r="E657" s="97" t="s">
        <v>1512</v>
      </c>
      <c r="F657" s="172" t="b">
        <v>0</v>
      </c>
      <c r="G657" s="172" t="b">
        <v>0</v>
      </c>
      <c r="H657" s="172" t="b">
        <v>0</v>
      </c>
      <c r="I657" s="172" t="b">
        <v>0</v>
      </c>
      <c r="J657" s="172" t="b">
        <v>0</v>
      </c>
      <c r="K657" s="172" t="b">
        <v>0</v>
      </c>
      <c r="L657" s="172" t="b">
        <v>0</v>
      </c>
      <c r="M657" s="172" t="b">
        <v>0</v>
      </c>
      <c r="N657" s="97"/>
      <c r="O657" s="97"/>
      <c r="P657" s="177"/>
      <c r="Q657" s="178"/>
    </row>
    <row r="658" spans="8:8" ht="43.5" customHeight="1">
      <c r="A658" s="172"/>
      <c r="B658" s="181" t="s">
        <v>4726</v>
      </c>
      <c r="C658" s="97">
        <v>252126.0</v>
      </c>
      <c r="D658" s="171" t="s">
        <v>4775</v>
      </c>
      <c r="E658" s="97" t="s">
        <v>1512</v>
      </c>
      <c r="F658" s="172" t="b">
        <v>0</v>
      </c>
      <c r="G658" s="172" t="b">
        <v>0</v>
      </c>
      <c r="H658" s="172" t="b">
        <v>0</v>
      </c>
      <c r="I658" s="172" t="b">
        <v>0</v>
      </c>
      <c r="J658" s="172" t="b">
        <v>0</v>
      </c>
      <c r="K658" s="172" t="b">
        <v>0</v>
      </c>
      <c r="L658" s="172" t="b">
        <v>0</v>
      </c>
      <c r="M658" s="172" t="b">
        <v>0</v>
      </c>
      <c r="N658" s="97"/>
      <c r="O658" s="97"/>
      <c r="P658" s="177"/>
      <c r="Q658" s="178"/>
    </row>
    <row r="659" spans="8:8" ht="43.5" customHeight="1">
      <c r="A659" s="172">
        <v>26.0</v>
      </c>
      <c r="B659" s="181" t="s">
        <v>4507</v>
      </c>
      <c r="C659" s="97">
        <v>253063.0</v>
      </c>
      <c r="D659" s="171" t="s">
        <v>104</v>
      </c>
      <c r="E659" s="97" t="s">
        <v>1512</v>
      </c>
      <c r="F659" s="172" t="b">
        <v>0</v>
      </c>
      <c r="G659" s="172" t="b">
        <v>0</v>
      </c>
      <c r="H659" s="172" t="b">
        <v>0</v>
      </c>
      <c r="I659" s="172" t="b">
        <v>0</v>
      </c>
      <c r="J659" s="172" t="b">
        <v>0</v>
      </c>
      <c r="K659" s="172" t="b">
        <v>0</v>
      </c>
      <c r="L659" s="172" t="b">
        <v>0</v>
      </c>
      <c r="M659" s="172" t="b">
        <v>0</v>
      </c>
      <c r="N659" s="97"/>
      <c r="O659" s="97"/>
      <c r="P659" s="177"/>
      <c r="Q659" s="178"/>
    </row>
    <row r="660" spans="8:8" ht="43.5" customHeight="1">
      <c r="A660" s="170"/>
      <c r="B660" s="182" t="s">
        <v>4815</v>
      </c>
      <c r="C660" s="97"/>
      <c r="D660" s="97"/>
      <c r="E660" s="183"/>
      <c r="F660" s="184">
        <f t="shared" si="20" ref="F660:M660">COUNTIF(F607:F626,TRUE)/COUNTA(F607:F626)</f>
        <v>0.05</v>
      </c>
      <c r="G660" s="184">
        <f t="shared" si="20"/>
        <v>0.1</v>
      </c>
      <c r="H660" s="184">
        <f t="shared" si="20"/>
        <v>0.2</v>
      </c>
      <c r="I660" s="184">
        <f t="shared" si="20"/>
        <v>0.0</v>
      </c>
      <c r="J660" s="184">
        <f t="shared" si="20"/>
        <v>0.0</v>
      </c>
      <c r="K660" s="184">
        <f t="shared" si="20"/>
        <v>0.0</v>
      </c>
      <c r="L660" s="184">
        <f t="shared" si="20"/>
        <v>0.0</v>
      </c>
      <c r="M660" s="184">
        <f t="shared" si="20"/>
        <v>0.0</v>
      </c>
      <c r="N660" s="97"/>
      <c r="O660" s="97"/>
      <c r="P660" s="97"/>
      <c r="Q660" s="174"/>
    </row>
    <row r="661" spans="8:8" ht="43.5" customHeight="1">
      <c r="A661" s="185" t="s">
        <v>18</v>
      </c>
      <c r="B661" s="162" t="s">
        <v>19</v>
      </c>
      <c r="C661" s="163"/>
      <c r="D661" s="162" t="s">
        <v>4530</v>
      </c>
      <c r="E661" s="162" t="s">
        <v>22</v>
      </c>
      <c r="F661" s="163" t="s">
        <v>4794</v>
      </c>
      <c r="G661" s="163" t="s">
        <v>4795</v>
      </c>
      <c r="H661" s="163" t="s">
        <v>4796</v>
      </c>
      <c r="I661" s="163" t="s">
        <v>4797</v>
      </c>
      <c r="J661" s="163" t="s">
        <v>4798</v>
      </c>
      <c r="K661" s="163" t="s">
        <v>4799</v>
      </c>
      <c r="L661" s="163" t="s">
        <v>4800</v>
      </c>
      <c r="M661" s="163" t="s">
        <v>4801</v>
      </c>
      <c r="N661" s="166" t="s">
        <v>4900</v>
      </c>
      <c r="O661" s="167"/>
      <c r="P661" s="168"/>
      <c r="Q661" s="169"/>
    </row>
    <row r="662" spans="8:8" ht="43.5" customHeight="1">
      <c r="A662" s="170">
        <v>1.0</v>
      </c>
      <c r="B662" s="171" t="s">
        <v>4432</v>
      </c>
      <c r="C662" s="172">
        <v>241870.0</v>
      </c>
      <c r="D662" s="171" t="s">
        <v>4857</v>
      </c>
      <c r="E662" s="172" t="s">
        <v>984</v>
      </c>
      <c r="F662" s="172" t="b">
        <v>0</v>
      </c>
      <c r="G662" s="172" t="b">
        <v>0</v>
      </c>
      <c r="H662" s="172" t="b">
        <v>1</v>
      </c>
      <c r="I662" s="172" t="b">
        <v>0</v>
      </c>
      <c r="J662" s="172" t="b">
        <v>0</v>
      </c>
      <c r="K662" s="172" t="b">
        <v>0</v>
      </c>
      <c r="L662" s="172" t="b">
        <v>0</v>
      </c>
      <c r="M662" s="172" t="b">
        <v>0</v>
      </c>
      <c r="N662" s="173" t="s">
        <v>4804</v>
      </c>
      <c r="O662" s="167"/>
      <c r="P662" s="168"/>
      <c r="Q662" s="174"/>
    </row>
    <row r="663" spans="8:8" ht="41.25" customHeight="1">
      <c r="A663" s="170">
        <v>2.0</v>
      </c>
      <c r="B663" s="171" t="s">
        <v>4728</v>
      </c>
      <c r="C663" s="172">
        <v>241331.0</v>
      </c>
      <c r="D663" s="171" t="s">
        <v>4856</v>
      </c>
      <c r="E663" s="172" t="s">
        <v>984</v>
      </c>
      <c r="F663" s="172" t="b">
        <v>0</v>
      </c>
      <c r="G663" s="172" t="b">
        <v>0</v>
      </c>
      <c r="H663" s="172" t="b">
        <v>0</v>
      </c>
      <c r="I663" s="172" t="b">
        <v>0</v>
      </c>
      <c r="J663" s="172" t="b">
        <v>0</v>
      </c>
      <c r="K663" s="172" t="b">
        <v>0</v>
      </c>
      <c r="L663" s="172" t="b">
        <v>0</v>
      </c>
      <c r="M663" s="172" t="b">
        <v>0</v>
      </c>
      <c r="N663" s="175" t="s">
        <v>4805</v>
      </c>
      <c r="O663" s="176" t="s">
        <v>4806</v>
      </c>
      <c r="P663" s="97" t="s">
        <v>4807</v>
      </c>
      <c r="Q663" s="174"/>
    </row>
    <row r="664" spans="8:8" ht="43.5" customHeight="1">
      <c r="A664" s="170">
        <v>3.0</v>
      </c>
      <c r="B664" s="171" t="s">
        <v>4729</v>
      </c>
      <c r="C664" s="172">
        <v>241849.0</v>
      </c>
      <c r="D664" s="171" t="s">
        <v>4857</v>
      </c>
      <c r="E664" s="172" t="s">
        <v>984</v>
      </c>
      <c r="F664" s="172" t="b">
        <v>0</v>
      </c>
      <c r="G664" s="172" t="b">
        <v>0</v>
      </c>
      <c r="H664" s="172" t="b">
        <v>0</v>
      </c>
      <c r="I664" s="172" t="b">
        <v>0</v>
      </c>
      <c r="J664" s="172" t="b">
        <v>0</v>
      </c>
      <c r="K664" s="172" t="b">
        <v>0</v>
      </c>
      <c r="L664" s="172" t="b">
        <v>0</v>
      </c>
      <c r="M664" s="172" t="b">
        <v>0</v>
      </c>
      <c r="N664" s="97" t="s">
        <v>4794</v>
      </c>
      <c r="O664" s="172" t="b">
        <v>0</v>
      </c>
      <c r="P664" s="97" t="s">
        <v>4901</v>
      </c>
      <c r="Q664" s="174"/>
    </row>
    <row r="665" spans="8:8" ht="43.5" customHeight="1">
      <c r="A665" s="170">
        <v>4.0</v>
      </c>
      <c r="B665" s="171" t="s">
        <v>4433</v>
      </c>
      <c r="C665" s="172">
        <v>241299.0</v>
      </c>
      <c r="D665" s="171" t="s">
        <v>4856</v>
      </c>
      <c r="E665" s="172" t="s">
        <v>984</v>
      </c>
      <c r="F665" s="172" t="b">
        <v>0</v>
      </c>
      <c r="G665" s="172" t="b">
        <v>0</v>
      </c>
      <c r="H665" s="172" t="b">
        <v>0</v>
      </c>
      <c r="I665" s="172" t="b">
        <v>0</v>
      </c>
      <c r="J665" s="172" t="b">
        <v>0</v>
      </c>
      <c r="K665" s="172" t="b">
        <v>0</v>
      </c>
      <c r="L665" s="172" t="b">
        <v>0</v>
      </c>
      <c r="M665" s="172" t="b">
        <v>0</v>
      </c>
      <c r="N665" s="97" t="s">
        <v>4795</v>
      </c>
      <c r="O665" s="172" t="b">
        <v>1</v>
      </c>
      <c r="P665" s="97"/>
      <c r="Q665" s="174"/>
    </row>
    <row r="666" spans="8:8" ht="43.5" customHeight="1">
      <c r="A666" s="170">
        <v>5.0</v>
      </c>
      <c r="B666" s="171" t="s">
        <v>4730</v>
      </c>
      <c r="C666" s="172">
        <v>241842.0</v>
      </c>
      <c r="D666" s="171" t="s">
        <v>4857</v>
      </c>
      <c r="E666" s="172" t="s">
        <v>984</v>
      </c>
      <c r="F666" s="172" t="b">
        <v>0</v>
      </c>
      <c r="G666" s="172" t="b">
        <v>0</v>
      </c>
      <c r="H666" s="172" t="b">
        <v>0</v>
      </c>
      <c r="I666" s="172" t="b">
        <v>0</v>
      </c>
      <c r="J666" s="172" t="b">
        <v>0</v>
      </c>
      <c r="K666" s="172" t="b">
        <v>0</v>
      </c>
      <c r="L666" s="172" t="b">
        <v>0</v>
      </c>
      <c r="M666" s="172" t="b">
        <v>0</v>
      </c>
      <c r="N666" s="97" t="s">
        <v>4796</v>
      </c>
      <c r="O666" s="172" t="b">
        <v>1</v>
      </c>
      <c r="P666" s="97"/>
      <c r="Q666" s="174"/>
    </row>
    <row r="667" spans="8:8" ht="43.5" customHeight="1">
      <c r="A667" s="170">
        <v>6.0</v>
      </c>
      <c r="B667" s="171" t="s">
        <v>4434</v>
      </c>
      <c r="C667" s="172">
        <v>241874.0</v>
      </c>
      <c r="D667" s="171" t="s">
        <v>4857</v>
      </c>
      <c r="E667" s="172" t="s">
        <v>984</v>
      </c>
      <c r="F667" s="172" t="b">
        <v>0</v>
      </c>
      <c r="G667" s="172" t="b">
        <v>0</v>
      </c>
      <c r="H667" s="172" t="b">
        <v>0</v>
      </c>
      <c r="I667" s="172" t="b">
        <v>0</v>
      </c>
      <c r="J667" s="172" t="b">
        <v>0</v>
      </c>
      <c r="K667" s="172" t="b">
        <v>0</v>
      </c>
      <c r="L667" s="172" t="b">
        <v>0</v>
      </c>
      <c r="M667" s="172" t="b">
        <v>0</v>
      </c>
      <c r="N667" s="97" t="s">
        <v>4797</v>
      </c>
      <c r="O667" s="172" t="b">
        <v>0</v>
      </c>
      <c r="P667" s="97"/>
      <c r="Q667" s="174"/>
    </row>
    <row r="668" spans="8:8" ht="43.5" customHeight="1">
      <c r="A668" s="170">
        <v>7.0</v>
      </c>
      <c r="B668" s="171" t="s">
        <v>4731</v>
      </c>
      <c r="C668" s="172">
        <v>241377.0</v>
      </c>
      <c r="D668" s="171" t="s">
        <v>4856</v>
      </c>
      <c r="E668" s="172" t="s">
        <v>984</v>
      </c>
      <c r="F668" s="172" t="b">
        <v>0</v>
      </c>
      <c r="G668" s="172" t="b">
        <v>0</v>
      </c>
      <c r="H668" s="172" t="b">
        <v>0</v>
      </c>
      <c r="I668" s="172" t="b">
        <v>0</v>
      </c>
      <c r="J668" s="172" t="b">
        <v>0</v>
      </c>
      <c r="K668" s="172" t="b">
        <v>0</v>
      </c>
      <c r="L668" s="172" t="b">
        <v>0</v>
      </c>
      <c r="M668" s="172" t="b">
        <v>0</v>
      </c>
      <c r="N668" s="97" t="s">
        <v>4798</v>
      </c>
      <c r="O668" s="172" t="b">
        <v>0</v>
      </c>
      <c r="P668" s="97"/>
      <c r="Q668" s="174"/>
    </row>
    <row r="669" spans="8:8" ht="43.5" customHeight="1">
      <c r="A669" s="170">
        <v>8.0</v>
      </c>
      <c r="B669" s="171" t="s">
        <v>4902</v>
      </c>
      <c r="C669" s="172">
        <v>241848.0</v>
      </c>
      <c r="D669" s="171" t="s">
        <v>4857</v>
      </c>
      <c r="E669" s="172" t="s">
        <v>984</v>
      </c>
      <c r="F669" s="172" t="b">
        <v>0</v>
      </c>
      <c r="G669" s="172" t="b">
        <v>0</v>
      </c>
      <c r="H669" s="172" t="b">
        <v>0</v>
      </c>
      <c r="I669" s="172" t="b">
        <v>0</v>
      </c>
      <c r="J669" s="172" t="b">
        <v>0</v>
      </c>
      <c r="K669" s="172" t="b">
        <v>0</v>
      </c>
      <c r="L669" s="172" t="b">
        <v>0</v>
      </c>
      <c r="M669" s="172" t="b">
        <v>0</v>
      </c>
      <c r="N669" s="97" t="s">
        <v>4799</v>
      </c>
      <c r="O669" s="172" t="b">
        <v>0</v>
      </c>
      <c r="P669" s="97"/>
      <c r="Q669" s="174"/>
    </row>
    <row r="670" spans="8:8" ht="43.5" customHeight="1">
      <c r="A670" s="170">
        <v>9.0</v>
      </c>
      <c r="B670" s="171" t="s">
        <v>4903</v>
      </c>
      <c r="C670" s="172">
        <v>241889.0</v>
      </c>
      <c r="D670" s="171" t="s">
        <v>4857</v>
      </c>
      <c r="E670" s="172" t="s">
        <v>984</v>
      </c>
      <c r="F670" s="172" t="b">
        <v>0</v>
      </c>
      <c r="G670" s="172" t="b">
        <v>0</v>
      </c>
      <c r="H670" s="172" t="b">
        <v>0</v>
      </c>
      <c r="I670" s="172" t="b">
        <v>0</v>
      </c>
      <c r="J670" s="172" t="b">
        <v>0</v>
      </c>
      <c r="K670" s="172" t="b">
        <v>0</v>
      </c>
      <c r="L670" s="172" t="b">
        <v>0</v>
      </c>
      <c r="M670" s="172" t="b">
        <v>0</v>
      </c>
      <c r="N670" s="97" t="s">
        <v>4800</v>
      </c>
      <c r="O670" s="172" t="b">
        <v>0</v>
      </c>
      <c r="P670" s="97"/>
      <c r="Q670" s="174"/>
    </row>
    <row r="671" spans="8:8" ht="43.5" customHeight="1">
      <c r="A671" s="170">
        <v>10.0</v>
      </c>
      <c r="B671" s="171" t="s">
        <v>4732</v>
      </c>
      <c r="C671" s="172">
        <v>241357.0</v>
      </c>
      <c r="D671" s="171" t="s">
        <v>4856</v>
      </c>
      <c r="E671" s="172" t="s">
        <v>984</v>
      </c>
      <c r="F671" s="172" t="b">
        <v>0</v>
      </c>
      <c r="G671" s="172" t="b">
        <v>0</v>
      </c>
      <c r="H671" s="172" t="b">
        <v>0</v>
      </c>
      <c r="I671" s="172" t="b">
        <v>0</v>
      </c>
      <c r="J671" s="172" t="b">
        <v>0</v>
      </c>
      <c r="K671" s="172" t="b">
        <v>0</v>
      </c>
      <c r="L671" s="172" t="b">
        <v>0</v>
      </c>
      <c r="M671" s="172" t="b">
        <v>0</v>
      </c>
      <c r="N671" s="97" t="s">
        <v>4801</v>
      </c>
      <c r="O671" s="172" t="b">
        <v>0</v>
      </c>
      <c r="P671" s="97"/>
      <c r="Q671" s="174"/>
    </row>
    <row r="672" spans="8:8" ht="43.5" customHeight="1">
      <c r="A672" s="170">
        <v>11.0</v>
      </c>
      <c r="B672" s="171" t="s">
        <v>4435</v>
      </c>
      <c r="C672" s="172">
        <v>252754.0</v>
      </c>
      <c r="D672" s="171" t="s">
        <v>90</v>
      </c>
      <c r="E672" s="172" t="s">
        <v>984</v>
      </c>
      <c r="F672" s="172" t="b">
        <v>0</v>
      </c>
      <c r="G672" s="172" t="b">
        <v>1</v>
      </c>
      <c r="H672" s="172" t="b">
        <v>0</v>
      </c>
      <c r="I672" s="172" t="b">
        <v>0</v>
      </c>
      <c r="J672" s="172" t="b">
        <v>0</v>
      </c>
      <c r="K672" s="172" t="b">
        <v>0</v>
      </c>
      <c r="L672" s="172" t="b">
        <v>0</v>
      </c>
      <c r="M672" s="172" t="b">
        <v>0</v>
      </c>
      <c r="N672" s="97"/>
      <c r="O672" s="97"/>
      <c r="P672" s="97"/>
      <c r="Q672" s="174"/>
    </row>
    <row r="673" spans="8:8" ht="43.5" customHeight="1">
      <c r="A673" s="170">
        <v>12.0</v>
      </c>
      <c r="B673" s="171" t="s">
        <v>4904</v>
      </c>
      <c r="C673" s="172">
        <v>252736.0</v>
      </c>
      <c r="D673" s="171" t="s">
        <v>90</v>
      </c>
      <c r="E673" s="172" t="s">
        <v>984</v>
      </c>
      <c r="F673" s="172" t="b">
        <v>0</v>
      </c>
      <c r="G673" s="172" t="b">
        <v>0</v>
      </c>
      <c r="H673" s="172" t="b">
        <v>0</v>
      </c>
      <c r="I673" s="172" t="b">
        <v>0</v>
      </c>
      <c r="J673" s="172" t="b">
        <v>0</v>
      </c>
      <c r="K673" s="172" t="b">
        <v>0</v>
      </c>
      <c r="L673" s="172" t="b">
        <v>0</v>
      </c>
      <c r="M673" s="172" t="b">
        <v>0</v>
      </c>
      <c r="N673" s="97"/>
      <c r="O673" s="97"/>
      <c r="P673" s="97"/>
      <c r="Q673" s="174"/>
    </row>
    <row r="674" spans="8:8" ht="43.5" customHeight="1">
      <c r="A674" s="170">
        <v>13.0</v>
      </c>
      <c r="B674" s="171" t="s">
        <v>4733</v>
      </c>
      <c r="C674" s="172">
        <v>253022.0</v>
      </c>
      <c r="D674" s="171" t="s">
        <v>90</v>
      </c>
      <c r="E674" s="172" t="s">
        <v>984</v>
      </c>
      <c r="F674" s="172" t="b">
        <v>0</v>
      </c>
      <c r="G674" s="172" t="b">
        <v>0</v>
      </c>
      <c r="H674" s="172" t="b">
        <v>0</v>
      </c>
      <c r="I674" s="172" t="b">
        <v>0</v>
      </c>
      <c r="J674" s="172" t="b">
        <v>0</v>
      </c>
      <c r="K674" s="172" t="b">
        <v>0</v>
      </c>
      <c r="L674" s="172" t="b">
        <v>0</v>
      </c>
      <c r="M674" s="172" t="b">
        <v>0</v>
      </c>
      <c r="N674" s="97"/>
      <c r="O674" s="97"/>
      <c r="P674" s="97"/>
      <c r="Q674" s="174"/>
    </row>
    <row r="675" spans="8:8" ht="43.5" customHeight="1">
      <c r="A675" s="170">
        <v>14.0</v>
      </c>
      <c r="B675" s="171" t="s">
        <v>4734</v>
      </c>
      <c r="C675" s="172">
        <v>252327.0</v>
      </c>
      <c r="D675" s="171" t="s">
        <v>104</v>
      </c>
      <c r="E675" s="172" t="s">
        <v>984</v>
      </c>
      <c r="F675" s="172" t="b">
        <v>0</v>
      </c>
      <c r="G675" s="172" t="b">
        <v>0</v>
      </c>
      <c r="H675" s="172" t="b">
        <v>0</v>
      </c>
      <c r="I675" s="172" t="b">
        <v>0</v>
      </c>
      <c r="J675" s="172" t="b">
        <v>0</v>
      </c>
      <c r="K675" s="172" t="b">
        <v>0</v>
      </c>
      <c r="L675" s="172" t="b">
        <v>0</v>
      </c>
      <c r="M675" s="172" t="b">
        <v>0</v>
      </c>
      <c r="N675" s="97"/>
      <c r="O675" s="97"/>
      <c r="P675" s="97"/>
      <c r="Q675" s="174"/>
    </row>
    <row r="676" spans="8:8" ht="43.5" customHeight="1">
      <c r="A676" s="170">
        <v>15.0</v>
      </c>
      <c r="B676" s="181" t="s">
        <v>4436</v>
      </c>
      <c r="C676" s="97">
        <v>252931.0</v>
      </c>
      <c r="D676" s="181" t="s">
        <v>90</v>
      </c>
      <c r="E676" s="97" t="s">
        <v>984</v>
      </c>
      <c r="F676" s="172" t="b">
        <v>0</v>
      </c>
      <c r="G676" s="172" t="b">
        <v>0</v>
      </c>
      <c r="H676" s="172" t="b">
        <v>0</v>
      </c>
      <c r="I676" s="172" t="b">
        <v>0</v>
      </c>
      <c r="J676" s="172" t="b">
        <v>0</v>
      </c>
      <c r="K676" s="172" t="b">
        <v>0</v>
      </c>
      <c r="L676" s="172" t="b">
        <v>0</v>
      </c>
      <c r="M676" s="172" t="b">
        <v>0</v>
      </c>
      <c r="N676" s="97"/>
      <c r="O676" s="97"/>
      <c r="P676" s="97"/>
      <c r="Q676" s="174"/>
    </row>
    <row r="677" spans="8:8" ht="43.5" customHeight="1">
      <c r="A677" s="170">
        <v>16.0</v>
      </c>
      <c r="B677" s="181" t="s">
        <v>4735</v>
      </c>
      <c r="C677" s="97">
        <v>253139.0</v>
      </c>
      <c r="D677" s="181" t="s">
        <v>90</v>
      </c>
      <c r="E677" s="97" t="s">
        <v>984</v>
      </c>
      <c r="F677" s="172" t="b">
        <v>0</v>
      </c>
      <c r="G677" s="172" t="b">
        <v>0</v>
      </c>
      <c r="H677" s="172" t="b">
        <v>0</v>
      </c>
      <c r="I677" s="172" t="b">
        <v>0</v>
      </c>
      <c r="J677" s="172" t="b">
        <v>0</v>
      </c>
      <c r="K677" s="172" t="b">
        <v>0</v>
      </c>
      <c r="L677" s="172" t="b">
        <v>0</v>
      </c>
      <c r="M677" s="172" t="b">
        <v>0</v>
      </c>
      <c r="N677" s="97"/>
      <c r="O677" s="97"/>
      <c r="P677" s="97"/>
      <c r="Q677" s="174"/>
    </row>
    <row r="678" spans="8:8" ht="43.5" customHeight="1">
      <c r="A678" s="170">
        <v>17.0</v>
      </c>
      <c r="B678" s="181" t="s">
        <v>4736</v>
      </c>
      <c r="C678" s="97">
        <v>240900.0</v>
      </c>
      <c r="D678" s="181" t="s">
        <v>606</v>
      </c>
      <c r="E678" s="97" t="s">
        <v>984</v>
      </c>
      <c r="F678" s="172" t="b">
        <v>0</v>
      </c>
      <c r="G678" s="172" t="b">
        <v>0</v>
      </c>
      <c r="H678" s="172" t="b">
        <v>0</v>
      </c>
      <c r="I678" s="172" t="b">
        <v>0</v>
      </c>
      <c r="J678" s="172" t="b">
        <v>0</v>
      </c>
      <c r="K678" s="172" t="b">
        <v>0</v>
      </c>
      <c r="L678" s="172" t="b">
        <v>0</v>
      </c>
      <c r="M678" s="172" t="b">
        <v>0</v>
      </c>
      <c r="N678" s="97"/>
      <c r="O678" s="97"/>
      <c r="P678" s="97"/>
      <c r="Q678" s="174"/>
    </row>
    <row r="679" spans="8:8" ht="43.5" customHeight="1">
      <c r="A679" s="170">
        <v>18.0</v>
      </c>
      <c r="B679" s="181" t="s">
        <v>4737</v>
      </c>
      <c r="C679" s="97">
        <v>251007.0</v>
      </c>
      <c r="D679" s="181" t="s">
        <v>56</v>
      </c>
      <c r="E679" s="97" t="s">
        <v>984</v>
      </c>
      <c r="F679" s="172" t="b">
        <v>0</v>
      </c>
      <c r="G679" s="172" t="b">
        <v>0</v>
      </c>
      <c r="H679" s="172" t="b">
        <v>0</v>
      </c>
      <c r="I679" s="172" t="b">
        <v>0</v>
      </c>
      <c r="J679" s="172" t="b">
        <v>0</v>
      </c>
      <c r="K679" s="172" t="b">
        <v>0</v>
      </c>
      <c r="L679" s="172" t="b">
        <v>0</v>
      </c>
      <c r="M679" s="172" t="b">
        <v>0</v>
      </c>
      <c r="N679" s="97"/>
      <c r="O679" s="97"/>
      <c r="P679" s="97"/>
      <c r="Q679" s="174"/>
    </row>
    <row r="680" spans="8:8" ht="43.5" customHeight="1">
      <c r="A680" s="170">
        <v>19.0</v>
      </c>
      <c r="B680" s="198" t="s">
        <v>4738</v>
      </c>
      <c r="C680" s="199">
        <v>250997.0</v>
      </c>
      <c r="D680" s="181" t="s">
        <v>56</v>
      </c>
      <c r="E680" s="200" t="s">
        <v>984</v>
      </c>
      <c r="F680" s="172" t="b">
        <v>0</v>
      </c>
      <c r="G680" s="172" t="b">
        <v>0</v>
      </c>
      <c r="H680" s="172" t="b">
        <v>0</v>
      </c>
      <c r="I680" s="172" t="b">
        <v>0</v>
      </c>
      <c r="J680" s="172" t="b">
        <v>0</v>
      </c>
      <c r="K680" s="172" t="b">
        <v>0</v>
      </c>
      <c r="L680" s="172" t="b">
        <v>0</v>
      </c>
      <c r="M680" s="172" t="b">
        <v>0</v>
      </c>
      <c r="N680" s="97"/>
      <c r="O680" s="97"/>
      <c r="P680" s="97"/>
      <c r="Q680" s="174"/>
    </row>
    <row r="681" spans="8:8" ht="43.5" customHeight="1">
      <c r="A681" s="170">
        <v>20.0</v>
      </c>
      <c r="B681" s="198" t="s">
        <v>4437</v>
      </c>
      <c r="C681" s="199">
        <v>253183.0</v>
      </c>
      <c r="D681" s="181" t="s">
        <v>1486</v>
      </c>
      <c r="E681" s="200" t="s">
        <v>984</v>
      </c>
      <c r="F681" s="172" t="b">
        <v>0</v>
      </c>
      <c r="G681" s="172" t="b">
        <v>0</v>
      </c>
      <c r="H681" s="172" t="b">
        <v>1</v>
      </c>
      <c r="I681" s="172" t="b">
        <v>0</v>
      </c>
      <c r="J681" s="172" t="b">
        <v>0</v>
      </c>
      <c r="K681" s="172" t="b">
        <v>0</v>
      </c>
      <c r="L681" s="172" t="b">
        <v>0</v>
      </c>
      <c r="M681" s="172" t="b">
        <v>0</v>
      </c>
      <c r="N681" s="97"/>
      <c r="O681" s="97"/>
      <c r="P681" s="97"/>
      <c r="Q681" s="174"/>
    </row>
    <row r="682" spans="8:8" ht="43.5" customHeight="1">
      <c r="A682" s="170">
        <v>21.0</v>
      </c>
      <c r="B682" s="198" t="s">
        <v>983</v>
      </c>
      <c r="C682" s="199">
        <v>253202.0</v>
      </c>
      <c r="D682" s="181" t="s">
        <v>1555</v>
      </c>
      <c r="E682" s="200" t="s">
        <v>984</v>
      </c>
      <c r="F682" s="172" t="b">
        <v>0</v>
      </c>
      <c r="G682" s="172" t="b">
        <v>1</v>
      </c>
      <c r="H682" s="172" t="b">
        <v>0</v>
      </c>
      <c r="I682" s="172" t="b">
        <v>0</v>
      </c>
      <c r="J682" s="172" t="b">
        <v>0</v>
      </c>
      <c r="K682" s="172" t="b">
        <v>0</v>
      </c>
      <c r="L682" s="172" t="b">
        <v>0</v>
      </c>
      <c r="M682" s="172" t="b">
        <v>0</v>
      </c>
      <c r="N682" s="97"/>
      <c r="O682" s="97"/>
      <c r="P682" s="97"/>
      <c r="Q682" s="174"/>
    </row>
    <row r="683" spans="8:8" ht="43.5" customHeight="1">
      <c r="A683" s="170">
        <v>22.0</v>
      </c>
      <c r="B683" s="198" t="s">
        <v>4905</v>
      </c>
      <c r="C683" s="199">
        <v>250927.0</v>
      </c>
      <c r="D683" s="97"/>
      <c r="E683" s="200" t="s">
        <v>984</v>
      </c>
      <c r="F683" s="172" t="b">
        <v>0</v>
      </c>
      <c r="G683" s="172" t="b">
        <v>0</v>
      </c>
      <c r="H683" s="172" t="b">
        <v>0</v>
      </c>
      <c r="I683" s="172" t="b">
        <v>0</v>
      </c>
      <c r="J683" s="172" t="b">
        <v>0</v>
      </c>
      <c r="K683" s="172" t="b">
        <v>0</v>
      </c>
      <c r="L683" s="172" t="b">
        <v>0</v>
      </c>
      <c r="M683" s="172" t="b">
        <v>0</v>
      </c>
      <c r="N683" s="97"/>
      <c r="O683" s="97"/>
      <c r="P683" s="97"/>
      <c r="Q683" s="174"/>
    </row>
    <row r="684" spans="8:8" ht="43.5" customHeight="1">
      <c r="A684" s="170">
        <v>23.0</v>
      </c>
      <c r="B684" s="198" t="s">
        <v>4447</v>
      </c>
      <c r="C684" s="199">
        <v>253224.0</v>
      </c>
      <c r="D684" s="97"/>
      <c r="E684" s="200" t="s">
        <v>984</v>
      </c>
      <c r="F684" s="172" t="b">
        <v>0</v>
      </c>
      <c r="G684" s="172" t="b">
        <v>0</v>
      </c>
      <c r="H684" s="172" t="b">
        <v>0</v>
      </c>
      <c r="I684" s="172" t="b">
        <v>0</v>
      </c>
      <c r="J684" s="172" t="b">
        <v>0</v>
      </c>
      <c r="K684" s="172" t="b">
        <v>0</v>
      </c>
      <c r="L684" s="172" t="b">
        <v>0</v>
      </c>
      <c r="M684" s="172" t="b">
        <v>0</v>
      </c>
      <c r="N684" s="97"/>
      <c r="O684" s="97"/>
      <c r="P684" s="97"/>
      <c r="Q684" s="174"/>
    </row>
    <row r="685" spans="8:8" ht="43.5" customHeight="1">
      <c r="A685" s="170">
        <v>24.0</v>
      </c>
      <c r="B685" s="198" t="s">
        <v>4438</v>
      </c>
      <c r="C685" s="199">
        <v>253287.0</v>
      </c>
      <c r="D685" s="198" t="s">
        <v>90</v>
      </c>
      <c r="E685" s="200" t="s">
        <v>984</v>
      </c>
      <c r="F685" s="172" t="b">
        <v>0</v>
      </c>
      <c r="G685" s="172" t="b">
        <v>0</v>
      </c>
      <c r="H685" s="172" t="b">
        <v>1</v>
      </c>
      <c r="I685" s="172" t="b">
        <v>0</v>
      </c>
      <c r="J685" s="172" t="b">
        <v>0</v>
      </c>
      <c r="K685" s="172" t="b">
        <v>0</v>
      </c>
      <c r="L685" s="172" t="b">
        <v>0</v>
      </c>
      <c r="M685" s="172" t="b">
        <v>0</v>
      </c>
      <c r="N685" s="97"/>
      <c r="O685" s="97"/>
      <c r="P685" s="97"/>
      <c r="Q685" s="174"/>
    </row>
    <row r="686" spans="8:8" ht="43.5" customHeight="1">
      <c r="A686" s="97">
        <v>25.0</v>
      </c>
      <c r="B686" s="201" t="s">
        <v>4439</v>
      </c>
      <c r="C686" s="202">
        <v>252458.0</v>
      </c>
      <c r="D686" s="181" t="s">
        <v>4486</v>
      </c>
      <c r="E686" s="97" t="s">
        <v>984</v>
      </c>
      <c r="F686" s="97" t="b">
        <v>0</v>
      </c>
      <c r="G686" s="97" t="b">
        <v>0</v>
      </c>
      <c r="H686" s="97" t="b">
        <v>0</v>
      </c>
      <c r="I686" s="97" t="b">
        <v>0</v>
      </c>
      <c r="J686" s="97" t="b">
        <v>0</v>
      </c>
      <c r="K686" s="97" t="b">
        <v>0</v>
      </c>
      <c r="L686" s="97" t="b">
        <v>0</v>
      </c>
      <c r="M686" s="97" t="b">
        <v>0</v>
      </c>
      <c r="N686" s="97"/>
      <c r="O686" s="97"/>
      <c r="P686" s="97"/>
      <c r="Q686" s="174"/>
    </row>
    <row r="687" spans="8:8" ht="43.5" customHeight="1">
      <c r="A687" s="97">
        <v>26.0</v>
      </c>
      <c r="B687" s="201" t="s">
        <v>4440</v>
      </c>
      <c r="C687" s="202">
        <v>253144.0</v>
      </c>
      <c r="D687" s="181" t="s">
        <v>4775</v>
      </c>
      <c r="E687" s="97" t="s">
        <v>984</v>
      </c>
      <c r="F687" s="97" t="b">
        <v>0</v>
      </c>
      <c r="G687" s="97" t="b">
        <v>0</v>
      </c>
      <c r="H687" s="97" t="b">
        <v>0</v>
      </c>
      <c r="I687" s="97" t="b">
        <v>0</v>
      </c>
      <c r="J687" s="97" t="b">
        <v>0</v>
      </c>
      <c r="K687" s="97" t="b">
        <v>0</v>
      </c>
      <c r="L687" s="97" t="b">
        <v>0</v>
      </c>
      <c r="M687" s="97" t="b">
        <v>0</v>
      </c>
      <c r="N687" s="97"/>
      <c r="O687" s="97"/>
      <c r="P687" s="97"/>
      <c r="Q687" s="174"/>
    </row>
    <row r="688" spans="8:8" ht="43.5" customHeight="1">
      <c r="A688" s="170"/>
      <c r="B688" s="182" t="s">
        <v>4815</v>
      </c>
      <c r="C688" s="97"/>
      <c r="D688" s="97"/>
      <c r="E688" s="183"/>
      <c r="F688" s="184">
        <f t="shared" si="21" ref="F688:M688">COUNTIF(F627:F661,TRUE)/COUNTA(F627:F661)</f>
        <v>0.0</v>
      </c>
      <c r="G688" s="184">
        <f t="shared" si="21"/>
        <v>0.08571428571428572</v>
      </c>
      <c r="H688" s="184">
        <f t="shared" si="21"/>
        <v>0.2</v>
      </c>
      <c r="I688" s="184">
        <f t="shared" si="21"/>
        <v>0.0</v>
      </c>
      <c r="J688" s="184">
        <f t="shared" si="21"/>
        <v>0.0</v>
      </c>
      <c r="K688" s="184">
        <f t="shared" si="21"/>
        <v>0.0</v>
      </c>
      <c r="L688" s="184">
        <f t="shared" si="21"/>
        <v>0.0</v>
      </c>
      <c r="M688" s="184">
        <f t="shared" si="21"/>
        <v>0.0</v>
      </c>
      <c r="N688" s="97"/>
      <c r="O688" s="97"/>
      <c r="P688" s="97"/>
      <c r="Q688" s="174"/>
    </row>
    <row r="689" spans="8:8" ht="43.5" customHeight="1">
      <c r="A689" s="185" t="s">
        <v>18</v>
      </c>
      <c r="B689" s="162" t="s">
        <v>19</v>
      </c>
      <c r="C689" s="163"/>
      <c r="D689" s="162" t="s">
        <v>4530</v>
      </c>
      <c r="E689" s="162" t="s">
        <v>22</v>
      </c>
      <c r="F689" s="163" t="s">
        <v>4794</v>
      </c>
      <c r="G689" s="163" t="s">
        <v>4795</v>
      </c>
      <c r="H689" s="163" t="s">
        <v>4796</v>
      </c>
      <c r="I689" s="163" t="s">
        <v>4797</v>
      </c>
      <c r="J689" s="163" t="s">
        <v>4798</v>
      </c>
      <c r="K689" s="163" t="s">
        <v>4799</v>
      </c>
      <c r="L689" s="163" t="s">
        <v>4800</v>
      </c>
      <c r="M689" s="163" t="s">
        <v>4801</v>
      </c>
      <c r="N689" s="166" t="s">
        <v>4906</v>
      </c>
      <c r="O689" s="167"/>
      <c r="P689" s="168"/>
      <c r="Q689" s="169"/>
    </row>
    <row r="690" spans="8:8" ht="43.5" customHeight="1">
      <c r="A690" s="170">
        <v>1.0</v>
      </c>
      <c r="B690" s="171" t="s">
        <v>4463</v>
      </c>
      <c r="C690" s="172">
        <v>251275.0</v>
      </c>
      <c r="D690" s="171" t="s">
        <v>4810</v>
      </c>
      <c r="E690" s="172" t="s">
        <v>1490</v>
      </c>
      <c r="F690" s="172" t="b">
        <v>0</v>
      </c>
      <c r="G690" s="172" t="b">
        <v>0</v>
      </c>
      <c r="H690" s="172" t="b">
        <v>1</v>
      </c>
      <c r="I690" s="172" t="b">
        <v>0</v>
      </c>
      <c r="J690" s="172" t="b">
        <v>0</v>
      </c>
      <c r="K690" s="172" t="b">
        <v>0</v>
      </c>
      <c r="L690" s="172" t="b">
        <v>0</v>
      </c>
      <c r="M690" s="172" t="b">
        <v>0</v>
      </c>
      <c r="N690" s="173" t="s">
        <v>4804</v>
      </c>
      <c r="O690" s="167"/>
      <c r="P690" s="168"/>
      <c r="Q690" s="174"/>
    </row>
    <row r="691" spans="8:8" ht="43.5" customHeight="1">
      <c r="A691" s="170">
        <v>2.0</v>
      </c>
      <c r="B691" s="171" t="s">
        <v>4739</v>
      </c>
      <c r="C691" s="172">
        <v>251325.0</v>
      </c>
      <c r="D691" s="171" t="s">
        <v>4818</v>
      </c>
      <c r="E691" s="172" t="s">
        <v>1490</v>
      </c>
      <c r="F691" s="172" t="b">
        <v>0</v>
      </c>
      <c r="G691" s="172" t="b">
        <v>0</v>
      </c>
      <c r="H691" s="172" t="b">
        <v>0</v>
      </c>
      <c r="I691" s="172" t="b">
        <v>0</v>
      </c>
      <c r="J691" s="172" t="b">
        <v>0</v>
      </c>
      <c r="K691" s="172" t="b">
        <v>0</v>
      </c>
      <c r="L691" s="172" t="b">
        <v>0</v>
      </c>
      <c r="M691" s="172" t="b">
        <v>0</v>
      </c>
      <c r="N691" s="175" t="s">
        <v>4805</v>
      </c>
      <c r="O691" s="176" t="s">
        <v>4806</v>
      </c>
      <c r="P691" s="97" t="s">
        <v>4807</v>
      </c>
      <c r="Q691" s="174"/>
    </row>
    <row r="692" spans="8:8" ht="43.5" customHeight="1">
      <c r="A692" s="170">
        <v>3.0</v>
      </c>
      <c r="B692" s="171" t="s">
        <v>4907</v>
      </c>
      <c r="C692" s="172">
        <v>241427.0</v>
      </c>
      <c r="D692" s="171" t="s">
        <v>4856</v>
      </c>
      <c r="E692" s="172" t="s">
        <v>1490</v>
      </c>
      <c r="F692" s="172" t="b">
        <v>0</v>
      </c>
      <c r="G692" s="172" t="b">
        <v>0</v>
      </c>
      <c r="H692" s="172" t="b">
        <v>0</v>
      </c>
      <c r="I692" s="172" t="b">
        <v>0</v>
      </c>
      <c r="J692" s="172" t="b">
        <v>0</v>
      </c>
      <c r="K692" s="172" t="b">
        <v>0</v>
      </c>
      <c r="L692" s="172" t="b">
        <v>0</v>
      </c>
      <c r="M692" s="172" t="b">
        <v>0</v>
      </c>
      <c r="N692" s="97" t="s">
        <v>4794</v>
      </c>
      <c r="O692" s="172" t="b">
        <v>1</v>
      </c>
      <c r="P692" s="97" t="s">
        <v>4908</v>
      </c>
      <c r="Q692" s="174"/>
    </row>
    <row r="693" spans="8:8" ht="43.5" customHeight="1">
      <c r="A693" s="170">
        <v>4.0</v>
      </c>
      <c r="B693" s="171" t="s">
        <v>4464</v>
      </c>
      <c r="C693" s="172">
        <v>241826.0</v>
      </c>
      <c r="D693" s="171" t="s">
        <v>4857</v>
      </c>
      <c r="E693" s="172" t="s">
        <v>1490</v>
      </c>
      <c r="F693" s="172" t="b">
        <v>0</v>
      </c>
      <c r="G693" s="172" t="b">
        <v>0</v>
      </c>
      <c r="H693" s="172" t="b">
        <v>0</v>
      </c>
      <c r="I693" s="172" t="b">
        <v>0</v>
      </c>
      <c r="J693" s="172" t="b">
        <v>0</v>
      </c>
      <c r="K693" s="172" t="b">
        <v>0</v>
      </c>
      <c r="L693" s="172" t="b">
        <v>0</v>
      </c>
      <c r="M693" s="172" t="b">
        <v>0</v>
      </c>
      <c r="N693" s="97" t="s">
        <v>4795</v>
      </c>
      <c r="O693" s="172" t="b">
        <v>1</v>
      </c>
      <c r="P693" s="97"/>
      <c r="Q693" s="174"/>
    </row>
    <row r="694" spans="8:8" ht="43.5" customHeight="1">
      <c r="A694" s="170">
        <v>5.0</v>
      </c>
      <c r="B694" s="171" t="s">
        <v>4465</v>
      </c>
      <c r="C694" s="172">
        <v>241305.0</v>
      </c>
      <c r="D694" s="171" t="s">
        <v>4856</v>
      </c>
      <c r="E694" s="172" t="s">
        <v>1490</v>
      </c>
      <c r="F694" s="172" t="b">
        <v>0</v>
      </c>
      <c r="G694" s="172" t="b">
        <v>0</v>
      </c>
      <c r="H694" s="172" t="b">
        <v>0</v>
      </c>
      <c r="I694" s="172" t="b">
        <v>0</v>
      </c>
      <c r="J694" s="172" t="b">
        <v>0</v>
      </c>
      <c r="K694" s="172" t="b">
        <v>0</v>
      </c>
      <c r="L694" s="172" t="b">
        <v>0</v>
      </c>
      <c r="M694" s="172" t="b">
        <v>0</v>
      </c>
      <c r="N694" s="97" t="s">
        <v>4796</v>
      </c>
      <c r="O694" s="172" t="b">
        <v>0</v>
      </c>
      <c r="P694" s="97" t="s">
        <v>4909</v>
      </c>
      <c r="Q694" s="174"/>
    </row>
    <row r="695" spans="8:8" ht="43.5" customHeight="1">
      <c r="A695" s="170">
        <v>6.0</v>
      </c>
      <c r="B695" s="171" t="s">
        <v>4466</v>
      </c>
      <c r="C695" s="172">
        <v>241415.0</v>
      </c>
      <c r="D695" s="171" t="s">
        <v>4856</v>
      </c>
      <c r="E695" s="172" t="s">
        <v>1490</v>
      </c>
      <c r="F695" s="172" t="b">
        <v>0</v>
      </c>
      <c r="G695" s="172" t="b">
        <v>0</v>
      </c>
      <c r="H695" s="172" t="b">
        <v>0</v>
      </c>
      <c r="I695" s="172" t="b">
        <v>0</v>
      </c>
      <c r="J695" s="172" t="b">
        <v>0</v>
      </c>
      <c r="K695" s="172" t="b">
        <v>0</v>
      </c>
      <c r="L695" s="172" t="b">
        <v>0</v>
      </c>
      <c r="M695" s="172" t="b">
        <v>0</v>
      </c>
      <c r="N695" s="97" t="s">
        <v>4797</v>
      </c>
      <c r="O695" s="172" t="b">
        <v>0</v>
      </c>
      <c r="P695" s="97"/>
      <c r="Q695" s="174"/>
    </row>
    <row r="696" spans="8:8" ht="43.5" customHeight="1">
      <c r="A696" s="170">
        <v>7.0</v>
      </c>
      <c r="B696" s="171" t="s">
        <v>4467</v>
      </c>
      <c r="C696" s="172">
        <v>241423.0</v>
      </c>
      <c r="D696" s="171" t="s">
        <v>4856</v>
      </c>
      <c r="E696" s="172" t="s">
        <v>1490</v>
      </c>
      <c r="F696" s="172" t="b">
        <v>0</v>
      </c>
      <c r="G696" s="172" t="b">
        <v>0</v>
      </c>
      <c r="H696" s="172" t="b">
        <v>0</v>
      </c>
      <c r="I696" s="172" t="b">
        <v>0</v>
      </c>
      <c r="J696" s="172" t="b">
        <v>0</v>
      </c>
      <c r="K696" s="172" t="b">
        <v>0</v>
      </c>
      <c r="L696" s="172" t="b">
        <v>0</v>
      </c>
      <c r="M696" s="172" t="b">
        <v>0</v>
      </c>
      <c r="N696" s="97" t="s">
        <v>4798</v>
      </c>
      <c r="O696" s="172" t="b">
        <v>0</v>
      </c>
      <c r="P696" s="97"/>
      <c r="Q696" s="174"/>
    </row>
    <row r="697" spans="8:8" ht="43.5" customHeight="1">
      <c r="A697" s="170">
        <v>8.0</v>
      </c>
      <c r="B697" s="171" t="s">
        <v>4468</v>
      </c>
      <c r="C697" s="172">
        <v>241424.0</v>
      </c>
      <c r="D697" s="171" t="s">
        <v>4856</v>
      </c>
      <c r="E697" s="172" t="s">
        <v>1490</v>
      </c>
      <c r="F697" s="172" t="b">
        <v>0</v>
      </c>
      <c r="G697" s="172" t="b">
        <v>0</v>
      </c>
      <c r="H697" s="172" t="b">
        <v>0</v>
      </c>
      <c r="I697" s="172" t="b">
        <v>0</v>
      </c>
      <c r="J697" s="172" t="b">
        <v>0</v>
      </c>
      <c r="K697" s="172" t="b">
        <v>0</v>
      </c>
      <c r="L697" s="172" t="b">
        <v>0</v>
      </c>
      <c r="M697" s="172" t="b">
        <v>0</v>
      </c>
      <c r="N697" s="97" t="s">
        <v>4799</v>
      </c>
      <c r="O697" s="172" t="b">
        <v>0</v>
      </c>
      <c r="P697" s="97"/>
      <c r="Q697" s="174"/>
    </row>
    <row r="698" spans="8:8" ht="43.5" customHeight="1">
      <c r="A698" s="170">
        <v>9.0</v>
      </c>
      <c r="B698" s="171" t="s">
        <v>4469</v>
      </c>
      <c r="C698" s="172">
        <v>241369.0</v>
      </c>
      <c r="D698" s="171" t="s">
        <v>4856</v>
      </c>
      <c r="E698" s="172" t="s">
        <v>1490</v>
      </c>
      <c r="F698" s="172" t="b">
        <v>0</v>
      </c>
      <c r="G698" s="172" t="b">
        <v>0</v>
      </c>
      <c r="H698" s="172" t="b">
        <v>0</v>
      </c>
      <c r="I698" s="172" t="b">
        <v>0</v>
      </c>
      <c r="J698" s="172" t="b">
        <v>0</v>
      </c>
      <c r="K698" s="172" t="b">
        <v>0</v>
      </c>
      <c r="L698" s="172" t="b">
        <v>0</v>
      </c>
      <c r="M698" s="172" t="b">
        <v>0</v>
      </c>
      <c r="N698" s="97" t="s">
        <v>4800</v>
      </c>
      <c r="O698" s="172" t="b">
        <v>0</v>
      </c>
      <c r="P698" s="97"/>
      <c r="Q698" s="174"/>
    </row>
    <row r="699" spans="8:8" ht="43.5" customHeight="1">
      <c r="A699" s="170">
        <v>10.0</v>
      </c>
      <c r="B699" s="171" t="s">
        <v>4910</v>
      </c>
      <c r="C699" s="172">
        <v>241844.0</v>
      </c>
      <c r="D699" s="171" t="s">
        <v>4857</v>
      </c>
      <c r="E699" s="172" t="s">
        <v>1490</v>
      </c>
      <c r="F699" s="172" t="b">
        <v>0</v>
      </c>
      <c r="G699" s="172" t="b">
        <v>0</v>
      </c>
      <c r="H699" s="172" t="b">
        <v>0</v>
      </c>
      <c r="I699" s="172" t="b">
        <v>0</v>
      </c>
      <c r="J699" s="172" t="b">
        <v>0</v>
      </c>
      <c r="K699" s="172" t="b">
        <v>0</v>
      </c>
      <c r="L699" s="172" t="b">
        <v>0</v>
      </c>
      <c r="M699" s="172" t="b">
        <v>0</v>
      </c>
      <c r="N699" s="97" t="s">
        <v>4801</v>
      </c>
      <c r="O699" s="172" t="b">
        <v>0</v>
      </c>
      <c r="P699" s="97"/>
      <c r="Q699" s="174"/>
    </row>
    <row r="700" spans="8:8" ht="43.5" customHeight="1">
      <c r="A700" s="170">
        <v>11.0</v>
      </c>
      <c r="B700" s="171" t="s">
        <v>4470</v>
      </c>
      <c r="C700" s="172">
        <v>241439.0</v>
      </c>
      <c r="D700" s="171" t="s">
        <v>4856</v>
      </c>
      <c r="E700" s="172" t="s">
        <v>1490</v>
      </c>
      <c r="F700" s="172" t="b">
        <v>0</v>
      </c>
      <c r="G700" s="172" t="b">
        <v>0</v>
      </c>
      <c r="H700" s="172" t="b">
        <v>0</v>
      </c>
      <c r="I700" s="172" t="b">
        <v>0</v>
      </c>
      <c r="J700" s="172" t="b">
        <v>0</v>
      </c>
      <c r="K700" s="172" t="b">
        <v>0</v>
      </c>
      <c r="L700" s="172" t="b">
        <v>0</v>
      </c>
      <c r="M700" s="172" t="b">
        <v>0</v>
      </c>
      <c r="N700" s="97"/>
      <c r="O700" s="97"/>
      <c r="P700" s="97"/>
      <c r="Q700" s="174"/>
    </row>
    <row r="701" spans="8:8" ht="43.5" customHeight="1">
      <c r="A701" s="170">
        <v>10.0</v>
      </c>
      <c r="B701" s="171" t="s">
        <v>4518</v>
      </c>
      <c r="C701" s="172">
        <v>241527.0</v>
      </c>
      <c r="D701" s="171" t="s">
        <v>4851</v>
      </c>
      <c r="E701" s="172" t="s">
        <v>1490</v>
      </c>
      <c r="F701" s="172" t="b">
        <v>0</v>
      </c>
      <c r="G701" s="172" t="b">
        <v>0</v>
      </c>
      <c r="H701" s="172" t="b">
        <v>0</v>
      </c>
      <c r="I701" s="172" t="b">
        <v>0</v>
      </c>
      <c r="J701" s="172" t="b">
        <v>0</v>
      </c>
      <c r="K701" s="172" t="b">
        <v>0</v>
      </c>
      <c r="L701" s="172" t="b">
        <v>0</v>
      </c>
      <c r="M701" s="172" t="b">
        <v>0</v>
      </c>
      <c r="N701" s="97"/>
      <c r="O701" s="97"/>
      <c r="P701" s="97"/>
      <c r="Q701" s="174"/>
    </row>
    <row r="702" spans="8:8" ht="43.5" customHeight="1">
      <c r="A702" s="170">
        <v>11.0</v>
      </c>
      <c r="B702" s="171" t="s">
        <v>4519</v>
      </c>
      <c r="C702" s="172">
        <v>241530.0</v>
      </c>
      <c r="D702" s="171" t="s">
        <v>4851</v>
      </c>
      <c r="E702" s="172" t="s">
        <v>1490</v>
      </c>
      <c r="F702" s="172" t="b">
        <v>0</v>
      </c>
      <c r="G702" s="172" t="b">
        <v>0</v>
      </c>
      <c r="H702" s="172" t="b">
        <v>1</v>
      </c>
      <c r="I702" s="172" t="b">
        <v>0</v>
      </c>
      <c r="J702" s="172" t="b">
        <v>0</v>
      </c>
      <c r="K702" s="172" t="b">
        <v>0</v>
      </c>
      <c r="L702" s="172" t="b">
        <v>0</v>
      </c>
      <c r="M702" s="172" t="b">
        <v>0</v>
      </c>
      <c r="N702" s="97"/>
      <c r="O702" s="97"/>
      <c r="P702" s="97"/>
      <c r="Q702" s="174"/>
    </row>
    <row r="703" spans="8:8" ht="43.5" customHeight="1">
      <c r="A703" s="170">
        <v>12.0</v>
      </c>
      <c r="B703" s="171" t="s">
        <v>4520</v>
      </c>
      <c r="C703" s="172">
        <v>241193.0</v>
      </c>
      <c r="D703" s="171" t="s">
        <v>4859</v>
      </c>
      <c r="E703" s="172" t="s">
        <v>1490</v>
      </c>
      <c r="F703" s="172" t="b">
        <v>0</v>
      </c>
      <c r="G703" s="172" t="b">
        <v>1</v>
      </c>
      <c r="H703" s="172" t="b">
        <v>0</v>
      </c>
      <c r="I703" s="172" t="b">
        <v>0</v>
      </c>
      <c r="J703" s="172" t="b">
        <v>0</v>
      </c>
      <c r="K703" s="172" t="b">
        <v>0</v>
      </c>
      <c r="L703" s="172" t="b">
        <v>0</v>
      </c>
      <c r="M703" s="172" t="b">
        <v>0</v>
      </c>
      <c r="N703" s="97"/>
      <c r="O703" s="97"/>
      <c r="P703" s="97"/>
      <c r="Q703" s="174"/>
    </row>
    <row r="704" spans="8:8" ht="43.5" customHeight="1">
      <c r="A704" s="170">
        <v>13.0</v>
      </c>
      <c r="B704" s="171" t="s">
        <v>4911</v>
      </c>
      <c r="C704" s="172">
        <v>241589.0</v>
      </c>
      <c r="D704" s="171" t="s">
        <v>4851</v>
      </c>
      <c r="E704" s="172" t="s">
        <v>1490</v>
      </c>
      <c r="F704" s="172" t="b">
        <v>0</v>
      </c>
      <c r="G704" s="172" t="b">
        <v>0</v>
      </c>
      <c r="H704" s="172" t="b">
        <v>0</v>
      </c>
      <c r="I704" s="172" t="b">
        <v>0</v>
      </c>
      <c r="J704" s="172" t="b">
        <v>0</v>
      </c>
      <c r="K704" s="172" t="b">
        <v>0</v>
      </c>
      <c r="L704" s="172" t="b">
        <v>0</v>
      </c>
      <c r="M704" s="172" t="b">
        <v>0</v>
      </c>
      <c r="N704" s="97"/>
      <c r="O704" s="97"/>
      <c r="P704" s="97"/>
      <c r="Q704" s="174"/>
    </row>
    <row r="705" spans="8:8" ht="43.5" customHeight="1">
      <c r="A705" s="170">
        <v>14.0</v>
      </c>
      <c r="B705" s="171" t="s">
        <v>4740</v>
      </c>
      <c r="C705" s="172">
        <v>241234.0</v>
      </c>
      <c r="D705" s="171" t="s">
        <v>4859</v>
      </c>
      <c r="E705" s="172" t="s">
        <v>1490</v>
      </c>
      <c r="F705" s="172" t="b">
        <v>0</v>
      </c>
      <c r="G705" s="172" t="b">
        <v>0</v>
      </c>
      <c r="H705" s="172" t="b">
        <v>0</v>
      </c>
      <c r="I705" s="172" t="b">
        <v>0</v>
      </c>
      <c r="J705" s="172" t="b">
        <v>0</v>
      </c>
      <c r="K705" s="172" t="b">
        <v>0</v>
      </c>
      <c r="L705" s="172" t="b">
        <v>0</v>
      </c>
      <c r="M705" s="172" t="b">
        <v>0</v>
      </c>
      <c r="N705" s="97"/>
      <c r="O705" s="97"/>
      <c r="P705" s="97"/>
      <c r="Q705" s="174"/>
    </row>
    <row r="706" spans="8:8" ht="43.5" customHeight="1">
      <c r="A706" s="170">
        <v>15.0</v>
      </c>
      <c r="B706" s="171" t="s">
        <v>4521</v>
      </c>
      <c r="C706" s="172">
        <v>241268.0</v>
      </c>
      <c r="D706" s="171" t="s">
        <v>4859</v>
      </c>
      <c r="E706" s="172" t="s">
        <v>1490</v>
      </c>
      <c r="F706" s="172" t="b">
        <v>0</v>
      </c>
      <c r="G706" s="172" t="b">
        <v>0</v>
      </c>
      <c r="H706" s="172" t="b">
        <v>0</v>
      </c>
      <c r="I706" s="172" t="b">
        <v>0</v>
      </c>
      <c r="J706" s="172" t="b">
        <v>0</v>
      </c>
      <c r="K706" s="172" t="b">
        <v>0</v>
      </c>
      <c r="L706" s="172" t="b">
        <v>0</v>
      </c>
      <c r="M706" s="172" t="b">
        <v>0</v>
      </c>
      <c r="N706" s="97"/>
      <c r="O706" s="97"/>
      <c r="P706" s="97"/>
      <c r="Q706" s="174"/>
    </row>
    <row r="707" spans="8:8" ht="43.5" customHeight="1">
      <c r="A707" s="170">
        <v>16.0</v>
      </c>
      <c r="B707" s="171" t="s">
        <v>4912</v>
      </c>
      <c r="C707" s="172">
        <v>251791.0</v>
      </c>
      <c r="D707" s="171" t="s">
        <v>4811</v>
      </c>
      <c r="E707" s="97" t="s">
        <v>1490</v>
      </c>
      <c r="F707" s="172" t="b">
        <v>0</v>
      </c>
      <c r="G707" s="172" t="b">
        <v>0</v>
      </c>
      <c r="H707" s="172" t="b">
        <v>0</v>
      </c>
      <c r="I707" s="172" t="b">
        <v>0</v>
      </c>
      <c r="J707" s="172" t="b">
        <v>0</v>
      </c>
      <c r="K707" s="172" t="b">
        <v>0</v>
      </c>
      <c r="L707" s="172" t="b">
        <v>0</v>
      </c>
      <c r="M707" s="172" t="b">
        <v>0</v>
      </c>
      <c r="N707" s="97"/>
      <c r="O707" s="97"/>
      <c r="P707" s="97"/>
      <c r="Q707" s="174"/>
    </row>
    <row r="708" spans="8:8" ht="43.5" customHeight="1">
      <c r="A708" s="170">
        <v>17.0</v>
      </c>
      <c r="B708" s="171" t="s">
        <v>4522</v>
      </c>
      <c r="C708" s="172">
        <v>253190.0</v>
      </c>
      <c r="D708" s="171" t="s">
        <v>1486</v>
      </c>
      <c r="E708" s="97" t="s">
        <v>1490</v>
      </c>
      <c r="F708" s="172" t="b">
        <v>0</v>
      </c>
      <c r="G708" s="172" t="b">
        <v>1</v>
      </c>
      <c r="H708" s="172" t="b">
        <v>1</v>
      </c>
      <c r="I708" s="172" t="b">
        <v>0</v>
      </c>
      <c r="J708" s="172" t="b">
        <v>0</v>
      </c>
      <c r="K708" s="172" t="b">
        <v>0</v>
      </c>
      <c r="L708" s="172" t="b">
        <v>0</v>
      </c>
      <c r="M708" s="172" t="b">
        <v>0</v>
      </c>
      <c r="N708" s="97"/>
      <c r="O708" s="97"/>
      <c r="P708" s="97"/>
      <c r="Q708" s="174"/>
    </row>
    <row r="709" spans="8:8" ht="43.5" customHeight="1">
      <c r="A709" s="170">
        <v>18.0</v>
      </c>
      <c r="B709" s="171" t="s">
        <v>4528</v>
      </c>
      <c r="C709" s="172">
        <v>241880.0</v>
      </c>
      <c r="D709" s="171" t="s">
        <v>4775</v>
      </c>
      <c r="E709" s="97" t="s">
        <v>1490</v>
      </c>
      <c r="F709" s="172" t="b">
        <v>0</v>
      </c>
      <c r="G709" s="172" t="b">
        <v>0</v>
      </c>
      <c r="H709" s="172" t="b">
        <v>0</v>
      </c>
      <c r="I709" s="172" t="b">
        <v>0</v>
      </c>
      <c r="J709" s="172" t="b">
        <v>0</v>
      </c>
      <c r="K709" s="172" t="b">
        <v>0</v>
      </c>
      <c r="L709" s="172" t="b">
        <v>0</v>
      </c>
      <c r="M709" s="172" t="b">
        <v>0</v>
      </c>
      <c r="N709" s="97"/>
      <c r="O709" s="97"/>
      <c r="P709" s="97"/>
      <c r="Q709" s="174"/>
    </row>
    <row r="710" spans="8:8" ht="43.5" customHeight="1">
      <c r="A710" s="170">
        <v>19.0</v>
      </c>
      <c r="B710" s="96" t="s">
        <v>1504</v>
      </c>
      <c r="C710" s="177">
        <v>240903.0</v>
      </c>
      <c r="D710" s="96" t="s">
        <v>606</v>
      </c>
      <c r="E710" s="177" t="s">
        <v>1490</v>
      </c>
      <c r="F710" s="190" t="b">
        <v>1</v>
      </c>
      <c r="G710" s="190" t="b">
        <v>0</v>
      </c>
      <c r="H710" s="190" t="b">
        <v>1</v>
      </c>
      <c r="I710" s="190" t="b">
        <v>0</v>
      </c>
      <c r="J710" s="190" t="b">
        <v>0</v>
      </c>
      <c r="K710" s="190" t="b">
        <v>0</v>
      </c>
      <c r="L710" s="190" t="b">
        <v>0</v>
      </c>
      <c r="M710" s="190" t="b">
        <v>0</v>
      </c>
      <c r="N710" s="97"/>
      <c r="O710" s="97"/>
      <c r="P710" s="97"/>
      <c r="Q710" s="174"/>
    </row>
    <row r="711" spans="8:8" ht="43.5" customHeight="1">
      <c r="A711" s="203">
        <v>6.0</v>
      </c>
      <c r="B711" s="204" t="s">
        <v>4523</v>
      </c>
      <c r="C711" s="203">
        <v>240259.0</v>
      </c>
      <c r="D711" s="204" t="s">
        <v>2932</v>
      </c>
      <c r="E711" s="205" t="s">
        <v>1490</v>
      </c>
      <c r="F711" s="177" t="b">
        <v>1</v>
      </c>
      <c r="G711" s="177" t="b">
        <v>0</v>
      </c>
      <c r="H711" s="177" t="b">
        <v>1</v>
      </c>
      <c r="I711" s="177" t="b">
        <v>0</v>
      </c>
      <c r="J711" s="177" t="b">
        <v>0</v>
      </c>
      <c r="K711" s="177" t="b">
        <v>0</v>
      </c>
      <c r="L711" s="177" t="b">
        <v>0</v>
      </c>
      <c r="M711" s="177" t="b">
        <v>0</v>
      </c>
      <c r="N711" s="97"/>
      <c r="O711" s="97"/>
      <c r="P711" s="97"/>
      <c r="Q711" s="174"/>
    </row>
    <row r="712" spans="8:8" ht="43.5" customHeight="1">
      <c r="A712" s="203">
        <v>5.0</v>
      </c>
      <c r="B712" s="204" t="s">
        <v>4524</v>
      </c>
      <c r="C712" s="205">
        <v>240137.0</v>
      </c>
      <c r="D712" s="204" t="s">
        <v>1065</v>
      </c>
      <c r="E712" s="203" t="s">
        <v>1490</v>
      </c>
      <c r="F712" s="177" t="b">
        <v>0</v>
      </c>
      <c r="G712" s="177" t="b">
        <v>0</v>
      </c>
      <c r="H712" s="177" t="b">
        <v>1</v>
      </c>
      <c r="I712" s="177" t="b">
        <v>0</v>
      </c>
      <c r="J712" s="177" t="b">
        <v>0</v>
      </c>
      <c r="K712" s="177" t="b">
        <v>0</v>
      </c>
      <c r="L712" s="177" t="b">
        <v>0</v>
      </c>
      <c r="M712" s="177" t="b">
        <v>0</v>
      </c>
      <c r="N712" s="97"/>
      <c r="O712" s="97"/>
      <c r="P712" s="97"/>
      <c r="Q712" s="174"/>
    </row>
    <row r="713" spans="8:8" ht="43.5" customHeight="1">
      <c r="A713" s="203">
        <v>16.0</v>
      </c>
      <c r="B713" s="204" t="s">
        <v>1505</v>
      </c>
      <c r="C713" s="205">
        <v>240547.0</v>
      </c>
      <c r="D713" s="204" t="s">
        <v>606</v>
      </c>
      <c r="E713" s="203" t="s">
        <v>1490</v>
      </c>
      <c r="F713" s="190" t="b">
        <v>1</v>
      </c>
      <c r="G713" s="190" t="b">
        <v>1</v>
      </c>
      <c r="H713" s="190" t="b">
        <v>0</v>
      </c>
      <c r="I713" s="190" t="b">
        <v>0</v>
      </c>
      <c r="J713" s="190" t="b">
        <v>0</v>
      </c>
      <c r="K713" s="190" t="b">
        <v>0</v>
      </c>
      <c r="L713" s="190" t="b">
        <v>0</v>
      </c>
      <c r="M713" s="190" t="b">
        <v>0</v>
      </c>
      <c r="N713" s="206"/>
      <c r="O713" s="190"/>
      <c r="P713" s="207"/>
      <c r="Q713" s="208"/>
    </row>
    <row r="714" spans="8:8" ht="43.5" customHeight="1">
      <c r="A714" s="97"/>
      <c r="B714" s="182" t="s">
        <v>4815</v>
      </c>
      <c r="C714" s="97"/>
      <c r="D714" s="97"/>
      <c r="E714" s="183"/>
      <c r="F714" s="184">
        <f t="shared" si="22" ref="F714:M714">COUNTIF(F665:F692,TRUE)/COUNTA(F665:F692)</f>
        <v>0.0</v>
      </c>
      <c r="G714" s="184">
        <f t="shared" si="22"/>
        <v>0.07142857142857142</v>
      </c>
      <c r="H714" s="184">
        <f t="shared" si="22"/>
        <v>0.10714285714285714</v>
      </c>
      <c r="I714" s="184">
        <f t="shared" si="22"/>
        <v>0.0</v>
      </c>
      <c r="J714" s="184">
        <f t="shared" si="22"/>
        <v>0.0</v>
      </c>
      <c r="K714" s="184">
        <f t="shared" si="22"/>
        <v>0.0</v>
      </c>
      <c r="L714" s="184">
        <f t="shared" si="22"/>
        <v>0.0</v>
      </c>
      <c r="M714" s="184">
        <f t="shared" si="22"/>
        <v>0.0</v>
      </c>
      <c r="N714" s="97"/>
      <c r="O714" s="97"/>
      <c r="P714" s="97"/>
      <c r="Q714" s="174"/>
    </row>
    <row r="715" spans="8:8" ht="43.5" customHeight="1">
      <c r="A715" s="162" t="s">
        <v>18</v>
      </c>
      <c r="B715" s="162" t="s">
        <v>19</v>
      </c>
      <c r="C715" s="163"/>
      <c r="D715" s="162" t="s">
        <v>4530</v>
      </c>
      <c r="E715" s="162" t="s">
        <v>22</v>
      </c>
      <c r="F715" s="163" t="s">
        <v>4794</v>
      </c>
      <c r="G715" s="163" t="s">
        <v>4795</v>
      </c>
      <c r="H715" s="163" t="s">
        <v>4796</v>
      </c>
      <c r="I715" s="163" t="s">
        <v>4797</v>
      </c>
      <c r="J715" s="163" t="s">
        <v>4798</v>
      </c>
      <c r="K715" s="163" t="s">
        <v>4799</v>
      </c>
      <c r="L715" s="163" t="s">
        <v>4800</v>
      </c>
      <c r="M715" s="163" t="s">
        <v>4801</v>
      </c>
      <c r="N715" s="166" t="s">
        <v>4913</v>
      </c>
      <c r="O715" s="167"/>
      <c r="P715" s="168"/>
      <c r="Q715" s="169"/>
    </row>
    <row r="716" spans="8:8" ht="43.5" customHeight="1">
      <c r="A716" s="172">
        <v>1.0</v>
      </c>
      <c r="B716" s="171" t="s">
        <v>4478</v>
      </c>
      <c r="C716" s="172">
        <v>241659.0</v>
      </c>
      <c r="D716" s="171" t="s">
        <v>4857</v>
      </c>
      <c r="E716" s="172" t="s">
        <v>1477</v>
      </c>
      <c r="F716" s="172" t="b">
        <v>0</v>
      </c>
      <c r="G716" s="172" t="b">
        <v>0</v>
      </c>
      <c r="H716" s="172" t="b">
        <v>0</v>
      </c>
      <c r="I716" s="172" t="b">
        <v>0</v>
      </c>
      <c r="J716" s="172" t="b">
        <v>0</v>
      </c>
      <c r="K716" s="172" t="b">
        <v>0</v>
      </c>
      <c r="L716" s="172" t="b">
        <v>0</v>
      </c>
      <c r="M716" s="172" t="b">
        <v>0</v>
      </c>
      <c r="N716" s="175" t="s">
        <v>4805</v>
      </c>
      <c r="O716" s="176" t="s">
        <v>4806</v>
      </c>
      <c r="P716" s="97" t="s">
        <v>4807</v>
      </c>
      <c r="Q716" s="174"/>
    </row>
    <row r="717" spans="8:8" ht="41.25" customHeight="1">
      <c r="A717" s="97">
        <v>2.0</v>
      </c>
      <c r="B717" s="171" t="s">
        <v>4741</v>
      </c>
      <c r="C717" s="172">
        <v>241896.0</v>
      </c>
      <c r="D717" s="171" t="s">
        <v>4857</v>
      </c>
      <c r="E717" s="172" t="s">
        <v>1477</v>
      </c>
      <c r="F717" s="172" t="b">
        <v>0</v>
      </c>
      <c r="G717" s="172" t="b">
        <v>0</v>
      </c>
      <c r="H717" s="172" t="b">
        <v>0</v>
      </c>
      <c r="I717" s="172" t="b">
        <v>0</v>
      </c>
      <c r="J717" s="172" t="b">
        <v>0</v>
      </c>
      <c r="K717" s="172" t="b">
        <v>0</v>
      </c>
      <c r="L717" s="172" t="b">
        <v>0</v>
      </c>
      <c r="M717" s="172" t="b">
        <v>0</v>
      </c>
      <c r="N717" s="97" t="s">
        <v>4794</v>
      </c>
      <c r="O717" s="172" t="b">
        <v>0</v>
      </c>
      <c r="P717" s="97" t="s">
        <v>4908</v>
      </c>
      <c r="Q717" s="174"/>
    </row>
    <row r="718" spans="8:8" ht="43.5" customHeight="1">
      <c r="A718" s="97">
        <v>3.0</v>
      </c>
      <c r="B718" s="171" t="s">
        <v>4742</v>
      </c>
      <c r="C718" s="172">
        <v>241846.0</v>
      </c>
      <c r="D718" s="171" t="s">
        <v>4857</v>
      </c>
      <c r="E718" s="172" t="s">
        <v>1477</v>
      </c>
      <c r="F718" s="172" t="b">
        <v>0</v>
      </c>
      <c r="G718" s="172" t="b">
        <v>0</v>
      </c>
      <c r="H718" s="172" t="b">
        <v>0</v>
      </c>
      <c r="I718" s="172" t="b">
        <v>0</v>
      </c>
      <c r="J718" s="172" t="b">
        <v>0</v>
      </c>
      <c r="K718" s="172" t="b">
        <v>0</v>
      </c>
      <c r="L718" s="172" t="b">
        <v>0</v>
      </c>
      <c r="M718" s="172" t="b">
        <v>0</v>
      </c>
      <c r="N718" s="193"/>
      <c r="O718" s="193"/>
      <c r="P718" s="193"/>
      <c r="Q718" s="194"/>
    </row>
    <row r="719" spans="8:8" ht="43.5" customHeight="1">
      <c r="A719" s="97">
        <v>4.0</v>
      </c>
      <c r="B719" s="171" t="s">
        <v>4479</v>
      </c>
      <c r="C719" s="172">
        <v>241899.0</v>
      </c>
      <c r="D719" s="171" t="s">
        <v>4857</v>
      </c>
      <c r="E719" s="172" t="s">
        <v>1477</v>
      </c>
      <c r="F719" s="172" t="b">
        <v>0</v>
      </c>
      <c r="G719" s="172" t="b">
        <v>0</v>
      </c>
      <c r="H719" s="172" t="b">
        <v>0</v>
      </c>
      <c r="I719" s="172" t="b">
        <v>0</v>
      </c>
      <c r="J719" s="172" t="b">
        <v>0</v>
      </c>
      <c r="K719" s="172" t="b">
        <v>0</v>
      </c>
      <c r="L719" s="172" t="b">
        <v>0</v>
      </c>
      <c r="M719" s="172" t="b">
        <v>0</v>
      </c>
      <c r="N719" s="97" t="s">
        <v>4795</v>
      </c>
      <c r="O719" s="172" t="b">
        <v>1</v>
      </c>
      <c r="P719" s="97" t="s">
        <v>4914</v>
      </c>
      <c r="Q719" s="174"/>
    </row>
    <row r="720" spans="8:8" ht="43.5" customHeight="1">
      <c r="A720" s="97">
        <v>5.0</v>
      </c>
      <c r="B720" s="171" t="s">
        <v>4480</v>
      </c>
      <c r="C720" s="172">
        <v>241390.0</v>
      </c>
      <c r="D720" s="171" t="s">
        <v>4856</v>
      </c>
      <c r="E720" s="97" t="s">
        <v>1477</v>
      </c>
      <c r="F720" s="172" t="b">
        <v>0</v>
      </c>
      <c r="G720" s="172" t="b">
        <v>0</v>
      </c>
      <c r="H720" s="172" t="b">
        <v>0</v>
      </c>
      <c r="I720" s="172" t="b">
        <v>0</v>
      </c>
      <c r="J720" s="172" t="b">
        <v>0</v>
      </c>
      <c r="K720" s="172" t="b">
        <v>0</v>
      </c>
      <c r="L720" s="172" t="b">
        <v>0</v>
      </c>
      <c r="M720" s="172" t="b">
        <v>0</v>
      </c>
      <c r="N720" s="97" t="s">
        <v>4796</v>
      </c>
      <c r="O720" s="172" t="b">
        <v>1</v>
      </c>
      <c r="P720" s="97" t="s">
        <v>4915</v>
      </c>
      <c r="Q720" s="174"/>
    </row>
    <row r="721" spans="8:8" ht="43.5" customHeight="1">
      <c r="A721" s="97">
        <v>6.0</v>
      </c>
      <c r="B721" s="171" t="s">
        <v>4481</v>
      </c>
      <c r="C721" s="172">
        <v>253184.0</v>
      </c>
      <c r="D721" s="171" t="s">
        <v>4775</v>
      </c>
      <c r="E721" s="97" t="s">
        <v>1477</v>
      </c>
      <c r="F721" s="172" t="b">
        <v>0</v>
      </c>
      <c r="G721" s="172" t="b">
        <v>1</v>
      </c>
      <c r="H721" s="172" t="b">
        <v>1</v>
      </c>
      <c r="I721" s="172" t="b">
        <v>0</v>
      </c>
      <c r="J721" s="172" t="b">
        <v>0</v>
      </c>
      <c r="K721" s="172" t="b">
        <v>0</v>
      </c>
      <c r="L721" s="172" t="b">
        <v>0</v>
      </c>
      <c r="M721" s="172" t="b">
        <v>0</v>
      </c>
      <c r="N721" s="97" t="s">
        <v>4797</v>
      </c>
      <c r="O721" s="172" t="b">
        <v>0</v>
      </c>
      <c r="P721" s="97"/>
      <c r="Q721" s="174"/>
    </row>
    <row r="722" spans="8:8" ht="43.5" customHeight="1">
      <c r="A722" s="97">
        <v>7.0</v>
      </c>
      <c r="B722" s="171" t="s">
        <v>4482</v>
      </c>
      <c r="C722" s="172">
        <v>253276.0</v>
      </c>
      <c r="D722" s="171" t="s">
        <v>2922</v>
      </c>
      <c r="E722" s="97" t="s">
        <v>1477</v>
      </c>
      <c r="F722" s="172" t="b">
        <v>0</v>
      </c>
      <c r="G722" s="172" t="b">
        <v>0</v>
      </c>
      <c r="H722" s="172" t="b">
        <v>0</v>
      </c>
      <c r="I722" s="172" t="b">
        <v>0</v>
      </c>
      <c r="J722" s="172" t="b">
        <v>0</v>
      </c>
      <c r="K722" s="172" t="b">
        <v>0</v>
      </c>
      <c r="L722" s="172" t="b">
        <v>0</v>
      </c>
      <c r="M722" s="172" t="b">
        <v>0</v>
      </c>
      <c r="N722" s="97" t="s">
        <v>4798</v>
      </c>
      <c r="O722" s="172" t="b">
        <v>0</v>
      </c>
      <c r="P722" s="97"/>
      <c r="Q722" s="174"/>
    </row>
    <row r="723" spans="8:8" ht="43.5" customHeight="1">
      <c r="A723" s="97">
        <v>10.0</v>
      </c>
      <c r="B723" s="171" t="s">
        <v>4483</v>
      </c>
      <c r="C723" s="172">
        <v>241461.0</v>
      </c>
      <c r="D723" s="171" t="s">
        <v>4851</v>
      </c>
      <c r="E723" s="97" t="s">
        <v>1477</v>
      </c>
      <c r="F723" s="172" t="b">
        <v>0</v>
      </c>
      <c r="G723" s="172" t="b">
        <v>0</v>
      </c>
      <c r="H723" s="172" t="b">
        <v>0</v>
      </c>
      <c r="I723" s="172" t="b">
        <v>0</v>
      </c>
      <c r="J723" s="172" t="b">
        <v>0</v>
      </c>
      <c r="K723" s="172" t="b">
        <v>0</v>
      </c>
      <c r="L723" s="172" t="b">
        <v>0</v>
      </c>
      <c r="M723" s="172" t="b">
        <v>0</v>
      </c>
      <c r="N723" s="97" t="s">
        <v>4799</v>
      </c>
      <c r="O723" s="172" t="b">
        <v>0</v>
      </c>
      <c r="P723" s="97"/>
      <c r="Q723" s="174"/>
    </row>
    <row r="724" spans="8:8" ht="43.5" customHeight="1">
      <c r="A724" s="177">
        <v>14.0</v>
      </c>
      <c r="B724" s="96" t="s">
        <v>4743</v>
      </c>
      <c r="C724" s="177">
        <v>240173.0</v>
      </c>
      <c r="D724" s="96" t="s">
        <v>1065</v>
      </c>
      <c r="E724" s="177" t="s">
        <v>1477</v>
      </c>
      <c r="F724" s="172" t="b">
        <v>0</v>
      </c>
      <c r="G724" s="172" t="b">
        <v>0</v>
      </c>
      <c r="H724" s="172" t="b">
        <v>0</v>
      </c>
      <c r="I724" s="172" t="b">
        <v>0</v>
      </c>
      <c r="J724" s="172" t="b">
        <v>0</v>
      </c>
      <c r="K724" s="172" t="b">
        <v>0</v>
      </c>
      <c r="L724" s="172" t="b">
        <v>0</v>
      </c>
      <c r="M724" s="172" t="b">
        <v>0</v>
      </c>
      <c r="N724" s="97" t="s">
        <v>4800</v>
      </c>
      <c r="O724" s="172" t="b">
        <v>0</v>
      </c>
      <c r="P724" s="97"/>
      <c r="Q724" s="174"/>
    </row>
    <row r="725" spans="8:8" ht="43.5" customHeight="1">
      <c r="A725" s="97"/>
      <c r="B725" s="172"/>
      <c r="C725" s="172"/>
      <c r="D725" s="172"/>
      <c r="E725" s="97"/>
      <c r="F725" s="172" t="b">
        <v>0</v>
      </c>
      <c r="G725" s="172" t="b">
        <v>0</v>
      </c>
      <c r="H725" s="172" t="b">
        <v>0</v>
      </c>
      <c r="I725" s="172" t="b">
        <v>0</v>
      </c>
      <c r="J725" s="172" t="b">
        <v>0</v>
      </c>
      <c r="K725" s="172" t="b">
        <v>0</v>
      </c>
      <c r="L725" s="172" t="b">
        <v>0</v>
      </c>
      <c r="M725" s="172" t="b">
        <v>0</v>
      </c>
      <c r="N725" s="97" t="s">
        <v>4801</v>
      </c>
      <c r="O725" s="172" t="b">
        <v>0</v>
      </c>
      <c r="P725" s="97"/>
      <c r="Q725" s="174"/>
    </row>
    <row r="726" spans="8:8" ht="43.5" customHeight="1">
      <c r="A726" s="97"/>
      <c r="B726" s="182" t="s">
        <v>4815</v>
      </c>
      <c r="C726" s="97"/>
      <c r="D726" s="97"/>
      <c r="E726" s="183"/>
      <c r="F726" s="184">
        <f t="shared" si="23" ref="F726:M726">COUNTIF(F689:F700,TRUE)/COUNTA(F689:F700)</f>
        <v>0.0</v>
      </c>
      <c r="G726" s="184">
        <f t="shared" si="23"/>
        <v>0.0</v>
      </c>
      <c r="H726" s="184">
        <f t="shared" si="23"/>
        <v>0.08333333333333333</v>
      </c>
      <c r="I726" s="184">
        <f t="shared" si="23"/>
        <v>0.0</v>
      </c>
      <c r="J726" s="184">
        <f t="shared" si="23"/>
        <v>0.0</v>
      </c>
      <c r="K726" s="184">
        <f t="shared" si="23"/>
        <v>0.0</v>
      </c>
      <c r="L726" s="184">
        <f t="shared" si="23"/>
        <v>0.0</v>
      </c>
      <c r="M726" s="184">
        <f t="shared" si="23"/>
        <v>0.0</v>
      </c>
      <c r="N726" s="97"/>
      <c r="O726" s="97"/>
      <c r="P726" s="97"/>
      <c r="Q726" s="174"/>
    </row>
    <row r="727" spans="8:8" ht="43.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10"/>
    </row>
    <row r="728" spans="8:8" ht="43.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10"/>
    </row>
    <row r="729" spans="8:8" ht="43.5" customHeight="1">
      <c r="A729" s="162" t="s">
        <v>18</v>
      </c>
      <c r="B729" s="162" t="s">
        <v>19</v>
      </c>
      <c r="C729" s="163"/>
      <c r="D729" s="162" t="s">
        <v>4530</v>
      </c>
      <c r="E729" s="162" t="s">
        <v>22</v>
      </c>
      <c r="F729" s="163" t="s">
        <v>4794</v>
      </c>
      <c r="G729" s="163" t="s">
        <v>4795</v>
      </c>
      <c r="H729" s="163" t="s">
        <v>4796</v>
      </c>
      <c r="I729" s="163" t="s">
        <v>4797</v>
      </c>
      <c r="J729" s="163" t="s">
        <v>4798</v>
      </c>
      <c r="K729" s="163" t="s">
        <v>4799</v>
      </c>
      <c r="L729" s="163" t="s">
        <v>4800</v>
      </c>
      <c r="M729" s="163" t="s">
        <v>4801</v>
      </c>
      <c r="N729" s="166" t="s">
        <v>4916</v>
      </c>
      <c r="O729" s="167"/>
      <c r="P729" s="168"/>
      <c r="Q729" s="169"/>
    </row>
    <row r="730" spans="8:8" ht="43.5" customHeight="1">
      <c r="A730" s="172">
        <v>3.0</v>
      </c>
      <c r="B730" s="171" t="s">
        <v>3478</v>
      </c>
      <c r="C730" s="172">
        <v>251626.0</v>
      </c>
      <c r="D730" s="171" t="s">
        <v>4812</v>
      </c>
      <c r="E730" s="172" t="s">
        <v>28</v>
      </c>
      <c r="F730" s="172" t="b">
        <v>0</v>
      </c>
      <c r="G730" s="172" t="b">
        <v>0</v>
      </c>
      <c r="H730" s="172" t="b">
        <v>1</v>
      </c>
      <c r="I730" s="172" t="b">
        <v>0</v>
      </c>
      <c r="J730" s="172" t="b">
        <v>0</v>
      </c>
      <c r="K730" s="172" t="b">
        <v>0</v>
      </c>
      <c r="L730" s="172" t="b">
        <v>0</v>
      </c>
      <c r="M730" s="172" t="b">
        <v>0</v>
      </c>
      <c r="N730" s="173" t="s">
        <v>4804</v>
      </c>
      <c r="O730" s="167"/>
      <c r="P730" s="168"/>
      <c r="Q730" s="174"/>
    </row>
    <row r="731" spans="8:8" ht="43.5" customHeight="1">
      <c r="A731" s="172">
        <v>4.0</v>
      </c>
      <c r="B731" s="171" t="s">
        <v>3498</v>
      </c>
      <c r="C731" s="172">
        <v>251627.0</v>
      </c>
      <c r="D731" s="171" t="s">
        <v>4812</v>
      </c>
      <c r="E731" s="172" t="s">
        <v>28</v>
      </c>
      <c r="F731" s="172" t="b">
        <v>0</v>
      </c>
      <c r="G731" s="172" t="b">
        <v>0</v>
      </c>
      <c r="H731" s="172" t="b">
        <v>1</v>
      </c>
      <c r="I731" s="172" t="b">
        <v>0</v>
      </c>
      <c r="J731" s="172" t="b">
        <v>0</v>
      </c>
      <c r="K731" s="172" t="b">
        <v>0</v>
      </c>
      <c r="L731" s="172" t="b">
        <v>0</v>
      </c>
      <c r="M731" s="172" t="b">
        <v>0</v>
      </c>
      <c r="N731" s="175" t="s">
        <v>4805</v>
      </c>
      <c r="O731" s="176" t="s">
        <v>4806</v>
      </c>
      <c r="P731" s="97" t="s">
        <v>4807</v>
      </c>
      <c r="Q731" s="174"/>
    </row>
    <row r="732" spans="8:8" ht="43.5" customHeight="1">
      <c r="A732" s="172">
        <v>9.0</v>
      </c>
      <c r="B732" s="171" t="s">
        <v>4037</v>
      </c>
      <c r="C732" s="172">
        <v>251635.0</v>
      </c>
      <c r="D732" s="171" t="s">
        <v>4812</v>
      </c>
      <c r="E732" s="172" t="s">
        <v>28</v>
      </c>
      <c r="F732" s="172" t="b">
        <v>0</v>
      </c>
      <c r="G732" s="172" t="b">
        <v>0</v>
      </c>
      <c r="H732" s="172" t="b">
        <v>0</v>
      </c>
      <c r="I732" s="172" t="b">
        <v>0</v>
      </c>
      <c r="J732" s="172" t="b">
        <v>0</v>
      </c>
      <c r="K732" s="172" t="b">
        <v>0</v>
      </c>
      <c r="L732" s="172" t="b">
        <v>0</v>
      </c>
      <c r="M732" s="172" t="b">
        <v>0</v>
      </c>
      <c r="N732" s="97" t="s">
        <v>4794</v>
      </c>
      <c r="O732" s="172" t="b">
        <v>0</v>
      </c>
      <c r="P732" s="177" t="s">
        <v>4808</v>
      </c>
      <c r="Q732" s="178"/>
    </row>
    <row r="733" spans="8:8" ht="43.5" customHeight="1">
      <c r="A733" s="172">
        <v>11.0</v>
      </c>
      <c r="B733" s="171" t="s">
        <v>4038</v>
      </c>
      <c r="C733" s="172">
        <v>251640.0</v>
      </c>
      <c r="D733" s="171" t="s">
        <v>4812</v>
      </c>
      <c r="E733" s="172" t="s">
        <v>28</v>
      </c>
      <c r="F733" s="172" t="b">
        <v>1</v>
      </c>
      <c r="G733" s="172" t="b">
        <v>0</v>
      </c>
      <c r="H733" s="172" t="b">
        <v>1</v>
      </c>
      <c r="I733" s="172" t="b">
        <v>0</v>
      </c>
      <c r="J733" s="172" t="b">
        <v>0</v>
      </c>
      <c r="K733" s="172" t="b">
        <v>0</v>
      </c>
      <c r="L733" s="172" t="b">
        <v>0</v>
      </c>
      <c r="M733" s="172" t="b">
        <v>0</v>
      </c>
      <c r="N733" s="97" t="s">
        <v>4795</v>
      </c>
      <c r="O733" s="172" t="b">
        <v>1</v>
      </c>
      <c r="P733" s="97" t="s">
        <v>4809</v>
      </c>
      <c r="Q733" s="174"/>
    </row>
    <row r="734" spans="8:8" ht="43.5" customHeight="1">
      <c r="A734" s="172">
        <v>12.0</v>
      </c>
      <c r="B734" s="171" t="s">
        <v>4039</v>
      </c>
      <c r="C734" s="172">
        <v>251644.0</v>
      </c>
      <c r="D734" s="171" t="s">
        <v>4812</v>
      </c>
      <c r="E734" s="172" t="s">
        <v>28</v>
      </c>
      <c r="F734" s="172" t="b">
        <v>1</v>
      </c>
      <c r="G734" s="172" t="b">
        <v>0</v>
      </c>
      <c r="H734" s="172" t="b">
        <v>1</v>
      </c>
      <c r="I734" s="172" t="b">
        <v>0</v>
      </c>
      <c r="J734" s="172" t="b">
        <v>0</v>
      </c>
      <c r="K734" s="172" t="b">
        <v>0</v>
      </c>
      <c r="L734" s="172" t="b">
        <v>0</v>
      </c>
      <c r="M734" s="172" t="b">
        <v>0</v>
      </c>
      <c r="N734" s="97" t="s">
        <v>4796</v>
      </c>
      <c r="O734" s="172" t="b">
        <v>1</v>
      </c>
      <c r="P734" s="97" t="s">
        <v>4809</v>
      </c>
      <c r="Q734" s="174"/>
    </row>
    <row r="735" spans="8:8" ht="43.5" customHeight="1">
      <c r="A735" s="172">
        <v>14.0</v>
      </c>
      <c r="B735" s="171" t="s">
        <v>4040</v>
      </c>
      <c r="C735" s="172">
        <v>251647.0</v>
      </c>
      <c r="D735" s="171" t="s">
        <v>4812</v>
      </c>
      <c r="E735" s="172" t="s">
        <v>28</v>
      </c>
      <c r="F735" s="172" t="b">
        <v>1</v>
      </c>
      <c r="G735" s="172" t="b">
        <v>0</v>
      </c>
      <c r="H735" s="172" t="b">
        <v>0</v>
      </c>
      <c r="I735" s="172" t="b">
        <v>0</v>
      </c>
      <c r="J735" s="172" t="b">
        <v>0</v>
      </c>
      <c r="K735" s="172" t="b">
        <v>0</v>
      </c>
      <c r="L735" s="172" t="b">
        <v>0</v>
      </c>
      <c r="M735" s="172" t="b">
        <v>0</v>
      </c>
      <c r="N735" s="97" t="s">
        <v>4797</v>
      </c>
      <c r="O735" s="172" t="b">
        <v>0</v>
      </c>
      <c r="P735" s="97"/>
      <c r="Q735" s="174"/>
    </row>
    <row r="736" spans="8:8" ht="43.5" customHeight="1">
      <c r="A736" s="172">
        <v>16.0</v>
      </c>
      <c r="B736" s="171" t="s">
        <v>4041</v>
      </c>
      <c r="C736" s="172">
        <v>251649.0</v>
      </c>
      <c r="D736" s="171" t="s">
        <v>4812</v>
      </c>
      <c r="E736" s="172" t="s">
        <v>28</v>
      </c>
      <c r="F736" s="172" t="b">
        <v>1</v>
      </c>
      <c r="G736" s="172" t="b">
        <v>1</v>
      </c>
      <c r="H736" s="172" t="b">
        <v>1</v>
      </c>
      <c r="I736" s="172" t="b">
        <v>0</v>
      </c>
      <c r="J736" s="172" t="b">
        <v>0</v>
      </c>
      <c r="K736" s="172" t="b">
        <v>0</v>
      </c>
      <c r="L736" s="172" t="b">
        <v>0</v>
      </c>
      <c r="M736" s="172" t="b">
        <v>0</v>
      </c>
      <c r="N736" s="97" t="s">
        <v>4798</v>
      </c>
      <c r="O736" s="172" t="b">
        <v>0</v>
      </c>
      <c r="P736" s="97"/>
      <c r="Q736" s="174"/>
    </row>
    <row r="737" spans="8:8" ht="43.5" customHeight="1">
      <c r="A737" s="172">
        <v>17.0</v>
      </c>
      <c r="B737" s="171" t="s">
        <v>3479</v>
      </c>
      <c r="C737" s="172">
        <v>251652.0</v>
      </c>
      <c r="D737" s="171" t="s">
        <v>4812</v>
      </c>
      <c r="E737" s="172" t="s">
        <v>28</v>
      </c>
      <c r="F737" s="172" t="b">
        <v>1</v>
      </c>
      <c r="G737" s="172" t="b">
        <v>1</v>
      </c>
      <c r="H737" s="172" t="b">
        <v>0</v>
      </c>
      <c r="I737" s="172" t="b">
        <v>0</v>
      </c>
      <c r="J737" s="172" t="b">
        <v>0</v>
      </c>
      <c r="K737" s="172" t="b">
        <v>0</v>
      </c>
      <c r="L737" s="172" t="b">
        <v>0</v>
      </c>
      <c r="M737" s="172" t="b">
        <v>0</v>
      </c>
      <c r="N737" s="97" t="s">
        <v>4799</v>
      </c>
      <c r="O737" s="172" t="b">
        <v>0</v>
      </c>
      <c r="P737" s="97"/>
      <c r="Q737" s="174"/>
    </row>
    <row r="738" spans="8:8" ht="43.5" customHeight="1">
      <c r="A738" s="172">
        <v>19.0</v>
      </c>
      <c r="B738" s="171" t="s">
        <v>4744</v>
      </c>
      <c r="C738" s="172">
        <v>251656.0</v>
      </c>
      <c r="D738" s="171" t="s">
        <v>4840</v>
      </c>
      <c r="E738" s="172" t="s">
        <v>28</v>
      </c>
      <c r="F738" s="172" t="b">
        <v>0</v>
      </c>
      <c r="G738" s="172" t="b">
        <v>0</v>
      </c>
      <c r="H738" s="172" t="b">
        <v>0</v>
      </c>
      <c r="I738" s="172" t="b">
        <v>0</v>
      </c>
      <c r="J738" s="172" t="b">
        <v>0</v>
      </c>
      <c r="K738" s="172" t="b">
        <v>0</v>
      </c>
      <c r="L738" s="172" t="b">
        <v>0</v>
      </c>
      <c r="M738" s="172" t="b">
        <v>0</v>
      </c>
      <c r="N738" s="97" t="s">
        <v>4800</v>
      </c>
      <c r="O738" s="172" t="b">
        <v>0</v>
      </c>
      <c r="P738" s="97"/>
      <c r="Q738" s="174"/>
    </row>
    <row r="739" spans="8:8" ht="43.5" customHeight="1">
      <c r="A739" s="172">
        <v>20.0</v>
      </c>
      <c r="B739" s="171" t="s">
        <v>4042</v>
      </c>
      <c r="C739" s="172">
        <v>251658.0</v>
      </c>
      <c r="D739" s="171" t="s">
        <v>4840</v>
      </c>
      <c r="E739" s="172" t="s">
        <v>28</v>
      </c>
      <c r="F739" s="172" t="b">
        <v>1</v>
      </c>
      <c r="G739" s="172" t="b">
        <v>0</v>
      </c>
      <c r="H739" s="172" t="b">
        <v>1</v>
      </c>
      <c r="I739" s="172" t="b">
        <v>0</v>
      </c>
      <c r="J739" s="172" t="b">
        <v>0</v>
      </c>
      <c r="K739" s="172" t="b">
        <v>0</v>
      </c>
      <c r="L739" s="172" t="b">
        <v>0</v>
      </c>
      <c r="M739" s="172" t="b">
        <v>0</v>
      </c>
      <c r="N739" s="97" t="s">
        <v>4801</v>
      </c>
      <c r="O739" s="172" t="b">
        <v>0</v>
      </c>
      <c r="P739" s="97"/>
      <c r="Q739" s="174"/>
    </row>
    <row r="740" spans="8:8" ht="43.5" customHeight="1">
      <c r="A740" s="172">
        <v>21.0</v>
      </c>
      <c r="B740" s="171" t="s">
        <v>4745</v>
      </c>
      <c r="C740" s="172">
        <v>251661.0</v>
      </c>
      <c r="D740" s="171" t="s">
        <v>4840</v>
      </c>
      <c r="E740" s="172" t="s">
        <v>28</v>
      </c>
      <c r="F740" s="172" t="b">
        <v>0</v>
      </c>
      <c r="G740" s="172" t="b">
        <v>0</v>
      </c>
      <c r="H740" s="172" t="b">
        <v>0</v>
      </c>
      <c r="I740" s="172" t="b">
        <v>0</v>
      </c>
      <c r="J740" s="172" t="b">
        <v>0</v>
      </c>
      <c r="K740" s="172" t="b">
        <v>0</v>
      </c>
      <c r="L740" s="172" t="b">
        <v>0</v>
      </c>
      <c r="M740" s="172" t="b">
        <v>0</v>
      </c>
      <c r="N740" s="97"/>
      <c r="O740" s="97"/>
      <c r="P740" s="97"/>
      <c r="Q740" s="174"/>
    </row>
    <row r="741" spans="8:8" ht="43.5" customHeight="1">
      <c r="A741" s="172">
        <v>22.0</v>
      </c>
      <c r="B741" s="171" t="s">
        <v>3634</v>
      </c>
      <c r="C741" s="172">
        <v>251502.0</v>
      </c>
      <c r="D741" s="171" t="s">
        <v>4813</v>
      </c>
      <c r="E741" s="172" t="s">
        <v>28</v>
      </c>
      <c r="F741" s="172" t="b">
        <v>0</v>
      </c>
      <c r="G741" s="172" t="b">
        <v>0</v>
      </c>
      <c r="H741" s="172" t="b">
        <v>1</v>
      </c>
      <c r="I741" s="172" t="b">
        <v>0</v>
      </c>
      <c r="J741" s="172" t="b">
        <v>0</v>
      </c>
      <c r="K741" s="172" t="b">
        <v>0</v>
      </c>
      <c r="L741" s="172" t="b">
        <v>0</v>
      </c>
      <c r="M741" s="172" t="b">
        <v>0</v>
      </c>
      <c r="N741" s="97"/>
      <c r="O741" s="97"/>
      <c r="P741" s="97"/>
      <c r="Q741" s="174"/>
    </row>
    <row r="742" spans="8:8" ht="43.5" customHeight="1">
      <c r="A742" s="172">
        <v>24.0</v>
      </c>
      <c r="B742" s="171" t="s">
        <v>4043</v>
      </c>
      <c r="C742" s="172">
        <v>251677.0</v>
      </c>
      <c r="D742" s="171" t="s">
        <v>4814</v>
      </c>
      <c r="E742" s="172" t="s">
        <v>28</v>
      </c>
      <c r="F742" s="172" t="b">
        <v>1</v>
      </c>
      <c r="G742" s="172" t="b">
        <v>0</v>
      </c>
      <c r="H742" s="172" t="b">
        <v>0</v>
      </c>
      <c r="I742" s="172" t="b">
        <v>0</v>
      </c>
      <c r="J742" s="172" t="b">
        <v>0</v>
      </c>
      <c r="K742" s="172" t="b">
        <v>0</v>
      </c>
      <c r="L742" s="172" t="b">
        <v>0</v>
      </c>
      <c r="M742" s="172" t="b">
        <v>0</v>
      </c>
      <c r="N742" s="97"/>
      <c r="O742" s="97"/>
      <c r="P742" s="97"/>
      <c r="Q742" s="174"/>
    </row>
    <row r="743" spans="8:8" ht="43.5" customHeight="1">
      <c r="A743" s="172">
        <v>26.0</v>
      </c>
      <c r="B743" s="171" t="s">
        <v>4097</v>
      </c>
      <c r="C743" s="172">
        <v>251525.0</v>
      </c>
      <c r="D743" s="171" t="s">
        <v>4814</v>
      </c>
      <c r="E743" s="97" t="s">
        <v>28</v>
      </c>
      <c r="F743" s="172" t="b">
        <v>1</v>
      </c>
      <c r="G743" s="172" t="b">
        <v>1</v>
      </c>
      <c r="H743" s="172" t="b">
        <v>0</v>
      </c>
      <c r="I743" s="172" t="b">
        <v>0</v>
      </c>
      <c r="J743" s="172" t="b">
        <v>0</v>
      </c>
      <c r="K743" s="172" t="b">
        <v>0</v>
      </c>
      <c r="L743" s="172" t="b">
        <v>0</v>
      </c>
      <c r="M743" s="172" t="b">
        <v>0</v>
      </c>
      <c r="N743" s="189"/>
      <c r="O743" s="189"/>
      <c r="P743" s="189"/>
    </row>
    <row r="744" spans="8:8" ht="43.5" customHeight="1">
      <c r="A744" s="172">
        <v>2.0</v>
      </c>
      <c r="B744" s="171" t="s">
        <v>4044</v>
      </c>
      <c r="C744" s="172">
        <v>251592.0</v>
      </c>
      <c r="D744" s="171" t="s">
        <v>4823</v>
      </c>
      <c r="E744" s="97" t="s">
        <v>28</v>
      </c>
      <c r="F744" s="172" t="b">
        <v>0</v>
      </c>
      <c r="G744" s="172" t="b">
        <v>1</v>
      </c>
      <c r="H744" s="172" t="b">
        <v>1</v>
      </c>
      <c r="I744" s="172" t="b">
        <v>0</v>
      </c>
      <c r="J744" s="172" t="b">
        <v>0</v>
      </c>
      <c r="K744" s="172" t="b">
        <v>0</v>
      </c>
      <c r="L744" s="172" t="b">
        <v>0</v>
      </c>
      <c r="M744" s="172" t="b">
        <v>0</v>
      </c>
      <c r="N744" s="97"/>
      <c r="O744" s="97"/>
      <c r="P744" s="97"/>
      <c r="Q744" s="174"/>
    </row>
    <row r="745" spans="8:8" ht="43.5" customHeight="1">
      <c r="A745" s="170">
        <v>5.0</v>
      </c>
      <c r="B745" s="171" t="s">
        <v>3480</v>
      </c>
      <c r="C745" s="172">
        <v>251246.0</v>
      </c>
      <c r="D745" s="171" t="s">
        <v>4803</v>
      </c>
      <c r="E745" s="172" t="s">
        <v>28</v>
      </c>
      <c r="F745" s="172" t="b">
        <v>1</v>
      </c>
      <c r="G745" s="172" t="b">
        <v>1</v>
      </c>
      <c r="H745" s="172" t="b">
        <v>0</v>
      </c>
      <c r="I745" s="172" t="b">
        <v>0</v>
      </c>
      <c r="J745" s="172" t="b">
        <v>0</v>
      </c>
      <c r="K745" s="172" t="b">
        <v>0</v>
      </c>
      <c r="L745" s="172" t="b">
        <v>0</v>
      </c>
      <c r="M745" s="172" t="b">
        <v>0</v>
      </c>
      <c r="N745" s="97"/>
      <c r="O745" s="97"/>
      <c r="P745" s="97"/>
      <c r="Q745" s="174"/>
    </row>
    <row r="746" spans="8:8" ht="43.5" customHeight="1">
      <c r="A746" s="97"/>
      <c r="B746" s="182" t="s">
        <v>4815</v>
      </c>
      <c r="C746" s="97"/>
      <c r="D746" s="97"/>
      <c r="E746" s="183"/>
      <c r="F746" s="184">
        <f t="shared" si="24" ref="F746:M746">COUNTIF(F734:F743,TRUE)/COUNTA(F734:F743)</f>
        <v>0.7</v>
      </c>
      <c r="G746" s="184">
        <f t="shared" si="24"/>
        <v>0.3</v>
      </c>
      <c r="H746" s="184">
        <f t="shared" si="24"/>
        <v>0.4</v>
      </c>
      <c r="I746" s="184">
        <f t="shared" si="24"/>
        <v>0.0</v>
      </c>
      <c r="J746" s="184">
        <f t="shared" si="24"/>
        <v>0.0</v>
      </c>
      <c r="K746" s="184">
        <f t="shared" si="24"/>
        <v>0.0</v>
      </c>
      <c r="L746" s="184">
        <f t="shared" si="24"/>
        <v>0.0</v>
      </c>
      <c r="M746" s="184">
        <f t="shared" si="24"/>
        <v>0.0</v>
      </c>
      <c r="N746" s="97"/>
      <c r="O746" s="97"/>
      <c r="P746" s="97"/>
      <c r="Q746" s="174"/>
    </row>
    <row r="747" spans="8:8" ht="43.5" customHeight="1">
      <c r="A747" s="162" t="s">
        <v>18</v>
      </c>
      <c r="B747" s="162" t="s">
        <v>19</v>
      </c>
      <c r="C747" s="163"/>
      <c r="D747" s="162" t="s">
        <v>4530</v>
      </c>
      <c r="E747" s="162" t="s">
        <v>22</v>
      </c>
      <c r="F747" s="163" t="s">
        <v>4794</v>
      </c>
      <c r="G747" s="163" t="s">
        <v>4795</v>
      </c>
      <c r="H747" s="163" t="s">
        <v>4796</v>
      </c>
      <c r="I747" s="163" t="s">
        <v>4797</v>
      </c>
      <c r="J747" s="163" t="s">
        <v>4798</v>
      </c>
      <c r="K747" s="163" t="s">
        <v>4799</v>
      </c>
      <c r="L747" s="163" t="s">
        <v>4800</v>
      </c>
      <c r="M747" s="163" t="s">
        <v>4801</v>
      </c>
      <c r="N747" s="211" t="s">
        <v>4917</v>
      </c>
      <c r="O747" s="167"/>
      <c r="P747" s="168"/>
      <c r="Q747" s="212"/>
    </row>
    <row r="748" spans="8:8" ht="43.5" customHeight="1">
      <c r="A748" s="172">
        <v>1.0</v>
      </c>
      <c r="B748" s="171" t="s">
        <v>3509</v>
      </c>
      <c r="C748" s="172">
        <v>251675.0</v>
      </c>
      <c r="D748" s="171" t="s">
        <v>4840</v>
      </c>
      <c r="E748" s="172" t="s">
        <v>28</v>
      </c>
      <c r="F748" s="172" t="b">
        <v>1</v>
      </c>
      <c r="G748" s="172" t="b">
        <v>0</v>
      </c>
      <c r="H748" s="172" t="b">
        <v>1</v>
      </c>
      <c r="I748" s="172" t="b">
        <v>0</v>
      </c>
      <c r="J748" s="172" t="b">
        <v>0</v>
      </c>
      <c r="K748" s="172" t="b">
        <v>0</v>
      </c>
      <c r="L748" s="172" t="b">
        <v>0</v>
      </c>
      <c r="M748" s="172" t="b">
        <v>0</v>
      </c>
      <c r="N748" s="173" t="s">
        <v>4804</v>
      </c>
      <c r="O748" s="167"/>
      <c r="P748" s="168"/>
      <c r="Q748" s="174"/>
    </row>
    <row r="749" spans="8:8" ht="43.5" customHeight="1">
      <c r="A749" s="172">
        <v>2.0</v>
      </c>
      <c r="B749" s="171" t="s">
        <v>4047</v>
      </c>
      <c r="C749" s="172">
        <v>251678.0</v>
      </c>
      <c r="D749" s="171" t="s">
        <v>4840</v>
      </c>
      <c r="E749" s="172" t="s">
        <v>28</v>
      </c>
      <c r="F749" s="187" t="b">
        <v>1</v>
      </c>
      <c r="G749" s="187" t="b">
        <v>0</v>
      </c>
      <c r="H749" s="187" t="b">
        <v>0</v>
      </c>
      <c r="I749" s="187" t="b">
        <v>0</v>
      </c>
      <c r="J749" s="187" t="b">
        <v>0</v>
      </c>
      <c r="K749" s="187" t="b">
        <v>0</v>
      </c>
      <c r="L749" s="187" t="b">
        <v>0</v>
      </c>
      <c r="M749" s="187" t="b">
        <v>0</v>
      </c>
      <c r="N749" s="175" t="s">
        <v>4805</v>
      </c>
      <c r="O749" s="176" t="s">
        <v>4806</v>
      </c>
      <c r="P749" s="97" t="s">
        <v>4807</v>
      </c>
      <c r="Q749" s="174"/>
    </row>
    <row r="750" spans="8:8" ht="43.5" customHeight="1">
      <c r="A750" s="172">
        <v>3.0</v>
      </c>
      <c r="B750" s="171" t="s">
        <v>4048</v>
      </c>
      <c r="C750" s="172">
        <v>251681.0</v>
      </c>
      <c r="D750" s="171" t="s">
        <v>4840</v>
      </c>
      <c r="E750" s="172" t="s">
        <v>28</v>
      </c>
      <c r="F750" s="172" t="b">
        <v>1</v>
      </c>
      <c r="G750" s="172" t="b">
        <v>0</v>
      </c>
      <c r="H750" s="172" t="b">
        <v>1</v>
      </c>
      <c r="I750" s="172" t="b">
        <v>0</v>
      </c>
      <c r="J750" s="172" t="b">
        <v>0</v>
      </c>
      <c r="K750" s="172" t="b">
        <v>0</v>
      </c>
      <c r="L750" s="172" t="b">
        <v>0</v>
      </c>
      <c r="M750" s="172" t="b">
        <v>0</v>
      </c>
      <c r="N750" s="97" t="s">
        <v>4794</v>
      </c>
      <c r="O750" s="172" t="b">
        <v>1</v>
      </c>
      <c r="P750" s="97"/>
      <c r="Q750" s="174"/>
    </row>
    <row r="751" spans="8:8" ht="43.5" customHeight="1">
      <c r="A751" s="172">
        <v>4.0</v>
      </c>
      <c r="B751" s="171" t="s">
        <v>4049</v>
      </c>
      <c r="C751" s="172">
        <v>251691.0</v>
      </c>
      <c r="D751" s="171" t="s">
        <v>4843</v>
      </c>
      <c r="E751" s="172" t="s">
        <v>28</v>
      </c>
      <c r="F751" s="187" t="b">
        <v>1</v>
      </c>
      <c r="G751" s="187" t="b">
        <v>1</v>
      </c>
      <c r="H751" s="187" t="b">
        <v>1</v>
      </c>
      <c r="I751" s="187" t="b">
        <v>0</v>
      </c>
      <c r="J751" s="187" t="b">
        <v>0</v>
      </c>
      <c r="K751" s="187" t="b">
        <v>0</v>
      </c>
      <c r="L751" s="187" t="b">
        <v>0</v>
      </c>
      <c r="M751" s="187" t="b">
        <v>0</v>
      </c>
      <c r="N751" s="97" t="s">
        <v>4795</v>
      </c>
      <c r="O751" s="172" t="b">
        <v>0</v>
      </c>
      <c r="P751" s="97"/>
      <c r="Q751" s="174"/>
    </row>
    <row r="752" spans="8:8" ht="43.5" customHeight="1">
      <c r="A752" s="172">
        <v>5.0</v>
      </c>
      <c r="B752" s="171" t="s">
        <v>4050</v>
      </c>
      <c r="C752" s="172">
        <v>251695.0</v>
      </c>
      <c r="D752" s="171" t="s">
        <v>4843</v>
      </c>
      <c r="E752" s="172" t="s">
        <v>28</v>
      </c>
      <c r="F752" s="172" t="b">
        <v>0</v>
      </c>
      <c r="G752" s="172" t="b">
        <v>1</v>
      </c>
      <c r="H752" s="172" t="b">
        <v>1</v>
      </c>
      <c r="I752" s="172" t="b">
        <v>0</v>
      </c>
      <c r="J752" s="172" t="b">
        <v>0</v>
      </c>
      <c r="K752" s="172" t="b">
        <v>0</v>
      </c>
      <c r="L752" s="172" t="b">
        <v>0</v>
      </c>
      <c r="M752" s="172" t="b">
        <v>0</v>
      </c>
      <c r="N752" s="97" t="s">
        <v>4796</v>
      </c>
      <c r="O752" s="172" t="b">
        <v>0</v>
      </c>
      <c r="P752" s="97"/>
      <c r="Q752" s="174"/>
    </row>
    <row r="753" spans="8:8" ht="43.5" customHeight="1">
      <c r="A753" s="172">
        <v>6.0</v>
      </c>
      <c r="B753" s="171" t="s">
        <v>4051</v>
      </c>
      <c r="C753" s="172">
        <v>251699.0</v>
      </c>
      <c r="D753" s="171" t="s">
        <v>4843</v>
      </c>
      <c r="E753" s="172" t="s">
        <v>28</v>
      </c>
      <c r="F753" s="187" t="b">
        <v>0</v>
      </c>
      <c r="G753" s="187" t="b">
        <v>1</v>
      </c>
      <c r="H753" s="187" t="b">
        <v>0</v>
      </c>
      <c r="I753" s="187" t="b">
        <v>0</v>
      </c>
      <c r="J753" s="187" t="b">
        <v>0</v>
      </c>
      <c r="K753" s="187" t="b">
        <v>0</v>
      </c>
      <c r="L753" s="187" t="b">
        <v>0</v>
      </c>
      <c r="M753" s="187" t="b">
        <v>0</v>
      </c>
      <c r="N753" s="97" t="s">
        <v>4797</v>
      </c>
      <c r="O753" s="172" t="b">
        <v>0</v>
      </c>
      <c r="P753" s="97"/>
      <c r="Q753" s="174"/>
    </row>
    <row r="754" spans="8:8" ht="43.5" customHeight="1">
      <c r="A754" s="172">
        <v>8.0</v>
      </c>
      <c r="B754" s="171" t="s">
        <v>3511</v>
      </c>
      <c r="C754" s="172">
        <v>251711.0</v>
      </c>
      <c r="D754" s="171" t="s">
        <v>4843</v>
      </c>
      <c r="E754" s="172" t="s">
        <v>28</v>
      </c>
      <c r="F754" s="187" t="b">
        <v>1</v>
      </c>
      <c r="G754" s="187" t="b">
        <v>1</v>
      </c>
      <c r="H754" s="187" t="b">
        <v>0</v>
      </c>
      <c r="I754" s="187" t="b">
        <v>0</v>
      </c>
      <c r="J754" s="187" t="b">
        <v>0</v>
      </c>
      <c r="K754" s="187" t="b">
        <v>0</v>
      </c>
      <c r="L754" s="187" t="b">
        <v>0</v>
      </c>
      <c r="M754" s="187" t="b">
        <v>0</v>
      </c>
      <c r="N754" s="97" t="s">
        <v>4798</v>
      </c>
      <c r="O754" s="172" t="b">
        <v>0</v>
      </c>
      <c r="P754" s="97"/>
      <c r="Q754" s="174"/>
    </row>
    <row r="755" spans="8:8" ht="43.5" customHeight="1">
      <c r="A755" s="172">
        <v>9.0</v>
      </c>
      <c r="B755" s="171" t="s">
        <v>3501</v>
      </c>
      <c r="C755" s="172">
        <v>251713.0</v>
      </c>
      <c r="D755" s="171" t="s">
        <v>4843</v>
      </c>
      <c r="E755" s="172" t="s">
        <v>28</v>
      </c>
      <c r="F755" s="172" t="b">
        <v>1</v>
      </c>
      <c r="G755" s="172" t="b">
        <v>1</v>
      </c>
      <c r="H755" s="172" t="b">
        <v>0</v>
      </c>
      <c r="I755" s="172" t="b">
        <v>0</v>
      </c>
      <c r="J755" s="172" t="b">
        <v>0</v>
      </c>
      <c r="K755" s="172" t="b">
        <v>0</v>
      </c>
      <c r="L755" s="172" t="b">
        <v>0</v>
      </c>
      <c r="M755" s="172" t="b">
        <v>0</v>
      </c>
      <c r="N755" s="97" t="s">
        <v>4799</v>
      </c>
      <c r="O755" s="172" t="b">
        <v>0</v>
      </c>
      <c r="P755" s="97"/>
      <c r="Q755" s="174"/>
    </row>
    <row r="756" spans="8:8" ht="43.5" customHeight="1">
      <c r="A756" s="172">
        <v>10.0</v>
      </c>
      <c r="B756" s="171" t="s">
        <v>3506</v>
      </c>
      <c r="C756" s="172">
        <v>251715.0</v>
      </c>
      <c r="D756" s="171" t="s">
        <v>4843</v>
      </c>
      <c r="E756" s="172" t="s">
        <v>28</v>
      </c>
      <c r="F756" s="187" t="b">
        <v>0</v>
      </c>
      <c r="G756" s="187" t="b">
        <v>1</v>
      </c>
      <c r="H756" s="187" t="b">
        <v>1</v>
      </c>
      <c r="I756" s="187" t="b">
        <v>0</v>
      </c>
      <c r="J756" s="187" t="b">
        <v>0</v>
      </c>
      <c r="K756" s="187" t="b">
        <v>0</v>
      </c>
      <c r="L756" s="187" t="b">
        <v>0</v>
      </c>
      <c r="M756" s="187" t="b">
        <v>0</v>
      </c>
      <c r="N756" s="97" t="s">
        <v>4800</v>
      </c>
      <c r="O756" s="172" t="b">
        <v>0</v>
      </c>
      <c r="P756" s="97"/>
      <c r="Q756" s="174"/>
    </row>
    <row r="757" spans="8:8" ht="43.5" customHeight="1">
      <c r="A757" s="172">
        <v>11.0</v>
      </c>
      <c r="B757" s="171" t="s">
        <v>3635</v>
      </c>
      <c r="C757" s="172">
        <v>251719.0</v>
      </c>
      <c r="D757" s="171" t="s">
        <v>4820</v>
      </c>
      <c r="E757" s="172" t="s">
        <v>28</v>
      </c>
      <c r="F757" s="172" t="b">
        <v>0</v>
      </c>
      <c r="G757" s="172" t="b">
        <v>1</v>
      </c>
      <c r="H757" s="172" t="b">
        <v>0</v>
      </c>
      <c r="I757" s="172" t="b">
        <v>0</v>
      </c>
      <c r="J757" s="172" t="b">
        <v>0</v>
      </c>
      <c r="K757" s="172" t="b">
        <v>0</v>
      </c>
      <c r="L757" s="172" t="b">
        <v>0</v>
      </c>
      <c r="M757" s="172" t="b">
        <v>0</v>
      </c>
      <c r="N757" s="97" t="s">
        <v>4801</v>
      </c>
      <c r="O757" s="172" t="b">
        <v>0</v>
      </c>
      <c r="P757" s="97"/>
      <c r="Q757" s="174"/>
    </row>
    <row r="758" spans="8:8" ht="43.5" customHeight="1">
      <c r="A758" s="172">
        <v>12.0</v>
      </c>
      <c r="B758" s="171" t="s">
        <v>3508</v>
      </c>
      <c r="C758" s="172">
        <v>251720.0</v>
      </c>
      <c r="D758" s="171" t="s">
        <v>4820</v>
      </c>
      <c r="E758" s="172" t="s">
        <v>28</v>
      </c>
      <c r="F758" s="187" t="b">
        <v>1</v>
      </c>
      <c r="G758" s="187" t="b">
        <v>1</v>
      </c>
      <c r="H758" s="187" t="b">
        <v>1</v>
      </c>
      <c r="I758" s="187" t="b">
        <v>0</v>
      </c>
      <c r="J758" s="187" t="b">
        <v>0</v>
      </c>
      <c r="K758" s="187" t="b">
        <v>0</v>
      </c>
      <c r="L758" s="187" t="b">
        <v>0</v>
      </c>
      <c r="M758" s="187" t="b">
        <v>0</v>
      </c>
      <c r="N758" s="97"/>
      <c r="O758" s="97"/>
      <c r="P758" s="97"/>
      <c r="Q758" s="174"/>
    </row>
    <row r="759" spans="8:8" ht="43.5" customHeight="1">
      <c r="A759" s="172">
        <v>13.0</v>
      </c>
      <c r="B759" s="171" t="s">
        <v>4918</v>
      </c>
      <c r="C759" s="172">
        <v>251723.0</v>
      </c>
      <c r="D759" s="171" t="s">
        <v>4820</v>
      </c>
      <c r="E759" s="172" t="s">
        <v>28</v>
      </c>
      <c r="F759" s="172" t="b">
        <v>0</v>
      </c>
      <c r="G759" s="172" t="b">
        <v>1</v>
      </c>
      <c r="H759" s="172" t="b">
        <v>1</v>
      </c>
      <c r="I759" s="172" t="b">
        <v>0</v>
      </c>
      <c r="J759" s="172" t="b">
        <v>0</v>
      </c>
      <c r="K759" s="172" t="b">
        <v>0</v>
      </c>
      <c r="L759" s="172" t="b">
        <v>0</v>
      </c>
      <c r="M759" s="172" t="b">
        <v>0</v>
      </c>
      <c r="N759" s="97"/>
      <c r="O759" s="97"/>
      <c r="P759" s="97"/>
      <c r="Q759" s="174"/>
    </row>
    <row r="760" spans="8:8" ht="43.5" customHeight="1">
      <c r="A760" s="172">
        <v>14.0</v>
      </c>
      <c r="B760" s="171" t="s">
        <v>3499</v>
      </c>
      <c r="C760" s="172">
        <v>251724.0</v>
      </c>
      <c r="D760" s="171" t="s">
        <v>4820</v>
      </c>
      <c r="E760" s="172" t="s">
        <v>28</v>
      </c>
      <c r="F760" s="187" t="b">
        <v>0</v>
      </c>
      <c r="G760" s="187" t="b">
        <v>1</v>
      </c>
      <c r="H760" s="187" t="b">
        <v>0</v>
      </c>
      <c r="I760" s="187" t="b">
        <v>0</v>
      </c>
      <c r="J760" s="187" t="b">
        <v>0</v>
      </c>
      <c r="K760" s="187" t="b">
        <v>0</v>
      </c>
      <c r="L760" s="187" t="b">
        <v>0</v>
      </c>
      <c r="M760" s="187" t="b">
        <v>0</v>
      </c>
      <c r="N760" s="97"/>
      <c r="O760" s="97"/>
      <c r="P760" s="97"/>
      <c r="Q760" s="174"/>
    </row>
    <row r="761" spans="8:8" ht="43.5" customHeight="1">
      <c r="A761" s="172">
        <v>15.0</v>
      </c>
      <c r="B761" s="171" t="s">
        <v>4052</v>
      </c>
      <c r="C761" s="172">
        <v>251726.0</v>
      </c>
      <c r="D761" s="171" t="s">
        <v>4820</v>
      </c>
      <c r="E761" s="172" t="s">
        <v>28</v>
      </c>
      <c r="F761" s="172" t="b">
        <v>0</v>
      </c>
      <c r="G761" s="172" t="b">
        <v>1</v>
      </c>
      <c r="H761" s="172" t="b">
        <v>0</v>
      </c>
      <c r="I761" s="172" t="b">
        <v>0</v>
      </c>
      <c r="J761" s="172" t="b">
        <v>0</v>
      </c>
      <c r="K761" s="172" t="b">
        <v>0</v>
      </c>
      <c r="L761" s="172" t="b">
        <v>0</v>
      </c>
      <c r="M761" s="172" t="b">
        <v>0</v>
      </c>
      <c r="N761" s="97"/>
      <c r="O761" s="97"/>
      <c r="P761" s="97"/>
      <c r="Q761" s="174"/>
    </row>
    <row r="762" spans="8:8" ht="43.5" customHeight="1">
      <c r="A762" s="172">
        <v>17.0</v>
      </c>
      <c r="B762" s="171" t="s">
        <v>3500</v>
      </c>
      <c r="C762" s="172">
        <v>251732.0</v>
      </c>
      <c r="D762" s="171" t="s">
        <v>4820</v>
      </c>
      <c r="E762" s="172" t="s">
        <v>28</v>
      </c>
      <c r="F762" s="172" t="b">
        <v>1</v>
      </c>
      <c r="G762" s="172" t="b">
        <v>1</v>
      </c>
      <c r="H762" s="172" t="b">
        <v>0</v>
      </c>
      <c r="I762" s="172" t="b">
        <v>0</v>
      </c>
      <c r="J762" s="172" t="b">
        <v>0</v>
      </c>
      <c r="K762" s="172" t="b">
        <v>0</v>
      </c>
      <c r="L762" s="172" t="b">
        <v>0</v>
      </c>
      <c r="M762" s="172" t="b">
        <v>0</v>
      </c>
      <c r="N762" s="189"/>
      <c r="O762" s="189"/>
      <c r="P762" s="189"/>
    </row>
    <row r="763" spans="8:8" ht="43.5" customHeight="1">
      <c r="A763" s="172">
        <v>18.0</v>
      </c>
      <c r="B763" s="171" t="s">
        <v>4053</v>
      </c>
      <c r="C763" s="172">
        <v>251734.0</v>
      </c>
      <c r="D763" s="171" t="s">
        <v>4820</v>
      </c>
      <c r="E763" s="172" t="s">
        <v>28</v>
      </c>
      <c r="F763" s="187" t="b">
        <v>0</v>
      </c>
      <c r="G763" s="187" t="b">
        <v>0</v>
      </c>
      <c r="H763" s="187" t="b">
        <v>1</v>
      </c>
      <c r="I763" s="187" t="b">
        <v>0</v>
      </c>
      <c r="J763" s="187" t="b">
        <v>0</v>
      </c>
      <c r="K763" s="187" t="b">
        <v>0</v>
      </c>
      <c r="L763" s="187" t="b">
        <v>0</v>
      </c>
      <c r="M763" s="187" t="b">
        <v>0</v>
      </c>
      <c r="N763" s="97"/>
      <c r="O763" s="97"/>
      <c r="P763" s="97"/>
      <c r="Q763" s="174"/>
    </row>
    <row r="764" spans="8:8" ht="43.5" customHeight="1">
      <c r="A764" s="172">
        <v>21.0</v>
      </c>
      <c r="B764" s="171" t="s">
        <v>4054</v>
      </c>
      <c r="C764" s="172">
        <v>251744.0</v>
      </c>
      <c r="D764" s="171" t="s">
        <v>4820</v>
      </c>
      <c r="E764" s="172" t="s">
        <v>28</v>
      </c>
      <c r="F764" s="172" t="b">
        <v>0</v>
      </c>
      <c r="G764" s="172" t="b">
        <v>0</v>
      </c>
      <c r="H764" s="172" t="b">
        <v>0</v>
      </c>
      <c r="I764" s="172" t="b">
        <v>0</v>
      </c>
      <c r="J764" s="172" t="b">
        <v>0</v>
      </c>
      <c r="K764" s="172" t="b">
        <v>0</v>
      </c>
      <c r="L764" s="172" t="b">
        <v>0</v>
      </c>
      <c r="M764" s="172" t="b">
        <v>0</v>
      </c>
      <c r="N764" s="189"/>
      <c r="O764" s="189"/>
      <c r="P764" s="189"/>
    </row>
    <row r="765" spans="8:8" ht="43.5" customHeight="1">
      <c r="A765" s="172">
        <v>22.0</v>
      </c>
      <c r="B765" s="171" t="s">
        <v>3503</v>
      </c>
      <c r="C765" s="172">
        <v>251746.0</v>
      </c>
      <c r="D765" s="171" t="s">
        <v>4820</v>
      </c>
      <c r="E765" s="172" t="s">
        <v>28</v>
      </c>
      <c r="F765" s="187" t="b">
        <v>1</v>
      </c>
      <c r="G765" s="187" t="b">
        <v>0</v>
      </c>
      <c r="H765" s="187" t="b">
        <v>1</v>
      </c>
      <c r="I765" s="187" t="b">
        <v>0</v>
      </c>
      <c r="J765" s="187" t="b">
        <v>0</v>
      </c>
      <c r="K765" s="187" t="b">
        <v>0</v>
      </c>
      <c r="L765" s="187" t="b">
        <v>0</v>
      </c>
      <c r="M765" s="187" t="b">
        <v>0</v>
      </c>
      <c r="N765" s="97"/>
      <c r="O765" s="97"/>
      <c r="P765" s="97"/>
      <c r="Q765" s="174"/>
    </row>
    <row r="766" spans="8:8" ht="43.5" customHeight="1">
      <c r="A766" s="172">
        <v>23.0</v>
      </c>
      <c r="B766" s="171" t="s">
        <v>4056</v>
      </c>
      <c r="C766" s="172">
        <v>251750.0</v>
      </c>
      <c r="D766" s="171" t="s">
        <v>4828</v>
      </c>
      <c r="E766" s="172" t="s">
        <v>28</v>
      </c>
      <c r="F766" s="172" t="b">
        <v>1</v>
      </c>
      <c r="G766" s="172" t="b">
        <v>1</v>
      </c>
      <c r="H766" s="172" t="b">
        <v>0</v>
      </c>
      <c r="I766" s="172" t="b">
        <v>0</v>
      </c>
      <c r="J766" s="172" t="b">
        <v>0</v>
      </c>
      <c r="K766" s="172" t="b">
        <v>0</v>
      </c>
      <c r="L766" s="172" t="b">
        <v>0</v>
      </c>
      <c r="M766" s="172" t="b">
        <v>0</v>
      </c>
      <c r="N766" s="97"/>
      <c r="O766" s="97"/>
      <c r="P766" s="97"/>
      <c r="Q766" s="174"/>
    </row>
    <row r="767" spans="8:8" ht="43.5" customHeight="1">
      <c r="A767" s="172">
        <v>25.0</v>
      </c>
      <c r="B767" s="171" t="s">
        <v>4919</v>
      </c>
      <c r="C767" s="172">
        <v>251514.0</v>
      </c>
      <c r="D767" s="171" t="s">
        <v>4828</v>
      </c>
      <c r="E767" s="97" t="s">
        <v>28</v>
      </c>
      <c r="F767" s="172" t="b">
        <v>0</v>
      </c>
      <c r="G767" s="172" t="b">
        <v>0</v>
      </c>
      <c r="H767" s="172" t="b">
        <v>0</v>
      </c>
      <c r="I767" s="172" t="b">
        <v>0</v>
      </c>
      <c r="J767" s="172" t="b">
        <v>0</v>
      </c>
      <c r="K767" s="172" t="b">
        <v>0</v>
      </c>
      <c r="L767" s="172" t="b">
        <v>0</v>
      </c>
      <c r="M767" s="172" t="b">
        <v>0</v>
      </c>
      <c r="N767" s="97"/>
      <c r="O767" s="97"/>
      <c r="P767" s="97"/>
      <c r="Q767" s="174"/>
    </row>
    <row r="768" spans="8:8" ht="43.5" customHeight="1">
      <c r="A768" s="172">
        <v>26.0</v>
      </c>
      <c r="B768" s="171" t="s">
        <v>4782</v>
      </c>
      <c r="C768" s="172">
        <v>251477.0</v>
      </c>
      <c r="D768" s="181" t="s">
        <v>4811</v>
      </c>
      <c r="E768" s="172" t="s">
        <v>28</v>
      </c>
      <c r="F768" s="172" t="b">
        <v>0</v>
      </c>
      <c r="G768" s="172" t="b">
        <v>0</v>
      </c>
      <c r="H768" s="172" t="b">
        <v>0</v>
      </c>
      <c r="I768" s="172" t="b">
        <v>0</v>
      </c>
      <c r="J768" s="172" t="b">
        <v>0</v>
      </c>
      <c r="K768" s="172" t="b">
        <v>0</v>
      </c>
      <c r="L768" s="172" t="b">
        <v>0</v>
      </c>
      <c r="M768" s="172" t="b">
        <v>0</v>
      </c>
      <c r="N768" s="97"/>
      <c r="O768" s="97"/>
      <c r="P768" s="97"/>
      <c r="Q768" s="174"/>
    </row>
    <row r="769" spans="8:8" ht="43.5" customHeight="1">
      <c r="A769" s="172">
        <v>28.0</v>
      </c>
      <c r="B769" s="181" t="s">
        <v>3510</v>
      </c>
      <c r="C769" s="97">
        <v>253037.0</v>
      </c>
      <c r="D769" s="181" t="s">
        <v>4819</v>
      </c>
      <c r="E769" s="172" t="s">
        <v>28</v>
      </c>
      <c r="F769" s="172" t="b">
        <v>0</v>
      </c>
      <c r="G769" s="172" t="b">
        <v>0</v>
      </c>
      <c r="H769" s="172" t="b">
        <v>1</v>
      </c>
      <c r="I769" s="172" t="b">
        <v>0</v>
      </c>
      <c r="J769" s="172" t="b">
        <v>0</v>
      </c>
      <c r="K769" s="172" t="b">
        <v>0</v>
      </c>
      <c r="L769" s="172" t="b">
        <v>0</v>
      </c>
      <c r="M769" s="172" t="b">
        <v>0</v>
      </c>
      <c r="N769" s="97"/>
      <c r="O769" s="97"/>
      <c r="P769" s="97"/>
      <c r="Q769" s="174"/>
    </row>
    <row r="770" spans="8:8" ht="43.5" customHeight="1">
      <c r="A770" s="172">
        <v>1.0</v>
      </c>
      <c r="B770" s="171" t="s">
        <v>3504</v>
      </c>
      <c r="C770" s="172">
        <v>251624.0</v>
      </c>
      <c r="D770" s="171" t="s">
        <v>4812</v>
      </c>
      <c r="E770" s="97" t="s">
        <v>28</v>
      </c>
      <c r="F770" s="172" t="b">
        <v>0</v>
      </c>
      <c r="G770" s="172" t="b">
        <v>0</v>
      </c>
      <c r="H770" s="172" t="b">
        <v>1</v>
      </c>
      <c r="I770" s="172" t="b">
        <v>0</v>
      </c>
      <c r="J770" s="172" t="b">
        <v>0</v>
      </c>
      <c r="K770" s="172" t="b">
        <v>0</v>
      </c>
      <c r="L770" s="172" t="b">
        <v>0</v>
      </c>
      <c r="M770" s="172" t="b">
        <v>0</v>
      </c>
      <c r="N770" s="97"/>
      <c r="O770" s="97"/>
      <c r="P770" s="97"/>
      <c r="Q770" s="174"/>
    </row>
    <row r="771" spans="8:8" ht="43.5" customHeight="1">
      <c r="A771" s="170">
        <v>16.0</v>
      </c>
      <c r="B771" s="171" t="s">
        <v>3637</v>
      </c>
      <c r="C771" s="172">
        <v>251582.0</v>
      </c>
      <c r="D771" s="171" t="s">
        <v>4845</v>
      </c>
      <c r="E771" s="172" t="s">
        <v>28</v>
      </c>
      <c r="F771" s="172" t="b">
        <v>0</v>
      </c>
      <c r="G771" s="172" t="b">
        <v>0</v>
      </c>
      <c r="H771" s="172" t="b">
        <v>1</v>
      </c>
      <c r="I771" s="172" t="b">
        <v>0</v>
      </c>
      <c r="J771" s="172" t="b">
        <v>0</v>
      </c>
      <c r="K771" s="172" t="b">
        <v>0</v>
      </c>
      <c r="L771" s="172" t="b">
        <v>0</v>
      </c>
      <c r="M771" s="172" t="b">
        <v>0</v>
      </c>
      <c r="N771" s="97"/>
      <c r="O771" s="97"/>
      <c r="P771" s="97"/>
      <c r="Q771" s="174"/>
    </row>
    <row r="772" spans="8:8" ht="43.5" customHeight="1">
      <c r="A772" s="97"/>
      <c r="B772" s="182" t="s">
        <v>4815</v>
      </c>
      <c r="C772" s="97"/>
      <c r="D772" s="97"/>
      <c r="E772" s="183"/>
      <c r="F772" s="184">
        <f t="shared" si="25" ref="F772:M772">COUNTIF(F759:F769,TRUE)/COUNTA(F759:F769)</f>
        <v>0.2727272727272727</v>
      </c>
      <c r="G772" s="184">
        <f t="shared" si="25"/>
        <v>0.45454545454545453</v>
      </c>
      <c r="H772" s="184">
        <f t="shared" si="25"/>
        <v>0.36363636363636365</v>
      </c>
      <c r="I772" s="184">
        <f t="shared" si="25"/>
        <v>0.0</v>
      </c>
      <c r="J772" s="184">
        <f t="shared" si="25"/>
        <v>0.0</v>
      </c>
      <c r="K772" s="184">
        <f t="shared" si="25"/>
        <v>0.0</v>
      </c>
      <c r="L772" s="184">
        <f t="shared" si="25"/>
        <v>0.0</v>
      </c>
      <c r="M772" s="184">
        <f t="shared" si="25"/>
        <v>0.0</v>
      </c>
      <c r="N772" s="97"/>
      <c r="O772" s="97"/>
      <c r="P772" s="97"/>
      <c r="Q772" s="174"/>
    </row>
    <row r="773" spans="8:8" ht="43.5" customHeight="1">
      <c r="A773" s="162" t="s">
        <v>18</v>
      </c>
      <c r="B773" s="162" t="s">
        <v>19</v>
      </c>
      <c r="C773" s="163"/>
      <c r="D773" s="162" t="s">
        <v>4530</v>
      </c>
      <c r="E773" s="162" t="s">
        <v>22</v>
      </c>
      <c r="F773" s="163" t="s">
        <v>4794</v>
      </c>
      <c r="G773" s="163" t="s">
        <v>4795</v>
      </c>
      <c r="H773" s="163" t="s">
        <v>4796</v>
      </c>
      <c r="I773" s="163" t="s">
        <v>4797</v>
      </c>
      <c r="J773" s="163" t="s">
        <v>4798</v>
      </c>
      <c r="K773" s="163" t="s">
        <v>4799</v>
      </c>
      <c r="L773" s="163" t="s">
        <v>4800</v>
      </c>
      <c r="M773" s="163" t="s">
        <v>4801</v>
      </c>
      <c r="N773" s="166" t="s">
        <v>4920</v>
      </c>
      <c r="O773" s="167"/>
      <c r="P773" s="168"/>
      <c r="Q773" s="169"/>
    </row>
    <row r="774" spans="8:8" ht="43.5" customHeight="1">
      <c r="A774" s="172">
        <v>2.0</v>
      </c>
      <c r="B774" s="171" t="s">
        <v>4098</v>
      </c>
      <c r="C774" s="172">
        <v>251765.0</v>
      </c>
      <c r="D774" s="171" t="s">
        <v>4828</v>
      </c>
      <c r="E774" s="172" t="s">
        <v>28</v>
      </c>
      <c r="F774" s="172" t="b">
        <v>0</v>
      </c>
      <c r="G774" s="172" t="b">
        <v>0</v>
      </c>
      <c r="H774" s="172" t="b">
        <v>1</v>
      </c>
      <c r="I774" s="172" t="b">
        <v>0</v>
      </c>
      <c r="J774" s="172" t="b">
        <v>0</v>
      </c>
      <c r="K774" s="172" t="b">
        <v>0</v>
      </c>
      <c r="L774" s="172" t="b">
        <v>0</v>
      </c>
      <c r="M774" s="172" t="b">
        <v>0</v>
      </c>
      <c r="N774" s="173" t="s">
        <v>4804</v>
      </c>
      <c r="O774" s="167"/>
      <c r="P774" s="168"/>
      <c r="Q774" s="174"/>
    </row>
    <row r="775" spans="8:8" ht="43.5" customHeight="1">
      <c r="A775" s="172">
        <v>3.0</v>
      </c>
      <c r="B775" s="171" t="s">
        <v>4099</v>
      </c>
      <c r="C775" s="172">
        <v>251766.0</v>
      </c>
      <c r="D775" s="171" t="s">
        <v>4828</v>
      </c>
      <c r="E775" s="172" t="s">
        <v>28</v>
      </c>
      <c r="F775" s="172" t="b">
        <v>0</v>
      </c>
      <c r="G775" s="172" t="b">
        <v>1</v>
      </c>
      <c r="H775" s="172" t="b">
        <v>0</v>
      </c>
      <c r="I775" s="172" t="b">
        <v>0</v>
      </c>
      <c r="J775" s="172" t="b">
        <v>0</v>
      </c>
      <c r="K775" s="172" t="b">
        <v>0</v>
      </c>
      <c r="L775" s="172" t="b">
        <v>0</v>
      </c>
      <c r="M775" s="172" t="b">
        <v>0</v>
      </c>
      <c r="N775" s="175" t="s">
        <v>4805</v>
      </c>
      <c r="O775" s="176" t="s">
        <v>4806</v>
      </c>
      <c r="P775" s="97" t="s">
        <v>4807</v>
      </c>
      <c r="Q775" s="174"/>
    </row>
    <row r="776" spans="8:8" ht="43.5" customHeight="1">
      <c r="A776" s="172">
        <v>5.0</v>
      </c>
      <c r="B776" s="171" t="s">
        <v>3538</v>
      </c>
      <c r="C776" s="172">
        <v>251773.0</v>
      </c>
      <c r="D776" s="171" t="s">
        <v>4828</v>
      </c>
      <c r="E776" s="172" t="s">
        <v>28</v>
      </c>
      <c r="F776" s="172" t="b">
        <v>1</v>
      </c>
      <c r="G776" s="172" t="b">
        <v>1</v>
      </c>
      <c r="H776" s="172" t="b">
        <v>0</v>
      </c>
      <c r="I776" s="172" t="b">
        <v>0</v>
      </c>
      <c r="J776" s="172" t="b">
        <v>0</v>
      </c>
      <c r="K776" s="172" t="b">
        <v>0</v>
      </c>
      <c r="L776" s="172" t="b">
        <v>0</v>
      </c>
      <c r="M776" s="172" t="b">
        <v>0</v>
      </c>
      <c r="N776" s="97" t="s">
        <v>4794</v>
      </c>
      <c r="O776" s="172" t="b">
        <v>1</v>
      </c>
      <c r="P776" s="97" t="s">
        <v>4824</v>
      </c>
      <c r="Q776" s="174"/>
    </row>
    <row r="777" spans="8:8" ht="43.5" customHeight="1">
      <c r="A777" s="172">
        <v>6.0</v>
      </c>
      <c r="B777" s="171" t="s">
        <v>4057</v>
      </c>
      <c r="C777" s="172">
        <v>251782.0</v>
      </c>
      <c r="D777" s="171" t="s">
        <v>4829</v>
      </c>
      <c r="E777" s="172" t="s">
        <v>28</v>
      </c>
      <c r="F777" s="172" t="b">
        <v>0</v>
      </c>
      <c r="G777" s="172" t="b">
        <v>1</v>
      </c>
      <c r="H777" s="172" t="b">
        <v>0</v>
      </c>
      <c r="I777" s="172" t="b">
        <v>0</v>
      </c>
      <c r="J777" s="172" t="b">
        <v>0</v>
      </c>
      <c r="K777" s="172" t="b">
        <v>0</v>
      </c>
      <c r="L777" s="172" t="b">
        <v>0</v>
      </c>
      <c r="M777" s="172" t="b">
        <v>0</v>
      </c>
      <c r="N777" s="97" t="s">
        <v>4795</v>
      </c>
      <c r="O777" s="172" t="b">
        <v>1</v>
      </c>
      <c r="P777" s="97" t="s">
        <v>4921</v>
      </c>
      <c r="Q777" s="174"/>
    </row>
    <row r="778" spans="8:8" ht="43.5" customHeight="1">
      <c r="A778" s="172">
        <v>8.0</v>
      </c>
      <c r="B778" s="171" t="s">
        <v>3496</v>
      </c>
      <c r="C778" s="172">
        <v>251787.0</v>
      </c>
      <c r="D778" s="171" t="s">
        <v>4829</v>
      </c>
      <c r="E778" s="172" t="s">
        <v>28</v>
      </c>
      <c r="F778" s="172" t="b">
        <v>0</v>
      </c>
      <c r="G778" s="172" t="b">
        <v>1</v>
      </c>
      <c r="H778" s="172" t="b">
        <v>0</v>
      </c>
      <c r="I778" s="172" t="b">
        <v>0</v>
      </c>
      <c r="J778" s="172" t="b">
        <v>0</v>
      </c>
      <c r="K778" s="172" t="b">
        <v>0</v>
      </c>
      <c r="L778" s="172" t="b">
        <v>0</v>
      </c>
      <c r="M778" s="172" t="b">
        <v>0</v>
      </c>
      <c r="N778" s="97" t="s">
        <v>4796</v>
      </c>
      <c r="O778" s="172" t="b">
        <v>1</v>
      </c>
      <c r="P778" s="97"/>
      <c r="Q778" s="174"/>
    </row>
    <row r="779" spans="8:8" ht="43.5" customHeight="1">
      <c r="A779" s="172">
        <v>9.0</v>
      </c>
      <c r="B779" s="171" t="s">
        <v>4058</v>
      </c>
      <c r="C779" s="172">
        <v>251788.0</v>
      </c>
      <c r="D779" s="171" t="s">
        <v>4829</v>
      </c>
      <c r="E779" s="172" t="s">
        <v>28</v>
      </c>
      <c r="F779" s="172" t="b">
        <v>0</v>
      </c>
      <c r="G779" s="172" t="b">
        <v>1</v>
      </c>
      <c r="H779" s="172" t="b">
        <v>0</v>
      </c>
      <c r="I779" s="172" t="b">
        <v>0</v>
      </c>
      <c r="J779" s="172" t="b">
        <v>0</v>
      </c>
      <c r="K779" s="172" t="b">
        <v>0</v>
      </c>
      <c r="L779" s="172" t="b">
        <v>0</v>
      </c>
      <c r="M779" s="172" t="b">
        <v>0</v>
      </c>
      <c r="N779" s="97" t="s">
        <v>4797</v>
      </c>
      <c r="O779" s="172" t="b">
        <v>0</v>
      </c>
      <c r="P779" s="97"/>
      <c r="Q779" s="174"/>
    </row>
    <row r="780" spans="8:8" ht="43.5" customHeight="1">
      <c r="A780" s="172">
        <v>10.0</v>
      </c>
      <c r="B780" s="171" t="s">
        <v>4059</v>
      </c>
      <c r="C780" s="172">
        <v>251789.0</v>
      </c>
      <c r="D780" s="171" t="s">
        <v>4829</v>
      </c>
      <c r="E780" s="172" t="s">
        <v>28</v>
      </c>
      <c r="F780" s="172" t="b">
        <v>1</v>
      </c>
      <c r="G780" s="172" t="b">
        <v>1</v>
      </c>
      <c r="H780" s="172" t="b">
        <v>1</v>
      </c>
      <c r="I780" s="172" t="b">
        <v>0</v>
      </c>
      <c r="J780" s="172" t="b">
        <v>0</v>
      </c>
      <c r="K780" s="172" t="b">
        <v>0</v>
      </c>
      <c r="L780" s="172" t="b">
        <v>0</v>
      </c>
      <c r="M780" s="172" t="b">
        <v>0</v>
      </c>
      <c r="N780" s="97" t="s">
        <v>4798</v>
      </c>
      <c r="O780" s="172" t="b">
        <v>0</v>
      </c>
      <c r="P780" s="97"/>
      <c r="Q780" s="174"/>
    </row>
    <row r="781" spans="8:8" ht="43.5" customHeight="1">
      <c r="A781" s="172">
        <v>12.0</v>
      </c>
      <c r="B781" s="171" t="s">
        <v>4746</v>
      </c>
      <c r="C781" s="172">
        <v>251793.0</v>
      </c>
      <c r="D781" s="171" t="s">
        <v>4829</v>
      </c>
      <c r="E781" s="172" t="s">
        <v>28</v>
      </c>
      <c r="F781" s="172" t="b">
        <v>0</v>
      </c>
      <c r="G781" s="172" t="b">
        <v>0</v>
      </c>
      <c r="H781" s="172" t="b">
        <v>0</v>
      </c>
      <c r="I781" s="172" t="b">
        <v>0</v>
      </c>
      <c r="J781" s="172" t="b">
        <v>0</v>
      </c>
      <c r="K781" s="172" t="b">
        <v>0</v>
      </c>
      <c r="L781" s="172" t="b">
        <v>0</v>
      </c>
      <c r="M781" s="172" t="b">
        <v>0</v>
      </c>
      <c r="N781" s="97" t="s">
        <v>4799</v>
      </c>
      <c r="O781" s="172" t="b">
        <v>0</v>
      </c>
      <c r="P781" s="97"/>
      <c r="Q781" s="174"/>
    </row>
    <row r="782" spans="8:8" ht="43.5" customHeight="1">
      <c r="A782" s="172">
        <v>13.0</v>
      </c>
      <c r="B782" s="171" t="s">
        <v>4060</v>
      </c>
      <c r="C782" s="172">
        <v>252925.0</v>
      </c>
      <c r="D782" s="171" t="s">
        <v>4829</v>
      </c>
      <c r="E782" s="172" t="s">
        <v>28</v>
      </c>
      <c r="F782" s="172" t="b">
        <v>1</v>
      </c>
      <c r="G782" s="172" t="b">
        <v>1</v>
      </c>
      <c r="H782" s="172" t="b">
        <v>1</v>
      </c>
      <c r="I782" s="172" t="b">
        <v>0</v>
      </c>
      <c r="J782" s="172" t="b">
        <v>0</v>
      </c>
      <c r="K782" s="172" t="b">
        <v>0</v>
      </c>
      <c r="L782" s="172" t="b">
        <v>0</v>
      </c>
      <c r="M782" s="172" t="b">
        <v>0</v>
      </c>
      <c r="N782" s="97" t="s">
        <v>4800</v>
      </c>
      <c r="O782" s="172" t="b">
        <v>0</v>
      </c>
      <c r="P782" s="97"/>
      <c r="Q782" s="174"/>
    </row>
    <row r="783" spans="8:8" ht="43.5" customHeight="1">
      <c r="A783" s="172">
        <v>14.0</v>
      </c>
      <c r="B783" s="171" t="s">
        <v>4922</v>
      </c>
      <c r="C783" s="172">
        <v>252967.0</v>
      </c>
      <c r="D783" s="171" t="s">
        <v>4829</v>
      </c>
      <c r="E783" s="172" t="s">
        <v>28</v>
      </c>
      <c r="F783" s="172" t="b">
        <v>0</v>
      </c>
      <c r="G783" s="172" t="b">
        <v>0</v>
      </c>
      <c r="H783" s="172" t="b">
        <v>0</v>
      </c>
      <c r="I783" s="172" t="b">
        <v>0</v>
      </c>
      <c r="J783" s="172" t="b">
        <v>0</v>
      </c>
      <c r="K783" s="172" t="b">
        <v>0</v>
      </c>
      <c r="L783" s="172" t="b">
        <v>0</v>
      </c>
      <c r="M783" s="172" t="b">
        <v>0</v>
      </c>
      <c r="N783" s="97" t="s">
        <v>4801</v>
      </c>
      <c r="O783" s="172" t="b">
        <v>0</v>
      </c>
      <c r="P783" s="97"/>
      <c r="Q783" s="174"/>
    </row>
    <row r="784" spans="8:8" ht="43.5" customHeight="1">
      <c r="A784" s="172">
        <v>15.0</v>
      </c>
      <c r="B784" s="171" t="s">
        <v>4747</v>
      </c>
      <c r="C784" s="172">
        <v>252969.0</v>
      </c>
      <c r="D784" s="171" t="s">
        <v>4829</v>
      </c>
      <c r="E784" s="172" t="s">
        <v>28</v>
      </c>
      <c r="F784" s="172" t="b">
        <v>0</v>
      </c>
      <c r="G784" s="172" t="b">
        <v>0</v>
      </c>
      <c r="H784" s="172" t="b">
        <v>0</v>
      </c>
      <c r="I784" s="172" t="b">
        <v>0</v>
      </c>
      <c r="J784" s="172" t="b">
        <v>0</v>
      </c>
      <c r="K784" s="172" t="b">
        <v>0</v>
      </c>
      <c r="L784" s="172" t="b">
        <v>0</v>
      </c>
      <c r="M784" s="172" t="b">
        <v>0</v>
      </c>
      <c r="N784" s="189"/>
      <c r="O784" s="189"/>
      <c r="P784" s="189"/>
    </row>
    <row r="785" spans="8:8" ht="43.5" customHeight="1">
      <c r="A785" s="172">
        <v>18.0</v>
      </c>
      <c r="B785" s="171" t="s">
        <v>3541</v>
      </c>
      <c r="C785" s="172">
        <v>251441.0</v>
      </c>
      <c r="D785" s="171" t="s">
        <v>4827</v>
      </c>
      <c r="E785" s="172" t="s">
        <v>28</v>
      </c>
      <c r="F785" s="172" t="b">
        <v>0</v>
      </c>
      <c r="G785" s="172" t="b">
        <v>1</v>
      </c>
      <c r="H785" s="172" t="b">
        <v>0</v>
      </c>
      <c r="I785" s="172" t="b">
        <v>0</v>
      </c>
      <c r="J785" s="172" t="b">
        <v>0</v>
      </c>
      <c r="K785" s="172" t="b">
        <v>0</v>
      </c>
      <c r="L785" s="172" t="b">
        <v>0</v>
      </c>
      <c r="M785" s="172" t="b">
        <v>0</v>
      </c>
      <c r="N785" s="97"/>
      <c r="O785" s="97"/>
      <c r="P785" s="97"/>
      <c r="Q785" s="174"/>
    </row>
    <row r="786" spans="8:8" ht="43.5" customHeight="1">
      <c r="A786" s="172">
        <v>19.0</v>
      </c>
      <c r="B786" s="171" t="s">
        <v>3539</v>
      </c>
      <c r="C786" s="172">
        <v>251443.0</v>
      </c>
      <c r="D786" s="171" t="s">
        <v>4827</v>
      </c>
      <c r="E786" s="172" t="s">
        <v>28</v>
      </c>
      <c r="F786" s="172" t="b">
        <v>1</v>
      </c>
      <c r="G786" s="172" t="b">
        <v>1</v>
      </c>
      <c r="H786" s="172" t="b">
        <v>1</v>
      </c>
      <c r="I786" s="172" t="b">
        <v>0</v>
      </c>
      <c r="J786" s="172" t="b">
        <v>0</v>
      </c>
      <c r="K786" s="172" t="b">
        <v>0</v>
      </c>
      <c r="L786" s="172" t="b">
        <v>0</v>
      </c>
      <c r="M786" s="172" t="b">
        <v>0</v>
      </c>
      <c r="N786" s="97"/>
      <c r="O786" s="97"/>
      <c r="P786" s="97"/>
      <c r="Q786" s="174"/>
    </row>
    <row r="787" spans="8:8" ht="43.5" customHeight="1">
      <c r="A787" s="172">
        <v>21.0</v>
      </c>
      <c r="B787" s="171" t="s">
        <v>4061</v>
      </c>
      <c r="C787" s="172">
        <v>251447.0</v>
      </c>
      <c r="D787" s="171" t="s">
        <v>4827</v>
      </c>
      <c r="E787" s="172" t="s">
        <v>28</v>
      </c>
      <c r="F787" s="172" t="b">
        <v>1</v>
      </c>
      <c r="G787" s="172" t="b">
        <v>1</v>
      </c>
      <c r="H787" s="172" t="b">
        <v>0</v>
      </c>
      <c r="I787" s="172" t="b">
        <v>0</v>
      </c>
      <c r="J787" s="172" t="b">
        <v>0</v>
      </c>
      <c r="K787" s="172" t="b">
        <v>0</v>
      </c>
      <c r="L787" s="172" t="b">
        <v>0</v>
      </c>
      <c r="M787" s="172" t="b">
        <v>0</v>
      </c>
      <c r="N787" s="97"/>
      <c r="O787" s="97"/>
      <c r="P787" s="97"/>
      <c r="Q787" s="174"/>
    </row>
    <row r="788" spans="8:8" ht="43.5" customHeight="1">
      <c r="A788" s="172">
        <v>22.0</v>
      </c>
      <c r="B788" s="171" t="s">
        <v>3542</v>
      </c>
      <c r="C788" s="172">
        <v>251448.0</v>
      </c>
      <c r="D788" s="171" t="s">
        <v>4827</v>
      </c>
      <c r="E788" s="172" t="s">
        <v>28</v>
      </c>
      <c r="F788" s="172" t="b">
        <v>1</v>
      </c>
      <c r="G788" s="172" t="b">
        <v>1</v>
      </c>
      <c r="H788" s="172" t="b">
        <v>0</v>
      </c>
      <c r="I788" s="172" t="b">
        <v>0</v>
      </c>
      <c r="J788" s="172" t="b">
        <v>0</v>
      </c>
      <c r="K788" s="172" t="b">
        <v>0</v>
      </c>
      <c r="L788" s="172" t="b">
        <v>0</v>
      </c>
      <c r="M788" s="172" t="b">
        <v>0</v>
      </c>
      <c r="N788" s="97"/>
      <c r="O788" s="97"/>
      <c r="P788" s="97"/>
      <c r="Q788" s="174"/>
    </row>
    <row r="789" spans="8:8" ht="43.5" customHeight="1">
      <c r="A789" s="172">
        <v>23.0</v>
      </c>
      <c r="B789" s="171" t="s">
        <v>3540</v>
      </c>
      <c r="C789" s="172">
        <v>251449.0</v>
      </c>
      <c r="D789" s="171" t="s">
        <v>4827</v>
      </c>
      <c r="E789" s="172" t="s">
        <v>28</v>
      </c>
      <c r="F789" s="172" t="b">
        <v>1</v>
      </c>
      <c r="G789" s="172" t="b">
        <v>1</v>
      </c>
      <c r="H789" s="172" t="b">
        <v>1</v>
      </c>
      <c r="I789" s="172" t="b">
        <v>0</v>
      </c>
      <c r="J789" s="172" t="b">
        <v>0</v>
      </c>
      <c r="K789" s="172" t="b">
        <v>0</v>
      </c>
      <c r="L789" s="172" t="b">
        <v>0</v>
      </c>
      <c r="M789" s="172" t="b">
        <v>0</v>
      </c>
      <c r="N789" s="189"/>
      <c r="O789" s="189"/>
      <c r="P789" s="189"/>
    </row>
    <row r="790" spans="8:8" ht="43.5" customHeight="1">
      <c r="A790" s="172">
        <v>24.0</v>
      </c>
      <c r="B790" s="171" t="s">
        <v>4062</v>
      </c>
      <c r="C790" s="172">
        <v>253136.0</v>
      </c>
      <c r="D790" s="171" t="s">
        <v>4814</v>
      </c>
      <c r="E790" s="172" t="s">
        <v>28</v>
      </c>
      <c r="F790" s="172" t="b">
        <v>1</v>
      </c>
      <c r="G790" s="172" t="b">
        <v>1</v>
      </c>
      <c r="H790" s="172" t="b">
        <v>0</v>
      </c>
      <c r="I790" s="172" t="b">
        <v>0</v>
      </c>
      <c r="J790" s="172" t="b">
        <v>0</v>
      </c>
      <c r="K790" s="172" t="b">
        <v>0</v>
      </c>
      <c r="L790" s="172" t="b">
        <v>0</v>
      </c>
      <c r="M790" s="172" t="b">
        <v>0</v>
      </c>
      <c r="N790" s="97"/>
      <c r="O790" s="97"/>
      <c r="P790" s="97"/>
      <c r="Q790" s="174"/>
    </row>
    <row r="791" spans="8:8" ht="43.5" customHeight="1">
      <c r="A791" s="172">
        <v>25.0</v>
      </c>
      <c r="B791" s="171" t="s">
        <v>3497</v>
      </c>
      <c r="C791" s="172">
        <v>252101.0</v>
      </c>
      <c r="D791" s="171" t="s">
        <v>4814</v>
      </c>
      <c r="E791" s="97" t="s">
        <v>28</v>
      </c>
      <c r="F791" s="172" t="b">
        <v>1</v>
      </c>
      <c r="G791" s="172" t="b">
        <v>1</v>
      </c>
      <c r="H791" s="172" t="b">
        <v>0</v>
      </c>
      <c r="I791" s="172" t="b">
        <v>0</v>
      </c>
      <c r="J791" s="172" t="b">
        <v>0</v>
      </c>
      <c r="K791" s="172" t="b">
        <v>0</v>
      </c>
      <c r="L791" s="172" t="b">
        <v>0</v>
      </c>
      <c r="M791" s="172" t="b">
        <v>0</v>
      </c>
      <c r="N791" s="97"/>
      <c r="O791" s="97"/>
      <c r="P791" s="97"/>
      <c r="Q791" s="174"/>
    </row>
    <row r="792" spans="8:8" ht="43.5" customHeight="1">
      <c r="A792" s="172">
        <v>3.0</v>
      </c>
      <c r="B792" s="171" t="s">
        <v>4063</v>
      </c>
      <c r="C792" s="172">
        <v>252587.0</v>
      </c>
      <c r="D792" s="171" t="s">
        <v>90</v>
      </c>
      <c r="E792" s="172" t="s">
        <v>28</v>
      </c>
      <c r="F792" s="172" t="b">
        <v>1</v>
      </c>
      <c r="G792" s="172" t="b">
        <v>1</v>
      </c>
      <c r="H792" s="172" t="b">
        <v>1</v>
      </c>
      <c r="I792" s="172" t="b">
        <v>0</v>
      </c>
      <c r="J792" s="172" t="b">
        <v>0</v>
      </c>
      <c r="K792" s="172" t="b">
        <v>0</v>
      </c>
      <c r="L792" s="172" t="b">
        <v>0</v>
      </c>
      <c r="M792" s="172" t="b">
        <v>0</v>
      </c>
      <c r="N792" s="97"/>
      <c r="O792" s="97"/>
      <c r="P792" s="97"/>
      <c r="Q792" s="174"/>
    </row>
    <row r="793" spans="8:8" ht="43.5" customHeight="1">
      <c r="A793" s="172">
        <v>32.0</v>
      </c>
      <c r="B793" s="96" t="s">
        <v>4064</v>
      </c>
      <c r="C793" s="177">
        <v>250345.0</v>
      </c>
      <c r="D793" s="96" t="s">
        <v>94</v>
      </c>
      <c r="E793" s="177" t="s">
        <v>28</v>
      </c>
      <c r="F793" s="177" t="b">
        <v>1</v>
      </c>
      <c r="G793" s="177" t="b">
        <v>0</v>
      </c>
      <c r="H793" s="177" t="b">
        <v>0</v>
      </c>
      <c r="I793" s="177" t="b">
        <v>0</v>
      </c>
      <c r="J793" s="177" t="b">
        <v>0</v>
      </c>
      <c r="K793" s="177" t="b">
        <v>0</v>
      </c>
      <c r="L793" s="177" t="b">
        <v>0</v>
      </c>
      <c r="M793" s="177" t="b">
        <v>0</v>
      </c>
      <c r="N793" s="177"/>
      <c r="O793" s="97"/>
      <c r="P793" s="177"/>
      <c r="Q793" s="178"/>
    </row>
    <row r="794" spans="8:8" ht="43.5" customHeight="1">
      <c r="A794" s="97"/>
      <c r="B794" s="182" t="s">
        <v>4815</v>
      </c>
      <c r="C794" s="97"/>
      <c r="D794" s="97"/>
      <c r="E794" s="183"/>
      <c r="F794" s="184">
        <f t="shared" si="26" ref="F794:M794">COUNTIF(F783:F791,TRUE)/COUNTA(F783:F791)</f>
        <v>0.6666666666666666</v>
      </c>
      <c r="G794" s="184">
        <f t="shared" si="26"/>
        <v>0.7777777777777778</v>
      </c>
      <c r="H794" s="184">
        <f t="shared" si="26"/>
        <v>0.2222222222222222</v>
      </c>
      <c r="I794" s="184">
        <f t="shared" si="26"/>
        <v>0.0</v>
      </c>
      <c r="J794" s="184">
        <f t="shared" si="26"/>
        <v>0.0</v>
      </c>
      <c r="K794" s="184">
        <f t="shared" si="26"/>
        <v>0.0</v>
      </c>
      <c r="L794" s="184">
        <f t="shared" si="26"/>
        <v>0.0</v>
      </c>
      <c r="M794" s="184">
        <f t="shared" si="26"/>
        <v>0.0</v>
      </c>
      <c r="N794" s="97"/>
      <c r="O794" s="97"/>
      <c r="P794" s="97"/>
      <c r="Q794" s="174"/>
    </row>
    <row r="795" spans="8:8" ht="43.5" customHeight="1">
      <c r="A795" s="162" t="s">
        <v>18</v>
      </c>
      <c r="B795" s="162" t="s">
        <v>19</v>
      </c>
      <c r="C795" s="163"/>
      <c r="D795" s="162" t="s">
        <v>4530</v>
      </c>
      <c r="E795" s="162" t="s">
        <v>22</v>
      </c>
      <c r="F795" s="163" t="s">
        <v>4794</v>
      </c>
      <c r="G795" s="163" t="s">
        <v>4795</v>
      </c>
      <c r="H795" s="163" t="s">
        <v>4796</v>
      </c>
      <c r="I795" s="163" t="s">
        <v>4797</v>
      </c>
      <c r="J795" s="163" t="s">
        <v>4798</v>
      </c>
      <c r="K795" s="163" t="s">
        <v>4799</v>
      </c>
      <c r="L795" s="163" t="s">
        <v>4800</v>
      </c>
      <c r="M795" s="163" t="s">
        <v>4801</v>
      </c>
      <c r="N795" s="166" t="s">
        <v>4923</v>
      </c>
      <c r="O795" s="167"/>
      <c r="P795" s="168"/>
      <c r="Q795" s="169"/>
    </row>
    <row r="796" spans="8:8" ht="43.5" customHeight="1">
      <c r="A796" s="172">
        <v>1.0</v>
      </c>
      <c r="B796" s="171" t="s">
        <v>4072</v>
      </c>
      <c r="C796" s="172">
        <v>251450.0</v>
      </c>
      <c r="D796" s="171" t="s">
        <v>4827</v>
      </c>
      <c r="E796" s="172" t="s">
        <v>28</v>
      </c>
      <c r="F796" s="172" t="b">
        <v>0</v>
      </c>
      <c r="G796" s="172" t="b">
        <v>0</v>
      </c>
      <c r="H796" s="172" t="b">
        <v>1</v>
      </c>
      <c r="I796" s="172" t="b">
        <v>0</v>
      </c>
      <c r="J796" s="172" t="b">
        <v>0</v>
      </c>
      <c r="K796" s="172" t="b">
        <v>0</v>
      </c>
      <c r="L796" s="172" t="b">
        <v>0</v>
      </c>
      <c r="M796" s="172" t="b">
        <v>0</v>
      </c>
      <c r="N796" s="173" t="s">
        <v>4804</v>
      </c>
      <c r="O796" s="167"/>
      <c r="P796" s="168"/>
      <c r="Q796" s="174"/>
    </row>
    <row r="797" spans="8:8" ht="41.25" customHeight="1">
      <c r="A797" s="172">
        <v>3.0</v>
      </c>
      <c r="B797" s="171" t="s">
        <v>4073</v>
      </c>
      <c r="C797" s="172">
        <v>251453.0</v>
      </c>
      <c r="D797" s="171" t="s">
        <v>4827</v>
      </c>
      <c r="E797" s="172" t="s">
        <v>28</v>
      </c>
      <c r="F797" s="172" t="b">
        <v>0</v>
      </c>
      <c r="G797" s="172" t="b">
        <v>0</v>
      </c>
      <c r="H797" s="172" t="b">
        <v>0</v>
      </c>
      <c r="I797" s="172" t="b">
        <v>0</v>
      </c>
      <c r="J797" s="172" t="b">
        <v>0</v>
      </c>
      <c r="K797" s="172" t="b">
        <v>0</v>
      </c>
      <c r="L797" s="172" t="b">
        <v>0</v>
      </c>
      <c r="M797" s="172" t="b">
        <v>0</v>
      </c>
      <c r="N797" s="175" t="s">
        <v>4805</v>
      </c>
      <c r="O797" s="176" t="s">
        <v>4806</v>
      </c>
      <c r="P797" s="97" t="s">
        <v>4807</v>
      </c>
      <c r="Q797" s="174"/>
    </row>
    <row r="798" spans="8:8" ht="43.5" customHeight="1">
      <c r="A798" s="172">
        <v>5.0</v>
      </c>
      <c r="B798" s="171" t="s">
        <v>4074</v>
      </c>
      <c r="C798" s="172">
        <v>251455.0</v>
      </c>
      <c r="D798" s="171" t="s">
        <v>4827</v>
      </c>
      <c r="E798" s="172" t="s">
        <v>28</v>
      </c>
      <c r="F798" s="172" t="b">
        <v>0</v>
      </c>
      <c r="G798" s="172" t="b">
        <v>0</v>
      </c>
      <c r="H798" s="172" t="b">
        <v>0</v>
      </c>
      <c r="I798" s="172" t="b">
        <v>0</v>
      </c>
      <c r="J798" s="172" t="b">
        <v>0</v>
      </c>
      <c r="K798" s="172" t="b">
        <v>0</v>
      </c>
      <c r="L798" s="172" t="b">
        <v>0</v>
      </c>
      <c r="M798" s="172" t="b">
        <v>0</v>
      </c>
      <c r="N798" s="97" t="s">
        <v>4794</v>
      </c>
      <c r="O798" s="172" t="b">
        <v>0</v>
      </c>
      <c r="P798" s="97"/>
      <c r="Q798" s="174"/>
    </row>
    <row r="799" spans="8:8" ht="43.5" customHeight="1">
      <c r="A799" s="172">
        <v>7.0</v>
      </c>
      <c r="B799" s="171" t="s">
        <v>3571</v>
      </c>
      <c r="C799" s="172">
        <v>251457.0</v>
      </c>
      <c r="D799" s="171" t="s">
        <v>4827</v>
      </c>
      <c r="E799" s="172" t="s">
        <v>28</v>
      </c>
      <c r="F799" s="172" t="b">
        <v>1</v>
      </c>
      <c r="G799" s="172" t="b">
        <v>0</v>
      </c>
      <c r="H799" s="172" t="b">
        <v>0</v>
      </c>
      <c r="I799" s="172" t="b">
        <v>0</v>
      </c>
      <c r="J799" s="172" t="b">
        <v>0</v>
      </c>
      <c r="K799" s="172" t="b">
        <v>0</v>
      </c>
      <c r="L799" s="172" t="b">
        <v>0</v>
      </c>
      <c r="M799" s="172" t="b">
        <v>0</v>
      </c>
      <c r="N799" s="97" t="s">
        <v>4795</v>
      </c>
      <c r="O799" s="172" t="b">
        <v>0</v>
      </c>
      <c r="P799" s="97" t="s">
        <v>4924</v>
      </c>
      <c r="Q799" s="174"/>
    </row>
    <row r="800" spans="8:8" ht="43.5" customHeight="1">
      <c r="A800" s="172">
        <v>8.0</v>
      </c>
      <c r="B800" s="171" t="s">
        <v>812</v>
      </c>
      <c r="C800" s="172">
        <v>251458.0</v>
      </c>
      <c r="D800" s="171" t="s">
        <v>4827</v>
      </c>
      <c r="E800" s="172" t="s">
        <v>28</v>
      </c>
      <c r="F800" s="172" t="b">
        <v>0</v>
      </c>
      <c r="G800" s="172" t="b">
        <v>1</v>
      </c>
      <c r="H800" s="172" t="b">
        <v>1</v>
      </c>
      <c r="I800" s="172" t="b">
        <v>0</v>
      </c>
      <c r="J800" s="172" t="b">
        <v>0</v>
      </c>
      <c r="K800" s="172" t="b">
        <v>0</v>
      </c>
      <c r="L800" s="172" t="b">
        <v>0</v>
      </c>
      <c r="M800" s="172" t="b">
        <v>0</v>
      </c>
      <c r="N800" s="97" t="s">
        <v>4796</v>
      </c>
      <c r="O800" s="172" t="b">
        <v>0</v>
      </c>
      <c r="P800" s="97"/>
      <c r="Q800" s="174"/>
    </row>
    <row r="801" spans="8:8" ht="43.5" customHeight="1">
      <c r="A801" s="172">
        <v>9.0</v>
      </c>
      <c r="B801" s="171" t="s">
        <v>4075</v>
      </c>
      <c r="C801" s="172">
        <v>251459.0</v>
      </c>
      <c r="D801" s="171" t="s">
        <v>4827</v>
      </c>
      <c r="E801" s="172" t="s">
        <v>28</v>
      </c>
      <c r="F801" s="172" t="b">
        <v>1</v>
      </c>
      <c r="G801" s="172" t="b">
        <v>0</v>
      </c>
      <c r="H801" s="172" t="b">
        <v>1</v>
      </c>
      <c r="I801" s="172" t="b">
        <v>0</v>
      </c>
      <c r="J801" s="172" t="b">
        <v>0</v>
      </c>
      <c r="K801" s="172" t="b">
        <v>0</v>
      </c>
      <c r="L801" s="172" t="b">
        <v>0</v>
      </c>
      <c r="M801" s="172" t="b">
        <v>0</v>
      </c>
      <c r="N801" s="97" t="s">
        <v>4797</v>
      </c>
      <c r="O801" s="172" t="b">
        <v>0</v>
      </c>
      <c r="P801" s="97"/>
      <c r="Q801" s="174"/>
    </row>
    <row r="802" spans="8:8" ht="43.5" customHeight="1">
      <c r="A802" s="172">
        <v>11.0</v>
      </c>
      <c r="B802" s="171" t="s">
        <v>3578</v>
      </c>
      <c r="C802" s="172">
        <v>251461.0</v>
      </c>
      <c r="D802" s="171" t="s">
        <v>4827</v>
      </c>
      <c r="E802" s="172" t="s">
        <v>28</v>
      </c>
      <c r="F802" s="172" t="b">
        <v>0</v>
      </c>
      <c r="G802" s="172" t="b">
        <v>0</v>
      </c>
      <c r="H802" s="172" t="b">
        <v>1</v>
      </c>
      <c r="I802" s="172" t="b">
        <v>0</v>
      </c>
      <c r="J802" s="172" t="b">
        <v>0</v>
      </c>
      <c r="K802" s="172" t="b">
        <v>0</v>
      </c>
      <c r="L802" s="172" t="b">
        <v>0</v>
      </c>
      <c r="M802" s="172" t="b">
        <v>0</v>
      </c>
      <c r="N802" s="97" t="s">
        <v>4798</v>
      </c>
      <c r="O802" s="172" t="b">
        <v>0</v>
      </c>
      <c r="P802" s="97"/>
      <c r="Q802" s="174"/>
    </row>
    <row r="803" spans="8:8" ht="43.5" customHeight="1">
      <c r="A803" s="172">
        <v>13.0</v>
      </c>
      <c r="B803" s="171" t="s">
        <v>3576</v>
      </c>
      <c r="C803" s="172">
        <v>251463.0</v>
      </c>
      <c r="D803" s="171" t="s">
        <v>4827</v>
      </c>
      <c r="E803" s="172" t="s">
        <v>28</v>
      </c>
      <c r="F803" s="172" t="b">
        <v>0</v>
      </c>
      <c r="G803" s="172" t="b">
        <v>1</v>
      </c>
      <c r="H803" s="172" t="b">
        <v>0</v>
      </c>
      <c r="I803" s="172" t="b">
        <v>0</v>
      </c>
      <c r="J803" s="172" t="b">
        <v>0</v>
      </c>
      <c r="K803" s="172" t="b">
        <v>0</v>
      </c>
      <c r="L803" s="172" t="b">
        <v>0</v>
      </c>
      <c r="M803" s="172" t="b">
        <v>0</v>
      </c>
      <c r="N803" s="97" t="s">
        <v>4799</v>
      </c>
      <c r="O803" s="172" t="b">
        <v>0</v>
      </c>
      <c r="P803" s="97"/>
      <c r="Q803" s="174"/>
    </row>
    <row r="804" spans="8:8" ht="43.5" customHeight="1">
      <c r="A804" s="172">
        <v>14.0</v>
      </c>
      <c r="B804" s="171" t="s">
        <v>4748</v>
      </c>
      <c r="C804" s="172">
        <v>251465.0</v>
      </c>
      <c r="D804" s="171" t="s">
        <v>4834</v>
      </c>
      <c r="E804" s="172" t="s">
        <v>28</v>
      </c>
      <c r="F804" s="172" t="b">
        <v>0</v>
      </c>
      <c r="G804" s="172" t="b">
        <v>0</v>
      </c>
      <c r="H804" s="172" t="b">
        <v>0</v>
      </c>
      <c r="I804" s="172" t="b">
        <v>0</v>
      </c>
      <c r="J804" s="172" t="b">
        <v>0</v>
      </c>
      <c r="K804" s="172" t="b">
        <v>0</v>
      </c>
      <c r="L804" s="172" t="b">
        <v>0</v>
      </c>
      <c r="M804" s="172" t="b">
        <v>0</v>
      </c>
      <c r="N804" s="97" t="s">
        <v>4800</v>
      </c>
      <c r="O804" s="172" t="b">
        <v>0</v>
      </c>
      <c r="P804" s="97"/>
      <c r="Q804" s="174"/>
    </row>
    <row r="805" spans="8:8" ht="43.5" customHeight="1">
      <c r="A805" s="172">
        <v>16.0</v>
      </c>
      <c r="B805" s="171" t="s">
        <v>4076</v>
      </c>
      <c r="C805" s="172">
        <v>251490.0</v>
      </c>
      <c r="D805" s="171" t="s">
        <v>4834</v>
      </c>
      <c r="E805" s="172" t="s">
        <v>28</v>
      </c>
      <c r="F805" s="172" t="b">
        <v>0</v>
      </c>
      <c r="G805" s="172" t="b">
        <v>0</v>
      </c>
      <c r="H805" s="172" t="b">
        <v>0</v>
      </c>
      <c r="I805" s="172" t="b">
        <v>0</v>
      </c>
      <c r="J805" s="172" t="b">
        <v>0</v>
      </c>
      <c r="K805" s="172" t="b">
        <v>0</v>
      </c>
      <c r="L805" s="172" t="b">
        <v>0</v>
      </c>
      <c r="M805" s="172" t="b">
        <v>0</v>
      </c>
      <c r="N805" s="97" t="s">
        <v>4801</v>
      </c>
      <c r="O805" s="172" t="b">
        <v>0</v>
      </c>
      <c r="P805" s="97"/>
      <c r="Q805" s="174"/>
    </row>
    <row r="806" spans="8:8" ht="43.5" customHeight="1">
      <c r="A806" s="172">
        <v>17.0</v>
      </c>
      <c r="B806" s="171" t="s">
        <v>3573</v>
      </c>
      <c r="C806" s="172">
        <v>251466.0</v>
      </c>
      <c r="D806" s="171" t="s">
        <v>4834</v>
      </c>
      <c r="E806" s="172" t="s">
        <v>28</v>
      </c>
      <c r="F806" s="172" t="b">
        <v>1</v>
      </c>
      <c r="G806" s="172" t="b">
        <v>0</v>
      </c>
      <c r="H806" s="172" t="b">
        <v>1</v>
      </c>
      <c r="I806" s="172" t="b">
        <v>0</v>
      </c>
      <c r="J806" s="172" t="b">
        <v>0</v>
      </c>
      <c r="K806" s="172" t="b">
        <v>0</v>
      </c>
      <c r="L806" s="172" t="b">
        <v>0</v>
      </c>
      <c r="M806" s="172" t="b">
        <v>0</v>
      </c>
      <c r="N806" s="97"/>
      <c r="O806" s="97"/>
      <c r="P806" s="97"/>
      <c r="Q806" s="174"/>
    </row>
    <row r="807" spans="8:8" ht="43.5" customHeight="1">
      <c r="A807" s="172">
        <v>18.0</v>
      </c>
      <c r="B807" s="171" t="s">
        <v>3577</v>
      </c>
      <c r="C807" s="172">
        <v>251467.0</v>
      </c>
      <c r="D807" s="171" t="s">
        <v>4834</v>
      </c>
      <c r="E807" s="172" t="s">
        <v>28</v>
      </c>
      <c r="F807" s="172" t="b">
        <v>1</v>
      </c>
      <c r="G807" s="172" t="b">
        <v>1</v>
      </c>
      <c r="H807" s="172" t="b">
        <v>0</v>
      </c>
      <c r="I807" s="172" t="b">
        <v>0</v>
      </c>
      <c r="J807" s="172" t="b">
        <v>0</v>
      </c>
      <c r="K807" s="172" t="b">
        <v>0</v>
      </c>
      <c r="L807" s="172" t="b">
        <v>0</v>
      </c>
      <c r="M807" s="172" t="b">
        <v>0</v>
      </c>
      <c r="N807" s="97"/>
      <c r="O807" s="97"/>
      <c r="P807" s="97"/>
      <c r="Q807" s="174"/>
    </row>
    <row r="808" spans="8:8" ht="43.5" customHeight="1">
      <c r="A808" s="172">
        <v>21.0</v>
      </c>
      <c r="B808" s="171" t="s">
        <v>3575</v>
      </c>
      <c r="C808" s="172">
        <v>251478.0</v>
      </c>
      <c r="D808" s="171" t="s">
        <v>4834</v>
      </c>
      <c r="E808" s="172" t="s">
        <v>28</v>
      </c>
      <c r="F808" s="172" t="b">
        <v>1</v>
      </c>
      <c r="G808" s="172" t="b">
        <v>0</v>
      </c>
      <c r="H808" s="172" t="b">
        <v>1</v>
      </c>
      <c r="I808" s="172" t="b">
        <v>0</v>
      </c>
      <c r="J808" s="172" t="b">
        <v>0</v>
      </c>
      <c r="K808" s="172" t="b">
        <v>0</v>
      </c>
      <c r="L808" s="172" t="b">
        <v>0</v>
      </c>
      <c r="M808" s="172" t="b">
        <v>0</v>
      </c>
      <c r="N808" s="97"/>
      <c r="O808" s="97"/>
      <c r="P808" s="97"/>
      <c r="Q808" s="174"/>
    </row>
    <row r="809" spans="8:8" ht="43.5" customHeight="1">
      <c r="A809" s="172">
        <v>22.0</v>
      </c>
      <c r="B809" s="171" t="s">
        <v>3574</v>
      </c>
      <c r="C809" s="172">
        <v>251480.0</v>
      </c>
      <c r="D809" s="171" t="s">
        <v>4834</v>
      </c>
      <c r="E809" s="172" t="s">
        <v>28</v>
      </c>
      <c r="F809" s="172" t="b">
        <v>1</v>
      </c>
      <c r="G809" s="172" t="b">
        <v>0</v>
      </c>
      <c r="H809" s="172" t="b">
        <v>1</v>
      </c>
      <c r="I809" s="172" t="b">
        <v>0</v>
      </c>
      <c r="J809" s="172" t="b">
        <v>0</v>
      </c>
      <c r="K809" s="172" t="b">
        <v>0</v>
      </c>
      <c r="L809" s="172" t="b">
        <v>0</v>
      </c>
      <c r="M809" s="172" t="b">
        <v>0</v>
      </c>
      <c r="N809" s="189"/>
      <c r="O809" s="189"/>
      <c r="P809" s="189"/>
    </row>
    <row r="810" spans="8:8" ht="43.5" customHeight="1">
      <c r="A810" s="172">
        <v>23.0</v>
      </c>
      <c r="B810" s="171" t="s">
        <v>3572</v>
      </c>
      <c r="C810" s="172">
        <v>251482.0</v>
      </c>
      <c r="D810" s="171" t="s">
        <v>4834</v>
      </c>
      <c r="E810" s="172" t="s">
        <v>28</v>
      </c>
      <c r="F810" s="172" t="b">
        <v>1</v>
      </c>
      <c r="G810" s="172" t="b">
        <v>0</v>
      </c>
      <c r="H810" s="172" t="b">
        <v>0</v>
      </c>
      <c r="I810" s="172" t="b">
        <v>0</v>
      </c>
      <c r="J810" s="172" t="b">
        <v>0</v>
      </c>
      <c r="K810" s="172" t="b">
        <v>0</v>
      </c>
      <c r="L810" s="172" t="b">
        <v>0</v>
      </c>
      <c r="M810" s="172" t="b">
        <v>0</v>
      </c>
      <c r="N810" s="97"/>
      <c r="O810" s="97"/>
      <c r="P810" s="97"/>
      <c r="Q810" s="174"/>
    </row>
    <row r="811" spans="8:8" ht="43.5" customHeight="1">
      <c r="A811" s="63">
        <v>10.0</v>
      </c>
      <c r="B811" s="62" t="s">
        <v>4077</v>
      </c>
      <c r="C811" s="66">
        <v>252535.0</v>
      </c>
      <c r="D811" s="62" t="s">
        <v>90</v>
      </c>
      <c r="E811" s="63" t="s">
        <v>28</v>
      </c>
      <c r="F811" s="172" t="b">
        <v>0</v>
      </c>
      <c r="G811" s="172" t="b">
        <v>0</v>
      </c>
      <c r="H811" s="172" t="b">
        <v>1</v>
      </c>
      <c r="I811" s="172" t="b">
        <v>0</v>
      </c>
      <c r="J811" s="172" t="b">
        <v>0</v>
      </c>
      <c r="K811" s="172" t="b">
        <v>0</v>
      </c>
      <c r="L811" s="172" t="b">
        <v>0</v>
      </c>
      <c r="M811" s="172" t="b">
        <v>0</v>
      </c>
      <c r="N811" s="189"/>
      <c r="O811" s="189"/>
      <c r="P811" s="189"/>
    </row>
    <row r="812" spans="8:8" ht="43.5" customHeight="1">
      <c r="A812" s="170">
        <v>10.0</v>
      </c>
      <c r="B812" s="171" t="s">
        <v>4078</v>
      </c>
      <c r="C812" s="172">
        <v>251404.0</v>
      </c>
      <c r="D812" s="171" t="s">
        <v>4832</v>
      </c>
      <c r="E812" s="172" t="s">
        <v>28</v>
      </c>
      <c r="F812" s="172" t="b">
        <v>1</v>
      </c>
      <c r="G812" s="172" t="b">
        <v>1</v>
      </c>
      <c r="H812" s="172" t="b">
        <v>1</v>
      </c>
      <c r="I812" s="172" t="b">
        <v>0</v>
      </c>
      <c r="J812" s="172" t="b">
        <v>0</v>
      </c>
      <c r="K812" s="172" t="b">
        <v>0</v>
      </c>
      <c r="L812" s="172" t="b">
        <v>0</v>
      </c>
      <c r="M812" s="172" t="b">
        <v>0</v>
      </c>
      <c r="N812" s="189"/>
      <c r="O812" s="189"/>
      <c r="P812" s="189"/>
    </row>
    <row r="813" spans="8:8" ht="43.5" customHeight="1">
      <c r="A813" s="97"/>
      <c r="B813" s="182" t="s">
        <v>4815</v>
      </c>
      <c r="C813" s="97"/>
      <c r="D813" s="97"/>
      <c r="E813" s="183"/>
      <c r="F813" s="184">
        <f t="shared" si="27" ref="F813:M813">COUNTIF(F803:F810,TRUE)/COUNTA(F803:F810)</f>
        <v>0.625</v>
      </c>
      <c r="G813" s="184">
        <f t="shared" si="27"/>
        <v>0.25</v>
      </c>
      <c r="H813" s="184">
        <f t="shared" si="27"/>
        <v>0.375</v>
      </c>
      <c r="I813" s="184">
        <f t="shared" si="27"/>
        <v>0.0</v>
      </c>
      <c r="J813" s="184">
        <f t="shared" si="27"/>
        <v>0.0</v>
      </c>
      <c r="K813" s="184">
        <f t="shared" si="27"/>
        <v>0.0</v>
      </c>
      <c r="L813" s="184">
        <f t="shared" si="27"/>
        <v>0.0</v>
      </c>
      <c r="M813" s="184">
        <f t="shared" si="27"/>
        <v>0.0</v>
      </c>
      <c r="N813" s="97"/>
      <c r="O813" s="97"/>
      <c r="P813" s="97"/>
      <c r="Q813" s="174"/>
    </row>
    <row r="814" spans="8:8" ht="43.5" customHeight="1">
      <c r="A814" s="162" t="s">
        <v>18</v>
      </c>
      <c r="B814" s="162" t="s">
        <v>19</v>
      </c>
      <c r="C814" s="163"/>
      <c r="D814" s="162" t="s">
        <v>4530</v>
      </c>
      <c r="E814" s="162" t="s">
        <v>22</v>
      </c>
      <c r="F814" s="163" t="s">
        <v>4794</v>
      </c>
      <c r="G814" s="163" t="s">
        <v>4795</v>
      </c>
      <c r="H814" s="163" t="s">
        <v>4796</v>
      </c>
      <c r="I814" s="163" t="s">
        <v>4797</v>
      </c>
      <c r="J814" s="163" t="s">
        <v>4798</v>
      </c>
      <c r="K814" s="163" t="s">
        <v>4799</v>
      </c>
      <c r="L814" s="163" t="s">
        <v>4800</v>
      </c>
      <c r="M814" s="163" t="s">
        <v>4801</v>
      </c>
      <c r="N814" s="166" t="s">
        <v>4925</v>
      </c>
      <c r="O814" s="167"/>
      <c r="P814" s="168"/>
      <c r="Q814" s="169"/>
    </row>
    <row r="815" spans="8:8" ht="43.5" customHeight="1">
      <c r="A815" s="172">
        <v>5.0</v>
      </c>
      <c r="B815" s="171" t="s">
        <v>4079</v>
      </c>
      <c r="C815" s="172">
        <v>241205.0</v>
      </c>
      <c r="D815" s="171" t="s">
        <v>4859</v>
      </c>
      <c r="E815" s="172" t="s">
        <v>28</v>
      </c>
      <c r="F815" s="172" t="b">
        <v>0</v>
      </c>
      <c r="G815" s="172" t="b">
        <v>0</v>
      </c>
      <c r="H815" s="172" t="b">
        <v>1</v>
      </c>
      <c r="I815" s="172" t="b">
        <v>0</v>
      </c>
      <c r="J815" s="172" t="b">
        <v>0</v>
      </c>
      <c r="K815" s="172" t="b">
        <v>0</v>
      </c>
      <c r="L815" s="172" t="b">
        <v>0</v>
      </c>
      <c r="M815" s="172" t="b">
        <v>0</v>
      </c>
      <c r="N815" s="173" t="s">
        <v>4804</v>
      </c>
      <c r="O815" s="167"/>
      <c r="P815" s="168"/>
      <c r="Q815" s="174"/>
    </row>
    <row r="816" spans="8:8" ht="43.5" customHeight="1">
      <c r="A816" s="172">
        <v>6.0</v>
      </c>
      <c r="B816" s="171" t="s">
        <v>4080</v>
      </c>
      <c r="C816" s="172">
        <v>241283.0</v>
      </c>
      <c r="D816" s="171" t="s">
        <v>4859</v>
      </c>
      <c r="E816" s="172" t="s">
        <v>28</v>
      </c>
      <c r="F816" s="172" t="b">
        <v>0</v>
      </c>
      <c r="G816" s="172" t="b">
        <v>0</v>
      </c>
      <c r="H816" s="172" t="b">
        <v>1</v>
      </c>
      <c r="I816" s="172" t="b">
        <v>0</v>
      </c>
      <c r="J816" s="172" t="b">
        <v>0</v>
      </c>
      <c r="K816" s="172" t="b">
        <v>0</v>
      </c>
      <c r="L816" s="172" t="b">
        <v>0</v>
      </c>
      <c r="M816" s="172" t="b">
        <v>0</v>
      </c>
      <c r="N816" s="175" t="s">
        <v>4805</v>
      </c>
      <c r="O816" s="176" t="s">
        <v>4806</v>
      </c>
      <c r="P816" s="97" t="s">
        <v>4807</v>
      </c>
      <c r="Q816" s="174"/>
    </row>
    <row r="817" spans="8:8" ht="43.5" customHeight="1">
      <c r="A817" s="172">
        <v>7.0</v>
      </c>
      <c r="B817" s="171" t="s">
        <v>4081</v>
      </c>
      <c r="C817" s="172">
        <v>241204.0</v>
      </c>
      <c r="D817" s="171" t="s">
        <v>4859</v>
      </c>
      <c r="E817" s="172" t="s">
        <v>28</v>
      </c>
      <c r="F817" s="172" t="b">
        <v>0</v>
      </c>
      <c r="G817" s="172" t="b">
        <v>0</v>
      </c>
      <c r="H817" s="172" t="b">
        <v>1</v>
      </c>
      <c r="I817" s="172" t="b">
        <v>0</v>
      </c>
      <c r="J817" s="172" t="b">
        <v>0</v>
      </c>
      <c r="K817" s="172" t="b">
        <v>0</v>
      </c>
      <c r="L817" s="172" t="b">
        <v>0</v>
      </c>
      <c r="M817" s="172" t="b">
        <v>0</v>
      </c>
      <c r="N817" s="97" t="s">
        <v>4794</v>
      </c>
      <c r="O817" s="172" t="b">
        <v>0</v>
      </c>
      <c r="P817" s="97" t="s">
        <v>4836</v>
      </c>
      <c r="Q817" s="174"/>
    </row>
    <row r="818" spans="8:8" ht="43.5" customHeight="1">
      <c r="A818" s="172">
        <v>8.0</v>
      </c>
      <c r="B818" s="171" t="s">
        <v>4082</v>
      </c>
      <c r="C818" s="172">
        <v>251636.0</v>
      </c>
      <c r="D818" s="171" t="s">
        <v>4812</v>
      </c>
      <c r="E818" s="172" t="s">
        <v>28</v>
      </c>
      <c r="F818" s="172" t="b">
        <v>0</v>
      </c>
      <c r="G818" s="172" t="b">
        <v>0</v>
      </c>
      <c r="H818" s="172" t="b">
        <v>0</v>
      </c>
      <c r="I818" s="172" t="b">
        <v>0</v>
      </c>
      <c r="J818" s="172" t="b">
        <v>0</v>
      </c>
      <c r="K818" s="172" t="b">
        <v>0</v>
      </c>
      <c r="L818" s="172" t="b">
        <v>0</v>
      </c>
      <c r="M818" s="172" t="b">
        <v>0</v>
      </c>
      <c r="N818" s="97" t="s">
        <v>4795</v>
      </c>
      <c r="O818" s="172" t="b">
        <v>1</v>
      </c>
      <c r="P818" s="97"/>
      <c r="Q818" s="174"/>
    </row>
    <row r="819" spans="8:8" ht="43.5" customHeight="1">
      <c r="A819" s="172">
        <v>9.0</v>
      </c>
      <c r="B819" s="171" t="s">
        <v>4083</v>
      </c>
      <c r="C819" s="172">
        <v>251665.0</v>
      </c>
      <c r="D819" s="171" t="s">
        <v>4840</v>
      </c>
      <c r="E819" s="172" t="s">
        <v>28</v>
      </c>
      <c r="F819" s="172" t="b">
        <v>1</v>
      </c>
      <c r="G819" s="172" t="b">
        <v>0</v>
      </c>
      <c r="H819" s="172" t="b">
        <v>1</v>
      </c>
      <c r="I819" s="172" t="b">
        <v>0</v>
      </c>
      <c r="J819" s="172" t="b">
        <v>0</v>
      </c>
      <c r="K819" s="172" t="b">
        <v>0</v>
      </c>
      <c r="L819" s="172" t="b">
        <v>0</v>
      </c>
      <c r="M819" s="172" t="b">
        <v>0</v>
      </c>
      <c r="N819" s="97" t="s">
        <v>4796</v>
      </c>
      <c r="O819" s="172" t="b">
        <v>0</v>
      </c>
      <c r="P819" s="97" t="s">
        <v>4926</v>
      </c>
      <c r="Q819" s="174"/>
    </row>
    <row r="820" spans="8:8" ht="43.5" customHeight="1">
      <c r="A820" s="172">
        <v>10.0</v>
      </c>
      <c r="B820" s="171" t="s">
        <v>4084</v>
      </c>
      <c r="C820" s="172">
        <v>251668.0</v>
      </c>
      <c r="D820" s="171" t="s">
        <v>4840</v>
      </c>
      <c r="E820" s="172" t="s">
        <v>28</v>
      </c>
      <c r="F820" s="172" t="b">
        <v>1</v>
      </c>
      <c r="G820" s="172" t="b">
        <v>1</v>
      </c>
      <c r="H820" s="172" t="b">
        <v>1</v>
      </c>
      <c r="I820" s="172" t="b">
        <v>0</v>
      </c>
      <c r="J820" s="172" t="b">
        <v>0</v>
      </c>
      <c r="K820" s="172" t="b">
        <v>0</v>
      </c>
      <c r="L820" s="172" t="b">
        <v>0</v>
      </c>
      <c r="M820" s="172" t="b">
        <v>0</v>
      </c>
      <c r="N820" s="97" t="s">
        <v>4797</v>
      </c>
      <c r="O820" s="172" t="b">
        <v>0</v>
      </c>
      <c r="P820" s="97"/>
      <c r="Q820" s="174"/>
    </row>
    <row r="821" spans="8:8" ht="43.5" customHeight="1">
      <c r="A821" s="172">
        <v>12.0</v>
      </c>
      <c r="B821" s="171" t="s">
        <v>3606</v>
      </c>
      <c r="C821" s="172">
        <v>251679.0</v>
      </c>
      <c r="D821" s="171" t="s">
        <v>4840</v>
      </c>
      <c r="E821" s="172" t="s">
        <v>28</v>
      </c>
      <c r="F821" s="172" t="b">
        <v>0</v>
      </c>
      <c r="G821" s="172" t="b">
        <v>1</v>
      </c>
      <c r="H821" s="172" t="b">
        <v>0</v>
      </c>
      <c r="I821" s="172" t="b">
        <v>0</v>
      </c>
      <c r="J821" s="172" t="b">
        <v>0</v>
      </c>
      <c r="K821" s="172" t="b">
        <v>0</v>
      </c>
      <c r="L821" s="172" t="b">
        <v>0</v>
      </c>
      <c r="M821" s="172" t="b">
        <v>0</v>
      </c>
      <c r="N821" s="97" t="s">
        <v>4798</v>
      </c>
      <c r="O821" s="172" t="b">
        <v>0</v>
      </c>
      <c r="P821" s="97"/>
      <c r="Q821" s="174"/>
    </row>
    <row r="822" spans="8:8" ht="43.5" customHeight="1">
      <c r="A822" s="172">
        <v>13.0</v>
      </c>
      <c r="B822" s="171" t="s">
        <v>3607</v>
      </c>
      <c r="C822" s="172">
        <v>251528.0</v>
      </c>
      <c r="D822" s="171" t="s">
        <v>4813</v>
      </c>
      <c r="E822" s="172" t="s">
        <v>28</v>
      </c>
      <c r="F822" s="172" t="b">
        <v>1</v>
      </c>
      <c r="G822" s="172" t="b">
        <v>1</v>
      </c>
      <c r="H822" s="172" t="b">
        <v>0</v>
      </c>
      <c r="I822" s="172" t="b">
        <v>0</v>
      </c>
      <c r="J822" s="172" t="b">
        <v>0</v>
      </c>
      <c r="K822" s="172" t="b">
        <v>0</v>
      </c>
      <c r="L822" s="172" t="b">
        <v>0</v>
      </c>
      <c r="M822" s="172" t="b">
        <v>0</v>
      </c>
      <c r="N822" s="97" t="s">
        <v>4799</v>
      </c>
      <c r="O822" s="172" t="b">
        <v>0</v>
      </c>
      <c r="P822" s="97"/>
      <c r="Q822" s="174"/>
    </row>
    <row r="823" spans="8:8" ht="43.5" customHeight="1">
      <c r="A823" s="172">
        <v>14.0</v>
      </c>
      <c r="B823" s="171" t="s">
        <v>4085</v>
      </c>
      <c r="C823" s="172">
        <v>251696.0</v>
      </c>
      <c r="D823" s="171" t="s">
        <v>4811</v>
      </c>
      <c r="E823" s="172" t="s">
        <v>28</v>
      </c>
      <c r="F823" s="172" t="b">
        <v>1</v>
      </c>
      <c r="G823" s="172" t="b">
        <v>1</v>
      </c>
      <c r="H823" s="172" t="b">
        <v>1</v>
      </c>
      <c r="I823" s="172" t="b">
        <v>0</v>
      </c>
      <c r="J823" s="172" t="b">
        <v>0</v>
      </c>
      <c r="K823" s="172" t="b">
        <v>0</v>
      </c>
      <c r="L823" s="172" t="b">
        <v>0</v>
      </c>
      <c r="M823" s="172" t="b">
        <v>0</v>
      </c>
      <c r="N823" s="97" t="s">
        <v>4800</v>
      </c>
      <c r="O823" s="172" t="b">
        <v>0</v>
      </c>
      <c r="P823" s="97"/>
      <c r="Q823" s="174"/>
    </row>
    <row r="824" spans="8:8" ht="43.5" customHeight="1">
      <c r="A824" s="172">
        <v>15.0</v>
      </c>
      <c r="B824" s="171" t="s">
        <v>4086</v>
      </c>
      <c r="C824" s="172">
        <v>251524.0</v>
      </c>
      <c r="D824" s="171" t="s">
        <v>4814</v>
      </c>
      <c r="E824" s="172" t="s">
        <v>28</v>
      </c>
      <c r="F824" s="172" t="b">
        <v>1</v>
      </c>
      <c r="G824" s="172" t="b">
        <v>0</v>
      </c>
      <c r="H824" s="172" t="b">
        <v>0</v>
      </c>
      <c r="I824" s="172" t="b">
        <v>0</v>
      </c>
      <c r="J824" s="172" t="b">
        <v>0</v>
      </c>
      <c r="K824" s="172" t="b">
        <v>0</v>
      </c>
      <c r="L824" s="172" t="b">
        <v>0</v>
      </c>
      <c r="M824" s="172" t="b">
        <v>0</v>
      </c>
      <c r="N824" s="97" t="s">
        <v>4801</v>
      </c>
      <c r="O824" s="172" t="b">
        <v>0</v>
      </c>
      <c r="P824" s="97"/>
      <c r="Q824" s="174"/>
    </row>
    <row r="825" spans="8:8" ht="43.5" customHeight="1">
      <c r="A825" s="172">
        <v>17.0</v>
      </c>
      <c r="B825" s="171" t="s">
        <v>4087</v>
      </c>
      <c r="C825" s="172">
        <v>253095.0</v>
      </c>
      <c r="D825" s="171" t="s">
        <v>4819</v>
      </c>
      <c r="E825" s="172" t="s">
        <v>28</v>
      </c>
      <c r="F825" s="172" t="b">
        <v>0</v>
      </c>
      <c r="G825" s="172" t="b">
        <v>0</v>
      </c>
      <c r="H825" s="172" t="b">
        <v>1</v>
      </c>
      <c r="I825" s="172" t="b">
        <v>0</v>
      </c>
      <c r="J825" s="172" t="b">
        <v>0</v>
      </c>
      <c r="K825" s="172" t="b">
        <v>0</v>
      </c>
      <c r="L825" s="172" t="b">
        <v>0</v>
      </c>
      <c r="M825" s="172" t="b">
        <v>0</v>
      </c>
      <c r="N825" s="189"/>
      <c r="O825" s="189"/>
      <c r="P825" s="189"/>
    </row>
    <row r="826" spans="8:8" ht="43.5" customHeight="1">
      <c r="A826" s="172">
        <v>18.0</v>
      </c>
      <c r="B826" s="171" t="s">
        <v>4088</v>
      </c>
      <c r="C826" s="172">
        <v>253038.0</v>
      </c>
      <c r="D826" s="171" t="s">
        <v>4811</v>
      </c>
      <c r="E826" s="172" t="s">
        <v>28</v>
      </c>
      <c r="F826" s="172" t="b">
        <v>0</v>
      </c>
      <c r="G826" s="172" t="b">
        <v>0</v>
      </c>
      <c r="H826" s="172" t="b">
        <v>1</v>
      </c>
      <c r="I826" s="172" t="b">
        <v>0</v>
      </c>
      <c r="J826" s="172" t="b">
        <v>0</v>
      </c>
      <c r="K826" s="172" t="b">
        <v>0</v>
      </c>
      <c r="L826" s="172" t="b">
        <v>0</v>
      </c>
      <c r="M826" s="172" t="b">
        <v>0</v>
      </c>
      <c r="N826" s="97"/>
      <c r="O826" s="97"/>
      <c r="P826" s="97"/>
      <c r="Q826" s="174"/>
    </row>
    <row r="827" spans="8:8" ht="43.5" customHeight="1">
      <c r="A827" s="172">
        <v>19.0</v>
      </c>
      <c r="B827" s="181" t="s">
        <v>4089</v>
      </c>
      <c r="C827" s="97">
        <v>252921.0</v>
      </c>
      <c r="D827" s="181" t="s">
        <v>4814</v>
      </c>
      <c r="E827" s="172" t="s">
        <v>28</v>
      </c>
      <c r="F827" s="172" t="b">
        <v>0</v>
      </c>
      <c r="G827" s="172" t="b">
        <v>0</v>
      </c>
      <c r="H827" s="172" t="b">
        <v>1</v>
      </c>
      <c r="I827" s="172" t="b">
        <v>0</v>
      </c>
      <c r="J827" s="172" t="b">
        <v>0</v>
      </c>
      <c r="K827" s="172" t="b">
        <v>0</v>
      </c>
      <c r="L827" s="172" t="b">
        <v>0</v>
      </c>
      <c r="M827" s="172" t="b">
        <v>0</v>
      </c>
      <c r="N827" s="97"/>
      <c r="O827" s="97"/>
      <c r="P827" s="97"/>
      <c r="Q827" s="174"/>
    </row>
    <row r="828" spans="8:8" ht="43.5" customHeight="1">
      <c r="A828" s="172">
        <v>20.0</v>
      </c>
      <c r="B828" s="181" t="s">
        <v>1268</v>
      </c>
      <c r="C828" s="97">
        <v>253149.0</v>
      </c>
      <c r="D828" s="181" t="s">
        <v>4927</v>
      </c>
      <c r="E828" s="172" t="s">
        <v>28</v>
      </c>
      <c r="F828" s="172" t="b">
        <v>0</v>
      </c>
      <c r="G828" s="172" t="b">
        <v>1</v>
      </c>
      <c r="H828" s="172" t="b">
        <v>1</v>
      </c>
      <c r="I828" s="172" t="b">
        <v>0</v>
      </c>
      <c r="J828" s="172" t="b">
        <v>0</v>
      </c>
      <c r="K828" s="172" t="b">
        <v>0</v>
      </c>
      <c r="L828" s="172" t="b">
        <v>0</v>
      </c>
      <c r="M828" s="172" t="b">
        <v>0</v>
      </c>
      <c r="N828" s="97"/>
      <c r="O828" s="97"/>
      <c r="P828" s="97"/>
      <c r="Q828" s="174"/>
    </row>
    <row r="829" spans="8:8" ht="43.5" customHeight="1">
      <c r="A829" s="172">
        <v>21.0</v>
      </c>
      <c r="B829" s="181" t="s">
        <v>3605</v>
      </c>
      <c r="C829" s="97">
        <v>253080.0</v>
      </c>
      <c r="D829" s="181" t="s">
        <v>4811</v>
      </c>
      <c r="E829" s="172" t="s">
        <v>28</v>
      </c>
      <c r="F829" s="172" t="b">
        <v>1</v>
      </c>
      <c r="G829" s="172" t="b">
        <v>1</v>
      </c>
      <c r="H829" s="172" t="b">
        <v>0</v>
      </c>
      <c r="I829" s="172" t="b">
        <v>0</v>
      </c>
      <c r="J829" s="172" t="b">
        <v>0</v>
      </c>
      <c r="K829" s="172" t="b">
        <v>0</v>
      </c>
      <c r="L829" s="172" t="b">
        <v>0</v>
      </c>
      <c r="M829" s="172" t="b">
        <v>0</v>
      </c>
      <c r="N829" s="97"/>
      <c r="O829" s="97"/>
      <c r="P829" s="97"/>
      <c r="Q829" s="174"/>
    </row>
    <row r="830" spans="8:8" ht="43.5" customHeight="1">
      <c r="A830" s="172">
        <v>22.0</v>
      </c>
      <c r="B830" s="171" t="s">
        <v>4782</v>
      </c>
      <c r="C830" s="172">
        <v>251477.0</v>
      </c>
      <c r="D830" s="181" t="s">
        <v>4811</v>
      </c>
      <c r="E830" s="172" t="s">
        <v>28</v>
      </c>
      <c r="F830" s="172" t="b">
        <v>0</v>
      </c>
      <c r="G830" s="172" t="b">
        <v>0</v>
      </c>
      <c r="H830" s="172" t="b">
        <v>0</v>
      </c>
      <c r="I830" s="172" t="b">
        <v>0</v>
      </c>
      <c r="J830" s="172" t="b">
        <v>0</v>
      </c>
      <c r="K830" s="172" t="b">
        <v>0</v>
      </c>
      <c r="L830" s="172" t="b">
        <v>0</v>
      </c>
      <c r="M830" s="172" t="b">
        <v>0</v>
      </c>
      <c r="N830" s="97"/>
      <c r="O830" s="97"/>
      <c r="P830" s="97"/>
      <c r="Q830" s="174"/>
    </row>
    <row r="831" spans="8:8" ht="43.5" customHeight="1">
      <c r="A831" s="172">
        <v>24.0</v>
      </c>
      <c r="B831" s="181" t="s">
        <v>3510</v>
      </c>
      <c r="C831" s="97">
        <v>253037.0</v>
      </c>
      <c r="D831" s="181" t="s">
        <v>4819</v>
      </c>
      <c r="E831" s="172" t="s">
        <v>28</v>
      </c>
      <c r="F831" s="172" t="b">
        <v>0</v>
      </c>
      <c r="G831" s="172" t="b">
        <v>0</v>
      </c>
      <c r="H831" s="172" t="b">
        <v>0</v>
      </c>
      <c r="I831" s="172" t="b">
        <v>0</v>
      </c>
      <c r="J831" s="172" t="b">
        <v>0</v>
      </c>
      <c r="K831" s="172" t="b">
        <v>0</v>
      </c>
      <c r="L831" s="172" t="b">
        <v>0</v>
      </c>
      <c r="M831" s="172" t="b">
        <v>0</v>
      </c>
      <c r="N831" s="97"/>
      <c r="O831" s="97"/>
      <c r="P831" s="97"/>
      <c r="Q831" s="174"/>
    </row>
    <row r="832" spans="8:8" ht="43.5" customHeight="1">
      <c r="A832" s="172">
        <v>25.0</v>
      </c>
      <c r="B832" s="171" t="s">
        <v>4090</v>
      </c>
      <c r="C832" s="172">
        <v>251504.0</v>
      </c>
      <c r="D832" s="171" t="s">
        <v>4814</v>
      </c>
      <c r="E832" s="97" t="s">
        <v>28</v>
      </c>
      <c r="F832" s="172" t="b">
        <v>1</v>
      </c>
      <c r="G832" s="172" t="b">
        <v>0</v>
      </c>
      <c r="H832" s="172" t="b">
        <v>1</v>
      </c>
      <c r="I832" s="172" t="b">
        <v>0</v>
      </c>
      <c r="J832" s="172" t="b">
        <v>0</v>
      </c>
      <c r="K832" s="172" t="b">
        <v>0</v>
      </c>
      <c r="L832" s="172" t="b">
        <v>0</v>
      </c>
      <c r="M832" s="172" t="b">
        <v>0</v>
      </c>
      <c r="N832" s="97"/>
      <c r="O832" s="97"/>
      <c r="P832" s="97"/>
      <c r="Q832" s="174"/>
    </row>
    <row r="833" spans="8:8" ht="43.5" customHeight="1">
      <c r="A833" s="170">
        <v>16.0</v>
      </c>
      <c r="B833" s="171" t="s">
        <v>4091</v>
      </c>
      <c r="C833" s="172">
        <v>251540.0</v>
      </c>
      <c r="D833" s="171" t="s">
        <v>4838</v>
      </c>
      <c r="E833" s="172" t="s">
        <v>28</v>
      </c>
      <c r="F833" s="172" t="b">
        <v>1</v>
      </c>
      <c r="G833" s="172" t="b">
        <v>1</v>
      </c>
      <c r="H833" s="172" t="b">
        <v>1</v>
      </c>
      <c r="I833" s="172" t="b">
        <v>0</v>
      </c>
      <c r="J833" s="172" t="b">
        <v>0</v>
      </c>
      <c r="K833" s="172" t="b">
        <v>0</v>
      </c>
      <c r="L833" s="172" t="b">
        <v>0</v>
      </c>
      <c r="M833" s="172" t="b">
        <v>0</v>
      </c>
      <c r="N833" s="97"/>
      <c r="O833" s="97"/>
      <c r="P833" s="97"/>
      <c r="Q833" s="174"/>
    </row>
    <row r="834" spans="8:8" ht="43.5" customHeight="1">
      <c r="A834" s="97"/>
      <c r="B834" s="182" t="s">
        <v>4815</v>
      </c>
      <c r="C834" s="97"/>
      <c r="D834" s="97"/>
      <c r="E834" s="183"/>
      <c r="F834" s="184">
        <f t="shared" si="28" ref="F834:M834">COUNTIF(F152:F824,TRUE)/COUNTA(F152:F824)</f>
        <v>0.22652757078986588</v>
      </c>
      <c r="G834" s="184">
        <f t="shared" si="28"/>
        <v>0.45156482861400893</v>
      </c>
      <c r="H834" s="184">
        <f t="shared" si="28"/>
        <v>0.5067064083457526</v>
      </c>
      <c r="I834" s="184">
        <f t="shared" si="28"/>
        <v>0.040238450074515646</v>
      </c>
      <c r="J834" s="184">
        <f t="shared" si="28"/>
        <v>0.0</v>
      </c>
      <c r="K834" s="184">
        <f t="shared" si="28"/>
        <v>0.0</v>
      </c>
      <c r="L834" s="184">
        <f t="shared" si="28"/>
        <v>0.0014903129657228018</v>
      </c>
      <c r="M834" s="184">
        <f t="shared" si="28"/>
        <v>0.0</v>
      </c>
      <c r="N834" s="97"/>
      <c r="O834" s="97"/>
      <c r="P834" s="97"/>
      <c r="Q834" s="174"/>
    </row>
    <row r="835" spans="8:8" ht="43.5" customHeight="1">
      <c r="A835" s="162" t="s">
        <v>18</v>
      </c>
      <c r="B835" s="162" t="s">
        <v>19</v>
      </c>
      <c r="C835" s="163"/>
      <c r="D835" s="162" t="s">
        <v>4530</v>
      </c>
      <c r="E835" s="162" t="s">
        <v>22</v>
      </c>
      <c r="F835" s="163" t="s">
        <v>4794</v>
      </c>
      <c r="G835" s="163" t="s">
        <v>4795</v>
      </c>
      <c r="H835" s="163" t="s">
        <v>4796</v>
      </c>
      <c r="I835" s="163" t="s">
        <v>4797</v>
      </c>
      <c r="J835" s="163" t="s">
        <v>4798</v>
      </c>
      <c r="K835" s="163" t="s">
        <v>4799</v>
      </c>
      <c r="L835" s="163" t="s">
        <v>4800</v>
      </c>
      <c r="M835" s="163" t="s">
        <v>4801</v>
      </c>
      <c r="N835" s="166" t="s">
        <v>4928</v>
      </c>
      <c r="O835" s="167"/>
      <c r="P835" s="168"/>
      <c r="Q835" s="169"/>
    </row>
    <row r="836" spans="8:8" ht="43.5" customHeight="1">
      <c r="A836" s="172">
        <v>1.0</v>
      </c>
      <c r="B836" s="171" t="s">
        <v>4106</v>
      </c>
      <c r="C836" s="172">
        <v>251680.0</v>
      </c>
      <c r="D836" s="171" t="s">
        <v>4840</v>
      </c>
      <c r="E836" s="172" t="s">
        <v>111</v>
      </c>
      <c r="F836" s="172" t="b">
        <v>1</v>
      </c>
      <c r="G836" s="172" t="b">
        <v>1</v>
      </c>
      <c r="H836" s="172" t="b">
        <v>1</v>
      </c>
      <c r="I836" s="172" t="b">
        <v>0</v>
      </c>
      <c r="J836" s="172" t="b">
        <v>0</v>
      </c>
      <c r="K836" s="172" t="b">
        <v>0</v>
      </c>
      <c r="L836" s="172" t="b">
        <v>0</v>
      </c>
      <c r="M836" s="172" t="b">
        <v>0</v>
      </c>
      <c r="N836" s="173" t="s">
        <v>4804</v>
      </c>
      <c r="O836" s="167"/>
      <c r="P836" s="168"/>
      <c r="Q836" s="174"/>
    </row>
    <row r="837" spans="8:8" ht="43.5" customHeight="1">
      <c r="A837" s="172">
        <v>4.0</v>
      </c>
      <c r="B837" s="171" t="s">
        <v>3744</v>
      </c>
      <c r="C837" s="172">
        <v>251687.0</v>
      </c>
      <c r="D837" s="171" t="s">
        <v>4840</v>
      </c>
      <c r="E837" s="172" t="s">
        <v>111</v>
      </c>
      <c r="F837" s="172" t="b">
        <v>1</v>
      </c>
      <c r="G837" s="172" t="b">
        <v>1</v>
      </c>
      <c r="H837" s="172" t="b">
        <v>0</v>
      </c>
      <c r="I837" s="172" t="b">
        <v>0</v>
      </c>
      <c r="J837" s="172" t="b">
        <v>0</v>
      </c>
      <c r="K837" s="172" t="b">
        <v>0</v>
      </c>
      <c r="L837" s="172" t="b">
        <v>0</v>
      </c>
      <c r="M837" s="172" t="b">
        <v>0</v>
      </c>
      <c r="N837" s="175" t="s">
        <v>4805</v>
      </c>
      <c r="O837" s="176" t="s">
        <v>4806</v>
      </c>
      <c r="P837" s="97" t="s">
        <v>4807</v>
      </c>
      <c r="Q837" s="174"/>
    </row>
    <row r="838" spans="8:8" ht="43.5" customHeight="1">
      <c r="A838" s="172">
        <v>6.0</v>
      </c>
      <c r="B838" s="171" t="s">
        <v>4107</v>
      </c>
      <c r="C838" s="172">
        <v>251693.0</v>
      </c>
      <c r="D838" s="171" t="s">
        <v>4843</v>
      </c>
      <c r="E838" s="172" t="s">
        <v>111</v>
      </c>
      <c r="F838" s="172" t="b">
        <v>1</v>
      </c>
      <c r="G838" s="172" t="b">
        <v>1</v>
      </c>
      <c r="H838" s="172" t="b">
        <v>0</v>
      </c>
      <c r="I838" s="172" t="b">
        <v>0</v>
      </c>
      <c r="J838" s="172" t="b">
        <v>0</v>
      </c>
      <c r="K838" s="172" t="b">
        <v>0</v>
      </c>
      <c r="L838" s="172" t="b">
        <v>0</v>
      </c>
      <c r="M838" s="172" t="b">
        <v>0</v>
      </c>
      <c r="N838" s="97" t="s">
        <v>4794</v>
      </c>
      <c r="O838" s="172" t="b">
        <v>1</v>
      </c>
      <c r="P838" s="97"/>
      <c r="Q838" s="174"/>
    </row>
    <row r="839" spans="8:8" ht="43.5" customHeight="1">
      <c r="A839" s="172">
        <v>7.0</v>
      </c>
      <c r="B839" s="171" t="s">
        <v>4108</v>
      </c>
      <c r="C839" s="172">
        <v>251697.0</v>
      </c>
      <c r="D839" s="171" t="s">
        <v>4843</v>
      </c>
      <c r="E839" s="172" t="s">
        <v>111</v>
      </c>
      <c r="F839" s="172" t="b">
        <v>1</v>
      </c>
      <c r="G839" s="172" t="b">
        <v>1</v>
      </c>
      <c r="H839" s="172" t="b">
        <v>0</v>
      </c>
      <c r="I839" s="172" t="b">
        <v>0</v>
      </c>
      <c r="J839" s="172" t="b">
        <v>0</v>
      </c>
      <c r="K839" s="172" t="b">
        <v>0</v>
      </c>
      <c r="L839" s="172" t="b">
        <v>0</v>
      </c>
      <c r="M839" s="172" t="b">
        <v>0</v>
      </c>
      <c r="N839" s="97" t="s">
        <v>4795</v>
      </c>
      <c r="O839" s="172" t="b">
        <v>1</v>
      </c>
      <c r="P839" s="97"/>
      <c r="Q839" s="174"/>
    </row>
    <row r="840" spans="8:8" ht="43.5" customHeight="1">
      <c r="A840" s="172">
        <v>8.0</v>
      </c>
      <c r="B840" s="171" t="s">
        <v>3684</v>
      </c>
      <c r="C840" s="172">
        <v>251698.0</v>
      </c>
      <c r="D840" s="171" t="s">
        <v>4843</v>
      </c>
      <c r="E840" s="172" t="s">
        <v>111</v>
      </c>
      <c r="F840" s="172" t="b">
        <v>0</v>
      </c>
      <c r="G840" s="172" t="b">
        <v>0</v>
      </c>
      <c r="H840" s="172" t="b">
        <v>1</v>
      </c>
      <c r="I840" s="172" t="b">
        <v>0</v>
      </c>
      <c r="J840" s="172" t="b">
        <v>0</v>
      </c>
      <c r="K840" s="172" t="b">
        <v>0</v>
      </c>
      <c r="L840" s="172" t="b">
        <v>0</v>
      </c>
      <c r="M840" s="172" t="b">
        <v>0</v>
      </c>
      <c r="N840" s="97" t="s">
        <v>4796</v>
      </c>
      <c r="O840" s="172" t="b">
        <v>0</v>
      </c>
      <c r="P840" s="97"/>
      <c r="Q840" s="174"/>
    </row>
    <row r="841" spans="8:8" ht="43.5" customHeight="1">
      <c r="A841" s="172">
        <v>11.0</v>
      </c>
      <c r="B841" s="171" t="s">
        <v>4109</v>
      </c>
      <c r="C841" s="172">
        <v>251733.0</v>
      </c>
      <c r="D841" s="171" t="s">
        <v>4820</v>
      </c>
      <c r="E841" s="172" t="s">
        <v>111</v>
      </c>
      <c r="F841" s="172" t="b">
        <v>1</v>
      </c>
      <c r="G841" s="172" t="b">
        <v>1</v>
      </c>
      <c r="H841" s="172" t="b">
        <v>1</v>
      </c>
      <c r="I841" s="172" t="b">
        <v>0</v>
      </c>
      <c r="J841" s="172" t="b">
        <v>0</v>
      </c>
      <c r="K841" s="172" t="b">
        <v>0</v>
      </c>
      <c r="L841" s="172" t="b">
        <v>0</v>
      </c>
      <c r="M841" s="172" t="b">
        <v>0</v>
      </c>
      <c r="N841" s="97" t="s">
        <v>4797</v>
      </c>
      <c r="O841" s="172" t="b">
        <v>0</v>
      </c>
      <c r="P841" s="97"/>
      <c r="Q841" s="174"/>
    </row>
    <row r="842" spans="8:8" ht="43.5" customHeight="1">
      <c r="A842" s="172">
        <v>12.0</v>
      </c>
      <c r="B842" s="171" t="s">
        <v>4110</v>
      </c>
      <c r="C842" s="172">
        <v>251735.0</v>
      </c>
      <c r="D842" s="171" t="s">
        <v>4820</v>
      </c>
      <c r="E842" s="172" t="s">
        <v>111</v>
      </c>
      <c r="F842" s="172" t="b">
        <v>0</v>
      </c>
      <c r="G842" s="172" t="b">
        <v>1</v>
      </c>
      <c r="H842" s="172" t="b">
        <v>1</v>
      </c>
      <c r="I842" s="172" t="b">
        <v>0</v>
      </c>
      <c r="J842" s="172" t="b">
        <v>0</v>
      </c>
      <c r="K842" s="172" t="b">
        <v>0</v>
      </c>
      <c r="L842" s="172" t="b">
        <v>0</v>
      </c>
      <c r="M842" s="172" t="b">
        <v>0</v>
      </c>
      <c r="N842" s="97" t="s">
        <v>4798</v>
      </c>
      <c r="O842" s="172" t="b">
        <v>0</v>
      </c>
      <c r="P842" s="97"/>
      <c r="Q842" s="174"/>
    </row>
    <row r="843" spans="8:8" ht="43.5" customHeight="1">
      <c r="A843" s="172">
        <v>13.0</v>
      </c>
      <c r="B843" s="171" t="s">
        <v>4111</v>
      </c>
      <c r="C843" s="172">
        <v>251737.0</v>
      </c>
      <c r="D843" s="171" t="s">
        <v>4820</v>
      </c>
      <c r="E843" s="172" t="s">
        <v>111</v>
      </c>
      <c r="F843" s="172" t="b">
        <v>1</v>
      </c>
      <c r="G843" s="172" t="b">
        <v>1</v>
      </c>
      <c r="H843" s="172" t="b">
        <v>0</v>
      </c>
      <c r="I843" s="172" t="b">
        <v>0</v>
      </c>
      <c r="J843" s="172" t="b">
        <v>0</v>
      </c>
      <c r="K843" s="172" t="b">
        <v>0</v>
      </c>
      <c r="L843" s="172" t="b">
        <v>0</v>
      </c>
      <c r="M843" s="172" t="b">
        <v>0</v>
      </c>
      <c r="N843" s="97" t="s">
        <v>4799</v>
      </c>
      <c r="O843" s="172" t="b">
        <v>0</v>
      </c>
      <c r="P843" s="97"/>
      <c r="Q843" s="174"/>
    </row>
    <row r="844" spans="8:8" ht="43.5" customHeight="1">
      <c r="A844" s="172">
        <v>15.0</v>
      </c>
      <c r="B844" s="171" t="s">
        <v>4112</v>
      </c>
      <c r="C844" s="172">
        <v>251739.0</v>
      </c>
      <c r="D844" s="171" t="s">
        <v>4820</v>
      </c>
      <c r="E844" s="172" t="s">
        <v>111</v>
      </c>
      <c r="F844" s="172" t="b">
        <v>0</v>
      </c>
      <c r="G844" s="172" t="b">
        <v>0</v>
      </c>
      <c r="H844" s="172" t="b">
        <v>0</v>
      </c>
      <c r="I844" s="172" t="b">
        <v>0</v>
      </c>
      <c r="J844" s="172" t="b">
        <v>0</v>
      </c>
      <c r="K844" s="172" t="b">
        <v>0</v>
      </c>
      <c r="L844" s="172" t="b">
        <v>0</v>
      </c>
      <c r="M844" s="172" t="b">
        <v>0</v>
      </c>
      <c r="N844" s="97" t="s">
        <v>4800</v>
      </c>
      <c r="O844" s="172" t="b">
        <v>0</v>
      </c>
      <c r="P844" s="97"/>
      <c r="Q844" s="174"/>
    </row>
    <row r="845" spans="8:8" ht="43.5" customHeight="1">
      <c r="A845" s="172">
        <v>16.0</v>
      </c>
      <c r="B845" s="171" t="s">
        <v>4113</v>
      </c>
      <c r="C845" s="172">
        <v>251740.0</v>
      </c>
      <c r="D845" s="171" t="s">
        <v>4820</v>
      </c>
      <c r="E845" s="172" t="s">
        <v>111</v>
      </c>
      <c r="F845" s="172" t="b">
        <v>1</v>
      </c>
      <c r="G845" s="172" t="b">
        <v>1</v>
      </c>
      <c r="H845" s="172" t="b">
        <v>1</v>
      </c>
      <c r="I845" s="172" t="b">
        <v>0</v>
      </c>
      <c r="J845" s="172" t="b">
        <v>0</v>
      </c>
      <c r="K845" s="172" t="b">
        <v>0</v>
      </c>
      <c r="L845" s="172" t="b">
        <v>0</v>
      </c>
      <c r="M845" s="172" t="b">
        <v>0</v>
      </c>
      <c r="N845" s="97" t="s">
        <v>4801</v>
      </c>
      <c r="O845" s="172" t="b">
        <v>0</v>
      </c>
      <c r="P845" s="97"/>
      <c r="Q845" s="174"/>
    </row>
    <row r="846" spans="8:8" ht="43.5" customHeight="1">
      <c r="A846" s="172">
        <v>17.0</v>
      </c>
      <c r="B846" s="171" t="s">
        <v>3740</v>
      </c>
      <c r="C846" s="172">
        <v>251747.0</v>
      </c>
      <c r="D846" s="171" t="s">
        <v>4820</v>
      </c>
      <c r="E846" s="172" t="s">
        <v>111</v>
      </c>
      <c r="F846" s="172" t="b">
        <v>1</v>
      </c>
      <c r="G846" s="172" t="b">
        <v>1</v>
      </c>
      <c r="H846" s="172" t="b">
        <v>0</v>
      </c>
      <c r="I846" s="172" t="b">
        <v>0</v>
      </c>
      <c r="J846" s="172" t="b">
        <v>0</v>
      </c>
      <c r="K846" s="172" t="b">
        <v>0</v>
      </c>
      <c r="L846" s="172" t="b">
        <v>0</v>
      </c>
      <c r="M846" s="172" t="b">
        <v>0</v>
      </c>
      <c r="N846" s="97"/>
      <c r="O846" s="97"/>
      <c r="P846" s="97"/>
      <c r="Q846" s="174"/>
    </row>
    <row r="847" spans="8:8" ht="43.5" customHeight="1">
      <c r="A847" s="172">
        <v>20.0</v>
      </c>
      <c r="B847" s="171" t="s">
        <v>3682</v>
      </c>
      <c r="C847" s="172">
        <v>251751.0</v>
      </c>
      <c r="D847" s="171" t="s">
        <v>4828</v>
      </c>
      <c r="E847" s="172" t="s">
        <v>111</v>
      </c>
      <c r="F847" s="172" t="b">
        <v>1</v>
      </c>
      <c r="G847" s="172" t="b">
        <v>0</v>
      </c>
      <c r="H847" s="172" t="b">
        <v>1</v>
      </c>
      <c r="I847" s="172" t="b">
        <v>0</v>
      </c>
      <c r="J847" s="172" t="b">
        <v>0</v>
      </c>
      <c r="K847" s="172" t="b">
        <v>0</v>
      </c>
      <c r="L847" s="172" t="b">
        <v>0</v>
      </c>
      <c r="M847" s="172" t="b">
        <v>0</v>
      </c>
      <c r="N847" s="97"/>
      <c r="O847" s="97"/>
      <c r="P847" s="97"/>
      <c r="Q847" s="174"/>
    </row>
    <row r="848" spans="8:8" ht="43.5" customHeight="1">
      <c r="A848" s="172">
        <v>21.0</v>
      </c>
      <c r="B848" s="171" t="s">
        <v>4114</v>
      </c>
      <c r="C848" s="172">
        <v>251757.0</v>
      </c>
      <c r="D848" s="171" t="s">
        <v>4828</v>
      </c>
      <c r="E848" s="172" t="s">
        <v>111</v>
      </c>
      <c r="F848" s="172" t="b">
        <v>1</v>
      </c>
      <c r="G848" s="172" t="b">
        <v>1</v>
      </c>
      <c r="H848" s="172" t="b">
        <v>1</v>
      </c>
      <c r="I848" s="172" t="b">
        <v>0</v>
      </c>
      <c r="J848" s="172" t="b">
        <v>0</v>
      </c>
      <c r="K848" s="172" t="b">
        <v>0</v>
      </c>
      <c r="L848" s="172" t="b">
        <v>0</v>
      </c>
      <c r="M848" s="172" t="b">
        <v>0</v>
      </c>
      <c r="N848" s="189"/>
      <c r="O848" s="189"/>
      <c r="P848" s="189"/>
    </row>
    <row r="849" spans="8:8" ht="43.5" customHeight="1">
      <c r="A849" s="172">
        <v>23.0</v>
      </c>
      <c r="B849" s="171" t="s">
        <v>3742</v>
      </c>
      <c r="C849" s="172">
        <v>251760.0</v>
      </c>
      <c r="D849" s="171" t="s">
        <v>4828</v>
      </c>
      <c r="E849" s="172" t="s">
        <v>111</v>
      </c>
      <c r="F849" s="172" t="b">
        <v>0</v>
      </c>
      <c r="G849" s="172" t="b">
        <v>1</v>
      </c>
      <c r="H849" s="172" t="b">
        <v>1</v>
      </c>
      <c r="I849" s="172" t="b">
        <v>0</v>
      </c>
      <c r="J849" s="172" t="b">
        <v>0</v>
      </c>
      <c r="K849" s="172" t="b">
        <v>0</v>
      </c>
      <c r="L849" s="172" t="b">
        <v>0</v>
      </c>
      <c r="M849" s="172" t="b">
        <v>0</v>
      </c>
      <c r="N849" s="97"/>
      <c r="O849" s="97"/>
      <c r="P849" s="97"/>
      <c r="Q849" s="174"/>
    </row>
    <row r="850" spans="8:8" ht="43.5" customHeight="1">
      <c r="A850" s="172">
        <v>24.0</v>
      </c>
      <c r="B850" s="171" t="s">
        <v>4115</v>
      </c>
      <c r="C850" s="172">
        <v>251764.0</v>
      </c>
      <c r="D850" s="171" t="s">
        <v>4828</v>
      </c>
      <c r="E850" s="172" t="s">
        <v>111</v>
      </c>
      <c r="F850" s="172" t="b">
        <v>1</v>
      </c>
      <c r="G850" s="172" t="b">
        <v>1</v>
      </c>
      <c r="H850" s="172" t="b">
        <v>1</v>
      </c>
      <c r="I850" s="172" t="b">
        <v>0</v>
      </c>
      <c r="J850" s="172" t="b">
        <v>0</v>
      </c>
      <c r="K850" s="172" t="b">
        <v>0</v>
      </c>
      <c r="L850" s="172" t="b">
        <v>0</v>
      </c>
      <c r="M850" s="172" t="b">
        <v>0</v>
      </c>
      <c r="N850" s="189"/>
      <c r="O850" s="189"/>
      <c r="P850" s="189"/>
    </row>
    <row r="851" spans="8:8" ht="43.5" customHeight="1">
      <c r="A851" s="172">
        <v>25.0</v>
      </c>
      <c r="B851" s="171" t="s">
        <v>3743</v>
      </c>
      <c r="C851" s="172">
        <v>251507.0</v>
      </c>
      <c r="D851" s="171" t="s">
        <v>4813</v>
      </c>
      <c r="E851" s="172" t="s">
        <v>111</v>
      </c>
      <c r="F851" s="172" t="b">
        <v>1</v>
      </c>
      <c r="G851" s="172" t="b">
        <v>0</v>
      </c>
      <c r="H851" s="172" t="b">
        <v>0</v>
      </c>
      <c r="I851" s="172" t="b">
        <v>0</v>
      </c>
      <c r="J851" s="172" t="b">
        <v>0</v>
      </c>
      <c r="K851" s="172" t="b">
        <v>0</v>
      </c>
      <c r="L851" s="172" t="b">
        <v>0</v>
      </c>
      <c r="M851" s="172" t="b">
        <v>0</v>
      </c>
    </row>
    <row r="852" spans="8:8" ht="43.5" customHeight="1">
      <c r="A852" s="172">
        <v>26.0</v>
      </c>
      <c r="B852" s="171" t="s">
        <v>4116</v>
      </c>
      <c r="C852" s="172">
        <v>251634.0</v>
      </c>
      <c r="D852" s="171" t="s">
        <v>4813</v>
      </c>
      <c r="E852" s="172" t="s">
        <v>111</v>
      </c>
      <c r="F852" s="172" t="b">
        <v>0</v>
      </c>
      <c r="G852" s="172" t="b">
        <v>1</v>
      </c>
      <c r="H852" s="172" t="b">
        <v>0</v>
      </c>
      <c r="I852" s="172" t="b">
        <v>0</v>
      </c>
      <c r="J852" s="172" t="b">
        <v>0</v>
      </c>
      <c r="K852" s="172" t="b">
        <v>0</v>
      </c>
      <c r="L852" s="172" t="b">
        <v>0</v>
      </c>
      <c r="M852" s="172" t="b">
        <v>0</v>
      </c>
      <c r="N852" s="97"/>
      <c r="O852" s="97"/>
      <c r="P852" s="97"/>
      <c r="Q852" s="174"/>
    </row>
    <row r="853" spans="8:8" ht="43.5" customHeight="1">
      <c r="A853" s="177">
        <v>17.0</v>
      </c>
      <c r="B853" s="96" t="s">
        <v>3746</v>
      </c>
      <c r="C853" s="177">
        <v>251617.0</v>
      </c>
      <c r="D853" s="96" t="s">
        <v>4823</v>
      </c>
      <c r="E853" s="177" t="s">
        <v>111</v>
      </c>
      <c r="F853" s="177" t="b">
        <v>0</v>
      </c>
      <c r="G853" s="177" t="b">
        <v>1</v>
      </c>
      <c r="H853" s="177" t="b">
        <v>0</v>
      </c>
      <c r="I853" s="177" t="b">
        <v>0</v>
      </c>
      <c r="J853" s="177" t="b">
        <v>0</v>
      </c>
      <c r="K853" s="177" t="b">
        <v>0</v>
      </c>
      <c r="L853" s="177" t="b">
        <v>0</v>
      </c>
      <c r="M853" s="177" t="b">
        <v>0</v>
      </c>
      <c r="N853" s="97"/>
      <c r="O853" s="97"/>
      <c r="P853" s="97"/>
      <c r="Q853" s="174"/>
    </row>
    <row r="854" spans="8:8" ht="43.5" customHeight="1">
      <c r="A854" s="97">
        <v>27.0</v>
      </c>
      <c r="B854" s="171" t="s">
        <v>4117</v>
      </c>
      <c r="C854" s="172">
        <v>251692.0</v>
      </c>
      <c r="D854" s="171" t="s">
        <v>4843</v>
      </c>
      <c r="E854" s="97" t="s">
        <v>111</v>
      </c>
      <c r="F854" s="172" t="b">
        <v>0</v>
      </c>
      <c r="G854" s="172" t="b">
        <v>0</v>
      </c>
      <c r="H854" s="172" t="b">
        <v>1</v>
      </c>
      <c r="I854" s="172" t="b">
        <v>0</v>
      </c>
      <c r="J854" s="172" t="b">
        <v>0</v>
      </c>
      <c r="K854" s="172" t="b">
        <v>0</v>
      </c>
      <c r="L854" s="172" t="b">
        <v>0</v>
      </c>
      <c r="M854" s="172" t="b">
        <v>0</v>
      </c>
      <c r="N854" s="97"/>
      <c r="O854" s="97"/>
      <c r="P854" s="97"/>
      <c r="Q854" s="174"/>
    </row>
    <row r="855" spans="8:8" ht="43.5" customHeight="1">
      <c r="A855" s="97"/>
      <c r="B855" s="182" t="s">
        <v>4815</v>
      </c>
      <c r="C855" s="97"/>
      <c r="D855" s="97"/>
      <c r="E855" s="183"/>
      <c r="F855" s="184">
        <f t="shared" si="29" ref="F855:M855">COUNTIF(F838:F847,TRUE)/COUNTA(F838:F847)</f>
        <v>0.7</v>
      </c>
      <c r="G855" s="184">
        <f t="shared" si="29"/>
        <v>0.7</v>
      </c>
      <c r="H855" s="184">
        <f t="shared" si="29"/>
        <v>0.5</v>
      </c>
      <c r="I855" s="184">
        <f t="shared" si="29"/>
        <v>0.0</v>
      </c>
      <c r="J855" s="184">
        <f t="shared" si="29"/>
        <v>0.0</v>
      </c>
      <c r="K855" s="184">
        <f t="shared" si="29"/>
        <v>0.0</v>
      </c>
      <c r="L855" s="184">
        <f t="shared" si="29"/>
        <v>0.0</v>
      </c>
      <c r="M855" s="184">
        <f t="shared" si="29"/>
        <v>0.0</v>
      </c>
      <c r="N855" s="97"/>
      <c r="O855" s="97"/>
      <c r="P855" s="97"/>
      <c r="Q855" s="174"/>
    </row>
    <row r="856" spans="8:8" ht="43.5" customHeight="1">
      <c r="A856" s="162" t="s">
        <v>18</v>
      </c>
      <c r="B856" s="162" t="s">
        <v>19</v>
      </c>
      <c r="C856" s="163"/>
      <c r="D856" s="162" t="s">
        <v>4530</v>
      </c>
      <c r="E856" s="162" t="s">
        <v>22</v>
      </c>
      <c r="F856" s="163" t="s">
        <v>4794</v>
      </c>
      <c r="G856" s="163" t="s">
        <v>4795</v>
      </c>
      <c r="H856" s="163" t="s">
        <v>4796</v>
      </c>
      <c r="I856" s="163" t="s">
        <v>4797</v>
      </c>
      <c r="J856" s="163" t="s">
        <v>4798</v>
      </c>
      <c r="K856" s="163" t="s">
        <v>4799</v>
      </c>
      <c r="L856" s="163" t="s">
        <v>4800</v>
      </c>
      <c r="M856" s="163" t="s">
        <v>4801</v>
      </c>
      <c r="N856" s="166" t="s">
        <v>4929</v>
      </c>
      <c r="O856" s="167"/>
      <c r="P856" s="168"/>
      <c r="Q856" s="169"/>
    </row>
    <row r="857" spans="8:8" ht="15.75" customHeight="1">
      <c r="A857" s="172">
        <v>1.0</v>
      </c>
      <c r="B857" s="171" t="s">
        <v>4118</v>
      </c>
      <c r="C857" s="172">
        <v>251774.0</v>
      </c>
      <c r="D857" s="171" t="s">
        <v>4828</v>
      </c>
      <c r="E857" s="172" t="s">
        <v>111</v>
      </c>
      <c r="F857" s="172" t="b">
        <v>1</v>
      </c>
      <c r="G857" s="172" t="b">
        <v>0</v>
      </c>
      <c r="H857" s="172" t="b">
        <v>0</v>
      </c>
      <c r="I857" s="172" t="b">
        <v>0</v>
      </c>
      <c r="J857" s="172" t="b">
        <v>0</v>
      </c>
      <c r="K857" s="172" t="b">
        <v>0</v>
      </c>
      <c r="L857" s="172" t="b">
        <v>0</v>
      </c>
      <c r="M857" s="172" t="b">
        <v>0</v>
      </c>
      <c r="N857" s="173" t="s">
        <v>4804</v>
      </c>
      <c r="O857" s="167"/>
      <c r="P857" s="168"/>
      <c r="Q857" s="174"/>
    </row>
    <row r="858" spans="8:8" ht="43.5" customHeight="1">
      <c r="A858" s="172">
        <v>3.0</v>
      </c>
      <c r="B858" s="171" t="s">
        <v>4119</v>
      </c>
      <c r="C858" s="172">
        <v>251778.0</v>
      </c>
      <c r="D858" s="171" t="s">
        <v>4828</v>
      </c>
      <c r="E858" s="172" t="s">
        <v>111</v>
      </c>
      <c r="F858" s="172" t="b">
        <v>1</v>
      </c>
      <c r="G858" s="172" t="b">
        <v>0</v>
      </c>
      <c r="H858" s="172" t="b">
        <v>1</v>
      </c>
      <c r="I858" s="172" t="b">
        <v>0</v>
      </c>
      <c r="J858" s="172" t="b">
        <v>0</v>
      </c>
      <c r="K858" s="172" t="b">
        <v>0</v>
      </c>
      <c r="L858" s="172" t="b">
        <v>0</v>
      </c>
      <c r="M858" s="172" t="b">
        <v>0</v>
      </c>
      <c r="N858" s="175" t="s">
        <v>4805</v>
      </c>
      <c r="O858" s="176" t="s">
        <v>4806</v>
      </c>
      <c r="P858" s="97" t="s">
        <v>4807</v>
      </c>
      <c r="Q858" s="174"/>
    </row>
    <row r="859" spans="8:8" ht="43.5" customHeight="1">
      <c r="A859" s="172">
        <v>4.0</v>
      </c>
      <c r="B859" s="171" t="s">
        <v>4120</v>
      </c>
      <c r="C859" s="172">
        <v>251779.0</v>
      </c>
      <c r="D859" s="171" t="s">
        <v>4829</v>
      </c>
      <c r="E859" s="172" t="s">
        <v>111</v>
      </c>
      <c r="F859" s="172" t="b">
        <v>1</v>
      </c>
      <c r="G859" s="172" t="b">
        <v>1</v>
      </c>
      <c r="H859" s="172" t="b">
        <v>1</v>
      </c>
      <c r="I859" s="172" t="b">
        <v>0</v>
      </c>
      <c r="J859" s="172" t="b">
        <v>0</v>
      </c>
      <c r="K859" s="172" t="b">
        <v>0</v>
      </c>
      <c r="L859" s="172" t="b">
        <v>0</v>
      </c>
      <c r="M859" s="172" t="b">
        <v>0</v>
      </c>
      <c r="N859" s="97" t="s">
        <v>4794</v>
      </c>
      <c r="O859" s="172" t="b">
        <v>1</v>
      </c>
      <c r="P859" s="97"/>
      <c r="Q859" s="174"/>
    </row>
    <row r="860" spans="8:8" ht="43.5" customHeight="1">
      <c r="A860" s="172">
        <v>5.0</v>
      </c>
      <c r="B860" s="171" t="s">
        <v>4121</v>
      </c>
      <c r="C860" s="172">
        <v>251780.0</v>
      </c>
      <c r="D860" s="171" t="s">
        <v>4829</v>
      </c>
      <c r="E860" s="172" t="s">
        <v>111</v>
      </c>
      <c r="F860" s="172" t="b">
        <v>1</v>
      </c>
      <c r="G860" s="172" t="b">
        <v>1</v>
      </c>
      <c r="H860" s="172" t="b">
        <v>1</v>
      </c>
      <c r="I860" s="172" t="b">
        <v>0</v>
      </c>
      <c r="J860" s="172" t="b">
        <v>0</v>
      </c>
      <c r="K860" s="172" t="b">
        <v>0</v>
      </c>
      <c r="L860" s="172" t="b">
        <v>0</v>
      </c>
      <c r="M860" s="172" t="b">
        <v>0</v>
      </c>
      <c r="N860" s="97" t="s">
        <v>4795</v>
      </c>
      <c r="O860" s="172" t="b">
        <v>1</v>
      </c>
      <c r="P860" s="97"/>
      <c r="Q860" s="174"/>
    </row>
    <row r="861" spans="8:8" ht="43.5" customHeight="1">
      <c r="A861" s="172">
        <v>6.0</v>
      </c>
      <c r="B861" s="171" t="s">
        <v>4122</v>
      </c>
      <c r="C861" s="172">
        <v>251783.0</v>
      </c>
      <c r="D861" s="171" t="s">
        <v>4829</v>
      </c>
      <c r="E861" s="172" t="s">
        <v>111</v>
      </c>
      <c r="F861" s="172" t="b">
        <v>1</v>
      </c>
      <c r="G861" s="172" t="b">
        <v>1</v>
      </c>
      <c r="H861" s="172" t="b">
        <v>1</v>
      </c>
      <c r="I861" s="172" t="b">
        <v>0</v>
      </c>
      <c r="J861" s="172" t="b">
        <v>0</v>
      </c>
      <c r="K861" s="172" t="b">
        <v>0</v>
      </c>
      <c r="L861" s="172" t="b">
        <v>0</v>
      </c>
      <c r="M861" s="172" t="b">
        <v>0</v>
      </c>
      <c r="N861" s="97" t="s">
        <v>4796</v>
      </c>
      <c r="O861" s="172" t="b">
        <v>1</v>
      </c>
      <c r="P861" s="97"/>
      <c r="Q861" s="174"/>
    </row>
    <row r="862" spans="8:8" ht="43.5" customHeight="1">
      <c r="A862" s="172">
        <v>7.0</v>
      </c>
      <c r="B862" s="171" t="s">
        <v>4123</v>
      </c>
      <c r="C862" s="172">
        <v>252920.0</v>
      </c>
      <c r="D862" s="171" t="s">
        <v>4829</v>
      </c>
      <c r="E862" s="172" t="s">
        <v>111</v>
      </c>
      <c r="F862" s="172" t="b">
        <v>1</v>
      </c>
      <c r="G862" s="172" t="b">
        <v>1</v>
      </c>
      <c r="H862" s="172" t="b">
        <v>1</v>
      </c>
      <c r="I862" s="172" t="b">
        <v>0</v>
      </c>
      <c r="J862" s="172" t="b">
        <v>0</v>
      </c>
      <c r="K862" s="172" t="b">
        <v>0</v>
      </c>
      <c r="L862" s="172" t="b">
        <v>0</v>
      </c>
      <c r="M862" s="172" t="b">
        <v>0</v>
      </c>
      <c r="N862" s="97" t="s">
        <v>4797</v>
      </c>
      <c r="O862" s="172" t="b">
        <v>0</v>
      </c>
      <c r="P862" s="97"/>
      <c r="Q862" s="174"/>
    </row>
    <row r="863" spans="8:8" ht="43.5" customHeight="1">
      <c r="A863" s="172">
        <v>8.0</v>
      </c>
      <c r="B863" s="171" t="s">
        <v>3741</v>
      </c>
      <c r="C863" s="172">
        <v>252968.0</v>
      </c>
      <c r="D863" s="171" t="s">
        <v>4829</v>
      </c>
      <c r="E863" s="172" t="s">
        <v>111</v>
      </c>
      <c r="F863" s="172" t="b">
        <v>1</v>
      </c>
      <c r="G863" s="172" t="b">
        <v>0</v>
      </c>
      <c r="H863" s="172" t="b">
        <v>1</v>
      </c>
      <c r="I863" s="172" t="b">
        <v>0</v>
      </c>
      <c r="J863" s="172" t="b">
        <v>0</v>
      </c>
      <c r="K863" s="172" t="b">
        <v>0</v>
      </c>
      <c r="L863" s="172" t="b">
        <v>0</v>
      </c>
      <c r="M863" s="172" t="b">
        <v>0</v>
      </c>
      <c r="N863" s="97" t="s">
        <v>4798</v>
      </c>
      <c r="O863" s="172" t="b">
        <v>0</v>
      </c>
      <c r="P863" s="97"/>
      <c r="Q863" s="174"/>
    </row>
    <row r="864" spans="8:8" ht="43.5" customHeight="1">
      <c r="A864" s="172">
        <v>11.0</v>
      </c>
      <c r="B864" s="171" t="s">
        <v>4124</v>
      </c>
      <c r="C864" s="172">
        <v>251452.0</v>
      </c>
      <c r="D864" s="171" t="s">
        <v>4827</v>
      </c>
      <c r="E864" s="172" t="s">
        <v>111</v>
      </c>
      <c r="F864" s="172" t="b">
        <v>0</v>
      </c>
      <c r="G864" s="172" t="b">
        <v>1</v>
      </c>
      <c r="H864" s="172" t="b">
        <v>0</v>
      </c>
      <c r="I864" s="172" t="b">
        <v>0</v>
      </c>
      <c r="J864" s="172" t="b">
        <v>0</v>
      </c>
      <c r="K864" s="172" t="b">
        <v>0</v>
      </c>
      <c r="L864" s="172" t="b">
        <v>0</v>
      </c>
      <c r="M864" s="172" t="b">
        <v>0</v>
      </c>
      <c r="N864" s="97" t="s">
        <v>4799</v>
      </c>
      <c r="O864" s="172" t="b">
        <v>0</v>
      </c>
      <c r="P864" s="97"/>
      <c r="Q864" s="174"/>
    </row>
    <row r="865" spans="8:8" ht="43.5" customHeight="1">
      <c r="A865" s="172">
        <v>13.0</v>
      </c>
      <c r="B865" s="171" t="s">
        <v>4125</v>
      </c>
      <c r="C865" s="172">
        <v>251470.0</v>
      </c>
      <c r="D865" s="171" t="s">
        <v>4834</v>
      </c>
      <c r="E865" s="172" t="s">
        <v>111</v>
      </c>
      <c r="F865" s="172" t="b">
        <v>0</v>
      </c>
      <c r="G865" s="172" t="b">
        <v>0</v>
      </c>
      <c r="H865" s="172" t="b">
        <v>0</v>
      </c>
      <c r="I865" s="172" t="b">
        <v>0</v>
      </c>
      <c r="J865" s="172" t="b">
        <v>0</v>
      </c>
      <c r="K865" s="172" t="b">
        <v>0</v>
      </c>
      <c r="L865" s="172" t="b">
        <v>0</v>
      </c>
      <c r="M865" s="172" t="b">
        <v>0</v>
      </c>
      <c r="N865" s="97" t="s">
        <v>4800</v>
      </c>
      <c r="O865" s="172" t="b">
        <v>0</v>
      </c>
      <c r="P865" s="97"/>
      <c r="Q865" s="174"/>
    </row>
    <row r="866" spans="8:8" ht="43.5" customHeight="1">
      <c r="A866" s="172">
        <v>14.0</v>
      </c>
      <c r="B866" s="171" t="s">
        <v>4126</v>
      </c>
      <c r="C866" s="172">
        <v>251488.0</v>
      </c>
      <c r="D866" s="171" t="s">
        <v>4834</v>
      </c>
      <c r="E866" s="172" t="s">
        <v>111</v>
      </c>
      <c r="F866" s="172" t="b">
        <v>1</v>
      </c>
      <c r="G866" s="172" t="b">
        <v>1</v>
      </c>
      <c r="H866" s="172" t="b">
        <v>0</v>
      </c>
      <c r="I866" s="172" t="b">
        <v>0</v>
      </c>
      <c r="J866" s="172" t="b">
        <v>0</v>
      </c>
      <c r="K866" s="172" t="b">
        <v>0</v>
      </c>
      <c r="L866" s="172" t="b">
        <v>0</v>
      </c>
      <c r="M866" s="172" t="b">
        <v>0</v>
      </c>
      <c r="N866" s="97" t="s">
        <v>4801</v>
      </c>
      <c r="O866" s="172" t="b">
        <v>0</v>
      </c>
      <c r="P866" s="97"/>
      <c r="Q866" s="174"/>
    </row>
    <row r="867" spans="8:8" ht="43.5" customHeight="1">
      <c r="A867" s="172">
        <v>15.0</v>
      </c>
      <c r="B867" s="171" t="s">
        <v>3745</v>
      </c>
      <c r="C867" s="172">
        <v>251471.0</v>
      </c>
      <c r="D867" s="171" t="s">
        <v>4834</v>
      </c>
      <c r="E867" s="172" t="s">
        <v>111</v>
      </c>
      <c r="F867" s="172" t="b">
        <v>1</v>
      </c>
      <c r="G867" s="172" t="b">
        <v>1</v>
      </c>
      <c r="H867" s="172" t="b">
        <v>1</v>
      </c>
      <c r="I867" s="172" t="b">
        <v>0</v>
      </c>
      <c r="J867" s="172" t="b">
        <v>0</v>
      </c>
      <c r="K867" s="172" t="b">
        <v>0</v>
      </c>
      <c r="L867" s="172" t="b">
        <v>0</v>
      </c>
      <c r="M867" s="172" t="b">
        <v>0</v>
      </c>
      <c r="N867" s="97"/>
      <c r="O867" s="97"/>
      <c r="P867" s="97"/>
      <c r="Q867" s="174"/>
    </row>
    <row r="868" spans="8:8" ht="43.5" customHeight="1">
      <c r="A868" s="172">
        <v>17.0</v>
      </c>
      <c r="B868" s="171" t="s">
        <v>3685</v>
      </c>
      <c r="C868" s="172">
        <v>251518.0</v>
      </c>
      <c r="D868" s="171" t="s">
        <v>4841</v>
      </c>
      <c r="E868" s="172" t="s">
        <v>111</v>
      </c>
      <c r="F868" s="172" t="b">
        <v>1</v>
      </c>
      <c r="G868" s="172" t="b">
        <v>1</v>
      </c>
      <c r="H868" s="172" t="b">
        <v>0</v>
      </c>
      <c r="I868" s="172" t="b">
        <v>0</v>
      </c>
      <c r="J868" s="172" t="b">
        <v>0</v>
      </c>
      <c r="K868" s="172" t="b">
        <v>0</v>
      </c>
      <c r="L868" s="172" t="b">
        <v>0</v>
      </c>
      <c r="M868" s="172" t="b">
        <v>0</v>
      </c>
      <c r="N868" s="97"/>
      <c r="O868" s="97"/>
      <c r="P868" s="97"/>
      <c r="Q868" s="174"/>
    </row>
    <row r="869" spans="8:8" ht="43.5" customHeight="1">
      <c r="A869" s="172">
        <v>18.0</v>
      </c>
      <c r="B869" s="171" t="s">
        <v>4127</v>
      </c>
      <c r="C869" s="172">
        <v>251499.0</v>
      </c>
      <c r="D869" s="171" t="s">
        <v>4841</v>
      </c>
      <c r="E869" s="172" t="s">
        <v>111</v>
      </c>
      <c r="F869" s="172" t="b">
        <v>0</v>
      </c>
      <c r="G869" s="172" t="b">
        <v>0</v>
      </c>
      <c r="H869" s="172" t="b">
        <v>1</v>
      </c>
      <c r="I869" s="172" t="b">
        <v>0</v>
      </c>
      <c r="J869" s="172" t="b">
        <v>0</v>
      </c>
      <c r="K869" s="172" t="b">
        <v>0</v>
      </c>
      <c r="L869" s="172" t="b">
        <v>0</v>
      </c>
      <c r="M869" s="172" t="b">
        <v>0</v>
      </c>
      <c r="N869" s="97"/>
      <c r="O869" s="97"/>
      <c r="P869" s="97"/>
      <c r="Q869" s="174"/>
    </row>
    <row r="870" spans="8:8" ht="43.5" customHeight="1">
      <c r="A870" s="172">
        <v>19.0</v>
      </c>
      <c r="B870" s="171" t="s">
        <v>1471</v>
      </c>
      <c r="C870" s="172">
        <v>241950.0</v>
      </c>
      <c r="D870" s="171" t="s">
        <v>4859</v>
      </c>
      <c r="E870" s="172" t="s">
        <v>111</v>
      </c>
      <c r="F870" s="172" t="b">
        <v>0</v>
      </c>
      <c r="G870" s="172" t="b">
        <v>0</v>
      </c>
      <c r="H870" s="172" t="b">
        <v>1</v>
      </c>
      <c r="I870" s="172" t="b">
        <v>0</v>
      </c>
      <c r="J870" s="172" t="b">
        <v>0</v>
      </c>
      <c r="K870" s="172" t="b">
        <v>0</v>
      </c>
      <c r="L870" s="172" t="b">
        <v>0</v>
      </c>
      <c r="M870" s="172" t="b">
        <v>0</v>
      </c>
      <c r="N870" s="97"/>
      <c r="O870" s="97"/>
      <c r="P870" s="97"/>
      <c r="Q870" s="174"/>
    </row>
    <row r="871" spans="8:8" ht="43.5" customHeight="1">
      <c r="A871" s="172">
        <v>20.0</v>
      </c>
      <c r="B871" s="171" t="s">
        <v>4128</v>
      </c>
      <c r="C871" s="172">
        <v>241948.0</v>
      </c>
      <c r="D871" s="171" t="s">
        <v>4859</v>
      </c>
      <c r="E871" s="172" t="s">
        <v>111</v>
      </c>
      <c r="F871" s="172" t="b">
        <v>0</v>
      </c>
      <c r="G871" s="172" t="b">
        <v>0</v>
      </c>
      <c r="H871" s="172" t="b">
        <v>0</v>
      </c>
      <c r="I871" s="172" t="b">
        <v>0</v>
      </c>
      <c r="J871" s="172" t="b">
        <v>0</v>
      </c>
      <c r="K871" s="172" t="b">
        <v>0</v>
      </c>
      <c r="L871" s="172" t="b">
        <v>0</v>
      </c>
      <c r="M871" s="172" t="b">
        <v>0</v>
      </c>
      <c r="N871" s="97"/>
      <c r="O871" s="97"/>
      <c r="P871" s="97"/>
      <c r="Q871" s="174"/>
    </row>
    <row r="872" spans="8:8" ht="43.5" customHeight="1">
      <c r="A872" s="172">
        <v>21.0</v>
      </c>
      <c r="B872" s="171" t="s">
        <v>4129</v>
      </c>
      <c r="C872" s="172">
        <v>241944.0</v>
      </c>
      <c r="D872" s="171" t="s">
        <v>4859</v>
      </c>
      <c r="E872" s="172" t="s">
        <v>111</v>
      </c>
      <c r="F872" s="172" t="b">
        <v>1</v>
      </c>
      <c r="G872" s="172" t="b">
        <v>1</v>
      </c>
      <c r="H872" s="172" t="b">
        <v>0</v>
      </c>
      <c r="I872" s="172" t="b">
        <v>0</v>
      </c>
      <c r="J872" s="172" t="b">
        <v>0</v>
      </c>
      <c r="K872" s="172" t="b">
        <v>0</v>
      </c>
      <c r="L872" s="172" t="b">
        <v>0</v>
      </c>
      <c r="M872" s="172" t="b">
        <v>0</v>
      </c>
      <c r="N872" s="97"/>
      <c r="O872" s="97"/>
      <c r="P872" s="97"/>
      <c r="Q872" s="174"/>
    </row>
    <row r="873" spans="8:8" ht="43.5" customHeight="1">
      <c r="A873" s="172">
        <v>22.0</v>
      </c>
      <c r="B873" s="171" t="s">
        <v>4130</v>
      </c>
      <c r="C873" s="172">
        <v>241211.0</v>
      </c>
      <c r="D873" s="171" t="s">
        <v>4859</v>
      </c>
      <c r="E873" s="172" t="s">
        <v>111</v>
      </c>
      <c r="F873" s="172" t="b">
        <v>0</v>
      </c>
      <c r="G873" s="172" t="b">
        <v>0</v>
      </c>
      <c r="H873" s="172" t="b">
        <v>0</v>
      </c>
      <c r="I873" s="172" t="b">
        <v>0</v>
      </c>
      <c r="J873" s="172" t="b">
        <v>0</v>
      </c>
      <c r="K873" s="172" t="b">
        <v>0</v>
      </c>
      <c r="L873" s="172" t="b">
        <v>0</v>
      </c>
      <c r="M873" s="172" t="b">
        <v>0</v>
      </c>
      <c r="N873" s="97"/>
      <c r="O873" s="97"/>
      <c r="P873" s="97"/>
      <c r="Q873" s="174"/>
    </row>
    <row r="874" spans="8:8" ht="43.5" customHeight="1">
      <c r="A874" s="172">
        <v>25.0</v>
      </c>
      <c r="B874" s="171" t="s">
        <v>4131</v>
      </c>
      <c r="C874" s="172">
        <v>253171.0</v>
      </c>
      <c r="D874" s="171" t="s">
        <v>4930</v>
      </c>
      <c r="E874" s="97" t="s">
        <v>111</v>
      </c>
      <c r="F874" s="172" t="b">
        <v>0</v>
      </c>
      <c r="G874" s="172" t="b">
        <v>1</v>
      </c>
      <c r="H874" s="172" t="b">
        <v>1</v>
      </c>
      <c r="I874" s="172" t="b">
        <v>0</v>
      </c>
      <c r="J874" s="172" t="b">
        <v>0</v>
      </c>
      <c r="K874" s="172" t="b">
        <v>0</v>
      </c>
      <c r="L874" s="172" t="b">
        <v>0</v>
      </c>
      <c r="M874" s="172" t="b">
        <v>0</v>
      </c>
      <c r="N874" s="97"/>
      <c r="O874" s="97"/>
      <c r="P874" s="97"/>
      <c r="Q874" s="174"/>
    </row>
    <row r="875" spans="8:8" ht="43.5" customHeight="1">
      <c r="A875" s="172" t="b">
        <v>1</v>
      </c>
      <c r="B875" s="171" t="s">
        <v>3717</v>
      </c>
      <c r="C875" s="172">
        <v>251445.0</v>
      </c>
      <c r="D875" s="171" t="s">
        <v>4827</v>
      </c>
      <c r="E875" s="172" t="s">
        <v>111</v>
      </c>
      <c r="F875" s="172" t="b">
        <v>1</v>
      </c>
      <c r="G875" s="172" t="b">
        <v>0</v>
      </c>
      <c r="H875" s="172" t="b">
        <v>1</v>
      </c>
      <c r="I875" s="172" t="b">
        <v>0</v>
      </c>
      <c r="J875" s="172" t="b">
        <v>0</v>
      </c>
      <c r="K875" s="172" t="b">
        <v>0</v>
      </c>
      <c r="L875" s="172" t="b">
        <v>0</v>
      </c>
      <c r="M875" s="172" t="b">
        <v>0</v>
      </c>
      <c r="N875" s="97"/>
      <c r="O875" s="97"/>
      <c r="P875" s="97"/>
      <c r="Q875" s="174"/>
    </row>
    <row r="876" spans="8:8" ht="15.75" customHeight="1">
      <c r="A876" s="97"/>
      <c r="B876" s="182" t="s">
        <v>4815</v>
      </c>
      <c r="C876" s="97"/>
      <c r="D876" s="97"/>
      <c r="E876" s="183"/>
      <c r="F876" s="184">
        <f t="shared" si="30" ref="F876:M876">COUNTIF(F859:F869,TRUE)/COUNTA(F859:F869)</f>
        <v>0.7272727272727273</v>
      </c>
      <c r="G876" s="184">
        <f t="shared" si="30"/>
        <v>0.7272727272727273</v>
      </c>
      <c r="H876" s="184">
        <f t="shared" si="30"/>
        <v>0.6363636363636364</v>
      </c>
      <c r="I876" s="184">
        <f t="shared" si="30"/>
        <v>0.0</v>
      </c>
      <c r="J876" s="184">
        <f t="shared" si="30"/>
        <v>0.0</v>
      </c>
      <c r="K876" s="184">
        <f t="shared" si="30"/>
        <v>0.0</v>
      </c>
      <c r="L876" s="184">
        <f t="shared" si="30"/>
        <v>0.0</v>
      </c>
      <c r="M876" s="184">
        <f t="shared" si="30"/>
        <v>0.0</v>
      </c>
      <c r="N876" s="189"/>
      <c r="O876" s="189"/>
      <c r="P876" s="189"/>
    </row>
    <row r="877" spans="8:8" ht="43.5" customHeight="1">
      <c r="A877" s="162" t="s">
        <v>18</v>
      </c>
      <c r="B877" s="162" t="s">
        <v>19</v>
      </c>
      <c r="C877" s="163"/>
      <c r="D877" s="162" t="s">
        <v>4530</v>
      </c>
      <c r="E877" s="162" t="s">
        <v>22</v>
      </c>
      <c r="F877" s="163" t="s">
        <v>4794</v>
      </c>
      <c r="G877" s="163" t="s">
        <v>4795</v>
      </c>
      <c r="H877" s="163" t="s">
        <v>4796</v>
      </c>
      <c r="I877" s="163" t="s">
        <v>4797</v>
      </c>
      <c r="J877" s="163" t="s">
        <v>4798</v>
      </c>
      <c r="K877" s="163" t="s">
        <v>4799</v>
      </c>
      <c r="L877" s="163" t="s">
        <v>4800</v>
      </c>
      <c r="M877" s="163" t="s">
        <v>4801</v>
      </c>
      <c r="N877" s="166" t="s">
        <v>4931</v>
      </c>
      <c r="O877" s="167"/>
      <c r="P877" s="168"/>
      <c r="Q877" s="169"/>
    </row>
    <row r="878" spans="8:8" ht="43.5" customHeight="1">
      <c r="A878" s="172">
        <v>1.0</v>
      </c>
      <c r="B878" s="171" t="s">
        <v>4749</v>
      </c>
      <c r="C878" s="172">
        <v>241509.0</v>
      </c>
      <c r="D878" s="171" t="s">
        <v>4851</v>
      </c>
      <c r="E878" s="172" t="s">
        <v>111</v>
      </c>
      <c r="F878" s="172" t="b">
        <v>0</v>
      </c>
      <c r="G878" s="172" t="b">
        <v>0</v>
      </c>
      <c r="H878" s="172" t="b">
        <v>0</v>
      </c>
      <c r="I878" s="172" t="b">
        <v>0</v>
      </c>
      <c r="J878" s="172" t="b">
        <v>0</v>
      </c>
      <c r="K878" s="172" t="b">
        <v>0</v>
      </c>
      <c r="L878" s="172" t="b">
        <v>0</v>
      </c>
      <c r="M878" s="172" t="b">
        <v>0</v>
      </c>
      <c r="N878" s="173" t="s">
        <v>4804</v>
      </c>
      <c r="O878" s="167"/>
      <c r="P878" s="168"/>
      <c r="Q878" s="174"/>
    </row>
    <row r="879" spans="8:8" ht="43.5" customHeight="1">
      <c r="A879" s="172">
        <v>2.0</v>
      </c>
      <c r="B879" s="171" t="s">
        <v>4132</v>
      </c>
      <c r="C879" s="172">
        <v>241517.0</v>
      </c>
      <c r="D879" s="171" t="s">
        <v>4851</v>
      </c>
      <c r="E879" s="172" t="s">
        <v>111</v>
      </c>
      <c r="F879" s="172" t="b">
        <v>0</v>
      </c>
      <c r="G879" s="172" t="b">
        <v>0</v>
      </c>
      <c r="H879" s="172" t="b">
        <v>1</v>
      </c>
      <c r="I879" s="172" t="b">
        <v>0</v>
      </c>
      <c r="J879" s="172" t="b">
        <v>0</v>
      </c>
      <c r="K879" s="172" t="b">
        <v>0</v>
      </c>
      <c r="L879" s="172" t="b">
        <v>0</v>
      </c>
      <c r="M879" s="172" t="b">
        <v>0</v>
      </c>
      <c r="N879" s="175" t="s">
        <v>4805</v>
      </c>
      <c r="O879" s="176" t="s">
        <v>4806</v>
      </c>
      <c r="P879" s="97" t="s">
        <v>4807</v>
      </c>
      <c r="Q879" s="174"/>
    </row>
    <row r="880" spans="8:8" ht="43.5" customHeight="1">
      <c r="A880" s="172">
        <v>3.0</v>
      </c>
      <c r="B880" s="171" t="s">
        <v>4133</v>
      </c>
      <c r="C880" s="172">
        <v>241224.0</v>
      </c>
      <c r="D880" s="171" t="s">
        <v>4859</v>
      </c>
      <c r="E880" s="172" t="s">
        <v>111</v>
      </c>
      <c r="F880" s="172" t="b">
        <v>0</v>
      </c>
      <c r="G880" s="172" t="b">
        <v>0</v>
      </c>
      <c r="H880" s="172" t="b">
        <v>0</v>
      </c>
      <c r="I880" s="172" t="b">
        <v>0</v>
      </c>
      <c r="J880" s="172" t="b">
        <v>0</v>
      </c>
      <c r="K880" s="172" t="b">
        <v>0</v>
      </c>
      <c r="L880" s="172" t="b">
        <v>0</v>
      </c>
      <c r="M880" s="172" t="b">
        <v>0</v>
      </c>
      <c r="N880" s="97" t="s">
        <v>4794</v>
      </c>
      <c r="O880" s="172" t="b">
        <v>1</v>
      </c>
      <c r="P880" s="97"/>
      <c r="Q880" s="174"/>
    </row>
    <row r="881" spans="8:8" ht="43.5" customHeight="1">
      <c r="A881" s="172">
        <v>4.0</v>
      </c>
      <c r="B881" s="171" t="s">
        <v>4134</v>
      </c>
      <c r="C881" s="172">
        <v>241447.0</v>
      </c>
      <c r="D881" s="171" t="s">
        <v>4851</v>
      </c>
      <c r="E881" s="172" t="s">
        <v>111</v>
      </c>
      <c r="F881" s="172" t="b">
        <v>0</v>
      </c>
      <c r="G881" s="172" t="b">
        <v>0</v>
      </c>
      <c r="H881" s="172" t="b">
        <v>0</v>
      </c>
      <c r="I881" s="172" t="b">
        <v>0</v>
      </c>
      <c r="J881" s="172" t="b">
        <v>0</v>
      </c>
      <c r="K881" s="172" t="b">
        <v>0</v>
      </c>
      <c r="L881" s="172" t="b">
        <v>0</v>
      </c>
      <c r="M881" s="172" t="b">
        <v>0</v>
      </c>
      <c r="N881" s="97" t="s">
        <v>4795</v>
      </c>
      <c r="O881" s="172" t="b">
        <v>1</v>
      </c>
      <c r="P881" s="97"/>
      <c r="Q881" s="174"/>
    </row>
    <row r="882" spans="8:8" ht="43.5" customHeight="1">
      <c r="A882" s="172">
        <v>5.0</v>
      </c>
      <c r="B882" s="171" t="s">
        <v>4750</v>
      </c>
      <c r="C882" s="172">
        <v>241186.0</v>
      </c>
      <c r="D882" s="171" t="s">
        <v>4859</v>
      </c>
      <c r="E882" s="172" t="s">
        <v>111</v>
      </c>
      <c r="F882" s="172" t="b">
        <v>0</v>
      </c>
      <c r="G882" s="172" t="b">
        <v>0</v>
      </c>
      <c r="H882" s="172" t="b">
        <v>0</v>
      </c>
      <c r="I882" s="172" t="b">
        <v>0</v>
      </c>
      <c r="J882" s="172" t="b">
        <v>0</v>
      </c>
      <c r="K882" s="172" t="b">
        <v>0</v>
      </c>
      <c r="L882" s="172" t="b">
        <v>0</v>
      </c>
      <c r="M882" s="172" t="b">
        <v>0</v>
      </c>
      <c r="N882" s="97" t="s">
        <v>4796</v>
      </c>
      <c r="O882" s="172" t="b">
        <v>1</v>
      </c>
      <c r="P882" s="97"/>
      <c r="Q882" s="174"/>
    </row>
    <row r="883" spans="8:8" ht="43.5" customHeight="1">
      <c r="A883" s="172">
        <v>6.0</v>
      </c>
      <c r="B883" s="171" t="s">
        <v>4135</v>
      </c>
      <c r="C883" s="172">
        <v>241482.0</v>
      </c>
      <c r="D883" s="171" t="s">
        <v>4851</v>
      </c>
      <c r="E883" s="172" t="s">
        <v>111</v>
      </c>
      <c r="F883" s="172" t="b">
        <v>0</v>
      </c>
      <c r="G883" s="172" t="b">
        <v>0</v>
      </c>
      <c r="H883" s="172" t="b">
        <v>0</v>
      </c>
      <c r="I883" s="172" t="b">
        <v>0</v>
      </c>
      <c r="J883" s="172" t="b">
        <v>0</v>
      </c>
      <c r="K883" s="172" t="b">
        <v>0</v>
      </c>
      <c r="L883" s="172" t="b">
        <v>0</v>
      </c>
      <c r="M883" s="172" t="b">
        <v>0</v>
      </c>
      <c r="N883" s="97" t="s">
        <v>4797</v>
      </c>
      <c r="O883" s="172" t="b">
        <v>0</v>
      </c>
      <c r="P883" s="97"/>
      <c r="Q883" s="174"/>
    </row>
    <row r="884" spans="8:8" ht="43.5" customHeight="1">
      <c r="A884" s="172">
        <v>7.0</v>
      </c>
      <c r="B884" s="171" t="s">
        <v>4136</v>
      </c>
      <c r="C884" s="172">
        <v>241142.0</v>
      </c>
      <c r="D884" s="171" t="s">
        <v>4851</v>
      </c>
      <c r="E884" s="172" t="s">
        <v>111</v>
      </c>
      <c r="F884" s="172" t="b">
        <v>0</v>
      </c>
      <c r="G884" s="172" t="b">
        <v>0</v>
      </c>
      <c r="H884" s="172" t="b">
        <v>0</v>
      </c>
      <c r="I884" s="172" t="b">
        <v>0</v>
      </c>
      <c r="J884" s="172" t="b">
        <v>0</v>
      </c>
      <c r="K884" s="172" t="b">
        <v>0</v>
      </c>
      <c r="L884" s="172" t="b">
        <v>0</v>
      </c>
      <c r="M884" s="172" t="b">
        <v>0</v>
      </c>
      <c r="N884" s="97" t="s">
        <v>4798</v>
      </c>
      <c r="O884" s="172" t="b">
        <v>0</v>
      </c>
      <c r="P884" s="97"/>
      <c r="Q884" s="174"/>
    </row>
    <row r="885" spans="8:8" ht="43.5" customHeight="1">
      <c r="A885" s="172">
        <v>9.0</v>
      </c>
      <c r="B885" s="171" t="s">
        <v>4137</v>
      </c>
      <c r="C885" s="172">
        <v>241165.0</v>
      </c>
      <c r="D885" s="171" t="s">
        <v>4859</v>
      </c>
      <c r="E885" s="172" t="s">
        <v>111</v>
      </c>
      <c r="F885" s="172" t="b">
        <v>0</v>
      </c>
      <c r="G885" s="172" t="b">
        <v>0</v>
      </c>
      <c r="H885" s="172" t="b">
        <v>1</v>
      </c>
      <c r="I885" s="172" t="b">
        <v>0</v>
      </c>
      <c r="J885" s="172" t="b">
        <v>0</v>
      </c>
      <c r="K885" s="172" t="b">
        <v>0</v>
      </c>
      <c r="L885" s="172" t="b">
        <v>0</v>
      </c>
      <c r="M885" s="172" t="b">
        <v>0</v>
      </c>
      <c r="N885" s="97" t="s">
        <v>4799</v>
      </c>
      <c r="O885" s="172" t="b">
        <v>0</v>
      </c>
      <c r="P885" s="97"/>
      <c r="Q885" s="174"/>
    </row>
    <row r="886" spans="8:8" ht="43.5" customHeight="1">
      <c r="A886" s="172">
        <v>10.0</v>
      </c>
      <c r="B886" s="171" t="s">
        <v>4138</v>
      </c>
      <c r="C886" s="172">
        <v>241943.0</v>
      </c>
      <c r="D886" s="171" t="s">
        <v>4859</v>
      </c>
      <c r="E886" s="172" t="s">
        <v>111</v>
      </c>
      <c r="F886" s="172" t="b">
        <v>0</v>
      </c>
      <c r="G886" s="172" t="b">
        <v>0</v>
      </c>
      <c r="H886" s="172" t="b">
        <v>0</v>
      </c>
      <c r="I886" s="172" t="b">
        <v>0</v>
      </c>
      <c r="J886" s="172" t="b">
        <v>0</v>
      </c>
      <c r="K886" s="172" t="b">
        <v>0</v>
      </c>
      <c r="L886" s="172" t="b">
        <v>0</v>
      </c>
      <c r="M886" s="172" t="b">
        <v>0</v>
      </c>
      <c r="N886" s="97" t="s">
        <v>4800</v>
      </c>
      <c r="O886" s="172" t="b">
        <v>0</v>
      </c>
      <c r="P886" s="97"/>
      <c r="Q886" s="174"/>
    </row>
    <row r="887" spans="8:8" ht="43.5" customHeight="1">
      <c r="A887" s="172">
        <v>11.0</v>
      </c>
      <c r="B887" s="171" t="s">
        <v>4139</v>
      </c>
      <c r="C887" s="172">
        <v>241199.0</v>
      </c>
      <c r="D887" s="171" t="s">
        <v>4859</v>
      </c>
      <c r="E887" s="172" t="s">
        <v>111</v>
      </c>
      <c r="F887" s="172" t="b">
        <v>1</v>
      </c>
      <c r="G887" s="172" t="b">
        <v>1</v>
      </c>
      <c r="H887" s="172" t="b">
        <v>1</v>
      </c>
      <c r="I887" s="172" t="b">
        <v>0</v>
      </c>
      <c r="J887" s="172" t="b">
        <v>0</v>
      </c>
      <c r="K887" s="172" t="b">
        <v>0</v>
      </c>
      <c r="L887" s="172" t="b">
        <v>0</v>
      </c>
      <c r="M887" s="172" t="b">
        <v>0</v>
      </c>
      <c r="N887" s="97" t="s">
        <v>4801</v>
      </c>
      <c r="O887" s="172" t="b">
        <v>0</v>
      </c>
      <c r="P887" s="97"/>
      <c r="Q887" s="174"/>
    </row>
    <row r="888" spans="8:8" ht="43.5" customHeight="1">
      <c r="A888" s="172">
        <v>12.0</v>
      </c>
      <c r="B888" s="171" t="s">
        <v>4140</v>
      </c>
      <c r="C888" s="172">
        <v>241270.0</v>
      </c>
      <c r="D888" s="171" t="s">
        <v>4859</v>
      </c>
      <c r="E888" s="172" t="s">
        <v>111</v>
      </c>
      <c r="F888" s="172" t="b">
        <v>1</v>
      </c>
      <c r="G888" s="172" t="b">
        <v>1</v>
      </c>
      <c r="H888" s="172" t="b">
        <v>1</v>
      </c>
      <c r="I888" s="172" t="b">
        <v>0</v>
      </c>
      <c r="J888" s="172" t="b">
        <v>0</v>
      </c>
      <c r="K888" s="172" t="b">
        <v>0</v>
      </c>
      <c r="L888" s="172" t="b">
        <v>0</v>
      </c>
      <c r="M888" s="172" t="b">
        <v>0</v>
      </c>
      <c r="N888" s="97"/>
      <c r="O888" s="97"/>
      <c r="P888" s="97"/>
      <c r="Q888" s="174"/>
    </row>
    <row r="889" spans="8:8" ht="43.5" customHeight="1">
      <c r="A889" s="172">
        <v>13.0</v>
      </c>
      <c r="B889" s="171" t="s">
        <v>4141</v>
      </c>
      <c r="C889" s="172">
        <v>241939.0</v>
      </c>
      <c r="D889" s="171" t="s">
        <v>4859</v>
      </c>
      <c r="E889" s="172" t="s">
        <v>111</v>
      </c>
      <c r="F889" s="172" t="b">
        <v>0</v>
      </c>
      <c r="G889" s="172" t="b">
        <v>1</v>
      </c>
      <c r="H889" s="172" t="b">
        <v>0</v>
      </c>
      <c r="I889" s="172" t="b">
        <v>0</v>
      </c>
      <c r="J889" s="172" t="b">
        <v>0</v>
      </c>
      <c r="K889" s="172" t="b">
        <v>0</v>
      </c>
      <c r="L889" s="172" t="b">
        <v>0</v>
      </c>
      <c r="M889" s="172" t="b">
        <v>0</v>
      </c>
      <c r="N889" s="97"/>
      <c r="O889" s="97"/>
      <c r="P889" s="97"/>
      <c r="Q889" s="174"/>
    </row>
    <row r="890" spans="8:8" ht="43.5" customHeight="1">
      <c r="A890" s="172">
        <v>14.0</v>
      </c>
      <c r="B890" s="171" t="s">
        <v>4142</v>
      </c>
      <c r="C890" s="172">
        <v>241955.0</v>
      </c>
      <c r="D890" s="171" t="s">
        <v>4859</v>
      </c>
      <c r="E890" s="172" t="s">
        <v>111</v>
      </c>
      <c r="F890" s="172" t="b">
        <v>0</v>
      </c>
      <c r="G890" s="172" t="b">
        <v>0</v>
      </c>
      <c r="H890" s="172" t="b">
        <v>0</v>
      </c>
      <c r="I890" s="172" t="b">
        <v>0</v>
      </c>
      <c r="J890" s="172" t="b">
        <v>0</v>
      </c>
      <c r="K890" s="172" t="b">
        <v>0</v>
      </c>
      <c r="L890" s="172" t="b">
        <v>0</v>
      </c>
      <c r="M890" s="172" t="b">
        <v>0</v>
      </c>
      <c r="N890" s="97"/>
      <c r="O890" s="97"/>
      <c r="P890" s="97"/>
      <c r="Q890" s="174"/>
    </row>
    <row r="891" spans="8:8" ht="43.5" customHeight="1">
      <c r="A891" s="172">
        <v>15.0</v>
      </c>
      <c r="B891" s="171" t="s">
        <v>4143</v>
      </c>
      <c r="C891" s="172">
        <v>241956.0</v>
      </c>
      <c r="D891" s="171" t="s">
        <v>4859</v>
      </c>
      <c r="E891" s="172" t="s">
        <v>111</v>
      </c>
      <c r="F891" s="172" t="b">
        <v>1</v>
      </c>
      <c r="G891" s="172" t="b">
        <v>1</v>
      </c>
      <c r="H891" s="172" t="b">
        <v>1</v>
      </c>
      <c r="I891" s="172" t="b">
        <v>0</v>
      </c>
      <c r="J891" s="172" t="b">
        <v>0</v>
      </c>
      <c r="K891" s="172" t="b">
        <v>0</v>
      </c>
      <c r="L891" s="172" t="b">
        <v>0</v>
      </c>
      <c r="M891" s="172" t="b">
        <v>0</v>
      </c>
      <c r="N891" s="97"/>
      <c r="O891" s="97"/>
      <c r="P891" s="97"/>
      <c r="Q891" s="174"/>
    </row>
    <row r="892" spans="8:8" ht="43.5" customHeight="1">
      <c r="A892" s="172">
        <v>16.0</v>
      </c>
      <c r="B892" s="171" t="s">
        <v>4144</v>
      </c>
      <c r="C892" s="172">
        <v>241946.0</v>
      </c>
      <c r="D892" s="171" t="s">
        <v>4859</v>
      </c>
      <c r="E892" s="172" t="s">
        <v>111</v>
      </c>
      <c r="F892" s="172" t="b">
        <v>1</v>
      </c>
      <c r="G892" s="172" t="b">
        <v>1</v>
      </c>
      <c r="H892" s="172" t="b">
        <v>1</v>
      </c>
      <c r="I892" s="172" t="b">
        <v>0</v>
      </c>
      <c r="J892" s="172" t="b">
        <v>0</v>
      </c>
      <c r="K892" s="172" t="b">
        <v>0</v>
      </c>
      <c r="L892" s="172" t="b">
        <v>0</v>
      </c>
      <c r="M892" s="172" t="b">
        <v>0</v>
      </c>
      <c r="N892" s="97"/>
      <c r="O892" s="97"/>
      <c r="P892" s="97"/>
      <c r="Q892" s="174"/>
    </row>
    <row r="893" spans="8:8" ht="43.5" customHeight="1">
      <c r="A893" s="172">
        <v>17.0</v>
      </c>
      <c r="B893" s="171" t="s">
        <v>4145</v>
      </c>
      <c r="C893" s="172">
        <v>241937.0</v>
      </c>
      <c r="D893" s="171" t="s">
        <v>4859</v>
      </c>
      <c r="E893" s="172" t="s">
        <v>111</v>
      </c>
      <c r="F893" s="172" t="b">
        <v>0</v>
      </c>
      <c r="G893" s="172" t="b">
        <v>1</v>
      </c>
      <c r="H893" s="172" t="b">
        <v>0</v>
      </c>
      <c r="I893" s="172" t="b">
        <v>0</v>
      </c>
      <c r="J893" s="172" t="b">
        <v>0</v>
      </c>
      <c r="K893" s="172" t="b">
        <v>0</v>
      </c>
      <c r="L893" s="172" t="b">
        <v>0</v>
      </c>
      <c r="M893" s="172" t="b">
        <v>0</v>
      </c>
      <c r="N893" s="97"/>
      <c r="O893" s="97"/>
      <c r="P893" s="97"/>
      <c r="Q893" s="174"/>
    </row>
    <row r="894" spans="8:8" ht="43.5" customHeight="1">
      <c r="A894" s="172">
        <v>19.0</v>
      </c>
      <c r="B894" s="171" t="s">
        <v>4146</v>
      </c>
      <c r="C894" s="172">
        <v>253013.0</v>
      </c>
      <c r="D894" s="171" t="s">
        <v>4814</v>
      </c>
      <c r="E894" s="172" t="s">
        <v>111</v>
      </c>
      <c r="F894" s="172" t="b">
        <v>1</v>
      </c>
      <c r="G894" s="172" t="b">
        <v>1</v>
      </c>
      <c r="H894" s="172" t="b">
        <v>1</v>
      </c>
      <c r="I894" s="172" t="b">
        <v>0</v>
      </c>
      <c r="J894" s="172" t="b">
        <v>0</v>
      </c>
      <c r="K894" s="172" t="b">
        <v>0</v>
      </c>
      <c r="L894" s="172" t="b">
        <v>0</v>
      </c>
      <c r="M894" s="172" t="b">
        <v>0</v>
      </c>
      <c r="N894" s="189"/>
      <c r="O894" s="189"/>
      <c r="P894" s="189"/>
    </row>
    <row r="895" spans="8:8" ht="43.5" customHeight="1">
      <c r="A895" s="172">
        <v>20.0</v>
      </c>
      <c r="B895" s="181" t="s">
        <v>4147</v>
      </c>
      <c r="C895" s="97">
        <v>253059.0</v>
      </c>
      <c r="D895" s="181" t="s">
        <v>4932</v>
      </c>
      <c r="E895" s="172" t="s">
        <v>111</v>
      </c>
      <c r="F895" s="172" t="b">
        <v>0</v>
      </c>
      <c r="G895" s="172" t="b">
        <v>1</v>
      </c>
      <c r="H895" s="172" t="b">
        <v>0</v>
      </c>
      <c r="I895" s="172" t="b">
        <v>0</v>
      </c>
      <c r="J895" s="172" t="b">
        <v>0</v>
      </c>
      <c r="K895" s="172" t="b">
        <v>0</v>
      </c>
      <c r="L895" s="172" t="b">
        <v>0</v>
      </c>
      <c r="M895" s="172" t="b">
        <v>0</v>
      </c>
      <c r="N895" s="97"/>
      <c r="O895" s="97"/>
      <c r="P895" s="97"/>
      <c r="Q895" s="174"/>
    </row>
    <row r="896" spans="8:8" ht="43.5" customHeight="1">
      <c r="A896" s="172">
        <v>21.0</v>
      </c>
      <c r="B896" s="171" t="s">
        <v>4157</v>
      </c>
      <c r="C896" s="172">
        <v>253135.0</v>
      </c>
      <c r="D896" s="171" t="s">
        <v>4933</v>
      </c>
      <c r="E896" s="172" t="s">
        <v>111</v>
      </c>
      <c r="F896" s="172" t="b">
        <v>0</v>
      </c>
      <c r="G896" s="172" t="b">
        <v>1</v>
      </c>
      <c r="H896" s="172" t="b">
        <v>0</v>
      </c>
      <c r="I896" s="172" t="b">
        <v>0</v>
      </c>
      <c r="J896" s="172" t="b">
        <v>0</v>
      </c>
      <c r="K896" s="172" t="b">
        <v>0</v>
      </c>
      <c r="L896" s="172" t="b">
        <v>0</v>
      </c>
      <c r="M896" s="172" t="b">
        <v>0</v>
      </c>
      <c r="N896" s="97"/>
      <c r="O896" s="97"/>
      <c r="P896" s="97"/>
      <c r="Q896" s="174"/>
    </row>
    <row r="897" spans="8:8" ht="43.5" customHeight="1">
      <c r="A897" s="172">
        <v>23.0</v>
      </c>
      <c r="B897" s="171" t="s">
        <v>4148</v>
      </c>
      <c r="C897" s="172">
        <v>251520.0</v>
      </c>
      <c r="D897" s="171" t="s">
        <v>4813</v>
      </c>
      <c r="E897" s="172" t="s">
        <v>111</v>
      </c>
      <c r="F897" s="172" t="b">
        <v>0</v>
      </c>
      <c r="G897" s="172" t="b">
        <v>1</v>
      </c>
      <c r="H897" s="172" t="b">
        <v>0</v>
      </c>
      <c r="I897" s="172" t="b">
        <v>0</v>
      </c>
      <c r="J897" s="172" t="b">
        <v>0</v>
      </c>
      <c r="K897" s="172" t="b">
        <v>0</v>
      </c>
      <c r="L897" s="172" t="b">
        <v>0</v>
      </c>
      <c r="M897" s="172" t="b">
        <v>0</v>
      </c>
      <c r="N897" s="97"/>
      <c r="O897" s="97"/>
      <c r="P897" s="97"/>
      <c r="Q897" s="174"/>
    </row>
    <row r="898" spans="8:8" ht="43.5" customHeight="1">
      <c r="A898" s="172">
        <v>24.0</v>
      </c>
      <c r="B898" s="171" t="s">
        <v>4149</v>
      </c>
      <c r="C898" s="172">
        <v>251510.0</v>
      </c>
      <c r="D898" s="171" t="s">
        <v>4934</v>
      </c>
      <c r="E898" s="172" t="s">
        <v>111</v>
      </c>
      <c r="F898" s="172" t="b">
        <v>0</v>
      </c>
      <c r="G898" s="172" t="b">
        <v>0</v>
      </c>
      <c r="H898" s="172" t="b">
        <v>1</v>
      </c>
      <c r="I898" s="172" t="b">
        <v>0</v>
      </c>
      <c r="J898" s="172" t="b">
        <v>0</v>
      </c>
      <c r="K898" s="172" t="b">
        <v>0</v>
      </c>
      <c r="L898" s="172" t="b">
        <v>0</v>
      </c>
      <c r="M898" s="172" t="b">
        <v>0</v>
      </c>
      <c r="N898" s="97"/>
      <c r="O898" s="97"/>
      <c r="P898" s="97"/>
      <c r="Q898" s="174"/>
    </row>
    <row r="899" spans="8:8" ht="43.5" customHeight="1">
      <c r="A899" s="170">
        <v>25.0</v>
      </c>
      <c r="B899" s="171" t="s">
        <v>3683</v>
      </c>
      <c r="C899" s="172">
        <v>251602.0</v>
      </c>
      <c r="D899" s="171" t="s">
        <v>4823</v>
      </c>
      <c r="E899" s="172" t="s">
        <v>111</v>
      </c>
      <c r="F899" s="172" t="b">
        <v>0</v>
      </c>
      <c r="G899" s="172" t="b">
        <v>1</v>
      </c>
      <c r="H899" s="172" t="b">
        <v>0</v>
      </c>
      <c r="I899" s="172" t="b">
        <v>0</v>
      </c>
      <c r="J899" s="172" t="b">
        <v>0</v>
      </c>
      <c r="K899" s="172" t="b">
        <v>0</v>
      </c>
      <c r="L899" s="172" t="b">
        <v>0</v>
      </c>
      <c r="M899" s="172" t="b">
        <v>0</v>
      </c>
      <c r="N899" s="97"/>
      <c r="O899" s="97"/>
      <c r="P899" s="97"/>
      <c r="Q899" s="174"/>
    </row>
    <row r="900" spans="8:8" ht="43.5" customHeight="1">
      <c r="A900" s="170">
        <v>18.0</v>
      </c>
      <c r="B900" s="171" t="s">
        <v>4150</v>
      </c>
      <c r="C900" s="172">
        <v>241953.0</v>
      </c>
      <c r="D900" s="171" t="s">
        <v>4859</v>
      </c>
      <c r="E900" s="172" t="s">
        <v>111</v>
      </c>
      <c r="F900" s="172" t="b">
        <v>0</v>
      </c>
      <c r="G900" s="172" t="b">
        <v>0</v>
      </c>
      <c r="H900" s="172" t="b">
        <v>1</v>
      </c>
      <c r="I900" s="172" t="b">
        <v>0</v>
      </c>
      <c r="J900" s="172" t="b">
        <v>0</v>
      </c>
      <c r="K900" s="172" t="b">
        <v>0</v>
      </c>
      <c r="L900" s="172" t="b">
        <v>0</v>
      </c>
      <c r="M900" s="172" t="b">
        <v>0</v>
      </c>
      <c r="N900" s="189"/>
      <c r="O900" s="189"/>
      <c r="P900" s="189"/>
    </row>
    <row r="901" spans="8:8" ht="43.5" customHeight="1">
      <c r="A901" s="170">
        <v>19.0</v>
      </c>
      <c r="B901" s="171" t="s">
        <v>4151</v>
      </c>
      <c r="C901" s="172">
        <v>241945.0</v>
      </c>
      <c r="D901" s="171" t="s">
        <v>4859</v>
      </c>
      <c r="E901" s="172" t="s">
        <v>111</v>
      </c>
      <c r="F901" s="172" t="b">
        <v>0</v>
      </c>
      <c r="G901" s="172" t="b">
        <v>0</v>
      </c>
      <c r="H901" s="172" t="b">
        <v>1</v>
      </c>
      <c r="I901" s="172" t="b">
        <v>0</v>
      </c>
      <c r="J901" s="172" t="b">
        <v>0</v>
      </c>
      <c r="K901" s="172" t="b">
        <v>0</v>
      </c>
      <c r="L901" s="172" t="b">
        <v>0</v>
      </c>
      <c r="M901" s="172" t="b">
        <v>0</v>
      </c>
      <c r="N901" s="97"/>
      <c r="O901" s="97"/>
      <c r="P901" s="97"/>
      <c r="Q901" s="174"/>
    </row>
    <row r="902" spans="8:8" ht="43.5" customHeight="1">
      <c r="A902" s="97"/>
      <c r="B902" s="182" t="s">
        <v>4815</v>
      </c>
      <c r="C902" s="97"/>
      <c r="D902" s="97"/>
      <c r="E902" s="183"/>
      <c r="F902" s="184">
        <f t="shared" si="31" ref="F902:M902">COUNTIF(F876:F887,TRUE)/COUNTA(F876:F887)</f>
        <v>0.08333333333333333</v>
      </c>
      <c r="G902" s="184">
        <f t="shared" si="31"/>
        <v>0.08333333333333333</v>
      </c>
      <c r="H902" s="184">
        <f t="shared" si="31"/>
        <v>0.25</v>
      </c>
      <c r="I902" s="184">
        <f t="shared" si="31"/>
        <v>0.0</v>
      </c>
      <c r="J902" s="184">
        <f t="shared" si="31"/>
        <v>0.0</v>
      </c>
      <c r="K902" s="184">
        <f t="shared" si="31"/>
        <v>0.0</v>
      </c>
      <c r="L902" s="184">
        <f t="shared" si="31"/>
        <v>0.0</v>
      </c>
      <c r="M902" s="184">
        <f t="shared" si="31"/>
        <v>0.0</v>
      </c>
      <c r="N902" s="97"/>
      <c r="O902" s="97"/>
      <c r="P902" s="97"/>
      <c r="Q902" s="174"/>
    </row>
    <row r="903" spans="8:8" ht="43.5" customHeight="1">
      <c r="A903" s="162" t="s">
        <v>18</v>
      </c>
      <c r="B903" s="162" t="s">
        <v>19</v>
      </c>
      <c r="C903" s="163"/>
      <c r="D903" s="162" t="s">
        <v>4530</v>
      </c>
      <c r="E903" s="162" t="s">
        <v>22</v>
      </c>
      <c r="F903" s="163" t="s">
        <v>4794</v>
      </c>
      <c r="G903" s="163" t="s">
        <v>4795</v>
      </c>
      <c r="H903" s="163" t="s">
        <v>4796</v>
      </c>
      <c r="I903" s="163" t="s">
        <v>4797</v>
      </c>
      <c r="J903" s="163" t="s">
        <v>4798</v>
      </c>
      <c r="K903" s="163" t="s">
        <v>4799</v>
      </c>
      <c r="L903" s="163" t="s">
        <v>4800</v>
      </c>
      <c r="M903" s="163" t="s">
        <v>4801</v>
      </c>
      <c r="N903" s="166" t="s">
        <v>4935</v>
      </c>
      <c r="O903" s="167"/>
      <c r="P903" s="168"/>
      <c r="Q903" s="169"/>
    </row>
    <row r="904" spans="8:8" ht="43.5" customHeight="1">
      <c r="A904" s="172">
        <v>1.0</v>
      </c>
      <c r="B904" s="171" t="s">
        <v>4152</v>
      </c>
      <c r="C904" s="172">
        <v>251646.0</v>
      </c>
      <c r="D904" s="171" t="s">
        <v>4812</v>
      </c>
      <c r="E904" s="172" t="s">
        <v>580</v>
      </c>
      <c r="F904" s="172" t="b">
        <v>0</v>
      </c>
      <c r="G904" s="172" t="b">
        <v>0</v>
      </c>
      <c r="H904" s="172" t="b">
        <v>0</v>
      </c>
      <c r="I904" s="172" t="b">
        <v>0</v>
      </c>
      <c r="J904" s="172" t="b">
        <v>0</v>
      </c>
      <c r="K904" s="172" t="b">
        <v>0</v>
      </c>
      <c r="L904" s="172" t="b">
        <v>0</v>
      </c>
      <c r="M904" s="172" t="b">
        <v>0</v>
      </c>
      <c r="N904" s="173" t="s">
        <v>4804</v>
      </c>
      <c r="O904" s="167"/>
      <c r="P904" s="168"/>
      <c r="Q904" s="174"/>
    </row>
    <row r="905" spans="8:8" ht="43.5" customHeight="1">
      <c r="A905" s="172">
        <v>2.0</v>
      </c>
      <c r="B905" s="171" t="s">
        <v>3911</v>
      </c>
      <c r="C905" s="172">
        <v>251651.0</v>
      </c>
      <c r="D905" s="171" t="s">
        <v>4812</v>
      </c>
      <c r="E905" s="172" t="s">
        <v>580</v>
      </c>
      <c r="F905" s="172" t="b">
        <v>0</v>
      </c>
      <c r="G905" s="172" t="b">
        <v>1</v>
      </c>
      <c r="H905" s="172" t="b">
        <v>0</v>
      </c>
      <c r="I905" s="172" t="b">
        <v>0</v>
      </c>
      <c r="J905" s="172" t="b">
        <v>0</v>
      </c>
      <c r="K905" s="172" t="b">
        <v>0</v>
      </c>
      <c r="L905" s="172" t="b">
        <v>0</v>
      </c>
      <c r="M905" s="172" t="b">
        <v>0</v>
      </c>
      <c r="N905" s="175" t="s">
        <v>4805</v>
      </c>
      <c r="O905" s="176" t="s">
        <v>4806</v>
      </c>
      <c r="P905" s="97" t="s">
        <v>4807</v>
      </c>
      <c r="Q905" s="174"/>
    </row>
    <row r="906" spans="8:8" ht="43.5" customHeight="1">
      <c r="A906" s="172">
        <v>3.0</v>
      </c>
      <c r="B906" s="171" t="s">
        <v>3778</v>
      </c>
      <c r="C906" s="172">
        <v>251657.0</v>
      </c>
      <c r="D906" s="171" t="s">
        <v>4840</v>
      </c>
      <c r="E906" s="172" t="s">
        <v>580</v>
      </c>
      <c r="F906" s="172" t="b">
        <v>1</v>
      </c>
      <c r="G906" s="172" t="b">
        <v>0</v>
      </c>
      <c r="H906" s="172" t="b">
        <v>1</v>
      </c>
      <c r="I906" s="172" t="b">
        <v>0</v>
      </c>
      <c r="J906" s="172" t="b">
        <v>0</v>
      </c>
      <c r="K906" s="172" t="b">
        <v>0</v>
      </c>
      <c r="L906" s="172" t="b">
        <v>0</v>
      </c>
      <c r="M906" s="172" t="b">
        <v>0</v>
      </c>
      <c r="N906" s="97" t="s">
        <v>4794</v>
      </c>
      <c r="O906" s="172" t="b">
        <v>1</v>
      </c>
      <c r="P906" s="97"/>
      <c r="Q906" s="174"/>
    </row>
    <row r="907" spans="8:8" ht="43.5" customHeight="1">
      <c r="A907" s="172">
        <v>4.0</v>
      </c>
      <c r="B907" s="171" t="s">
        <v>3913</v>
      </c>
      <c r="C907" s="172">
        <v>251660.0</v>
      </c>
      <c r="D907" s="171" t="s">
        <v>4840</v>
      </c>
      <c r="E907" s="172" t="s">
        <v>580</v>
      </c>
      <c r="F907" s="172" t="b">
        <v>0</v>
      </c>
      <c r="G907" s="172" t="b">
        <v>1</v>
      </c>
      <c r="H907" s="172" t="b">
        <v>1</v>
      </c>
      <c r="I907" s="172" t="b">
        <v>0</v>
      </c>
      <c r="J907" s="172" t="b">
        <v>0</v>
      </c>
      <c r="K907" s="172" t="b">
        <v>0</v>
      </c>
      <c r="L907" s="172" t="b">
        <v>0</v>
      </c>
      <c r="M907" s="172" t="b">
        <v>0</v>
      </c>
      <c r="N907" s="97" t="s">
        <v>4795</v>
      </c>
      <c r="O907" s="172" t="b">
        <v>1</v>
      </c>
      <c r="P907" s="97"/>
      <c r="Q907" s="174"/>
    </row>
    <row r="908" spans="8:8" ht="43.5" customHeight="1">
      <c r="A908" s="172">
        <v>5.0</v>
      </c>
      <c r="B908" s="171" t="s">
        <v>3881</v>
      </c>
      <c r="C908" s="172">
        <v>251663.0</v>
      </c>
      <c r="D908" s="171" t="s">
        <v>4840</v>
      </c>
      <c r="E908" s="172" t="s">
        <v>580</v>
      </c>
      <c r="F908" s="172" t="b">
        <v>1</v>
      </c>
      <c r="G908" s="172" t="b">
        <v>1</v>
      </c>
      <c r="H908" s="172" t="b">
        <v>1</v>
      </c>
      <c r="I908" s="172" t="b">
        <v>0</v>
      </c>
      <c r="J908" s="172" t="b">
        <v>0</v>
      </c>
      <c r="K908" s="172" t="b">
        <v>0</v>
      </c>
      <c r="L908" s="172" t="b">
        <v>0</v>
      </c>
      <c r="M908" s="172" t="b">
        <v>0</v>
      </c>
      <c r="N908" s="97" t="s">
        <v>4796</v>
      </c>
      <c r="O908" s="172" t="b">
        <v>1</v>
      </c>
      <c r="P908" s="97"/>
      <c r="Q908" s="174"/>
    </row>
    <row r="909" spans="8:8" ht="43.5" customHeight="1">
      <c r="A909" s="172">
        <v>6.0</v>
      </c>
      <c r="B909" s="171" t="s">
        <v>3816</v>
      </c>
      <c r="C909" s="172">
        <v>251666.0</v>
      </c>
      <c r="D909" s="171" t="s">
        <v>4840</v>
      </c>
      <c r="E909" s="172" t="s">
        <v>580</v>
      </c>
      <c r="F909" s="172" t="b">
        <v>1</v>
      </c>
      <c r="G909" s="172" t="b">
        <v>1</v>
      </c>
      <c r="H909" s="172" t="b">
        <v>0</v>
      </c>
      <c r="I909" s="172" t="b">
        <v>0</v>
      </c>
      <c r="J909" s="172" t="b">
        <v>0</v>
      </c>
      <c r="K909" s="172" t="b">
        <v>0</v>
      </c>
      <c r="L909" s="172" t="b">
        <v>0</v>
      </c>
      <c r="M909" s="172" t="b">
        <v>0</v>
      </c>
      <c r="N909" s="97" t="s">
        <v>4797</v>
      </c>
      <c r="O909" s="172" t="b">
        <v>0</v>
      </c>
      <c r="P909" s="97"/>
      <c r="Q909" s="174"/>
    </row>
    <row r="910" spans="8:8" ht="43.5" customHeight="1">
      <c r="A910" s="172">
        <v>9.0</v>
      </c>
      <c r="B910" s="171" t="s">
        <v>4153</v>
      </c>
      <c r="C910" s="172">
        <v>251676.0</v>
      </c>
      <c r="D910" s="171" t="s">
        <v>4840</v>
      </c>
      <c r="E910" s="172" t="s">
        <v>580</v>
      </c>
      <c r="F910" s="172" t="b">
        <v>1</v>
      </c>
      <c r="G910" s="172" t="b">
        <v>1</v>
      </c>
      <c r="H910" s="172" t="b">
        <v>1</v>
      </c>
      <c r="I910" s="172" t="b">
        <v>0</v>
      </c>
      <c r="J910" s="172" t="b">
        <v>0</v>
      </c>
      <c r="K910" s="172" t="b">
        <v>0</v>
      </c>
      <c r="L910" s="172" t="b">
        <v>0</v>
      </c>
      <c r="M910" s="172" t="b">
        <v>0</v>
      </c>
      <c r="N910" s="97" t="s">
        <v>4798</v>
      </c>
      <c r="O910" s="172" t="b">
        <v>0</v>
      </c>
      <c r="P910" s="97"/>
      <c r="Q910" s="174"/>
    </row>
    <row r="911" spans="8:8" ht="43.5" customHeight="1">
      <c r="A911" s="172">
        <v>14.0</v>
      </c>
      <c r="B911" s="171" t="s">
        <v>3874</v>
      </c>
      <c r="C911" s="172">
        <v>251689.0</v>
      </c>
      <c r="D911" s="171" t="s">
        <v>4843</v>
      </c>
      <c r="E911" s="172" t="s">
        <v>580</v>
      </c>
      <c r="F911" s="172" t="b">
        <v>1</v>
      </c>
      <c r="G911" s="172" t="b">
        <v>1</v>
      </c>
      <c r="H911" s="172" t="b">
        <v>1</v>
      </c>
      <c r="I911" s="172" t="b">
        <v>0</v>
      </c>
      <c r="J911" s="172" t="b">
        <v>0</v>
      </c>
      <c r="K911" s="172" t="b">
        <v>0</v>
      </c>
      <c r="L911" s="172" t="b">
        <v>0</v>
      </c>
      <c r="M911" s="172" t="b">
        <v>0</v>
      </c>
      <c r="N911" s="97" t="s">
        <v>4799</v>
      </c>
      <c r="O911" s="172" t="b">
        <v>0</v>
      </c>
      <c r="P911" s="97"/>
      <c r="Q911" s="174"/>
    </row>
    <row r="912" spans="8:8" ht="43.5" customHeight="1">
      <c r="A912" s="172">
        <v>16.0</v>
      </c>
      <c r="B912" s="171" t="s">
        <v>3873</v>
      </c>
      <c r="C912" s="172">
        <v>251703.0</v>
      </c>
      <c r="D912" s="171" t="s">
        <v>4843</v>
      </c>
      <c r="E912" s="172" t="s">
        <v>580</v>
      </c>
      <c r="F912" s="172" t="b">
        <v>1</v>
      </c>
      <c r="G912" s="172" t="b">
        <v>0</v>
      </c>
      <c r="H912" s="172" t="b">
        <v>1</v>
      </c>
      <c r="I912" s="172" t="b">
        <v>0</v>
      </c>
      <c r="J912" s="172" t="b">
        <v>0</v>
      </c>
      <c r="K912" s="172" t="b">
        <v>0</v>
      </c>
      <c r="L912" s="172" t="b">
        <v>0</v>
      </c>
      <c r="M912" s="172" t="b">
        <v>0</v>
      </c>
      <c r="N912" s="97" t="s">
        <v>4800</v>
      </c>
      <c r="O912" s="172" t="b">
        <v>0</v>
      </c>
      <c r="P912" s="97"/>
      <c r="Q912" s="174"/>
    </row>
    <row r="913" spans="8:8" ht="43.5" customHeight="1">
      <c r="A913" s="172">
        <v>17.0</v>
      </c>
      <c r="B913" s="171" t="s">
        <v>3876</v>
      </c>
      <c r="C913" s="172">
        <v>251704.0</v>
      </c>
      <c r="D913" s="171" t="s">
        <v>4843</v>
      </c>
      <c r="E913" s="172" t="s">
        <v>580</v>
      </c>
      <c r="F913" s="172" t="b">
        <v>1</v>
      </c>
      <c r="G913" s="172" t="b">
        <v>1</v>
      </c>
      <c r="H913" s="172" t="b">
        <v>1</v>
      </c>
      <c r="I913" s="172" t="b">
        <v>0</v>
      </c>
      <c r="J913" s="172" t="b">
        <v>0</v>
      </c>
      <c r="K913" s="172" t="b">
        <v>0</v>
      </c>
      <c r="L913" s="172" t="b">
        <v>0</v>
      </c>
      <c r="M913" s="172" t="b">
        <v>0</v>
      </c>
      <c r="N913" s="97" t="s">
        <v>4801</v>
      </c>
      <c r="O913" s="172" t="b">
        <v>0</v>
      </c>
      <c r="P913" s="97"/>
      <c r="Q913" s="174"/>
    </row>
    <row r="914" spans="8:8" ht="43.5" customHeight="1">
      <c r="A914" s="172">
        <v>18.0</v>
      </c>
      <c r="B914" s="171" t="s">
        <v>4154</v>
      </c>
      <c r="C914" s="172">
        <v>251707.0</v>
      </c>
      <c r="D914" s="171" t="s">
        <v>4843</v>
      </c>
      <c r="E914" s="172" t="s">
        <v>580</v>
      </c>
      <c r="F914" s="172" t="b">
        <v>1</v>
      </c>
      <c r="G914" s="172" t="b">
        <v>1</v>
      </c>
      <c r="H914" s="172" t="b">
        <v>1</v>
      </c>
      <c r="I914" s="172" t="b">
        <v>0</v>
      </c>
      <c r="J914" s="172" t="b">
        <v>0</v>
      </c>
      <c r="K914" s="172" t="b">
        <v>0</v>
      </c>
      <c r="L914" s="172" t="b">
        <v>0</v>
      </c>
      <c r="M914" s="172" t="b">
        <v>0</v>
      </c>
      <c r="N914" s="97"/>
      <c r="O914" s="97"/>
      <c r="P914" s="97"/>
      <c r="Q914" s="174"/>
    </row>
    <row r="915" spans="8:8" ht="43.5" customHeight="1">
      <c r="A915" s="172">
        <v>19.0</v>
      </c>
      <c r="B915" s="171" t="s">
        <v>3875</v>
      </c>
      <c r="C915" s="172">
        <v>251708.0</v>
      </c>
      <c r="D915" s="171" t="s">
        <v>4843</v>
      </c>
      <c r="E915" s="172" t="s">
        <v>580</v>
      </c>
      <c r="F915" s="172" t="b">
        <v>0</v>
      </c>
      <c r="G915" s="172" t="b">
        <v>1</v>
      </c>
      <c r="H915" s="172" t="b">
        <v>1</v>
      </c>
      <c r="I915" s="172" t="b">
        <v>0</v>
      </c>
      <c r="J915" s="172" t="b">
        <v>0</v>
      </c>
      <c r="K915" s="172" t="b">
        <v>0</v>
      </c>
      <c r="L915" s="172" t="b">
        <v>0</v>
      </c>
      <c r="M915" s="172" t="b">
        <v>0</v>
      </c>
      <c r="N915" s="97"/>
      <c r="O915" s="97"/>
      <c r="P915" s="97"/>
      <c r="Q915" s="174"/>
    </row>
    <row r="916" spans="8:8" ht="43.5" customHeight="1">
      <c r="A916" s="172">
        <v>20.0</v>
      </c>
      <c r="B916" s="171" t="s">
        <v>4155</v>
      </c>
      <c r="C916" s="172">
        <v>251709.0</v>
      </c>
      <c r="D916" s="171" t="s">
        <v>4843</v>
      </c>
      <c r="E916" s="172" t="s">
        <v>580</v>
      </c>
      <c r="F916" s="172" t="b">
        <v>1</v>
      </c>
      <c r="G916" s="172" t="b">
        <v>1</v>
      </c>
      <c r="H916" s="172" t="b">
        <v>1</v>
      </c>
      <c r="I916" s="172" t="b">
        <v>0</v>
      </c>
      <c r="J916" s="172" t="b">
        <v>0</v>
      </c>
      <c r="K916" s="172" t="b">
        <v>0</v>
      </c>
      <c r="L916" s="172" t="b">
        <v>0</v>
      </c>
      <c r="M916" s="172" t="b">
        <v>0</v>
      </c>
      <c r="N916" s="189"/>
      <c r="O916" s="189"/>
      <c r="P916" s="189"/>
    </row>
    <row r="917" spans="8:8" ht="43.5" customHeight="1">
      <c r="A917" s="172">
        <v>23.0</v>
      </c>
      <c r="B917" s="171" t="s">
        <v>4156</v>
      </c>
      <c r="C917" s="172">
        <v>251498.0</v>
      </c>
      <c r="D917" s="171" t="s">
        <v>4813</v>
      </c>
      <c r="E917" s="172" t="s">
        <v>580</v>
      </c>
      <c r="F917" s="172" t="b">
        <v>1</v>
      </c>
      <c r="G917" s="172" t="b">
        <v>1</v>
      </c>
      <c r="H917" s="172" t="b">
        <v>1</v>
      </c>
      <c r="I917" s="172" t="b">
        <v>0</v>
      </c>
      <c r="J917" s="172" t="b">
        <v>0</v>
      </c>
      <c r="K917" s="172" t="b">
        <v>0</v>
      </c>
      <c r="L917" s="172" t="b">
        <v>0</v>
      </c>
      <c r="M917" s="172" t="b">
        <v>0</v>
      </c>
      <c r="N917" s="97"/>
      <c r="O917" s="97"/>
      <c r="P917" s="97"/>
      <c r="Q917" s="174"/>
    </row>
    <row r="918" spans="8:8" ht="43.5" customHeight="1">
      <c r="A918" s="172">
        <v>24.0</v>
      </c>
      <c r="B918" s="171" t="s">
        <v>4283</v>
      </c>
      <c r="C918" s="172">
        <v>251512.0</v>
      </c>
      <c r="D918" s="171" t="s">
        <v>4813</v>
      </c>
      <c r="E918" s="172" t="s">
        <v>580</v>
      </c>
      <c r="F918" s="172" t="b">
        <v>0</v>
      </c>
      <c r="G918" s="172" t="b">
        <v>1</v>
      </c>
      <c r="H918" s="172" t="b">
        <v>1</v>
      </c>
      <c r="I918" s="172" t="b">
        <v>0</v>
      </c>
      <c r="J918" s="172" t="b">
        <v>0</v>
      </c>
      <c r="K918" s="172" t="b">
        <v>0</v>
      </c>
      <c r="L918" s="172" t="b">
        <v>0</v>
      </c>
      <c r="M918" s="172" t="b">
        <v>0</v>
      </c>
      <c r="N918" s="97"/>
      <c r="O918" s="97"/>
      <c r="P918" s="97"/>
      <c r="Q918" s="174"/>
    </row>
    <row r="919" spans="8:8" ht="43.5" customHeight="1">
      <c r="A919" s="172">
        <v>25.0</v>
      </c>
      <c r="B919" s="171" t="s">
        <v>4284</v>
      </c>
      <c r="C919" s="172">
        <v>251501.0</v>
      </c>
      <c r="D919" s="171" t="s">
        <v>4813</v>
      </c>
      <c r="E919" s="97" t="s">
        <v>580</v>
      </c>
      <c r="F919" s="172" t="b">
        <v>0</v>
      </c>
      <c r="G919" s="172" t="b">
        <v>1</v>
      </c>
      <c r="H919" s="172" t="b">
        <v>1</v>
      </c>
      <c r="I919" s="172" t="b">
        <v>0</v>
      </c>
      <c r="J919" s="172" t="b">
        <v>0</v>
      </c>
      <c r="K919" s="172" t="b">
        <v>0</v>
      </c>
      <c r="L919" s="172" t="b">
        <v>0</v>
      </c>
      <c r="M919" s="172" t="b">
        <v>0</v>
      </c>
      <c r="N919" s="97"/>
      <c r="O919" s="97"/>
      <c r="P919" s="97"/>
      <c r="Q919" s="174"/>
    </row>
    <row r="920" spans="8:8" ht="43.5" customHeight="1">
      <c r="A920" s="97"/>
      <c r="B920" s="182" t="s">
        <v>4815</v>
      </c>
      <c r="C920" s="97"/>
      <c r="D920" s="97"/>
      <c r="E920" s="183"/>
      <c r="F920" s="184">
        <f t="shared" si="32" ref="F920:M920">COUNTIF(F906:F911,TRUE)/COUNTA(F906:F911)</f>
        <v>0.8333333333333334</v>
      </c>
      <c r="G920" s="184">
        <f t="shared" si="32"/>
        <v>0.8333333333333334</v>
      </c>
      <c r="H920" s="184">
        <f t="shared" si="32"/>
        <v>0.8333333333333334</v>
      </c>
      <c r="I920" s="184">
        <f t="shared" si="32"/>
        <v>0.0</v>
      </c>
      <c r="J920" s="184">
        <f t="shared" si="32"/>
        <v>0.0</v>
      </c>
      <c r="K920" s="184">
        <f t="shared" si="32"/>
        <v>0.0</v>
      </c>
      <c r="L920" s="184">
        <f t="shared" si="32"/>
        <v>0.0</v>
      </c>
      <c r="M920" s="184">
        <f t="shared" si="32"/>
        <v>0.0</v>
      </c>
      <c r="N920" s="97"/>
      <c r="O920" s="97"/>
      <c r="P920" s="97"/>
      <c r="Q920" s="174"/>
    </row>
    <row r="921" spans="8:8" ht="43.5" customHeight="1">
      <c r="A921" s="162" t="s">
        <v>18</v>
      </c>
      <c r="B921" s="162" t="s">
        <v>19</v>
      </c>
      <c r="C921" s="163"/>
      <c r="D921" s="162" t="s">
        <v>4530</v>
      </c>
      <c r="E921" s="162" t="s">
        <v>22</v>
      </c>
      <c r="F921" s="163" t="s">
        <v>4794</v>
      </c>
      <c r="G921" s="163" t="s">
        <v>4795</v>
      </c>
      <c r="H921" s="163" t="s">
        <v>4796</v>
      </c>
      <c r="I921" s="163" t="s">
        <v>4797</v>
      </c>
      <c r="J921" s="163" t="s">
        <v>4798</v>
      </c>
      <c r="K921" s="163" t="s">
        <v>4799</v>
      </c>
      <c r="L921" s="163" t="s">
        <v>4800</v>
      </c>
      <c r="M921" s="163" t="s">
        <v>4801</v>
      </c>
      <c r="N921" s="166" t="s">
        <v>4936</v>
      </c>
      <c r="O921" s="167"/>
      <c r="P921" s="168"/>
      <c r="Q921" s="169"/>
    </row>
    <row r="922" spans="8:8" ht="43.5" customHeight="1">
      <c r="A922" s="172">
        <v>2.0</v>
      </c>
      <c r="B922" s="171" t="s">
        <v>4158</v>
      </c>
      <c r="C922" s="172">
        <v>251718.0</v>
      </c>
      <c r="D922" s="171" t="s">
        <v>4843</v>
      </c>
      <c r="E922" s="172" t="s">
        <v>580</v>
      </c>
      <c r="F922" s="172" t="b">
        <v>1</v>
      </c>
      <c r="G922" s="172" t="b">
        <v>1</v>
      </c>
      <c r="H922" s="172" t="b">
        <v>1</v>
      </c>
      <c r="I922" s="172" t="b">
        <v>0</v>
      </c>
      <c r="J922" s="172" t="b">
        <v>0</v>
      </c>
      <c r="K922" s="172" t="b">
        <v>0</v>
      </c>
      <c r="L922" s="172" t="b">
        <v>0</v>
      </c>
      <c r="M922" s="172" t="b">
        <v>0</v>
      </c>
      <c r="N922" s="173" t="s">
        <v>4804</v>
      </c>
      <c r="O922" s="167"/>
      <c r="P922" s="168"/>
      <c r="Q922" s="174"/>
    </row>
    <row r="923" spans="8:8" ht="43.5" customHeight="1">
      <c r="A923" s="172">
        <v>4.0</v>
      </c>
      <c r="B923" s="171" t="s">
        <v>3815</v>
      </c>
      <c r="C923" s="172">
        <v>251725.0</v>
      </c>
      <c r="D923" s="171" t="s">
        <v>4820</v>
      </c>
      <c r="E923" s="172" t="s">
        <v>580</v>
      </c>
      <c r="F923" s="172" t="b">
        <v>1</v>
      </c>
      <c r="G923" s="172" t="b">
        <v>0</v>
      </c>
      <c r="H923" s="172" t="b">
        <v>1</v>
      </c>
      <c r="I923" s="172" t="b">
        <v>0</v>
      </c>
      <c r="J923" s="172" t="b">
        <v>0</v>
      </c>
      <c r="K923" s="172" t="b">
        <v>0</v>
      </c>
      <c r="L923" s="172" t="b">
        <v>0</v>
      </c>
      <c r="M923" s="172" t="b">
        <v>0</v>
      </c>
      <c r="N923" s="175" t="s">
        <v>4805</v>
      </c>
      <c r="O923" s="176" t="s">
        <v>4806</v>
      </c>
      <c r="P923" s="97" t="s">
        <v>4807</v>
      </c>
      <c r="Q923" s="174"/>
    </row>
    <row r="924" spans="8:8" ht="43.5" customHeight="1">
      <c r="A924" s="172">
        <v>5.0</v>
      </c>
      <c r="B924" s="171" t="s">
        <v>4159</v>
      </c>
      <c r="C924" s="172">
        <v>251727.0</v>
      </c>
      <c r="D924" s="171" t="s">
        <v>4820</v>
      </c>
      <c r="E924" s="172" t="s">
        <v>580</v>
      </c>
      <c r="F924" s="172" t="b">
        <v>1</v>
      </c>
      <c r="G924" s="172" t="b">
        <v>1</v>
      </c>
      <c r="H924" s="172" t="b">
        <v>0</v>
      </c>
      <c r="I924" s="172" t="b">
        <v>0</v>
      </c>
      <c r="J924" s="172" t="b">
        <v>0</v>
      </c>
      <c r="K924" s="172" t="b">
        <v>0</v>
      </c>
      <c r="L924" s="172" t="b">
        <v>0</v>
      </c>
      <c r="M924" s="172" t="b">
        <v>0</v>
      </c>
      <c r="N924" s="97" t="s">
        <v>4794</v>
      </c>
      <c r="O924" s="172" t="b">
        <v>1</v>
      </c>
      <c r="P924" s="97" t="s">
        <v>4937</v>
      </c>
      <c r="Q924" s="174"/>
    </row>
    <row r="925" spans="8:8" ht="43.5" customHeight="1">
      <c r="A925" s="172">
        <v>7.0</v>
      </c>
      <c r="B925" s="171" t="s">
        <v>4160</v>
      </c>
      <c r="C925" s="172">
        <v>251729.0</v>
      </c>
      <c r="D925" s="171" t="s">
        <v>4820</v>
      </c>
      <c r="E925" s="172" t="s">
        <v>580</v>
      </c>
      <c r="F925" s="172" t="b">
        <v>1</v>
      </c>
      <c r="G925" s="172" t="b">
        <v>1</v>
      </c>
      <c r="H925" s="172" t="b">
        <v>0</v>
      </c>
      <c r="I925" s="172" t="b">
        <v>0</v>
      </c>
      <c r="J925" s="172" t="b">
        <v>0</v>
      </c>
      <c r="K925" s="172" t="b">
        <v>0</v>
      </c>
      <c r="L925" s="172" t="b">
        <v>0</v>
      </c>
      <c r="M925" s="172" t="b">
        <v>0</v>
      </c>
      <c r="N925" s="97" t="s">
        <v>4795</v>
      </c>
      <c r="O925" s="172" t="b">
        <v>1</v>
      </c>
      <c r="P925" s="97" t="s">
        <v>4938</v>
      </c>
      <c r="Q925" s="174"/>
    </row>
    <row r="926" spans="8:8" ht="43.5" customHeight="1">
      <c r="A926" s="172">
        <v>10.0</v>
      </c>
      <c r="B926" s="171" t="s">
        <v>4273</v>
      </c>
      <c r="C926" s="172">
        <v>251745.0</v>
      </c>
      <c r="D926" s="171" t="s">
        <v>4820</v>
      </c>
      <c r="E926" s="172" t="s">
        <v>580</v>
      </c>
      <c r="F926" s="172" t="b">
        <v>0</v>
      </c>
      <c r="G926" s="172" t="b">
        <v>1</v>
      </c>
      <c r="H926" s="172" t="b">
        <v>0</v>
      </c>
      <c r="I926" s="172" t="b">
        <v>0</v>
      </c>
      <c r="J926" s="172" t="b">
        <v>0</v>
      </c>
      <c r="K926" s="172" t="b">
        <v>0</v>
      </c>
      <c r="L926" s="172" t="b">
        <v>0</v>
      </c>
      <c r="M926" s="172" t="b">
        <v>0</v>
      </c>
      <c r="N926" s="97" t="s">
        <v>4796</v>
      </c>
      <c r="O926" s="172" t="b">
        <v>1</v>
      </c>
      <c r="P926" s="97"/>
      <c r="Q926" s="174"/>
    </row>
    <row r="927" spans="8:8" ht="43.5" customHeight="1">
      <c r="A927" s="172">
        <v>12.0</v>
      </c>
      <c r="B927" s="171" t="s">
        <v>4161</v>
      </c>
      <c r="C927" s="172">
        <v>251754.0</v>
      </c>
      <c r="D927" s="171" t="s">
        <v>4828</v>
      </c>
      <c r="E927" s="172" t="s">
        <v>580</v>
      </c>
      <c r="F927" s="172" t="b">
        <v>1</v>
      </c>
      <c r="G927" s="172" t="b">
        <v>1</v>
      </c>
      <c r="H927" s="172" t="b">
        <v>0</v>
      </c>
      <c r="I927" s="172" t="b">
        <v>0</v>
      </c>
      <c r="J927" s="172" t="b">
        <v>0</v>
      </c>
      <c r="K927" s="172" t="b">
        <v>0</v>
      </c>
      <c r="L927" s="172" t="b">
        <v>0</v>
      </c>
      <c r="M927" s="172" t="b">
        <v>0</v>
      </c>
      <c r="N927" s="97" t="s">
        <v>4797</v>
      </c>
      <c r="O927" s="172" t="b">
        <v>0</v>
      </c>
      <c r="P927" s="97"/>
      <c r="Q927" s="174"/>
    </row>
    <row r="928" spans="8:8" ht="43.5" customHeight="1">
      <c r="A928" s="172">
        <v>17.0</v>
      </c>
      <c r="B928" s="171" t="s">
        <v>4162</v>
      </c>
      <c r="C928" s="172">
        <v>251769.0</v>
      </c>
      <c r="D928" s="171" t="s">
        <v>4828</v>
      </c>
      <c r="E928" s="172" t="s">
        <v>580</v>
      </c>
      <c r="F928" s="172" t="b">
        <v>1</v>
      </c>
      <c r="G928" s="172" t="b">
        <v>0</v>
      </c>
      <c r="H928" s="172" t="b">
        <v>1</v>
      </c>
      <c r="I928" s="172" t="b">
        <v>0</v>
      </c>
      <c r="J928" s="172" t="b">
        <v>0</v>
      </c>
      <c r="K928" s="172" t="b">
        <v>0</v>
      </c>
      <c r="L928" s="172" t="b">
        <v>0</v>
      </c>
      <c r="M928" s="172" t="b">
        <v>0</v>
      </c>
      <c r="N928" s="97" t="s">
        <v>4798</v>
      </c>
      <c r="O928" s="172" t="b">
        <v>0</v>
      </c>
      <c r="P928" s="97"/>
      <c r="Q928" s="174"/>
    </row>
    <row r="929" spans="8:8" ht="43.5" customHeight="1">
      <c r="A929" s="172">
        <v>18.0</v>
      </c>
      <c r="B929" s="171" t="s">
        <v>4163</v>
      </c>
      <c r="C929" s="172">
        <v>251771.0</v>
      </c>
      <c r="D929" s="171" t="s">
        <v>4828</v>
      </c>
      <c r="E929" s="172" t="s">
        <v>580</v>
      </c>
      <c r="F929" s="172" t="b">
        <v>0</v>
      </c>
      <c r="G929" s="172" t="b">
        <v>1</v>
      </c>
      <c r="H929" s="172" t="b">
        <v>1</v>
      </c>
      <c r="I929" s="172" t="b">
        <v>0</v>
      </c>
      <c r="J929" s="172" t="b">
        <v>0</v>
      </c>
      <c r="K929" s="172" t="b">
        <v>0</v>
      </c>
      <c r="L929" s="172" t="b">
        <v>0</v>
      </c>
      <c r="M929" s="172" t="b">
        <v>0</v>
      </c>
      <c r="N929" s="97" t="s">
        <v>4799</v>
      </c>
      <c r="O929" s="172" t="b">
        <v>0</v>
      </c>
      <c r="P929" s="97"/>
      <c r="Q929" s="174"/>
    </row>
    <row r="930" spans="8:8" ht="43.5" customHeight="1">
      <c r="A930" s="172">
        <v>20.0</v>
      </c>
      <c r="B930" s="171" t="s">
        <v>4164</v>
      </c>
      <c r="C930" s="172">
        <v>251776.0</v>
      </c>
      <c r="D930" s="171" t="s">
        <v>4828</v>
      </c>
      <c r="E930" s="172" t="s">
        <v>580</v>
      </c>
      <c r="F930" s="172" t="b">
        <v>0</v>
      </c>
      <c r="G930" s="172" t="b">
        <v>1</v>
      </c>
      <c r="H930" s="172" t="b">
        <v>1</v>
      </c>
      <c r="I930" s="172" t="b">
        <v>0</v>
      </c>
      <c r="J930" s="172" t="b">
        <v>0</v>
      </c>
      <c r="K930" s="172" t="b">
        <v>0</v>
      </c>
      <c r="L930" s="172" t="b">
        <v>0</v>
      </c>
      <c r="M930" s="172" t="b">
        <v>0</v>
      </c>
      <c r="N930" s="97" t="s">
        <v>4800</v>
      </c>
      <c r="O930" s="172" t="b">
        <v>0</v>
      </c>
      <c r="P930" s="97"/>
      <c r="Q930" s="174"/>
    </row>
    <row r="931" spans="8:8" ht="43.5" customHeight="1">
      <c r="A931" s="172">
        <v>21.0</v>
      </c>
      <c r="B931" s="171" t="s">
        <v>4165</v>
      </c>
      <c r="C931" s="172">
        <v>251781.0</v>
      </c>
      <c r="D931" s="171" t="s">
        <v>4829</v>
      </c>
      <c r="E931" s="172" t="s">
        <v>580</v>
      </c>
      <c r="F931" s="172" t="b">
        <v>1</v>
      </c>
      <c r="G931" s="172" t="b">
        <v>0</v>
      </c>
      <c r="H931" s="172" t="b">
        <v>1</v>
      </c>
      <c r="I931" s="172" t="b">
        <v>0</v>
      </c>
      <c r="J931" s="172" t="b">
        <v>0</v>
      </c>
      <c r="K931" s="172" t="b">
        <v>0</v>
      </c>
      <c r="L931" s="172" t="b">
        <v>0</v>
      </c>
      <c r="M931" s="172" t="b">
        <v>0</v>
      </c>
      <c r="N931" s="97" t="s">
        <v>4801</v>
      </c>
      <c r="O931" s="172" t="b">
        <v>0</v>
      </c>
      <c r="P931" s="97"/>
      <c r="Q931" s="174"/>
    </row>
    <row r="932" spans="8:8" ht="43.5" customHeight="1">
      <c r="A932" s="172">
        <v>22.0</v>
      </c>
      <c r="B932" s="171" t="s">
        <v>4166</v>
      </c>
      <c r="C932" s="172">
        <v>251786.0</v>
      </c>
      <c r="D932" s="171" t="s">
        <v>4829</v>
      </c>
      <c r="E932" s="172" t="s">
        <v>580</v>
      </c>
      <c r="F932" s="172" t="b">
        <v>0</v>
      </c>
      <c r="G932" s="172" t="b">
        <v>0</v>
      </c>
      <c r="H932" s="172" t="b">
        <v>1</v>
      </c>
      <c r="I932" s="172" t="b">
        <v>0</v>
      </c>
      <c r="J932" s="172" t="b">
        <v>0</v>
      </c>
      <c r="K932" s="172" t="b">
        <v>0</v>
      </c>
      <c r="L932" s="172" t="b">
        <v>0</v>
      </c>
      <c r="M932" s="172" t="b">
        <v>0</v>
      </c>
      <c r="N932" s="97"/>
      <c r="O932" s="97"/>
      <c r="P932" s="97"/>
      <c r="Q932" s="174"/>
    </row>
    <row r="933" spans="8:8" ht="43.5" customHeight="1">
      <c r="A933" s="172">
        <v>23.0</v>
      </c>
      <c r="B933" s="171" t="s">
        <v>4167</v>
      </c>
      <c r="C933" s="172">
        <v>252922.0</v>
      </c>
      <c r="D933" s="171" t="s">
        <v>4829</v>
      </c>
      <c r="E933" s="172" t="s">
        <v>580</v>
      </c>
      <c r="F933" s="172" t="b">
        <v>1</v>
      </c>
      <c r="G933" s="172" t="b">
        <v>1</v>
      </c>
      <c r="H933" s="172" t="b">
        <v>1</v>
      </c>
      <c r="I933" s="172" t="b">
        <v>0</v>
      </c>
      <c r="J933" s="172" t="b">
        <v>0</v>
      </c>
      <c r="K933" s="172" t="b">
        <v>0</v>
      </c>
      <c r="L933" s="172" t="b">
        <v>0</v>
      </c>
      <c r="M933" s="172" t="b">
        <v>0</v>
      </c>
      <c r="N933" s="97"/>
      <c r="O933" s="97"/>
      <c r="P933" s="97"/>
      <c r="Q933" s="174"/>
    </row>
    <row r="934" spans="8:8" ht="43.5" customHeight="1">
      <c r="A934" s="172">
        <v>25.0</v>
      </c>
      <c r="B934" s="181" t="s">
        <v>3878</v>
      </c>
      <c r="C934" s="97">
        <v>251436.0</v>
      </c>
      <c r="D934" s="181" t="s">
        <v>4811</v>
      </c>
      <c r="E934" s="97" t="s">
        <v>580</v>
      </c>
      <c r="F934" s="172" t="b">
        <v>1</v>
      </c>
      <c r="G934" s="172" t="b">
        <v>1</v>
      </c>
      <c r="H934" s="172" t="b">
        <v>1</v>
      </c>
      <c r="I934" s="172" t="b">
        <v>0</v>
      </c>
      <c r="J934" s="172" t="b">
        <v>0</v>
      </c>
      <c r="K934" s="172" t="b">
        <v>0</v>
      </c>
      <c r="L934" s="172" t="b">
        <v>0</v>
      </c>
      <c r="M934" s="172" t="b">
        <v>0</v>
      </c>
      <c r="N934" s="97"/>
      <c r="O934" s="97"/>
      <c r="P934" s="97"/>
      <c r="Q934" s="174"/>
    </row>
    <row r="935" spans="8:8" ht="43.5" customHeight="1">
      <c r="A935" s="170">
        <v>6.0</v>
      </c>
      <c r="B935" s="171" t="s">
        <v>3914</v>
      </c>
      <c r="C935" s="172">
        <v>241298.0</v>
      </c>
      <c r="D935" s="171" t="s">
        <v>4856</v>
      </c>
      <c r="E935" s="172" t="s">
        <v>580</v>
      </c>
      <c r="F935" s="172" t="b">
        <v>0</v>
      </c>
      <c r="G935" s="172" t="b">
        <v>1</v>
      </c>
      <c r="H935" s="172" t="b">
        <v>1</v>
      </c>
      <c r="I935" s="172" t="b">
        <v>0</v>
      </c>
      <c r="J935" s="172" t="b">
        <v>0</v>
      </c>
      <c r="K935" s="172" t="b">
        <v>0</v>
      </c>
      <c r="L935" s="172" t="b">
        <v>0</v>
      </c>
      <c r="M935" s="172" t="b">
        <v>0</v>
      </c>
      <c r="N935" s="189"/>
      <c r="O935" s="189"/>
      <c r="P935" s="189"/>
    </row>
    <row r="936" spans="8:8" ht="43.5" customHeight="1">
      <c r="A936" s="97"/>
      <c r="B936" s="182" t="s">
        <v>4815</v>
      </c>
      <c r="C936" s="97"/>
      <c r="D936" s="97"/>
      <c r="E936" s="183"/>
      <c r="F936" s="184">
        <f t="shared" si="33" ref="F936:M936">COUNTIF(F920:F926,TRUE)/COUNTA(F920:F926)</f>
        <v>0.5714285714285714</v>
      </c>
      <c r="G936" s="184">
        <f t="shared" si="33"/>
        <v>0.5714285714285714</v>
      </c>
      <c r="H936" s="184">
        <f t="shared" si="33"/>
        <v>0.2857142857142857</v>
      </c>
      <c r="I936" s="184">
        <f t="shared" si="33"/>
        <v>0.0</v>
      </c>
      <c r="J936" s="184">
        <f t="shared" si="33"/>
        <v>0.0</v>
      </c>
      <c r="K936" s="184">
        <f t="shared" si="33"/>
        <v>0.0</v>
      </c>
      <c r="L936" s="184">
        <f t="shared" si="33"/>
        <v>0.0</v>
      </c>
      <c r="M936" s="184">
        <f t="shared" si="33"/>
        <v>0.0</v>
      </c>
      <c r="N936" s="189"/>
      <c r="O936" s="189"/>
      <c r="P936" s="189"/>
    </row>
    <row r="937" spans="8:8" ht="43.5" customHeight="1">
      <c r="A937" s="162" t="s">
        <v>18</v>
      </c>
      <c r="B937" s="162" t="s">
        <v>19</v>
      </c>
      <c r="C937" s="163"/>
      <c r="D937" s="162" t="s">
        <v>4530</v>
      </c>
      <c r="E937" s="162" t="s">
        <v>22</v>
      </c>
      <c r="F937" s="163" t="s">
        <v>4794</v>
      </c>
      <c r="G937" s="163" t="s">
        <v>4795</v>
      </c>
      <c r="H937" s="163" t="s">
        <v>4796</v>
      </c>
      <c r="I937" s="163" t="s">
        <v>4797</v>
      </c>
      <c r="J937" s="163" t="s">
        <v>4798</v>
      </c>
      <c r="K937" s="163" t="s">
        <v>4799</v>
      </c>
      <c r="L937" s="163" t="s">
        <v>4800</v>
      </c>
      <c r="M937" s="163" t="s">
        <v>4801</v>
      </c>
      <c r="N937" s="166" t="s">
        <v>4939</v>
      </c>
      <c r="O937" s="167"/>
      <c r="P937" s="168"/>
      <c r="Q937" s="169"/>
    </row>
    <row r="938" spans="8:8" ht="43.5" customHeight="1">
      <c r="A938" s="189"/>
      <c r="B938" s="181" t="s">
        <v>3780</v>
      </c>
      <c r="C938" s="97">
        <v>251444.0</v>
      </c>
      <c r="D938" s="181" t="s">
        <v>4827</v>
      </c>
      <c r="E938" s="172" t="s">
        <v>580</v>
      </c>
      <c r="F938" s="172" t="b">
        <v>1</v>
      </c>
      <c r="G938" s="172" t="b">
        <v>1</v>
      </c>
      <c r="H938" s="172" t="b">
        <v>1</v>
      </c>
      <c r="I938" s="172" t="b">
        <v>0</v>
      </c>
      <c r="J938" s="172" t="b">
        <v>0</v>
      </c>
      <c r="K938" s="172" t="b">
        <v>0</v>
      </c>
      <c r="L938" s="172" t="b">
        <v>0</v>
      </c>
      <c r="M938" s="172" t="b">
        <v>0</v>
      </c>
      <c r="N938" s="173" t="s">
        <v>4804</v>
      </c>
      <c r="O938" s="167"/>
      <c r="P938" s="168"/>
      <c r="Q938" s="174"/>
    </row>
    <row r="939" spans="8:8" ht="43.5" customHeight="1">
      <c r="A939" s="172">
        <v>2.0</v>
      </c>
      <c r="B939" s="181" t="s">
        <v>3777</v>
      </c>
      <c r="C939" s="97">
        <v>251469.0</v>
      </c>
      <c r="D939" s="181" t="s">
        <v>4834</v>
      </c>
      <c r="E939" s="172" t="s">
        <v>580</v>
      </c>
      <c r="F939" s="172" t="b">
        <v>1</v>
      </c>
      <c r="G939" s="172" t="b">
        <v>0</v>
      </c>
      <c r="H939" s="172" t="b">
        <v>1</v>
      </c>
      <c r="I939" s="172" t="b">
        <v>0</v>
      </c>
      <c r="J939" s="172" t="b">
        <v>0</v>
      </c>
      <c r="K939" s="172" t="b">
        <v>0</v>
      </c>
      <c r="L939" s="172" t="b">
        <v>0</v>
      </c>
      <c r="M939" s="172" t="b">
        <v>0</v>
      </c>
      <c r="N939" s="175" t="s">
        <v>4805</v>
      </c>
      <c r="O939" s="176" t="s">
        <v>4806</v>
      </c>
      <c r="P939" s="97" t="s">
        <v>4807</v>
      </c>
      <c r="Q939" s="174"/>
    </row>
    <row r="940" spans="8:8" ht="43.5" customHeight="1">
      <c r="A940" s="172">
        <v>3.0</v>
      </c>
      <c r="B940" s="181" t="s">
        <v>4168</v>
      </c>
      <c r="C940" s="97">
        <v>251484.0</v>
      </c>
      <c r="D940" s="181" t="s">
        <v>4834</v>
      </c>
      <c r="E940" s="172" t="s">
        <v>580</v>
      </c>
      <c r="F940" s="172" t="b">
        <v>1</v>
      </c>
      <c r="G940" s="172" t="b">
        <v>0</v>
      </c>
      <c r="H940" s="172" t="b">
        <v>1</v>
      </c>
      <c r="I940" s="172" t="b">
        <v>0</v>
      </c>
      <c r="J940" s="172" t="b">
        <v>0</v>
      </c>
      <c r="K940" s="172" t="b">
        <v>0</v>
      </c>
      <c r="L940" s="172" t="b">
        <v>0</v>
      </c>
      <c r="M940" s="172" t="b">
        <v>0</v>
      </c>
      <c r="N940" s="97" t="s">
        <v>4794</v>
      </c>
      <c r="O940" s="172" t="b">
        <v>1</v>
      </c>
      <c r="P940" s="97"/>
      <c r="Q940" s="174"/>
    </row>
    <row r="941" spans="8:8" ht="43.5" customHeight="1">
      <c r="A941" s="189"/>
      <c r="B941" s="181" t="s">
        <v>4169</v>
      </c>
      <c r="C941" s="97">
        <v>251513.0</v>
      </c>
      <c r="D941" s="181" t="s">
        <v>4841</v>
      </c>
      <c r="E941" s="172" t="s">
        <v>580</v>
      </c>
      <c r="F941" s="172" t="b">
        <v>0</v>
      </c>
      <c r="G941" s="172" t="b">
        <v>1</v>
      </c>
      <c r="H941" s="172" t="b">
        <v>1</v>
      </c>
      <c r="I941" s="172" t="b">
        <v>0</v>
      </c>
      <c r="J941" s="172" t="b">
        <v>0</v>
      </c>
      <c r="K941" s="172" t="b">
        <v>0</v>
      </c>
      <c r="L941" s="172" t="b">
        <v>0</v>
      </c>
      <c r="M941" s="172" t="b">
        <v>0</v>
      </c>
      <c r="N941" s="97" t="s">
        <v>4795</v>
      </c>
      <c r="O941" s="172" t="b">
        <v>1</v>
      </c>
      <c r="P941" s="97"/>
      <c r="Q941" s="174"/>
    </row>
    <row r="942" spans="8:8" ht="43.5" customHeight="1">
      <c r="A942" s="189"/>
      <c r="B942" s="181" t="s">
        <v>4288</v>
      </c>
      <c r="C942" s="97">
        <v>241526.0</v>
      </c>
      <c r="D942" s="181" t="s">
        <v>4851</v>
      </c>
      <c r="E942" s="172" t="s">
        <v>580</v>
      </c>
      <c r="F942" s="172" t="b">
        <v>0</v>
      </c>
      <c r="G942" s="172" t="b">
        <v>0</v>
      </c>
      <c r="H942" s="172" t="b">
        <v>0</v>
      </c>
      <c r="I942" s="172" t="b">
        <v>0</v>
      </c>
      <c r="J942" s="172" t="b">
        <v>0</v>
      </c>
      <c r="K942" s="172" t="b">
        <v>0</v>
      </c>
      <c r="L942" s="172" t="b">
        <v>0</v>
      </c>
      <c r="M942" s="172" t="b">
        <v>0</v>
      </c>
      <c r="N942" s="97" t="s">
        <v>4796</v>
      </c>
      <c r="O942" s="172" t="b">
        <v>1</v>
      </c>
      <c r="P942" s="97"/>
      <c r="Q942" s="174"/>
    </row>
    <row r="943" spans="8:8" ht="43.5" customHeight="1">
      <c r="A943" s="172">
        <v>6.0</v>
      </c>
      <c r="B943" s="181" t="s">
        <v>4170</v>
      </c>
      <c r="C943" s="97">
        <v>241952.0</v>
      </c>
      <c r="D943" s="181" t="s">
        <v>4859</v>
      </c>
      <c r="E943" s="172" t="s">
        <v>580</v>
      </c>
      <c r="F943" s="172" t="b">
        <v>0</v>
      </c>
      <c r="G943" s="172" t="b">
        <v>1</v>
      </c>
      <c r="H943" s="172" t="b">
        <v>0</v>
      </c>
      <c r="I943" s="172" t="b">
        <v>0</v>
      </c>
      <c r="J943" s="172" t="b">
        <v>0</v>
      </c>
      <c r="K943" s="172" t="b">
        <v>0</v>
      </c>
      <c r="L943" s="172" t="b">
        <v>0</v>
      </c>
      <c r="M943" s="172" t="b">
        <v>0</v>
      </c>
      <c r="N943" s="97" t="s">
        <v>4797</v>
      </c>
      <c r="O943" s="172" t="b">
        <v>0</v>
      </c>
      <c r="P943" s="97"/>
      <c r="Q943" s="174"/>
    </row>
    <row r="944" spans="8:8" ht="43.5" customHeight="1">
      <c r="A944" s="189"/>
      <c r="B944" s="181" t="s">
        <v>4171</v>
      </c>
      <c r="C944" s="97">
        <v>241163.0</v>
      </c>
      <c r="D944" s="181" t="s">
        <v>4859</v>
      </c>
      <c r="E944" s="172" t="s">
        <v>580</v>
      </c>
      <c r="F944" s="172" t="b">
        <v>0</v>
      </c>
      <c r="G944" s="172" t="b">
        <v>0</v>
      </c>
      <c r="H944" s="172" t="b">
        <v>1</v>
      </c>
      <c r="I944" s="172" t="b">
        <v>0</v>
      </c>
      <c r="J944" s="172" t="b">
        <v>0</v>
      </c>
      <c r="K944" s="172" t="b">
        <v>0</v>
      </c>
      <c r="L944" s="172" t="b">
        <v>0</v>
      </c>
      <c r="M944" s="172" t="b">
        <v>0</v>
      </c>
      <c r="N944" s="97" t="s">
        <v>4798</v>
      </c>
      <c r="O944" s="172" t="b">
        <v>0</v>
      </c>
      <c r="P944" s="97"/>
      <c r="Q944" s="174"/>
    </row>
    <row r="945" spans="8:8" ht="43.5" customHeight="1">
      <c r="A945" s="172">
        <v>8.0</v>
      </c>
      <c r="B945" s="181" t="s">
        <v>4172</v>
      </c>
      <c r="C945" s="97">
        <v>241148.0</v>
      </c>
      <c r="D945" s="181" t="s">
        <v>4859</v>
      </c>
      <c r="E945" s="172" t="s">
        <v>580</v>
      </c>
      <c r="F945" s="172" t="b">
        <v>0</v>
      </c>
      <c r="G945" s="172" t="b">
        <v>1</v>
      </c>
      <c r="H945" s="172" t="b">
        <v>0</v>
      </c>
      <c r="I945" s="172" t="b">
        <v>0</v>
      </c>
      <c r="J945" s="172" t="b">
        <v>0</v>
      </c>
      <c r="K945" s="172" t="b">
        <v>0</v>
      </c>
      <c r="L945" s="172" t="b">
        <v>0</v>
      </c>
      <c r="M945" s="172" t="b">
        <v>0</v>
      </c>
      <c r="N945" s="97" t="s">
        <v>4799</v>
      </c>
      <c r="O945" s="172" t="b">
        <v>0</v>
      </c>
      <c r="P945" s="97"/>
      <c r="Q945" s="174"/>
    </row>
    <row r="946" spans="8:8" ht="43.5" customHeight="1">
      <c r="A946" s="172">
        <v>9.0</v>
      </c>
      <c r="B946" s="181" t="s">
        <v>4177</v>
      </c>
      <c r="C946" s="97">
        <v>241467.0</v>
      </c>
      <c r="D946" s="181" t="s">
        <v>4851</v>
      </c>
      <c r="E946" s="172" t="s">
        <v>580</v>
      </c>
      <c r="F946" s="172" t="b">
        <v>0</v>
      </c>
      <c r="G946" s="172" t="b">
        <v>0</v>
      </c>
      <c r="H946" s="172" t="b">
        <v>0</v>
      </c>
      <c r="I946" s="172" t="b">
        <v>0</v>
      </c>
      <c r="J946" s="172" t="b">
        <v>0</v>
      </c>
      <c r="K946" s="172" t="b">
        <v>0</v>
      </c>
      <c r="L946" s="172" t="b">
        <v>0</v>
      </c>
      <c r="M946" s="172" t="b">
        <v>0</v>
      </c>
      <c r="N946" s="97" t="s">
        <v>4800</v>
      </c>
      <c r="O946" s="172" t="b">
        <v>0</v>
      </c>
      <c r="P946" s="97"/>
      <c r="Q946" s="174"/>
    </row>
    <row r="947" spans="8:8" ht="43.5" customHeight="1">
      <c r="A947" s="189"/>
      <c r="B947" s="181" t="s">
        <v>4940</v>
      </c>
      <c r="C947" s="97">
        <v>241147.0</v>
      </c>
      <c r="D947" s="181" t="s">
        <v>4859</v>
      </c>
      <c r="E947" s="172" t="s">
        <v>580</v>
      </c>
      <c r="F947" s="172" t="b">
        <v>0</v>
      </c>
      <c r="G947" s="172" t="b">
        <v>0</v>
      </c>
      <c r="H947" s="172" t="b">
        <v>0</v>
      </c>
      <c r="I947" s="172" t="b">
        <v>0</v>
      </c>
      <c r="J947" s="172" t="b">
        <v>0</v>
      </c>
      <c r="K947" s="172" t="b">
        <v>0</v>
      </c>
      <c r="L947" s="172" t="b">
        <v>0</v>
      </c>
      <c r="M947" s="172" t="b">
        <v>0</v>
      </c>
      <c r="N947" s="97" t="s">
        <v>4801</v>
      </c>
      <c r="O947" s="172" t="b">
        <v>0</v>
      </c>
      <c r="P947" s="97"/>
      <c r="Q947" s="174"/>
    </row>
    <row r="948" spans="8:8" ht="43.5" customHeight="1">
      <c r="A948" s="172">
        <v>11.0</v>
      </c>
      <c r="B948" s="181" t="s">
        <v>4173</v>
      </c>
      <c r="C948" s="97">
        <v>241898.0</v>
      </c>
      <c r="D948" s="181" t="s">
        <v>4941</v>
      </c>
      <c r="E948" s="172" t="s">
        <v>580</v>
      </c>
      <c r="F948" s="172" t="b">
        <v>0</v>
      </c>
      <c r="G948" s="172" t="b">
        <v>1</v>
      </c>
      <c r="H948" s="172" t="b">
        <v>1</v>
      </c>
      <c r="I948" s="172" t="b">
        <v>0</v>
      </c>
      <c r="J948" s="172" t="b">
        <v>0</v>
      </c>
      <c r="K948" s="172" t="b">
        <v>0</v>
      </c>
      <c r="L948" s="172" t="b">
        <v>0</v>
      </c>
      <c r="M948" s="172" t="b">
        <v>0</v>
      </c>
      <c r="N948" s="97"/>
      <c r="O948" s="97"/>
      <c r="P948" s="97"/>
      <c r="Q948" s="174"/>
    </row>
    <row r="949" spans="8:8" ht="43.5" customHeight="1">
      <c r="A949" s="172">
        <v>12.0</v>
      </c>
      <c r="B949" s="171" t="s">
        <v>4174</v>
      </c>
      <c r="C949" s="172">
        <v>251519.0</v>
      </c>
      <c r="D949" s="172"/>
      <c r="E949" s="172" t="s">
        <v>580</v>
      </c>
      <c r="F949" s="172" t="b">
        <v>1</v>
      </c>
      <c r="G949" s="172" t="b">
        <v>0</v>
      </c>
      <c r="H949" s="172" t="b">
        <v>1</v>
      </c>
      <c r="I949" s="172" t="b">
        <v>0</v>
      </c>
      <c r="J949" s="172" t="b">
        <v>0</v>
      </c>
      <c r="K949" s="172" t="b">
        <v>0</v>
      </c>
      <c r="L949" s="172" t="b">
        <v>0</v>
      </c>
      <c r="M949" s="172" t="b">
        <v>0</v>
      </c>
      <c r="N949" s="97"/>
      <c r="O949" s="97"/>
      <c r="P949" s="97"/>
      <c r="Q949" s="174"/>
    </row>
    <row r="950" spans="8:8" ht="43.5" customHeight="1">
      <c r="A950" s="172">
        <v>13.0</v>
      </c>
      <c r="B950" s="171" t="s">
        <v>4175</v>
      </c>
      <c r="C950" s="172">
        <v>251770.0</v>
      </c>
      <c r="D950" s="171" t="s">
        <v>4828</v>
      </c>
      <c r="E950" s="172" t="s">
        <v>580</v>
      </c>
      <c r="F950" s="172" t="b">
        <v>0</v>
      </c>
      <c r="G950" s="172" t="b">
        <v>1</v>
      </c>
      <c r="H950" s="172" t="b">
        <v>1</v>
      </c>
      <c r="I950" s="172" t="b">
        <v>0</v>
      </c>
      <c r="J950" s="172" t="b">
        <v>0</v>
      </c>
      <c r="K950" s="172" t="b">
        <v>0</v>
      </c>
      <c r="L950" s="172" t="b">
        <v>0</v>
      </c>
      <c r="M950" s="172" t="b">
        <v>0</v>
      </c>
      <c r="N950" s="97"/>
      <c r="O950" s="97"/>
      <c r="P950" s="97"/>
      <c r="Q950" s="174"/>
    </row>
    <row r="951" spans="8:8" ht="43.5" customHeight="1">
      <c r="A951" s="172">
        <v>16.0</v>
      </c>
      <c r="B951" s="181" t="s">
        <v>4176</v>
      </c>
      <c r="C951" s="97">
        <v>241555.0</v>
      </c>
      <c r="D951" s="181" t="s">
        <v>4851</v>
      </c>
      <c r="E951" s="172" t="s">
        <v>1364</v>
      </c>
      <c r="F951" s="172" t="b">
        <v>1</v>
      </c>
      <c r="G951" s="172" t="b">
        <v>1</v>
      </c>
      <c r="H951" s="172" t="b">
        <v>1</v>
      </c>
      <c r="I951" s="172" t="b">
        <v>0</v>
      </c>
      <c r="J951" s="172" t="b">
        <v>0</v>
      </c>
      <c r="K951" s="172" t="b">
        <v>0</v>
      </c>
      <c r="L951" s="172" t="b">
        <v>0</v>
      </c>
      <c r="M951" s="172" t="b">
        <v>0</v>
      </c>
      <c r="N951" s="97"/>
      <c r="O951" s="97"/>
      <c r="P951" s="97"/>
      <c r="Q951" s="174"/>
    </row>
    <row r="952" spans="8:8" ht="43.5" customHeight="1">
      <c r="A952" s="172">
        <v>18.0</v>
      </c>
      <c r="B952" s="182" t="s">
        <v>4815</v>
      </c>
      <c r="C952" s="97"/>
      <c r="D952" s="97"/>
      <c r="E952" s="183"/>
      <c r="F952" s="184">
        <f t="shared" si="34" ref="F952:M952">COUNTIF(F934:F942,TRUE)/COUNTA(F934:F942)</f>
        <v>0.4444444444444444</v>
      </c>
      <c r="G952" s="184">
        <f t="shared" si="34"/>
        <v>0.4444444444444444</v>
      </c>
      <c r="H952" s="184">
        <f t="shared" si="34"/>
        <v>0.6666666666666666</v>
      </c>
      <c r="I952" s="184">
        <f t="shared" si="34"/>
        <v>0.0</v>
      </c>
      <c r="J952" s="184">
        <f t="shared" si="34"/>
        <v>0.0</v>
      </c>
      <c r="K952" s="184">
        <f t="shared" si="34"/>
        <v>0.0</v>
      </c>
      <c r="L952" s="184">
        <f t="shared" si="34"/>
        <v>0.0</v>
      </c>
      <c r="M952" s="184">
        <f t="shared" si="34"/>
        <v>0.0</v>
      </c>
      <c r="N952" s="97"/>
      <c r="O952" s="97"/>
      <c r="P952" s="97"/>
      <c r="Q952" s="174"/>
    </row>
    <row r="953" spans="8:8" ht="43.5" customHeight="1">
      <c r="A953" s="162" t="s">
        <v>18</v>
      </c>
      <c r="B953" s="162" t="s">
        <v>19</v>
      </c>
      <c r="C953" s="163"/>
      <c r="D953" s="162" t="s">
        <v>4530</v>
      </c>
      <c r="E953" s="162" t="s">
        <v>22</v>
      </c>
      <c r="F953" s="163" t="s">
        <v>4794</v>
      </c>
      <c r="G953" s="163" t="s">
        <v>4795</v>
      </c>
      <c r="H953" s="163" t="s">
        <v>4796</v>
      </c>
      <c r="I953" s="163" t="s">
        <v>4797</v>
      </c>
      <c r="J953" s="163" t="s">
        <v>4798</v>
      </c>
      <c r="K953" s="163" t="s">
        <v>4799</v>
      </c>
      <c r="L953" s="163" t="s">
        <v>4800</v>
      </c>
      <c r="M953" s="163" t="s">
        <v>4801</v>
      </c>
      <c r="N953" s="166" t="s">
        <v>4942</v>
      </c>
      <c r="O953" s="167"/>
      <c r="P953" s="168"/>
      <c r="Q953" s="169"/>
    </row>
    <row r="954" spans="8:8" ht="43.5" customHeight="1">
      <c r="A954" s="172">
        <v>20.0</v>
      </c>
      <c r="B954" s="171" t="s">
        <v>4178</v>
      </c>
      <c r="C954" s="172">
        <v>241182.0</v>
      </c>
      <c r="D954" s="171" t="s">
        <v>4859</v>
      </c>
      <c r="E954" s="172" t="s">
        <v>580</v>
      </c>
      <c r="F954" s="172" t="b">
        <v>0</v>
      </c>
      <c r="G954" s="172" t="b">
        <v>1</v>
      </c>
      <c r="H954" s="172" t="b">
        <v>0</v>
      </c>
      <c r="I954" s="172" t="b">
        <v>0</v>
      </c>
      <c r="J954" s="172" t="b">
        <v>0</v>
      </c>
      <c r="K954" s="172" t="b">
        <v>0</v>
      </c>
      <c r="L954" s="172" t="b">
        <v>0</v>
      </c>
      <c r="M954" s="172" t="b">
        <v>0</v>
      </c>
      <c r="N954" s="173" t="s">
        <v>4804</v>
      </c>
      <c r="O954" s="167"/>
      <c r="P954" s="168"/>
      <c r="Q954" s="174"/>
    </row>
    <row r="955" spans="8:8" ht="43.5" customHeight="1">
      <c r="A955" s="97">
        <v>21.0</v>
      </c>
      <c r="B955" s="171" t="s">
        <v>4179</v>
      </c>
      <c r="C955" s="172">
        <v>241198.0</v>
      </c>
      <c r="D955" s="171" t="s">
        <v>4859</v>
      </c>
      <c r="E955" s="172" t="s">
        <v>580</v>
      </c>
      <c r="F955" s="172" t="b">
        <v>0</v>
      </c>
      <c r="G955" s="172" t="b">
        <v>1</v>
      </c>
      <c r="H955" s="172" t="b">
        <v>1</v>
      </c>
      <c r="I955" s="172" t="b">
        <v>1</v>
      </c>
      <c r="J955" s="172" t="b">
        <v>0</v>
      </c>
      <c r="K955" s="172" t="b">
        <v>0</v>
      </c>
      <c r="L955" s="172" t="b">
        <v>0</v>
      </c>
      <c r="M955" s="172" t="b">
        <v>0</v>
      </c>
      <c r="N955" s="175" t="s">
        <v>4805</v>
      </c>
      <c r="O955" s="176" t="s">
        <v>4806</v>
      </c>
      <c r="P955" s="97" t="s">
        <v>4807</v>
      </c>
      <c r="Q955" s="174"/>
    </row>
    <row r="956" spans="8:8" ht="43.5" customHeight="1">
      <c r="A956" s="189"/>
      <c r="B956" s="171" t="s">
        <v>4180</v>
      </c>
      <c r="C956" s="172">
        <v>241209.0</v>
      </c>
      <c r="D956" s="171" t="s">
        <v>4859</v>
      </c>
      <c r="E956" s="172" t="s">
        <v>580</v>
      </c>
      <c r="F956" s="172" t="b">
        <v>0</v>
      </c>
      <c r="G956" s="172" t="b">
        <v>1</v>
      </c>
      <c r="H956" s="172" t="b">
        <v>1</v>
      </c>
      <c r="I956" s="172" t="b">
        <v>1</v>
      </c>
      <c r="J956" s="172" t="b">
        <v>0</v>
      </c>
      <c r="K956" s="172" t="b">
        <v>0</v>
      </c>
      <c r="L956" s="172" t="b">
        <v>0</v>
      </c>
      <c r="M956" s="172" t="b">
        <v>0</v>
      </c>
      <c r="N956" s="97" t="s">
        <v>4794</v>
      </c>
      <c r="O956" s="172" t="b">
        <v>1</v>
      </c>
      <c r="P956" s="97"/>
      <c r="Q956" s="174"/>
    </row>
    <row r="957" spans="8:8" ht="43.5" customHeight="1">
      <c r="A957" s="97"/>
      <c r="B957" s="171" t="s">
        <v>4181</v>
      </c>
      <c r="C957" s="172">
        <v>241219.0</v>
      </c>
      <c r="D957" s="171" t="s">
        <v>4859</v>
      </c>
      <c r="E957" s="172" t="s">
        <v>580</v>
      </c>
      <c r="F957" s="172" t="b">
        <v>0</v>
      </c>
      <c r="G957" s="172" t="b">
        <v>1</v>
      </c>
      <c r="H957" s="172" t="b">
        <v>1</v>
      </c>
      <c r="I957" s="172" t="b">
        <v>1</v>
      </c>
      <c r="J957" s="172" t="b">
        <v>0</v>
      </c>
      <c r="K957" s="172" t="b">
        <v>0</v>
      </c>
      <c r="L957" s="172" t="b">
        <v>0</v>
      </c>
      <c r="M957" s="172" t="b">
        <v>0</v>
      </c>
      <c r="N957" s="97" t="s">
        <v>4795</v>
      </c>
      <c r="O957" s="172" t="b">
        <v>0</v>
      </c>
      <c r="P957" s="97"/>
      <c r="Q957" s="174"/>
    </row>
    <row r="958" spans="8:8" ht="43.5" customHeight="1">
      <c r="A958" s="189"/>
      <c r="B958" s="171" t="s">
        <v>4182</v>
      </c>
      <c r="C958" s="172">
        <v>241220.0</v>
      </c>
      <c r="D958" s="171" t="s">
        <v>4859</v>
      </c>
      <c r="E958" s="172" t="s">
        <v>580</v>
      </c>
      <c r="F958" s="172" t="b">
        <v>0</v>
      </c>
      <c r="G958" s="172" t="b">
        <v>1</v>
      </c>
      <c r="H958" s="172" t="b">
        <v>1</v>
      </c>
      <c r="I958" s="172" t="b">
        <v>1</v>
      </c>
      <c r="J958" s="172" t="b">
        <v>0</v>
      </c>
      <c r="K958" s="172" t="b">
        <v>0</v>
      </c>
      <c r="L958" s="172" t="b">
        <v>0</v>
      </c>
      <c r="M958" s="172" t="b">
        <v>0</v>
      </c>
      <c r="N958" s="97" t="s">
        <v>4796</v>
      </c>
      <c r="O958" s="172" t="b">
        <v>0</v>
      </c>
      <c r="P958" s="97"/>
      <c r="Q958" s="174"/>
    </row>
    <row r="959" spans="8:8" ht="43.5" customHeight="1">
      <c r="A959" s="172">
        <v>1.0</v>
      </c>
      <c r="B959" s="171" t="s">
        <v>4183</v>
      </c>
      <c r="C959" s="172">
        <v>241146.0</v>
      </c>
      <c r="D959" s="171" t="s">
        <v>4859</v>
      </c>
      <c r="E959" s="172" t="s">
        <v>580</v>
      </c>
      <c r="F959" s="172" t="b">
        <v>0</v>
      </c>
      <c r="G959" s="172" t="b">
        <v>0</v>
      </c>
      <c r="H959" s="172" t="b">
        <v>0</v>
      </c>
      <c r="I959" s="172" t="b">
        <v>0</v>
      </c>
      <c r="J959" s="172" t="b">
        <v>0</v>
      </c>
      <c r="K959" s="172" t="b">
        <v>0</v>
      </c>
      <c r="L959" s="172" t="b">
        <v>0</v>
      </c>
      <c r="M959" s="172" t="b">
        <v>0</v>
      </c>
      <c r="N959" s="97" t="s">
        <v>4797</v>
      </c>
      <c r="O959" s="172" t="b">
        <v>1</v>
      </c>
      <c r="P959" s="97"/>
      <c r="Q959" s="174"/>
    </row>
    <row r="960" spans="8:8" ht="43.5" customHeight="1">
      <c r="A960" s="172">
        <v>3.0</v>
      </c>
      <c r="B960" s="171" t="s">
        <v>4184</v>
      </c>
      <c r="C960" s="172">
        <v>241525.0</v>
      </c>
      <c r="D960" s="171" t="s">
        <v>4851</v>
      </c>
      <c r="E960" s="172" t="s">
        <v>580</v>
      </c>
      <c r="F960" s="172" t="b">
        <v>0</v>
      </c>
      <c r="G960" s="172" t="b">
        <v>0</v>
      </c>
      <c r="H960" s="172" t="b">
        <v>0</v>
      </c>
      <c r="I960" s="172" t="b">
        <v>0</v>
      </c>
      <c r="J960" s="172" t="b">
        <v>0</v>
      </c>
      <c r="K960" s="172" t="b">
        <v>0</v>
      </c>
      <c r="L960" s="172" t="b">
        <v>0</v>
      </c>
      <c r="M960" s="172" t="b">
        <v>0</v>
      </c>
      <c r="N960" s="97" t="s">
        <v>4798</v>
      </c>
      <c r="O960" s="172" t="b">
        <v>0</v>
      </c>
      <c r="P960" s="97"/>
      <c r="Q960" s="174"/>
    </row>
    <row r="961" spans="8:8" ht="43.5" customHeight="1">
      <c r="A961" s="172">
        <v>5.0</v>
      </c>
      <c r="B961" s="171" t="s">
        <v>4751</v>
      </c>
      <c r="C961" s="172">
        <v>251511.0</v>
      </c>
      <c r="D961" s="171" t="s">
        <v>4814</v>
      </c>
      <c r="E961" s="172" t="s">
        <v>580</v>
      </c>
      <c r="F961" s="172" t="b">
        <v>0</v>
      </c>
      <c r="G961" s="172" t="b">
        <v>0</v>
      </c>
      <c r="H961" s="172" t="b">
        <v>0</v>
      </c>
      <c r="I961" s="172" t="b">
        <v>0</v>
      </c>
      <c r="J961" s="172" t="b">
        <v>0</v>
      </c>
      <c r="K961" s="172" t="b">
        <v>0</v>
      </c>
      <c r="L961" s="172" t="b">
        <v>0</v>
      </c>
      <c r="M961" s="172" t="b">
        <v>0</v>
      </c>
      <c r="N961" s="97" t="s">
        <v>4799</v>
      </c>
      <c r="O961" s="172" t="b">
        <v>0</v>
      </c>
      <c r="P961" s="97"/>
      <c r="Q961" s="174"/>
    </row>
    <row r="962" spans="8:8" ht="43.5" customHeight="1">
      <c r="A962" s="172">
        <v>6.0</v>
      </c>
      <c r="B962" s="171" t="s">
        <v>4185</v>
      </c>
      <c r="C962" s="172">
        <v>241271.0</v>
      </c>
      <c r="D962" s="171" t="s">
        <v>4859</v>
      </c>
      <c r="E962" s="97" t="s">
        <v>580</v>
      </c>
      <c r="F962" s="172" t="b">
        <v>1</v>
      </c>
      <c r="G962" s="172" t="b">
        <v>1</v>
      </c>
      <c r="H962" s="172" t="b">
        <v>1</v>
      </c>
      <c r="I962" s="172" t="b">
        <v>1</v>
      </c>
      <c r="J962" s="172" t="b">
        <v>0</v>
      </c>
      <c r="K962" s="172" t="b">
        <v>0</v>
      </c>
      <c r="L962" s="172" t="b">
        <v>0</v>
      </c>
      <c r="M962" s="172" t="b">
        <v>0</v>
      </c>
      <c r="N962" s="97" t="s">
        <v>4800</v>
      </c>
      <c r="O962" s="172" t="b">
        <v>0</v>
      </c>
      <c r="P962" s="97"/>
      <c r="Q962" s="174"/>
    </row>
    <row r="963" spans="8:8" ht="15.75" customHeight="1">
      <c r="A963" s="172">
        <v>8.0</v>
      </c>
      <c r="B963" s="96" t="s">
        <v>639</v>
      </c>
      <c r="C963" s="177">
        <v>240583.0</v>
      </c>
      <c r="D963" s="191" t="s">
        <v>606</v>
      </c>
      <c r="E963" s="190" t="s">
        <v>580</v>
      </c>
      <c r="F963" s="177" t="b">
        <v>0</v>
      </c>
      <c r="G963" s="190" t="b">
        <v>0</v>
      </c>
      <c r="H963" s="190" t="b">
        <v>1</v>
      </c>
      <c r="I963" s="190" t="b">
        <v>1</v>
      </c>
      <c r="J963" s="190" t="b">
        <v>0</v>
      </c>
      <c r="K963" s="190" t="b">
        <v>0</v>
      </c>
      <c r="L963" s="190" t="b">
        <v>0</v>
      </c>
      <c r="M963" s="190" t="b">
        <v>0</v>
      </c>
      <c r="N963" s="97" t="s">
        <v>4801</v>
      </c>
      <c r="O963" s="172" t="b">
        <v>0</v>
      </c>
      <c r="P963" s="97"/>
      <c r="Q963" s="174"/>
    </row>
    <row r="964" spans="8:8" ht="43.5" customHeight="1">
      <c r="A964" s="172">
        <v>9.0</v>
      </c>
      <c r="B964" s="96" t="s">
        <v>640</v>
      </c>
      <c r="C964" s="177">
        <v>240667.0</v>
      </c>
      <c r="D964" s="191" t="s">
        <v>606</v>
      </c>
      <c r="E964" s="190" t="s">
        <v>580</v>
      </c>
      <c r="F964" s="177" t="b">
        <v>0</v>
      </c>
      <c r="G964" s="190" t="b">
        <v>1</v>
      </c>
      <c r="H964" s="190" t="b">
        <v>1</v>
      </c>
      <c r="I964" s="190" t="b">
        <v>1</v>
      </c>
      <c r="J964" s="190" t="b">
        <v>0</v>
      </c>
      <c r="K964" s="190" t="b">
        <v>0</v>
      </c>
      <c r="L964" s="190" t="b">
        <v>0</v>
      </c>
      <c r="M964" s="190" t="b">
        <v>0</v>
      </c>
      <c r="N964" s="97"/>
      <c r="O964" s="97"/>
      <c r="P964" s="97"/>
      <c r="Q964" s="174"/>
    </row>
    <row r="965" spans="8:8" ht="43.5" customHeight="1">
      <c r="A965" s="189"/>
      <c r="B965" s="182" t="s">
        <v>4815</v>
      </c>
      <c r="C965" s="97"/>
      <c r="D965" s="97"/>
      <c r="E965" s="183"/>
      <c r="F965" s="184">
        <f t="shared" si="35" ref="F965:M965">COUNTIF(F352:F952,TRUE)/COUNTA(F352:F952)</f>
        <v>0.24540901502504173</v>
      </c>
      <c r="G965" s="184">
        <f t="shared" si="35"/>
        <v>0.4373956594323873</v>
      </c>
      <c r="H965" s="184">
        <f t="shared" si="35"/>
        <v>0.4657762938230384</v>
      </c>
      <c r="I965" s="184">
        <f t="shared" si="35"/>
        <v>0.011686143572621035</v>
      </c>
      <c r="J965" s="184">
        <f t="shared" si="35"/>
        <v>0.0</v>
      </c>
      <c r="K965" s="184">
        <f t="shared" si="35"/>
        <v>0.0</v>
      </c>
      <c r="L965" s="184">
        <f t="shared" si="35"/>
        <v>0.0</v>
      </c>
      <c r="M965" s="184">
        <f t="shared" si="35"/>
        <v>0.0</v>
      </c>
      <c r="N965" s="97"/>
      <c r="O965" s="97"/>
      <c r="P965" s="97"/>
      <c r="Q965" s="174"/>
    </row>
    <row r="966" spans="8:8" ht="43.5" customHeight="1">
      <c r="A966" s="172">
        <v>12.0</v>
      </c>
      <c r="B966" s="162" t="s">
        <v>19</v>
      </c>
      <c r="C966" s="163"/>
      <c r="D966" s="162" t="s">
        <v>4530</v>
      </c>
      <c r="E966" s="162" t="s">
        <v>22</v>
      </c>
      <c r="F966" s="163" t="s">
        <v>4794</v>
      </c>
      <c r="G966" s="163" t="s">
        <v>4795</v>
      </c>
      <c r="H966" s="163" t="s">
        <v>4796</v>
      </c>
      <c r="I966" s="163" t="s">
        <v>4797</v>
      </c>
      <c r="J966" s="163" t="s">
        <v>4798</v>
      </c>
      <c r="K966" s="163" t="s">
        <v>4799</v>
      </c>
      <c r="L966" s="163" t="s">
        <v>4800</v>
      </c>
      <c r="M966" s="163" t="s">
        <v>4801</v>
      </c>
      <c r="N966" s="166" t="s">
        <v>4943</v>
      </c>
      <c r="O966" s="167"/>
      <c r="P966" s="168"/>
      <c r="Q966" s="169"/>
    </row>
    <row r="967" spans="8:8" ht="43.5" customHeight="1">
      <c r="A967" s="172">
        <v>15.0</v>
      </c>
      <c r="B967" s="171" t="s">
        <v>4187</v>
      </c>
      <c r="C967" s="172">
        <v>241538.0</v>
      </c>
      <c r="D967" s="171" t="s">
        <v>4851</v>
      </c>
      <c r="E967" s="172" t="s">
        <v>580</v>
      </c>
      <c r="F967" s="172" t="b">
        <v>1</v>
      </c>
      <c r="G967" s="172" t="b">
        <v>1</v>
      </c>
      <c r="H967" s="172" t="b">
        <v>1</v>
      </c>
      <c r="I967" s="172" t="b">
        <v>0</v>
      </c>
      <c r="J967" s="172" t="b">
        <v>0</v>
      </c>
      <c r="K967" s="172" t="b">
        <v>0</v>
      </c>
      <c r="L967" s="172" t="b">
        <v>0</v>
      </c>
      <c r="M967" s="172" t="b">
        <v>0</v>
      </c>
      <c r="N967" s="173" t="s">
        <v>4804</v>
      </c>
      <c r="O967" s="167"/>
      <c r="P967" s="168"/>
      <c r="Q967" s="174"/>
    </row>
    <row r="968" spans="8:8" ht="43.5" customHeight="1">
      <c r="A968" s="170">
        <v>21.0</v>
      </c>
      <c r="B968" s="171" t="s">
        <v>4188</v>
      </c>
      <c r="C968" s="172">
        <v>241539.0</v>
      </c>
      <c r="D968" s="171" t="s">
        <v>4851</v>
      </c>
      <c r="E968" s="172" t="s">
        <v>580</v>
      </c>
      <c r="F968" s="172" t="b">
        <v>0</v>
      </c>
      <c r="G968" s="172" t="b">
        <v>1</v>
      </c>
      <c r="H968" s="172" t="b">
        <v>1</v>
      </c>
      <c r="I968" s="172" t="b">
        <v>0</v>
      </c>
      <c r="J968" s="172" t="b">
        <v>0</v>
      </c>
      <c r="K968" s="172" t="b">
        <v>0</v>
      </c>
      <c r="L968" s="172" t="b">
        <v>0</v>
      </c>
      <c r="M968" s="172" t="b">
        <v>0</v>
      </c>
      <c r="N968" s="175" t="s">
        <v>4805</v>
      </c>
      <c r="O968" s="176" t="s">
        <v>4806</v>
      </c>
      <c r="P968" s="97" t="s">
        <v>4807</v>
      </c>
      <c r="Q968" s="174"/>
    </row>
    <row r="969" spans="8:8" ht="43.5" customHeight="1">
      <c r="A969" s="190">
        <v>12.0</v>
      </c>
      <c r="B969" s="171" t="s">
        <v>4189</v>
      </c>
      <c r="C969" s="172">
        <v>241542.0</v>
      </c>
      <c r="D969" s="171" t="s">
        <v>4851</v>
      </c>
      <c r="E969" s="172" t="s">
        <v>580</v>
      </c>
      <c r="F969" s="172" t="b">
        <v>0</v>
      </c>
      <c r="G969" s="172" t="b">
        <v>0</v>
      </c>
      <c r="H969" s="172" t="b">
        <v>1</v>
      </c>
      <c r="I969" s="172" t="b">
        <v>0</v>
      </c>
      <c r="J969" s="172" t="b">
        <v>0</v>
      </c>
      <c r="K969" s="172" t="b">
        <v>0</v>
      </c>
      <c r="L969" s="172" t="b">
        <v>0</v>
      </c>
      <c r="M969" s="172" t="b">
        <v>0</v>
      </c>
      <c r="N969" s="97" t="s">
        <v>4794</v>
      </c>
      <c r="O969" s="172" t="b">
        <v>1</v>
      </c>
      <c r="P969" s="97"/>
      <c r="Q969" s="174"/>
    </row>
    <row r="970" spans="8:8" ht="43.5" customHeight="1">
      <c r="A970" s="190">
        <v>24.0</v>
      </c>
      <c r="B970" s="171" t="s">
        <v>4190</v>
      </c>
      <c r="C970" s="172">
        <v>241543.0</v>
      </c>
      <c r="D970" s="171" t="s">
        <v>4851</v>
      </c>
      <c r="E970" s="172" t="s">
        <v>580</v>
      </c>
      <c r="F970" s="172" t="b">
        <v>0</v>
      </c>
      <c r="G970" s="172" t="b">
        <v>0</v>
      </c>
      <c r="H970" s="172" t="b">
        <v>1</v>
      </c>
      <c r="I970" s="172" t="b">
        <v>0</v>
      </c>
      <c r="J970" s="172" t="b">
        <v>0</v>
      </c>
      <c r="K970" s="172" t="b">
        <v>0</v>
      </c>
      <c r="L970" s="172" t="b">
        <v>0</v>
      </c>
      <c r="M970" s="172" t="b">
        <v>0</v>
      </c>
      <c r="N970" s="97" t="s">
        <v>4795</v>
      </c>
      <c r="O970" s="172" t="b">
        <v>1</v>
      </c>
      <c r="P970" s="97"/>
      <c r="Q970" s="174"/>
    </row>
    <row r="971" spans="8:8" ht="43.5" customHeight="1">
      <c r="A971" s="97"/>
      <c r="B971" s="171" t="s">
        <v>4191</v>
      </c>
      <c r="C971" s="172">
        <v>241546.0</v>
      </c>
      <c r="D971" s="171" t="s">
        <v>4851</v>
      </c>
      <c r="E971" s="172" t="s">
        <v>580</v>
      </c>
      <c r="F971" s="172" t="b">
        <v>0</v>
      </c>
      <c r="G971" s="172" t="b">
        <v>0</v>
      </c>
      <c r="H971" s="172" t="b">
        <v>0</v>
      </c>
      <c r="I971" s="172" t="b">
        <v>0</v>
      </c>
      <c r="J971" s="172" t="b">
        <v>0</v>
      </c>
      <c r="K971" s="172" t="b">
        <v>0</v>
      </c>
      <c r="L971" s="172" t="b">
        <v>0</v>
      </c>
      <c r="M971" s="172" t="b">
        <v>0</v>
      </c>
      <c r="N971" s="97" t="s">
        <v>4796</v>
      </c>
      <c r="O971" s="172" t="b">
        <v>1</v>
      </c>
      <c r="P971" s="97"/>
      <c r="Q971" s="174"/>
    </row>
    <row r="972" spans="8:8" ht="43.5" customHeight="1">
      <c r="A972" s="163"/>
      <c r="B972" s="171" t="s">
        <v>4192</v>
      </c>
      <c r="C972" s="172">
        <v>241554.0</v>
      </c>
      <c r="D972" s="171" t="s">
        <v>4851</v>
      </c>
      <c r="E972" s="172" t="s">
        <v>580</v>
      </c>
      <c r="F972" s="172" t="b">
        <v>0</v>
      </c>
      <c r="G972" s="172" t="b">
        <v>1</v>
      </c>
      <c r="H972" s="172" t="b">
        <v>0</v>
      </c>
      <c r="I972" s="172" t="b">
        <v>0</v>
      </c>
      <c r="J972" s="172" t="b">
        <v>0</v>
      </c>
      <c r="K972" s="172" t="b">
        <v>0</v>
      </c>
      <c r="L972" s="172" t="b">
        <v>0</v>
      </c>
      <c r="M972" s="172" t="b">
        <v>0</v>
      </c>
      <c r="N972" s="97" t="s">
        <v>4797</v>
      </c>
      <c r="O972" s="172" t="b">
        <v>0</v>
      </c>
      <c r="P972" s="97"/>
      <c r="Q972" s="174"/>
    </row>
    <row r="973" spans="8:8" ht="43.5" customHeight="1">
      <c r="A973" s="172">
        <v>3.0</v>
      </c>
      <c r="B973" s="171" t="s">
        <v>4193</v>
      </c>
      <c r="C973" s="172">
        <v>241563.0</v>
      </c>
      <c r="D973" s="171" t="s">
        <v>4851</v>
      </c>
      <c r="E973" s="172" t="s">
        <v>580</v>
      </c>
      <c r="F973" s="172" t="b">
        <v>1</v>
      </c>
      <c r="G973" s="172" t="b">
        <v>1</v>
      </c>
      <c r="H973" s="172" t="b">
        <v>0</v>
      </c>
      <c r="I973" s="172" t="b">
        <v>0</v>
      </c>
      <c r="J973" s="172" t="b">
        <v>0</v>
      </c>
      <c r="K973" s="172" t="b">
        <v>0</v>
      </c>
      <c r="L973" s="172" t="b">
        <v>0</v>
      </c>
      <c r="M973" s="172" t="b">
        <v>0</v>
      </c>
      <c r="N973" s="97" t="s">
        <v>4798</v>
      </c>
      <c r="O973" s="172" t="b">
        <v>0</v>
      </c>
      <c r="P973" s="97"/>
      <c r="Q973" s="174"/>
    </row>
    <row r="974" spans="8:8" ht="43.5" customHeight="1">
      <c r="A974" s="172">
        <v>4.0</v>
      </c>
      <c r="B974" s="171" t="s">
        <v>4194</v>
      </c>
      <c r="C974" s="172">
        <v>241564.0</v>
      </c>
      <c r="D974" s="171" t="s">
        <v>4851</v>
      </c>
      <c r="E974" s="172" t="s">
        <v>580</v>
      </c>
      <c r="F974" s="172" t="b">
        <v>0</v>
      </c>
      <c r="G974" s="172" t="b">
        <v>0</v>
      </c>
      <c r="H974" s="172" t="b">
        <v>0</v>
      </c>
      <c r="I974" s="172" t="b">
        <v>0</v>
      </c>
      <c r="J974" s="172" t="b">
        <v>0</v>
      </c>
      <c r="K974" s="172" t="b">
        <v>0</v>
      </c>
      <c r="L974" s="172" t="b">
        <v>0</v>
      </c>
      <c r="M974" s="172" t="b">
        <v>0</v>
      </c>
      <c r="N974" s="97" t="s">
        <v>4799</v>
      </c>
      <c r="O974" s="172" t="b">
        <v>0</v>
      </c>
      <c r="P974" s="97"/>
      <c r="Q974" s="174"/>
    </row>
    <row r="975" spans="8:8" ht="43.5" customHeight="1">
      <c r="A975" s="172">
        <v>5.0</v>
      </c>
      <c r="B975" s="171" t="s">
        <v>4195</v>
      </c>
      <c r="C975" s="172">
        <v>241571.0</v>
      </c>
      <c r="D975" s="171" t="s">
        <v>4851</v>
      </c>
      <c r="E975" s="172" t="s">
        <v>580</v>
      </c>
      <c r="F975" s="172" t="b">
        <v>0</v>
      </c>
      <c r="G975" s="172" t="b">
        <v>0</v>
      </c>
      <c r="H975" s="172" t="b">
        <v>1</v>
      </c>
      <c r="I975" s="172" t="b">
        <v>0</v>
      </c>
      <c r="J975" s="172" t="b">
        <v>0</v>
      </c>
      <c r="K975" s="172" t="b">
        <v>0</v>
      </c>
      <c r="L975" s="172" t="b">
        <v>0</v>
      </c>
      <c r="M975" s="172" t="b">
        <v>0</v>
      </c>
      <c r="N975" s="97" t="s">
        <v>4800</v>
      </c>
      <c r="O975" s="172" t="b">
        <v>0</v>
      </c>
      <c r="P975" s="97"/>
      <c r="Q975" s="174"/>
    </row>
    <row r="976" spans="8:8" ht="43.5" customHeight="1">
      <c r="A976" s="172">
        <v>6.0</v>
      </c>
      <c r="B976" s="171" t="s">
        <v>4196</v>
      </c>
      <c r="C976" s="172">
        <v>241575.0</v>
      </c>
      <c r="D976" s="171" t="s">
        <v>4851</v>
      </c>
      <c r="E976" s="172" t="s">
        <v>580</v>
      </c>
      <c r="F976" s="172" t="b">
        <v>0</v>
      </c>
      <c r="G976" s="172" t="b">
        <v>0</v>
      </c>
      <c r="H976" s="172" t="b">
        <v>0</v>
      </c>
      <c r="I976" s="172" t="b">
        <v>0</v>
      </c>
      <c r="J976" s="172" t="b">
        <v>0</v>
      </c>
      <c r="K976" s="172" t="b">
        <v>0</v>
      </c>
      <c r="L976" s="172" t="b">
        <v>0</v>
      </c>
      <c r="M976" s="172" t="b">
        <v>0</v>
      </c>
      <c r="N976" s="97" t="s">
        <v>4801</v>
      </c>
      <c r="O976" s="172" t="b">
        <v>0</v>
      </c>
      <c r="P976" s="97"/>
      <c r="Q976" s="174"/>
    </row>
    <row r="977" spans="8:8" ht="43.5" customHeight="1">
      <c r="A977" s="189"/>
      <c r="B977" s="171" t="s">
        <v>4197</v>
      </c>
      <c r="C977" s="172">
        <v>241579.0</v>
      </c>
      <c r="D977" s="171" t="s">
        <v>4851</v>
      </c>
      <c r="E977" s="172" t="s">
        <v>580</v>
      </c>
      <c r="F977" s="172" t="b">
        <v>0</v>
      </c>
      <c r="G977" s="172" t="b">
        <v>0</v>
      </c>
      <c r="H977" s="172" t="b">
        <v>1</v>
      </c>
      <c r="I977" s="172" t="b">
        <v>0</v>
      </c>
      <c r="J977" s="172" t="b">
        <v>0</v>
      </c>
      <c r="K977" s="172" t="b">
        <v>0</v>
      </c>
      <c r="L977" s="172" t="b">
        <v>0</v>
      </c>
      <c r="M977" s="172" t="b">
        <v>0</v>
      </c>
      <c r="N977" s="193"/>
      <c r="O977" s="193"/>
      <c r="P977" s="193"/>
      <c r="Q977" s="194"/>
    </row>
    <row r="978" spans="8:8" ht="43.5" customHeight="1">
      <c r="A978" s="172">
        <v>9.0</v>
      </c>
      <c r="B978" s="171" t="s">
        <v>4198</v>
      </c>
      <c r="C978" s="172">
        <v>241580.0</v>
      </c>
      <c r="D978" s="171" t="s">
        <v>4851</v>
      </c>
      <c r="E978" s="172" t="s">
        <v>580</v>
      </c>
      <c r="F978" s="172" t="b">
        <v>0</v>
      </c>
      <c r="G978" s="172" t="b">
        <v>0</v>
      </c>
      <c r="H978" s="172" t="b">
        <v>0</v>
      </c>
      <c r="I978" s="172" t="b">
        <v>0</v>
      </c>
      <c r="J978" s="172" t="b">
        <v>0</v>
      </c>
      <c r="K978" s="172" t="b">
        <v>0</v>
      </c>
      <c r="L978" s="172" t="b">
        <v>0</v>
      </c>
      <c r="M978" s="172" t="b">
        <v>0</v>
      </c>
      <c r="N978" s="189"/>
      <c r="O978" s="189"/>
      <c r="P978" s="189"/>
    </row>
    <row r="979" spans="8:8" ht="43.5" customHeight="1">
      <c r="A979" s="172">
        <v>10.0</v>
      </c>
      <c r="B979" s="171" t="s">
        <v>4205</v>
      </c>
      <c r="C979" s="172">
        <v>241582.0</v>
      </c>
      <c r="D979" s="171" t="s">
        <v>4851</v>
      </c>
      <c r="E979" s="172" t="s">
        <v>580</v>
      </c>
      <c r="F979" s="172" t="b">
        <v>0</v>
      </c>
      <c r="G979" s="172" t="b">
        <v>0</v>
      </c>
      <c r="H979" s="172" t="b">
        <v>1</v>
      </c>
      <c r="I979" s="172" t="b">
        <v>0</v>
      </c>
      <c r="J979" s="172" t="b">
        <v>0</v>
      </c>
      <c r="K979" s="172" t="b">
        <v>0</v>
      </c>
      <c r="L979" s="172" t="b">
        <v>0</v>
      </c>
      <c r="M979" s="172" t="b">
        <v>0</v>
      </c>
      <c r="N979" s="97"/>
      <c r="O979" s="97"/>
      <c r="P979" s="97"/>
      <c r="Q979" s="174"/>
    </row>
    <row r="980" spans="8:8" ht="43.5" customHeight="1">
      <c r="A980" s="189"/>
      <c r="B980" s="171" t="s">
        <v>4199</v>
      </c>
      <c r="C980" s="172">
        <v>241583.0</v>
      </c>
      <c r="D980" s="171" t="s">
        <v>4851</v>
      </c>
      <c r="E980" s="172" t="s">
        <v>580</v>
      </c>
      <c r="F980" s="172" t="b">
        <v>0</v>
      </c>
      <c r="G980" s="172" t="b">
        <v>1</v>
      </c>
      <c r="H980" s="172" t="b">
        <v>1</v>
      </c>
      <c r="I980" s="172" t="b">
        <v>0</v>
      </c>
      <c r="J980" s="172" t="b">
        <v>0</v>
      </c>
      <c r="K980" s="172" t="b">
        <v>0</v>
      </c>
      <c r="L980" s="172" t="b">
        <v>0</v>
      </c>
      <c r="M980" s="172" t="b">
        <v>0</v>
      </c>
      <c r="N980" s="97"/>
      <c r="O980" s="97"/>
      <c r="P980" s="97"/>
      <c r="Q980" s="174"/>
    </row>
    <row r="981" spans="8:8" ht="43.5" customHeight="1">
      <c r="A981" s="193"/>
      <c r="B981" s="171" t="s">
        <v>4200</v>
      </c>
      <c r="C981" s="172">
        <v>241584.0</v>
      </c>
      <c r="D981" s="171" t="s">
        <v>4851</v>
      </c>
      <c r="E981" s="172" t="s">
        <v>580</v>
      </c>
      <c r="F981" s="172" t="b">
        <v>0</v>
      </c>
      <c r="G981" s="172" t="b">
        <v>1</v>
      </c>
      <c r="H981" s="172" t="b">
        <v>0</v>
      </c>
      <c r="I981" s="172" t="b">
        <v>0</v>
      </c>
      <c r="J981" s="172" t="b">
        <v>0</v>
      </c>
      <c r="K981" s="172" t="b">
        <v>0</v>
      </c>
      <c r="L981" s="172" t="b">
        <v>0</v>
      </c>
      <c r="M981" s="172" t="b">
        <v>0</v>
      </c>
      <c r="N981" s="189"/>
      <c r="O981" s="189"/>
      <c r="P981" s="189"/>
    </row>
    <row r="982" spans="8:8" ht="43.5" customHeight="1">
      <c r="A982" s="189"/>
      <c r="B982" s="171" t="s">
        <v>4201</v>
      </c>
      <c r="C982" s="172">
        <v>241586.0</v>
      </c>
      <c r="D982" s="171" t="s">
        <v>4851</v>
      </c>
      <c r="E982" s="172" t="s">
        <v>580</v>
      </c>
      <c r="F982" s="172" t="b">
        <v>0</v>
      </c>
      <c r="G982" s="172" t="b">
        <v>1</v>
      </c>
      <c r="H982" s="172" t="b">
        <v>0</v>
      </c>
      <c r="I982" s="172" t="b">
        <v>0</v>
      </c>
      <c r="J982" s="172" t="b">
        <v>0</v>
      </c>
      <c r="K982" s="172" t="b">
        <v>0</v>
      </c>
      <c r="L982" s="172" t="b">
        <v>0</v>
      </c>
      <c r="M982" s="172" t="b">
        <v>0</v>
      </c>
      <c r="N982" s="97"/>
      <c r="O982" s="97"/>
      <c r="P982" s="97"/>
      <c r="Q982" s="174"/>
    </row>
    <row r="983" spans="8:8" ht="43.5" customHeight="1">
      <c r="A983" s="172">
        <v>14.0</v>
      </c>
      <c r="B983" s="171" t="s">
        <v>4202</v>
      </c>
      <c r="C983" s="172">
        <v>241588.0</v>
      </c>
      <c r="D983" s="171" t="s">
        <v>4851</v>
      </c>
      <c r="E983" s="172" t="s">
        <v>580</v>
      </c>
      <c r="F983" s="172" t="b">
        <v>1</v>
      </c>
      <c r="G983" s="172" t="b">
        <v>1</v>
      </c>
      <c r="H983" s="172" t="b">
        <v>0</v>
      </c>
      <c r="I983" s="172" t="b">
        <v>0</v>
      </c>
      <c r="J983" s="172" t="b">
        <v>0</v>
      </c>
      <c r="K983" s="172" t="b">
        <v>0</v>
      </c>
      <c r="L983" s="172" t="b">
        <v>0</v>
      </c>
      <c r="M983" s="172" t="b">
        <v>0</v>
      </c>
      <c r="N983" s="97"/>
      <c r="O983" s="97"/>
      <c r="P983" s="97"/>
      <c r="Q983" s="174"/>
    </row>
    <row r="984" spans="8:8" ht="43.5" customHeight="1">
      <c r="A984" s="172">
        <v>15.0</v>
      </c>
      <c r="B984" s="171" t="s">
        <v>3849</v>
      </c>
      <c r="C984" s="172">
        <v>252927.0</v>
      </c>
      <c r="D984" s="172"/>
      <c r="E984" s="172" t="s">
        <v>580</v>
      </c>
      <c r="F984" s="172" t="b">
        <v>1</v>
      </c>
      <c r="G984" s="172" t="b">
        <v>1</v>
      </c>
      <c r="H984" s="172" t="b">
        <v>1</v>
      </c>
      <c r="I984" s="172" t="b">
        <v>0</v>
      </c>
      <c r="J984" s="172" t="b">
        <v>0</v>
      </c>
      <c r="K984" s="172" t="b">
        <v>0</v>
      </c>
      <c r="L984" s="172" t="b">
        <v>0</v>
      </c>
      <c r="M984" s="172" t="b">
        <v>0</v>
      </c>
      <c r="N984" s="97"/>
      <c r="O984" s="97"/>
      <c r="P984" s="97"/>
      <c r="Q984" s="174"/>
    </row>
    <row r="985" spans="8:8" ht="43.5" customHeight="1">
      <c r="A985" s="189"/>
      <c r="B985" s="171" t="s">
        <v>4203</v>
      </c>
      <c r="C985" s="172">
        <v>251526.0</v>
      </c>
      <c r="D985" s="172"/>
      <c r="E985" s="97" t="s">
        <v>580</v>
      </c>
      <c r="F985" s="172" t="b">
        <v>0</v>
      </c>
      <c r="G985" s="172" t="b">
        <v>0</v>
      </c>
      <c r="H985" s="172" t="b">
        <v>1</v>
      </c>
      <c r="I985" s="172" t="b">
        <v>0</v>
      </c>
      <c r="J985" s="172" t="b">
        <v>0</v>
      </c>
      <c r="K985" s="172" t="b">
        <v>0</v>
      </c>
      <c r="L985" s="172" t="b">
        <v>0</v>
      </c>
      <c r="M985" s="172" t="b">
        <v>0</v>
      </c>
      <c r="N985" s="97"/>
      <c r="O985" s="97"/>
      <c r="P985" s="97"/>
      <c r="Q985" s="174"/>
    </row>
    <row r="986" spans="8:8" ht="43.5" customHeight="1">
      <c r="A986" s="172">
        <v>17.0</v>
      </c>
      <c r="B986" s="182" t="s">
        <v>4815</v>
      </c>
      <c r="C986" s="97"/>
      <c r="D986" s="97"/>
      <c r="E986" s="183"/>
      <c r="F986" s="184">
        <f t="shared" si="36" ref="F986:M986">COUNTIF(F967:F974,TRUE)/COUNTA(F967:F974)</f>
        <v>0.25</v>
      </c>
      <c r="G986" s="184">
        <f t="shared" si="36"/>
        <v>0.5</v>
      </c>
      <c r="H986" s="184">
        <f t="shared" si="36"/>
        <v>0.5</v>
      </c>
      <c r="I986" s="184">
        <f t="shared" si="36"/>
        <v>0.0</v>
      </c>
      <c r="J986" s="184">
        <f t="shared" si="36"/>
        <v>0.0</v>
      </c>
      <c r="K986" s="184">
        <f t="shared" si="36"/>
        <v>0.0</v>
      </c>
      <c r="L986" s="184">
        <f t="shared" si="36"/>
        <v>0.0</v>
      </c>
      <c r="M986" s="184">
        <f t="shared" si="36"/>
        <v>0.0</v>
      </c>
      <c r="N986" s="97"/>
      <c r="O986" s="97"/>
      <c r="P986" s="97"/>
      <c r="Q986" s="174"/>
    </row>
    <row r="987" spans="8:8" ht="43.5" customHeight="1">
      <c r="A987" s="172">
        <v>18.0</v>
      </c>
      <c r="B987" s="162" t="s">
        <v>19</v>
      </c>
      <c r="C987" s="163"/>
      <c r="D987" s="162" t="s">
        <v>4530</v>
      </c>
      <c r="E987" s="162" t="s">
        <v>22</v>
      </c>
      <c r="F987" s="163" t="s">
        <v>4794</v>
      </c>
      <c r="G987" s="163" t="s">
        <v>4795</v>
      </c>
      <c r="H987" s="163" t="s">
        <v>4796</v>
      </c>
      <c r="I987" s="163" t="s">
        <v>4797</v>
      </c>
      <c r="J987" s="163" t="s">
        <v>4798</v>
      </c>
      <c r="K987" s="163" t="s">
        <v>4799</v>
      </c>
      <c r="L987" s="163" t="s">
        <v>4800</v>
      </c>
      <c r="M987" s="163" t="s">
        <v>4801</v>
      </c>
      <c r="N987" s="166" t="s">
        <v>4944</v>
      </c>
      <c r="O987" s="167"/>
      <c r="P987" s="168"/>
      <c r="Q987" s="169"/>
    </row>
    <row r="988" spans="8:8" ht="43.5" customHeight="1">
      <c r="A988" s="172">
        <v>19.0</v>
      </c>
      <c r="B988" s="171" t="s">
        <v>4206</v>
      </c>
      <c r="C988" s="172">
        <v>241226.0</v>
      </c>
      <c r="D988" s="171" t="s">
        <v>4859</v>
      </c>
      <c r="E988" s="172" t="s">
        <v>580</v>
      </c>
      <c r="F988" s="172" t="b">
        <v>0</v>
      </c>
      <c r="G988" s="172" t="b">
        <v>1</v>
      </c>
      <c r="H988" s="172" t="b">
        <v>1</v>
      </c>
      <c r="I988" s="172" t="b">
        <v>0</v>
      </c>
      <c r="J988" s="172" t="b">
        <v>0</v>
      </c>
      <c r="K988" s="172" t="b">
        <v>0</v>
      </c>
      <c r="L988" s="172" t="b">
        <v>0</v>
      </c>
      <c r="M988" s="172" t="b">
        <v>0</v>
      </c>
      <c r="N988" s="173" t="s">
        <v>4804</v>
      </c>
      <c r="O988" s="167"/>
      <c r="P988" s="168"/>
      <c r="Q988" s="174"/>
    </row>
    <row r="989" spans="8:8" ht="43.5" customHeight="1">
      <c r="A989" s="172">
        <v>20.0</v>
      </c>
      <c r="B989" s="171" t="s">
        <v>4752</v>
      </c>
      <c r="C989" s="172">
        <v>241233.0</v>
      </c>
      <c r="D989" s="171" t="s">
        <v>4859</v>
      </c>
      <c r="E989" s="172" t="s">
        <v>580</v>
      </c>
      <c r="F989" s="172" t="b">
        <v>0</v>
      </c>
      <c r="G989" s="172" t="b">
        <v>0</v>
      </c>
      <c r="H989" s="172" t="b">
        <v>0</v>
      </c>
      <c r="I989" s="172" t="b">
        <v>0</v>
      </c>
      <c r="J989" s="172" t="b">
        <v>0</v>
      </c>
      <c r="K989" s="172" t="b">
        <v>0</v>
      </c>
      <c r="L989" s="172" t="b">
        <v>0</v>
      </c>
      <c r="M989" s="172" t="b">
        <v>0</v>
      </c>
      <c r="N989" s="175" t="s">
        <v>4805</v>
      </c>
      <c r="O989" s="176" t="s">
        <v>4806</v>
      </c>
      <c r="P989" s="97" t="s">
        <v>4807</v>
      </c>
      <c r="Q989" s="174"/>
    </row>
    <row r="990" spans="8:8" ht="43.5" customHeight="1">
      <c r="A990" s="172">
        <v>21.0</v>
      </c>
      <c r="B990" s="171" t="s">
        <v>4207</v>
      </c>
      <c r="C990" s="172">
        <v>241239.0</v>
      </c>
      <c r="D990" s="171" t="s">
        <v>4859</v>
      </c>
      <c r="E990" s="172" t="s">
        <v>580</v>
      </c>
      <c r="F990" s="172" t="b">
        <v>0</v>
      </c>
      <c r="G990" s="172" t="b">
        <v>0</v>
      </c>
      <c r="H990" s="172" t="b">
        <v>1</v>
      </c>
      <c r="I990" s="172" t="b">
        <v>0</v>
      </c>
      <c r="J990" s="172" t="b">
        <v>0</v>
      </c>
      <c r="K990" s="172" t="b">
        <v>0</v>
      </c>
      <c r="L990" s="172" t="b">
        <v>0</v>
      </c>
      <c r="M990" s="172" t="b">
        <v>0</v>
      </c>
      <c r="N990" s="97" t="s">
        <v>4794</v>
      </c>
      <c r="O990" s="172" t="b">
        <v>1</v>
      </c>
      <c r="P990" s="97"/>
      <c r="Q990" s="174"/>
    </row>
    <row r="991" spans="8:8" ht="43.5" customHeight="1">
      <c r="A991" s="172">
        <v>22.0</v>
      </c>
      <c r="B991" s="171" t="s">
        <v>4208</v>
      </c>
      <c r="C991" s="172">
        <v>241241.0</v>
      </c>
      <c r="D991" s="171" t="s">
        <v>4859</v>
      </c>
      <c r="E991" s="172" t="s">
        <v>580</v>
      </c>
      <c r="F991" s="172" t="b">
        <v>0</v>
      </c>
      <c r="G991" s="172" t="b">
        <v>1</v>
      </c>
      <c r="H991" s="172" t="b">
        <v>0</v>
      </c>
      <c r="I991" s="172" t="b">
        <v>0</v>
      </c>
      <c r="J991" s="172" t="b">
        <v>0</v>
      </c>
      <c r="K991" s="172" t="b">
        <v>0</v>
      </c>
      <c r="L991" s="172" t="b">
        <v>0</v>
      </c>
      <c r="M991" s="172" t="b">
        <v>0</v>
      </c>
      <c r="N991" s="97" t="s">
        <v>4795</v>
      </c>
      <c r="O991" s="172" t="b">
        <v>1</v>
      </c>
      <c r="P991" s="97"/>
      <c r="Q991" s="174"/>
    </row>
    <row r="992" spans="8:8" ht="43.5" customHeight="1">
      <c r="A992" s="172">
        <v>23.0</v>
      </c>
      <c r="B992" s="171" t="s">
        <v>4209</v>
      </c>
      <c r="C992" s="172">
        <v>241242.0</v>
      </c>
      <c r="D992" s="171" t="s">
        <v>4859</v>
      </c>
      <c r="E992" s="172" t="s">
        <v>580</v>
      </c>
      <c r="F992" s="172" t="b">
        <v>0</v>
      </c>
      <c r="G992" s="172" t="b">
        <v>0</v>
      </c>
      <c r="H992" s="172" t="b">
        <v>1</v>
      </c>
      <c r="I992" s="172" t="b">
        <v>0</v>
      </c>
      <c r="J992" s="172" t="b">
        <v>0</v>
      </c>
      <c r="K992" s="172" t="b">
        <v>0</v>
      </c>
      <c r="L992" s="172" t="b">
        <v>0</v>
      </c>
      <c r="M992" s="172" t="b">
        <v>0</v>
      </c>
      <c r="N992" s="97" t="s">
        <v>4796</v>
      </c>
      <c r="O992" s="172" t="b">
        <v>1</v>
      </c>
      <c r="P992" s="97"/>
      <c r="Q992" s="174"/>
    </row>
    <row r="993" spans="8:8" ht="43.5" customHeight="1">
      <c r="A993" s="172">
        <v>24.0</v>
      </c>
      <c r="B993" s="171" t="s">
        <v>4210</v>
      </c>
      <c r="C993" s="172">
        <v>241243.0</v>
      </c>
      <c r="D993" s="171" t="s">
        <v>4859</v>
      </c>
      <c r="E993" s="172" t="s">
        <v>580</v>
      </c>
      <c r="F993" s="172" t="b">
        <v>0</v>
      </c>
      <c r="G993" s="172" t="b">
        <v>1</v>
      </c>
      <c r="H993" s="172" t="b">
        <v>0</v>
      </c>
      <c r="I993" s="172" t="b">
        <v>0</v>
      </c>
      <c r="J993" s="172" t="b">
        <v>0</v>
      </c>
      <c r="K993" s="172" t="b">
        <v>0</v>
      </c>
      <c r="L993" s="172" t="b">
        <v>0</v>
      </c>
      <c r="M993" s="172" t="b">
        <v>0</v>
      </c>
      <c r="N993" s="97" t="s">
        <v>4797</v>
      </c>
      <c r="O993" s="172" t="b">
        <v>0</v>
      </c>
      <c r="P993" s="97"/>
      <c r="Q993" s="174"/>
    </row>
    <row r="994" spans="8:8" ht="43.5" customHeight="1">
      <c r="A994" s="172">
        <v>25.0</v>
      </c>
      <c r="B994" s="171" t="s">
        <v>4211</v>
      </c>
      <c r="C994" s="172">
        <v>241248.0</v>
      </c>
      <c r="D994" s="171" t="s">
        <v>4859</v>
      </c>
      <c r="E994" s="172" t="s">
        <v>580</v>
      </c>
      <c r="F994" s="172" t="b">
        <v>0</v>
      </c>
      <c r="G994" s="172" t="b">
        <v>1</v>
      </c>
      <c r="H994" s="172" t="b">
        <v>0</v>
      </c>
      <c r="I994" s="172" t="b">
        <v>0</v>
      </c>
      <c r="J994" s="172" t="b">
        <v>0</v>
      </c>
      <c r="K994" s="172" t="b">
        <v>0</v>
      </c>
      <c r="L994" s="172" t="b">
        <v>0</v>
      </c>
      <c r="M994" s="172" t="b">
        <v>0</v>
      </c>
      <c r="N994" s="97" t="s">
        <v>4798</v>
      </c>
      <c r="O994" s="172" t="b">
        <v>0</v>
      </c>
      <c r="P994" s="97"/>
      <c r="Q994" s="174"/>
    </row>
    <row r="995" spans="8:8" ht="43.5" customHeight="1">
      <c r="A995" s="97"/>
      <c r="B995" s="171" t="s">
        <v>4212</v>
      </c>
      <c r="C995" s="172">
        <v>241251.0</v>
      </c>
      <c r="D995" s="171" t="s">
        <v>4859</v>
      </c>
      <c r="E995" s="172" t="s">
        <v>580</v>
      </c>
      <c r="F995" s="172" t="b">
        <v>0</v>
      </c>
      <c r="G995" s="172" t="b">
        <v>1</v>
      </c>
      <c r="H995" s="172" t="b">
        <v>1</v>
      </c>
      <c r="I995" s="172" t="b">
        <v>0</v>
      </c>
      <c r="J995" s="172" t="b">
        <v>0</v>
      </c>
      <c r="K995" s="172" t="b">
        <v>0</v>
      </c>
      <c r="L995" s="172" t="b">
        <v>0</v>
      </c>
      <c r="M995" s="172" t="b">
        <v>0</v>
      </c>
      <c r="N995" s="97" t="s">
        <v>4799</v>
      </c>
      <c r="O995" s="172" t="b">
        <v>0</v>
      </c>
      <c r="P995" s="97"/>
      <c r="Q995" s="174"/>
    </row>
    <row r="996" spans="8:8" ht="43.5" customHeight="1">
      <c r="A996" s="162" t="s">
        <v>18</v>
      </c>
      <c r="B996" s="171" t="s">
        <v>4213</v>
      </c>
      <c r="C996" s="172">
        <v>241253.0</v>
      </c>
      <c r="D996" s="171" t="s">
        <v>4859</v>
      </c>
      <c r="E996" s="172" t="s">
        <v>580</v>
      </c>
      <c r="F996" s="172" t="b">
        <v>0</v>
      </c>
      <c r="G996" s="172" t="b">
        <v>0</v>
      </c>
      <c r="H996" s="172" t="b">
        <v>0</v>
      </c>
      <c r="I996" s="172" t="b">
        <v>0</v>
      </c>
      <c r="J996" s="172" t="b">
        <v>0</v>
      </c>
      <c r="K996" s="172" t="b">
        <v>0</v>
      </c>
      <c r="L996" s="172" t="b">
        <v>0</v>
      </c>
      <c r="M996" s="172" t="b">
        <v>0</v>
      </c>
      <c r="N996" s="97" t="s">
        <v>4800</v>
      </c>
      <c r="O996" s="172" t="b">
        <v>0</v>
      </c>
      <c r="P996" s="97"/>
      <c r="Q996" s="174"/>
    </row>
    <row r="997" spans="8:8" ht="43.5" customHeight="1">
      <c r="A997" s="172">
        <v>1.0</v>
      </c>
      <c r="B997" s="171" t="s">
        <v>4214</v>
      </c>
      <c r="C997" s="172">
        <v>241255.0</v>
      </c>
      <c r="D997" s="171" t="s">
        <v>4859</v>
      </c>
      <c r="E997" s="172" t="s">
        <v>580</v>
      </c>
      <c r="F997" s="172" t="b">
        <v>0</v>
      </c>
      <c r="G997" s="172" t="b">
        <v>0</v>
      </c>
      <c r="H997" s="172" t="b">
        <v>0</v>
      </c>
      <c r="I997" s="172" t="b">
        <v>0</v>
      </c>
      <c r="J997" s="172" t="b">
        <v>0</v>
      </c>
      <c r="K997" s="172" t="b">
        <v>0</v>
      </c>
      <c r="L997" s="172" t="b">
        <v>0</v>
      </c>
      <c r="M997" s="172" t="b">
        <v>0</v>
      </c>
      <c r="N997" s="97" t="s">
        <v>4801</v>
      </c>
      <c r="O997" s="172" t="b">
        <v>0</v>
      </c>
      <c r="P997" s="97"/>
      <c r="Q997" s="174"/>
    </row>
    <row r="998" spans="8:8" ht="43.5" customHeight="1">
      <c r="A998" s="172">
        <v>2.0</v>
      </c>
      <c r="B998" s="171" t="s">
        <v>3879</v>
      </c>
      <c r="C998" s="172">
        <v>241257.0</v>
      </c>
      <c r="D998" s="171" t="s">
        <v>4859</v>
      </c>
      <c r="E998" s="172" t="s">
        <v>580</v>
      </c>
      <c r="F998" s="172" t="b">
        <v>0</v>
      </c>
      <c r="G998" s="172" t="b">
        <v>0</v>
      </c>
      <c r="H998" s="172" t="b">
        <v>0</v>
      </c>
      <c r="I998" s="172" t="b">
        <v>0</v>
      </c>
      <c r="J998" s="172" t="b">
        <v>0</v>
      </c>
      <c r="K998" s="172" t="b">
        <v>0</v>
      </c>
      <c r="L998" s="172" t="b">
        <v>0</v>
      </c>
      <c r="M998" s="172" t="b">
        <v>0</v>
      </c>
      <c r="N998" s="97"/>
      <c r="O998" s="97"/>
      <c r="P998" s="97"/>
      <c r="Q998" s="174"/>
    </row>
    <row r="999" spans="8:8" ht="43.5" customHeight="1">
      <c r="A999" s="172">
        <v>3.0</v>
      </c>
      <c r="B999" s="171" t="s">
        <v>4215</v>
      </c>
      <c r="C999" s="172">
        <v>241258.0</v>
      </c>
      <c r="D999" s="171" t="s">
        <v>4859</v>
      </c>
      <c r="E999" s="172" t="s">
        <v>580</v>
      </c>
      <c r="F999" s="172" t="b">
        <v>0</v>
      </c>
      <c r="G999" s="172" t="b">
        <v>1</v>
      </c>
      <c r="H999" s="172" t="b">
        <v>1</v>
      </c>
      <c r="I999" s="172" t="b">
        <v>0</v>
      </c>
      <c r="J999" s="172" t="b">
        <v>0</v>
      </c>
      <c r="K999" s="172" t="b">
        <v>0</v>
      </c>
      <c r="L999" s="172" t="b">
        <v>0</v>
      </c>
      <c r="M999" s="172" t="b">
        <v>0</v>
      </c>
      <c r="N999" s="97"/>
      <c r="O999" s="97"/>
      <c r="P999" s="97"/>
      <c r="Q999" s="174"/>
    </row>
    <row r="1000" spans="8:8" ht="43.5" customHeight="1">
      <c r="A1000" s="172">
        <v>4.0</v>
      </c>
      <c r="B1000" s="171" t="s">
        <v>4216</v>
      </c>
      <c r="C1000" s="172">
        <v>241259.0</v>
      </c>
      <c r="D1000" s="171" t="s">
        <v>4859</v>
      </c>
      <c r="E1000" s="172" t="s">
        <v>580</v>
      </c>
      <c r="F1000" s="172" t="b">
        <v>0</v>
      </c>
      <c r="G1000" s="172" t="b">
        <v>1</v>
      </c>
      <c r="H1000" s="172" t="b">
        <v>0</v>
      </c>
      <c r="I1000" s="172" t="b">
        <v>0</v>
      </c>
      <c r="J1000" s="172" t="b">
        <v>0</v>
      </c>
      <c r="K1000" s="172" t="b">
        <v>0</v>
      </c>
      <c r="L1000" s="172" t="b">
        <v>0</v>
      </c>
      <c r="M1000" s="172" t="b">
        <v>0</v>
      </c>
      <c r="N1000" s="97"/>
      <c r="O1000" s="97"/>
      <c r="P1000" s="97"/>
      <c r="Q1000" s="174"/>
    </row>
    <row r="1001" spans="8:8" ht="43.5" customHeight="1">
      <c r="A1001" s="172">
        <v>5.0</v>
      </c>
      <c r="B1001" s="171" t="s">
        <v>4217</v>
      </c>
      <c r="C1001" s="172">
        <v>241263.0</v>
      </c>
      <c r="D1001" s="171" t="s">
        <v>4859</v>
      </c>
      <c r="E1001" s="172" t="s">
        <v>580</v>
      </c>
      <c r="F1001" s="172" t="b">
        <v>0</v>
      </c>
      <c r="G1001" s="172" t="b">
        <v>1</v>
      </c>
      <c r="H1001" s="172" t="b">
        <v>1</v>
      </c>
      <c r="I1001" s="172" t="b">
        <v>0</v>
      </c>
      <c r="J1001" s="172" t="b">
        <v>0</v>
      </c>
      <c r="K1001" s="172" t="b">
        <v>0</v>
      </c>
      <c r="L1001" s="172" t="b">
        <v>0</v>
      </c>
      <c r="M1001" s="172" t="b">
        <v>0</v>
      </c>
      <c r="N1001" s="97"/>
      <c r="O1001" s="97"/>
      <c r="P1001" s="97"/>
      <c r="Q1001" s="174"/>
    </row>
    <row r="1002" spans="8:8" ht="43.5" customHeight="1">
      <c r="A1002" s="172">
        <v>6.0</v>
      </c>
      <c r="B1002" s="171" t="s">
        <v>4218</v>
      </c>
      <c r="C1002" s="172">
        <v>241150.0</v>
      </c>
      <c r="D1002" s="171" t="s">
        <v>4859</v>
      </c>
      <c r="E1002" s="172" t="s">
        <v>580</v>
      </c>
      <c r="F1002" s="172" t="b">
        <v>0</v>
      </c>
      <c r="G1002" s="172" t="b">
        <v>1</v>
      </c>
      <c r="H1002" s="172" t="b">
        <v>1</v>
      </c>
      <c r="I1002" s="172" t="b">
        <v>0</v>
      </c>
      <c r="J1002" s="172" t="b">
        <v>0</v>
      </c>
      <c r="K1002" s="172" t="b">
        <v>0</v>
      </c>
      <c r="L1002" s="172" t="b">
        <v>0</v>
      </c>
      <c r="M1002" s="172" t="b">
        <v>0</v>
      </c>
      <c r="N1002" s="97"/>
      <c r="O1002" s="97"/>
      <c r="P1002" s="97"/>
      <c r="Q1002" s="174"/>
    </row>
    <row r="1003" spans="8:8" ht="43.5" customHeight="1">
      <c r="A1003" s="172">
        <v>7.0</v>
      </c>
      <c r="B1003" s="171" t="s">
        <v>4219</v>
      </c>
      <c r="C1003" s="172">
        <v>241151.0</v>
      </c>
      <c r="D1003" s="171" t="s">
        <v>4859</v>
      </c>
      <c r="E1003" s="172" t="s">
        <v>580</v>
      </c>
      <c r="F1003" s="172" t="b">
        <v>0</v>
      </c>
      <c r="G1003" s="172" t="b">
        <v>1</v>
      </c>
      <c r="H1003" s="172" t="b">
        <v>1</v>
      </c>
      <c r="I1003" s="172" t="b">
        <v>0</v>
      </c>
      <c r="J1003" s="172" t="b">
        <v>0</v>
      </c>
      <c r="K1003" s="172" t="b">
        <v>0</v>
      </c>
      <c r="L1003" s="172" t="b">
        <v>0</v>
      </c>
      <c r="M1003" s="172" t="b">
        <v>0</v>
      </c>
      <c r="N1003" s="97"/>
      <c r="O1003" s="97"/>
      <c r="P1003" s="97"/>
      <c r="Q1003" s="174"/>
    </row>
    <row r="1004" spans="8:8" ht="43.5" customHeight="1">
      <c r="A1004" s="172">
        <v>8.0</v>
      </c>
      <c r="B1004" s="171" t="s">
        <v>4220</v>
      </c>
      <c r="C1004" s="172">
        <v>241174.0</v>
      </c>
      <c r="D1004" s="171" t="s">
        <v>4859</v>
      </c>
      <c r="E1004" s="172" t="s">
        <v>580</v>
      </c>
      <c r="F1004" s="172" t="b">
        <v>0</v>
      </c>
      <c r="G1004" s="172" t="b">
        <v>0</v>
      </c>
      <c r="H1004" s="172" t="b">
        <v>1</v>
      </c>
      <c r="I1004" s="172" t="b">
        <v>0</v>
      </c>
      <c r="J1004" s="172" t="b">
        <v>0</v>
      </c>
      <c r="K1004" s="172" t="b">
        <v>0</v>
      </c>
      <c r="L1004" s="172" t="b">
        <v>0</v>
      </c>
      <c r="M1004" s="172" t="b">
        <v>0</v>
      </c>
      <c r="N1004" s="97"/>
      <c r="O1004" s="97"/>
      <c r="P1004" s="97"/>
      <c r="Q1004" s="174"/>
    </row>
    <row r="1005" spans="8:8" ht="43.5" customHeight="1">
      <c r="A1005" s="172">
        <v>9.0</v>
      </c>
      <c r="B1005" s="171" t="s">
        <v>4221</v>
      </c>
      <c r="C1005" s="172">
        <v>241177.0</v>
      </c>
      <c r="D1005" s="171" t="s">
        <v>4859</v>
      </c>
      <c r="E1005" s="172" t="s">
        <v>580</v>
      </c>
      <c r="F1005" s="172" t="b">
        <v>0</v>
      </c>
      <c r="G1005" s="172" t="b">
        <v>1</v>
      </c>
      <c r="H1005" s="172" t="b">
        <v>1</v>
      </c>
      <c r="I1005" s="172" t="b">
        <v>0</v>
      </c>
      <c r="J1005" s="172" t="b">
        <v>0</v>
      </c>
      <c r="K1005" s="172" t="b">
        <v>0</v>
      </c>
      <c r="L1005" s="172" t="b">
        <v>0</v>
      </c>
      <c r="M1005" s="172" t="b">
        <v>0</v>
      </c>
      <c r="N1005" s="97"/>
      <c r="O1005" s="97"/>
      <c r="P1005" s="97"/>
      <c r="Q1005" s="174"/>
    </row>
    <row r="1006" spans="8:8" ht="43.5" customHeight="1">
      <c r="A1006" s="172">
        <v>10.0</v>
      </c>
      <c r="B1006" s="171" t="s">
        <v>4222</v>
      </c>
      <c r="C1006" s="172">
        <v>241274.0</v>
      </c>
      <c r="D1006" s="171" t="s">
        <v>4859</v>
      </c>
      <c r="E1006" s="172" t="s">
        <v>580</v>
      </c>
      <c r="F1006" s="172" t="b">
        <v>0</v>
      </c>
      <c r="G1006" s="172" t="b">
        <v>1</v>
      </c>
      <c r="H1006" s="172" t="b">
        <v>0</v>
      </c>
      <c r="I1006" s="172" t="b">
        <v>0</v>
      </c>
      <c r="J1006" s="172" t="b">
        <v>0</v>
      </c>
      <c r="K1006" s="172" t="b">
        <v>0</v>
      </c>
      <c r="L1006" s="172" t="b">
        <v>0</v>
      </c>
      <c r="M1006" s="172" t="b">
        <v>0</v>
      </c>
      <c r="N1006" s="97"/>
      <c r="O1006" s="97"/>
      <c r="P1006" s="97"/>
      <c r="Q1006" s="174"/>
    </row>
    <row r="1007" spans="8:8" ht="43.5" customHeight="1">
      <c r="A1007" s="172">
        <v>11.0</v>
      </c>
      <c r="B1007" s="171" t="s">
        <v>4223</v>
      </c>
      <c r="C1007" s="172">
        <v>241277.0</v>
      </c>
      <c r="D1007" s="171" t="s">
        <v>4859</v>
      </c>
      <c r="E1007" s="172" t="s">
        <v>580</v>
      </c>
      <c r="F1007" s="172" t="b">
        <v>0</v>
      </c>
      <c r="G1007" s="172" t="b">
        <v>0</v>
      </c>
      <c r="H1007" s="172" t="b">
        <v>0</v>
      </c>
      <c r="I1007" s="172" t="b">
        <v>0</v>
      </c>
      <c r="J1007" s="172" t="b">
        <v>0</v>
      </c>
      <c r="K1007" s="172" t="b">
        <v>0</v>
      </c>
      <c r="L1007" s="172" t="b">
        <v>0</v>
      </c>
      <c r="M1007" s="172" t="b">
        <v>0</v>
      </c>
      <c r="N1007" s="97"/>
      <c r="O1007" s="97"/>
      <c r="P1007" s="97"/>
      <c r="Q1007" s="174"/>
    </row>
    <row r="1008" spans="8:8" ht="43.5" customHeight="1">
      <c r="A1008" s="172">
        <v>13.0</v>
      </c>
      <c r="B1008" s="171" t="s">
        <v>4224</v>
      </c>
      <c r="C1008" s="172">
        <v>251516.0</v>
      </c>
      <c r="D1008" s="171" t="s">
        <v>4814</v>
      </c>
      <c r="E1008" s="172" t="s">
        <v>580</v>
      </c>
      <c r="F1008" s="172" t="b">
        <v>0</v>
      </c>
      <c r="G1008" s="172" t="b">
        <v>1</v>
      </c>
      <c r="H1008" s="172" t="b">
        <v>0</v>
      </c>
      <c r="I1008" s="172" t="b">
        <v>0</v>
      </c>
      <c r="J1008" s="172" t="b">
        <v>0</v>
      </c>
      <c r="K1008" s="172" t="b">
        <v>0</v>
      </c>
      <c r="L1008" s="172" t="b">
        <v>0</v>
      </c>
      <c r="M1008" s="172" t="b">
        <v>0</v>
      </c>
      <c r="N1008" s="97"/>
      <c r="O1008" s="97"/>
      <c r="P1008" s="97"/>
      <c r="Q1008" s="174"/>
    </row>
    <row r="1009" spans="8:8" ht="43.5" customHeight="1">
      <c r="A1009" s="172">
        <v>14.0</v>
      </c>
      <c r="B1009" s="171" t="s">
        <v>4225</v>
      </c>
      <c r="C1009" s="172">
        <v>251440.0</v>
      </c>
      <c r="D1009" s="171" t="s">
        <v>4827</v>
      </c>
      <c r="E1009" s="97" t="s">
        <v>580</v>
      </c>
      <c r="F1009" s="172" t="b">
        <v>0</v>
      </c>
      <c r="G1009" s="172" t="b">
        <v>0</v>
      </c>
      <c r="H1009" s="172" t="b">
        <v>0</v>
      </c>
      <c r="I1009" s="172" t="b">
        <v>0</v>
      </c>
      <c r="J1009" s="172" t="b">
        <v>0</v>
      </c>
      <c r="K1009" s="172" t="b">
        <v>0</v>
      </c>
      <c r="L1009" s="172" t="b">
        <v>0</v>
      </c>
      <c r="M1009" s="172" t="b">
        <v>0</v>
      </c>
      <c r="N1009" s="97"/>
      <c r="O1009" s="97"/>
      <c r="P1009" s="97"/>
      <c r="Q1009" s="174"/>
    </row>
    <row r="1010" spans="8:8" ht="43.5" customHeight="1">
      <c r="A1010" s="172">
        <v>15.0</v>
      </c>
      <c r="B1010" s="171" t="s">
        <v>4226</v>
      </c>
      <c r="C1010" s="172">
        <v>241625.0</v>
      </c>
      <c r="D1010" s="171" t="s">
        <v>4857</v>
      </c>
      <c r="E1010" s="172" t="s">
        <v>580</v>
      </c>
      <c r="F1010" s="172" t="b">
        <v>0</v>
      </c>
      <c r="G1010" s="172" t="b">
        <v>1</v>
      </c>
      <c r="H1010" s="172" t="b">
        <v>1</v>
      </c>
      <c r="I1010" s="172" t="b">
        <v>0</v>
      </c>
      <c r="J1010" s="172" t="b">
        <v>0</v>
      </c>
      <c r="K1010" s="172" t="b">
        <v>0</v>
      </c>
      <c r="L1010" s="172" t="b">
        <v>0</v>
      </c>
      <c r="M1010" s="172" t="b">
        <v>0</v>
      </c>
      <c r="N1010" s="189"/>
      <c r="O1010" s="189"/>
      <c r="P1010" s="189"/>
    </row>
    <row r="1011" spans="8:8" ht="43.5" customHeight="1">
      <c r="A1011" s="172">
        <v>16.0</v>
      </c>
      <c r="B1011" s="171" t="s">
        <v>4227</v>
      </c>
      <c r="C1011" s="172">
        <v>241629.0</v>
      </c>
      <c r="D1011" s="171" t="s">
        <v>4857</v>
      </c>
      <c r="E1011" s="172" t="s">
        <v>580</v>
      </c>
      <c r="F1011" s="172" t="b">
        <v>0</v>
      </c>
      <c r="G1011" s="172" t="b">
        <v>1</v>
      </c>
      <c r="H1011" s="172" t="b">
        <v>1</v>
      </c>
      <c r="I1011" s="172" t="b">
        <v>0</v>
      </c>
      <c r="J1011" s="172" t="b">
        <v>0</v>
      </c>
      <c r="K1011" s="172" t="b">
        <v>0</v>
      </c>
      <c r="L1011" s="172" t="b">
        <v>0</v>
      </c>
      <c r="M1011" s="172" t="b">
        <v>0</v>
      </c>
      <c r="N1011" s="97"/>
      <c r="O1011" s="97"/>
      <c r="P1011" s="97"/>
      <c r="Q1011" s="174"/>
    </row>
    <row r="1012" spans="8:8" ht="43.5" customHeight="1">
      <c r="A1012" s="172">
        <v>17.0</v>
      </c>
      <c r="B1012" s="171" t="s">
        <v>4228</v>
      </c>
      <c r="C1012" s="172">
        <v>241624.0</v>
      </c>
      <c r="D1012" s="171" t="s">
        <v>4857</v>
      </c>
      <c r="E1012" s="172" t="s">
        <v>580</v>
      </c>
      <c r="F1012" s="172" t="b">
        <v>0</v>
      </c>
      <c r="G1012" s="172" t="b">
        <v>1</v>
      </c>
      <c r="H1012" s="172" t="b">
        <v>1</v>
      </c>
      <c r="I1012" s="172" t="b">
        <v>0</v>
      </c>
      <c r="J1012" s="172" t="b">
        <v>0</v>
      </c>
      <c r="K1012" s="172" t="b">
        <v>0</v>
      </c>
      <c r="L1012" s="172" t="b">
        <v>0</v>
      </c>
      <c r="M1012" s="172" t="b">
        <v>0</v>
      </c>
      <c r="N1012" s="97"/>
      <c r="O1012" s="97"/>
      <c r="P1012" s="97"/>
      <c r="Q1012" s="174"/>
    </row>
    <row r="1013" spans="8:8" ht="43.5" customHeight="1">
      <c r="A1013" s="172">
        <v>18.0</v>
      </c>
      <c r="B1013" s="171" t="s">
        <v>4229</v>
      </c>
      <c r="C1013" s="172">
        <v>241619.0</v>
      </c>
      <c r="D1013" s="171" t="s">
        <v>4857</v>
      </c>
      <c r="E1013" s="172" t="s">
        <v>580</v>
      </c>
      <c r="F1013" s="172" t="b">
        <v>0</v>
      </c>
      <c r="G1013" s="172" t="b">
        <v>1</v>
      </c>
      <c r="H1013" s="172" t="b">
        <v>1</v>
      </c>
      <c r="I1013" s="172" t="b">
        <v>0</v>
      </c>
      <c r="J1013" s="172" t="b">
        <v>0</v>
      </c>
      <c r="K1013" s="172" t="b">
        <v>0</v>
      </c>
      <c r="L1013" s="172" t="b">
        <v>0</v>
      </c>
      <c r="M1013" s="172" t="b">
        <v>0</v>
      </c>
      <c r="N1013" s="97"/>
      <c r="O1013" s="97"/>
      <c r="P1013" s="97"/>
      <c r="Q1013" s="174"/>
    </row>
    <row r="1014" spans="8:8" ht="43.5" customHeight="1">
      <c r="A1014" s="172">
        <v>19.0</v>
      </c>
      <c r="B1014" s="171" t="s">
        <v>4230</v>
      </c>
      <c r="C1014" s="172">
        <v>241636.0</v>
      </c>
      <c r="D1014" s="171" t="s">
        <v>4857</v>
      </c>
      <c r="E1014" s="172" t="s">
        <v>580</v>
      </c>
      <c r="F1014" s="172" t="b">
        <v>0</v>
      </c>
      <c r="G1014" s="172" t="b">
        <v>1</v>
      </c>
      <c r="H1014" s="172" t="b">
        <v>1</v>
      </c>
      <c r="I1014" s="172" t="b">
        <v>0</v>
      </c>
      <c r="J1014" s="172" t="b">
        <v>0</v>
      </c>
      <c r="K1014" s="172" t="b">
        <v>0</v>
      </c>
      <c r="L1014" s="172" t="b">
        <v>0</v>
      </c>
      <c r="M1014" s="172" t="b">
        <v>0</v>
      </c>
      <c r="N1014" s="97"/>
      <c r="O1014" s="97"/>
      <c r="P1014" s="97"/>
      <c r="Q1014" s="174"/>
    </row>
    <row r="1015" spans="8:8" ht="43.5" customHeight="1">
      <c r="A1015" s="172">
        <v>20.0</v>
      </c>
      <c r="B1015" s="171" t="s">
        <v>4231</v>
      </c>
      <c r="C1015" s="172">
        <v>241614.0</v>
      </c>
      <c r="D1015" s="171" t="s">
        <v>4857</v>
      </c>
      <c r="E1015" s="172" t="s">
        <v>580</v>
      </c>
      <c r="F1015" s="172" t="b">
        <v>0</v>
      </c>
      <c r="G1015" s="172" t="b">
        <v>1</v>
      </c>
      <c r="H1015" s="172" t="b">
        <v>1</v>
      </c>
      <c r="I1015" s="172" t="b">
        <v>0</v>
      </c>
      <c r="J1015" s="172" t="b">
        <v>0</v>
      </c>
      <c r="K1015" s="172" t="b">
        <v>0</v>
      </c>
      <c r="L1015" s="172" t="b">
        <v>0</v>
      </c>
      <c r="M1015" s="172" t="b">
        <v>0</v>
      </c>
      <c r="N1015" s="97"/>
      <c r="O1015" s="97"/>
      <c r="P1015" s="97"/>
      <c r="Q1015" s="174"/>
    </row>
    <row r="1016" spans="8:8" ht="43.5" customHeight="1">
      <c r="A1016" s="189"/>
      <c r="B1016" s="171" t="s">
        <v>4232</v>
      </c>
      <c r="C1016" s="172">
        <v>241638.0</v>
      </c>
      <c r="D1016" s="171" t="s">
        <v>4857</v>
      </c>
      <c r="E1016" s="172" t="s">
        <v>580</v>
      </c>
      <c r="F1016" s="172" t="b">
        <v>0</v>
      </c>
      <c r="G1016" s="172" t="b">
        <v>1</v>
      </c>
      <c r="H1016" s="172" t="b">
        <v>1</v>
      </c>
      <c r="I1016" s="172" t="b">
        <v>0</v>
      </c>
      <c r="J1016" s="172" t="b">
        <v>0</v>
      </c>
      <c r="K1016" s="172" t="b">
        <v>0</v>
      </c>
      <c r="L1016" s="172" t="b">
        <v>0</v>
      </c>
      <c r="M1016" s="172" t="b">
        <v>0</v>
      </c>
      <c r="N1016" s="97"/>
      <c r="O1016" s="97"/>
      <c r="P1016" s="97"/>
      <c r="Q1016" s="174"/>
    </row>
    <row r="1017" spans="8:8" ht="43.5" customHeight="1">
      <c r="A1017" s="172">
        <v>22.0</v>
      </c>
      <c r="B1017" s="171" t="s">
        <v>3877</v>
      </c>
      <c r="C1017" s="172">
        <v>241642.0</v>
      </c>
      <c r="D1017" s="171" t="s">
        <v>4857</v>
      </c>
      <c r="E1017" s="172" t="s">
        <v>580</v>
      </c>
      <c r="F1017" s="172" t="b">
        <v>0</v>
      </c>
      <c r="G1017" s="172" t="b">
        <v>1</v>
      </c>
      <c r="H1017" s="172" t="b">
        <v>1</v>
      </c>
      <c r="I1017" s="172" t="b">
        <v>0</v>
      </c>
      <c r="J1017" s="172" t="b">
        <v>0</v>
      </c>
      <c r="K1017" s="172" t="b">
        <v>0</v>
      </c>
      <c r="L1017" s="172" t="b">
        <v>0</v>
      </c>
      <c r="M1017" s="172" t="b">
        <v>0</v>
      </c>
      <c r="N1017" s="97"/>
      <c r="O1017" s="97"/>
      <c r="P1017" s="97"/>
      <c r="Q1017" s="174"/>
    </row>
    <row r="1018" spans="8:8" ht="43.5" customHeight="1">
      <c r="A1018" s="172">
        <v>24.0</v>
      </c>
      <c r="B1018" s="171" t="s">
        <v>4233</v>
      </c>
      <c r="C1018" s="172">
        <v>241639.0</v>
      </c>
      <c r="D1018" s="171" t="s">
        <v>4857</v>
      </c>
      <c r="E1018" s="172" t="s">
        <v>580</v>
      </c>
      <c r="F1018" s="172" t="b">
        <v>0</v>
      </c>
      <c r="G1018" s="172" t="b">
        <v>1</v>
      </c>
      <c r="H1018" s="172" t="b">
        <v>1</v>
      </c>
      <c r="I1018" s="172" t="b">
        <v>0</v>
      </c>
      <c r="J1018" s="172" t="b">
        <v>0</v>
      </c>
      <c r="K1018" s="172" t="b">
        <v>0</v>
      </c>
      <c r="L1018" s="172" t="b">
        <v>0</v>
      </c>
      <c r="M1018" s="172" t="b">
        <v>0</v>
      </c>
      <c r="N1018" s="97"/>
      <c r="O1018" s="97"/>
      <c r="P1018" s="97"/>
      <c r="Q1018" s="174"/>
    </row>
    <row r="1019" spans="8:8" ht="43.5" customHeight="1">
      <c r="A1019" s="172">
        <v>25.0</v>
      </c>
      <c r="B1019" s="171" t="s">
        <v>4234</v>
      </c>
      <c r="C1019" s="172">
        <v>241646.0</v>
      </c>
      <c r="D1019" s="171" t="s">
        <v>4857</v>
      </c>
      <c r="E1019" s="172" t="s">
        <v>580</v>
      </c>
      <c r="F1019" s="172" t="b">
        <v>0</v>
      </c>
      <c r="G1019" s="172" t="b">
        <v>1</v>
      </c>
      <c r="H1019" s="172" t="b">
        <v>1</v>
      </c>
      <c r="I1019" s="172" t="b">
        <v>0</v>
      </c>
      <c r="J1019" s="172" t="b">
        <v>0</v>
      </c>
      <c r="K1019" s="172" t="b">
        <v>0</v>
      </c>
      <c r="L1019" s="172" t="b">
        <v>0</v>
      </c>
      <c r="M1019" s="172" t="b">
        <v>0</v>
      </c>
      <c r="N1019" s="97"/>
      <c r="O1019" s="97"/>
      <c r="P1019" s="97"/>
      <c r="Q1019" s="174"/>
    </row>
    <row r="1020" spans="8:8" ht="43.5" customHeight="1">
      <c r="A1020" s="172">
        <v>26.0</v>
      </c>
      <c r="B1020" s="171" t="s">
        <v>4235</v>
      </c>
      <c r="C1020" s="172">
        <v>241612.0</v>
      </c>
      <c r="D1020" s="171" t="s">
        <v>4857</v>
      </c>
      <c r="E1020" s="172" t="s">
        <v>580</v>
      </c>
      <c r="F1020" s="172" t="b">
        <v>0</v>
      </c>
      <c r="G1020" s="172" t="b">
        <v>1</v>
      </c>
      <c r="H1020" s="172" t="b">
        <v>1</v>
      </c>
      <c r="I1020" s="172" t="b">
        <v>0</v>
      </c>
      <c r="J1020" s="172" t="b">
        <v>0</v>
      </c>
      <c r="K1020" s="172" t="b">
        <v>0</v>
      </c>
      <c r="L1020" s="172" t="b">
        <v>0</v>
      </c>
      <c r="M1020" s="172" t="b">
        <v>0</v>
      </c>
      <c r="N1020" s="189"/>
      <c r="O1020" s="189"/>
      <c r="P1020" s="189"/>
    </row>
    <row r="1021" spans="8:8" ht="43.5" customHeight="1">
      <c r="A1021" s="170">
        <v>22.0</v>
      </c>
      <c r="B1021" s="171" t="s">
        <v>4236</v>
      </c>
      <c r="C1021" s="172">
        <v>241656.0</v>
      </c>
      <c r="D1021" s="171" t="s">
        <v>4857</v>
      </c>
      <c r="E1021" s="172" t="s">
        <v>580</v>
      </c>
      <c r="F1021" s="172" t="b">
        <v>0</v>
      </c>
      <c r="G1021" s="172" t="b">
        <v>0</v>
      </c>
      <c r="H1021" s="172" t="b">
        <v>0</v>
      </c>
      <c r="I1021" s="172" t="b">
        <v>0</v>
      </c>
      <c r="J1021" s="172" t="b">
        <v>0</v>
      </c>
      <c r="K1021" s="172" t="b">
        <v>0</v>
      </c>
      <c r="L1021" s="172" t="b">
        <v>0</v>
      </c>
      <c r="M1021" s="172" t="b">
        <v>0</v>
      </c>
      <c r="N1021" s="189"/>
      <c r="O1021" s="189"/>
      <c r="P1021" s="189"/>
    </row>
    <row r="1022" spans="8:8" ht="43.5" customHeight="1">
      <c r="A1022" s="172">
        <v>27.0</v>
      </c>
      <c r="B1022" s="182" t="s">
        <v>4815</v>
      </c>
      <c r="C1022" s="97"/>
      <c r="D1022" s="97"/>
      <c r="E1022" s="183"/>
      <c r="F1022" s="184">
        <f t="shared" si="37" ref="F1022:M1022">COUNTIF(F985:F996,TRUE)/COUNTA(F985:F996)</f>
        <v>0.0</v>
      </c>
      <c r="G1022" s="184">
        <f t="shared" si="37"/>
        <v>0.4166666666666667</v>
      </c>
      <c r="H1022" s="184">
        <f t="shared" si="37"/>
        <v>0.4166666666666667</v>
      </c>
      <c r="I1022" s="184">
        <f t="shared" si="37"/>
        <v>0.0</v>
      </c>
      <c r="J1022" s="184">
        <f t="shared" si="37"/>
        <v>0.0</v>
      </c>
      <c r="K1022" s="184">
        <f t="shared" si="37"/>
        <v>0.0</v>
      </c>
      <c r="L1022" s="184">
        <f t="shared" si="37"/>
        <v>0.0</v>
      </c>
      <c r="M1022" s="184">
        <f t="shared" si="37"/>
        <v>0.0</v>
      </c>
      <c r="N1022" s="97"/>
      <c r="O1022" s="97"/>
      <c r="P1022" s="97"/>
      <c r="Q1022" s="174"/>
    </row>
    <row r="1023" spans="8:8" ht="43.5" customHeight="1">
      <c r="A1023" s="172">
        <v>28.0</v>
      </c>
      <c r="B1023" s="162" t="s">
        <v>19</v>
      </c>
      <c r="C1023" s="163"/>
      <c r="D1023" s="162" t="s">
        <v>4530</v>
      </c>
      <c r="E1023" s="162" t="s">
        <v>22</v>
      </c>
      <c r="F1023" s="163" t="s">
        <v>4794</v>
      </c>
      <c r="G1023" s="163" t="s">
        <v>4795</v>
      </c>
      <c r="H1023" s="163" t="s">
        <v>4796</v>
      </c>
      <c r="I1023" s="163" t="s">
        <v>4797</v>
      </c>
      <c r="J1023" s="163" t="s">
        <v>4798</v>
      </c>
      <c r="K1023" s="163" t="s">
        <v>4799</v>
      </c>
      <c r="L1023" s="163" t="s">
        <v>4800</v>
      </c>
      <c r="M1023" s="163" t="s">
        <v>4801</v>
      </c>
      <c r="N1023" s="166" t="s">
        <v>4945</v>
      </c>
      <c r="O1023" s="167"/>
      <c r="P1023" s="168"/>
      <c r="Q1023" s="169"/>
    </row>
    <row r="1024" spans="8:8" ht="43.5" customHeight="1">
      <c r="A1024" s="172">
        <v>29.0</v>
      </c>
      <c r="B1024" s="171" t="s">
        <v>4237</v>
      </c>
      <c r="C1024" s="172">
        <v>241278.0</v>
      </c>
      <c r="D1024" s="171" t="s">
        <v>4859</v>
      </c>
      <c r="E1024" s="172" t="s">
        <v>580</v>
      </c>
      <c r="F1024" s="172" t="b">
        <v>0</v>
      </c>
      <c r="G1024" s="172" t="b">
        <v>0</v>
      </c>
      <c r="H1024" s="172" t="b">
        <v>1</v>
      </c>
      <c r="I1024" s="172" t="b">
        <v>0</v>
      </c>
      <c r="J1024" s="172" t="b">
        <v>0</v>
      </c>
      <c r="K1024" s="172" t="b">
        <v>0</v>
      </c>
      <c r="L1024" s="172" t="b">
        <v>0</v>
      </c>
      <c r="M1024" s="172" t="b">
        <v>0</v>
      </c>
      <c r="N1024" s="173" t="s">
        <v>4804</v>
      </c>
      <c r="O1024" s="167"/>
      <c r="P1024" s="168"/>
      <c r="Q1024" s="174"/>
    </row>
    <row r="1025" spans="8:8" ht="43.5" customHeight="1">
      <c r="A1025" s="172">
        <v>30.0</v>
      </c>
      <c r="B1025" s="171" t="s">
        <v>4238</v>
      </c>
      <c r="C1025" s="172">
        <v>241279.0</v>
      </c>
      <c r="D1025" s="171" t="s">
        <v>4859</v>
      </c>
      <c r="E1025" s="172" t="s">
        <v>580</v>
      </c>
      <c r="F1025" s="172" t="b">
        <v>0</v>
      </c>
      <c r="G1025" s="172" t="b">
        <v>0</v>
      </c>
      <c r="H1025" s="172" t="b">
        <v>1</v>
      </c>
      <c r="I1025" s="172" t="b">
        <v>0</v>
      </c>
      <c r="J1025" s="172" t="b">
        <v>0</v>
      </c>
      <c r="K1025" s="172" t="b">
        <v>0</v>
      </c>
      <c r="L1025" s="172" t="b">
        <v>0</v>
      </c>
      <c r="M1025" s="172" t="b">
        <v>0</v>
      </c>
      <c r="N1025" s="175" t="s">
        <v>4805</v>
      </c>
      <c r="O1025" s="176" t="s">
        <v>4806</v>
      </c>
      <c r="P1025" s="97" t="s">
        <v>4807</v>
      </c>
      <c r="Q1025" s="174"/>
    </row>
    <row r="1026" spans="8:8" ht="43.5" customHeight="1">
      <c r="A1026" s="172">
        <v>31.0</v>
      </c>
      <c r="B1026" s="171" t="s">
        <v>4239</v>
      </c>
      <c r="C1026" s="172">
        <v>241282.0</v>
      </c>
      <c r="D1026" s="171" t="s">
        <v>4859</v>
      </c>
      <c r="E1026" s="172" t="s">
        <v>580</v>
      </c>
      <c r="F1026" s="172" t="b">
        <v>0</v>
      </c>
      <c r="G1026" s="172" t="b">
        <v>1</v>
      </c>
      <c r="H1026" s="172" t="b">
        <v>1</v>
      </c>
      <c r="I1026" s="172" t="b">
        <v>0</v>
      </c>
      <c r="J1026" s="172" t="b">
        <v>0</v>
      </c>
      <c r="K1026" s="172" t="b">
        <v>0</v>
      </c>
      <c r="L1026" s="172" t="b">
        <v>0</v>
      </c>
      <c r="M1026" s="172" t="b">
        <v>0</v>
      </c>
      <c r="N1026" s="97" t="s">
        <v>4794</v>
      </c>
      <c r="O1026" s="172" t="b">
        <v>0</v>
      </c>
      <c r="P1026" s="97" t="s">
        <v>4872</v>
      </c>
      <c r="Q1026" s="174"/>
    </row>
    <row r="1027" spans="8:8" ht="43.5" customHeight="1">
      <c r="A1027" s="170">
        <v>32.0</v>
      </c>
      <c r="B1027" s="171" t="s">
        <v>4240</v>
      </c>
      <c r="C1027" s="172">
        <v>241284.0</v>
      </c>
      <c r="D1027" s="171" t="s">
        <v>4859</v>
      </c>
      <c r="E1027" s="172" t="s">
        <v>580</v>
      </c>
      <c r="F1027" s="172" t="b">
        <v>0</v>
      </c>
      <c r="G1027" s="172" t="b">
        <v>1</v>
      </c>
      <c r="H1027" s="172" t="b">
        <v>1</v>
      </c>
      <c r="I1027" s="172" t="b">
        <v>0</v>
      </c>
      <c r="J1027" s="172" t="b">
        <v>0</v>
      </c>
      <c r="K1027" s="172" t="b">
        <v>0</v>
      </c>
      <c r="L1027" s="172" t="b">
        <v>0</v>
      </c>
      <c r="M1027" s="172" t="b">
        <v>0</v>
      </c>
      <c r="N1027" s="97" t="s">
        <v>4795</v>
      </c>
      <c r="O1027" s="172" t="b">
        <v>1</v>
      </c>
      <c r="P1027" s="97"/>
      <c r="Q1027" s="174"/>
    </row>
    <row r="1028" spans="8:8" ht="43.5" customHeight="1">
      <c r="A1028" s="170">
        <v>33.0</v>
      </c>
      <c r="B1028" s="171" t="s">
        <v>4241</v>
      </c>
      <c r="C1028" s="172">
        <v>241286.0</v>
      </c>
      <c r="D1028" s="171" t="s">
        <v>4859</v>
      </c>
      <c r="E1028" s="172" t="s">
        <v>580</v>
      </c>
      <c r="F1028" s="172" t="b">
        <v>0</v>
      </c>
      <c r="G1028" s="172" t="b">
        <v>0</v>
      </c>
      <c r="H1028" s="172" t="b">
        <v>0</v>
      </c>
      <c r="I1028" s="172" t="b">
        <v>0</v>
      </c>
      <c r="J1028" s="172" t="b">
        <v>0</v>
      </c>
      <c r="K1028" s="172" t="b">
        <v>0</v>
      </c>
      <c r="L1028" s="172" t="b">
        <v>0</v>
      </c>
      <c r="M1028" s="172" t="b">
        <v>0</v>
      </c>
      <c r="N1028" s="97" t="s">
        <v>4796</v>
      </c>
      <c r="O1028" s="172" t="b">
        <v>1</v>
      </c>
      <c r="P1028" s="97"/>
      <c r="Q1028" s="174"/>
    </row>
    <row r="1029" spans="8:8" ht="43.5" customHeight="1">
      <c r="A1029" s="170">
        <v>34.0</v>
      </c>
      <c r="B1029" s="171" t="s">
        <v>4242</v>
      </c>
      <c r="C1029" s="172">
        <v>241288.0</v>
      </c>
      <c r="D1029" s="171" t="s">
        <v>4859</v>
      </c>
      <c r="E1029" s="172" t="s">
        <v>580</v>
      </c>
      <c r="F1029" s="172" t="b">
        <v>1</v>
      </c>
      <c r="G1029" s="172" t="b">
        <v>0</v>
      </c>
      <c r="H1029" s="172" t="b">
        <v>1</v>
      </c>
      <c r="I1029" s="172" t="b">
        <v>0</v>
      </c>
      <c r="J1029" s="172" t="b">
        <v>0</v>
      </c>
      <c r="K1029" s="172" t="b">
        <v>0</v>
      </c>
      <c r="L1029" s="172" t="b">
        <v>0</v>
      </c>
      <c r="M1029" s="172" t="b">
        <v>0</v>
      </c>
      <c r="N1029" s="97" t="s">
        <v>4797</v>
      </c>
      <c r="O1029" s="172" t="b">
        <v>0</v>
      </c>
      <c r="P1029" s="97"/>
      <c r="Q1029" s="174"/>
    </row>
    <row r="1030" spans="8:8" ht="43.5" customHeight="1">
      <c r="A1030" s="170">
        <v>1.0</v>
      </c>
      <c r="B1030" s="171" t="s">
        <v>4243</v>
      </c>
      <c r="C1030" s="172">
        <v>241289.0</v>
      </c>
      <c r="D1030" s="171" t="s">
        <v>4859</v>
      </c>
      <c r="E1030" s="172" t="s">
        <v>580</v>
      </c>
      <c r="F1030" s="172" t="b">
        <v>0</v>
      </c>
      <c r="G1030" s="172" t="b">
        <v>1</v>
      </c>
      <c r="H1030" s="172" t="b">
        <v>1</v>
      </c>
      <c r="I1030" s="172" t="b">
        <v>0</v>
      </c>
      <c r="J1030" s="172" t="b">
        <v>0</v>
      </c>
      <c r="K1030" s="172" t="b">
        <v>0</v>
      </c>
      <c r="L1030" s="172" t="b">
        <v>0</v>
      </c>
      <c r="M1030" s="172" t="b">
        <v>0</v>
      </c>
      <c r="N1030" s="97" t="s">
        <v>4798</v>
      </c>
      <c r="O1030" s="172" t="b">
        <v>0</v>
      </c>
      <c r="P1030" s="97"/>
      <c r="Q1030" s="174"/>
    </row>
    <row r="1031" spans="8:8" ht="43.5" customHeight="1">
      <c r="A1031" s="97"/>
      <c r="B1031" s="171" t="s">
        <v>4244</v>
      </c>
      <c r="C1031" s="172">
        <v>241154.0</v>
      </c>
      <c r="D1031" s="171" t="s">
        <v>4859</v>
      </c>
      <c r="E1031" s="172" t="s">
        <v>580</v>
      </c>
      <c r="F1031" s="172" t="b">
        <v>0</v>
      </c>
      <c r="G1031" s="172" t="b">
        <v>1</v>
      </c>
      <c r="H1031" s="172" t="b">
        <v>1</v>
      </c>
      <c r="I1031" s="172" t="b">
        <v>0</v>
      </c>
      <c r="J1031" s="172" t="b">
        <v>0</v>
      </c>
      <c r="K1031" s="172" t="b">
        <v>0</v>
      </c>
      <c r="L1031" s="172" t="b">
        <v>0</v>
      </c>
      <c r="M1031" s="172" t="b">
        <v>0</v>
      </c>
      <c r="N1031" s="97" t="s">
        <v>4799</v>
      </c>
      <c r="O1031" s="172" t="b">
        <v>0</v>
      </c>
      <c r="P1031" s="97"/>
      <c r="Q1031" s="174"/>
    </row>
    <row r="1032" spans="8:8" ht="43.5" customHeight="1">
      <c r="A1032" s="162" t="s">
        <v>18</v>
      </c>
      <c r="B1032" s="171" t="s">
        <v>4245</v>
      </c>
      <c r="C1032" s="172">
        <v>241159.0</v>
      </c>
      <c r="D1032" s="171" t="s">
        <v>4859</v>
      </c>
      <c r="E1032" s="172" t="s">
        <v>580</v>
      </c>
      <c r="F1032" s="172" t="b">
        <v>0</v>
      </c>
      <c r="G1032" s="172" t="b">
        <v>1</v>
      </c>
      <c r="H1032" s="172" t="b">
        <v>1</v>
      </c>
      <c r="I1032" s="172" t="b">
        <v>0</v>
      </c>
      <c r="J1032" s="172" t="b">
        <v>0</v>
      </c>
      <c r="K1032" s="172" t="b">
        <v>0</v>
      </c>
      <c r="L1032" s="172" t="b">
        <v>0</v>
      </c>
      <c r="M1032" s="172" t="b">
        <v>0</v>
      </c>
      <c r="N1032" s="97" t="s">
        <v>4800</v>
      </c>
      <c r="O1032" s="172" t="b">
        <v>0</v>
      </c>
      <c r="P1032" s="97"/>
      <c r="Q1032" s="174"/>
    </row>
    <row r="1033" spans="8:8" ht="43.5" customHeight="1">
      <c r="A1033" s="172">
        <v>1.0</v>
      </c>
      <c r="B1033" s="171" t="s">
        <v>4246</v>
      </c>
      <c r="C1033" s="172">
        <v>241514.0</v>
      </c>
      <c r="D1033" s="171" t="s">
        <v>4851</v>
      </c>
      <c r="E1033" s="172" t="s">
        <v>580</v>
      </c>
      <c r="F1033" s="172" t="b">
        <v>0</v>
      </c>
      <c r="G1033" s="172" t="b">
        <v>0</v>
      </c>
      <c r="H1033" s="172" t="b">
        <v>0</v>
      </c>
      <c r="I1033" s="172" t="b">
        <v>0</v>
      </c>
      <c r="J1033" s="172" t="b">
        <v>0</v>
      </c>
      <c r="K1033" s="172" t="b">
        <v>0</v>
      </c>
      <c r="L1033" s="172" t="b">
        <v>0</v>
      </c>
      <c r="M1033" s="172" t="b">
        <v>0</v>
      </c>
      <c r="N1033" s="97" t="s">
        <v>4801</v>
      </c>
      <c r="O1033" s="172" t="b">
        <v>0</v>
      </c>
      <c r="P1033" s="97"/>
      <c r="Q1033" s="174"/>
    </row>
    <row r="1034" spans="8:8" ht="43.5" customHeight="1">
      <c r="A1034" s="172">
        <v>2.0</v>
      </c>
      <c r="B1034" s="171" t="s">
        <v>4247</v>
      </c>
      <c r="C1034" s="172">
        <v>241161.0</v>
      </c>
      <c r="D1034" s="171" t="s">
        <v>4859</v>
      </c>
      <c r="E1034" s="172" t="s">
        <v>580</v>
      </c>
      <c r="F1034" s="172" t="b">
        <v>0</v>
      </c>
      <c r="G1034" s="172" t="b">
        <v>1</v>
      </c>
      <c r="H1034" s="172" t="b">
        <v>0</v>
      </c>
      <c r="I1034" s="172" t="b">
        <v>0</v>
      </c>
      <c r="J1034" s="172" t="b">
        <v>0</v>
      </c>
      <c r="K1034" s="172" t="b">
        <v>0</v>
      </c>
      <c r="L1034" s="172" t="b">
        <v>0</v>
      </c>
      <c r="M1034" s="172" t="b">
        <v>0</v>
      </c>
      <c r="N1034" s="97"/>
      <c r="O1034" s="97"/>
      <c r="P1034" s="97"/>
      <c r="Q1034" s="174"/>
    </row>
    <row r="1035" spans="8:8" ht="43.5" customHeight="1">
      <c r="A1035" s="172">
        <v>3.0</v>
      </c>
      <c r="B1035" s="171" t="s">
        <v>4248</v>
      </c>
      <c r="C1035" s="172">
        <v>241285.0</v>
      </c>
      <c r="D1035" s="171" t="s">
        <v>4859</v>
      </c>
      <c r="E1035" s="172" t="s">
        <v>580</v>
      </c>
      <c r="F1035" s="172" t="b">
        <v>0</v>
      </c>
      <c r="G1035" s="172" t="b">
        <v>1</v>
      </c>
      <c r="H1035" s="172" t="b">
        <v>1</v>
      </c>
      <c r="I1035" s="172" t="b">
        <v>0</v>
      </c>
      <c r="J1035" s="172" t="b">
        <v>0</v>
      </c>
      <c r="K1035" s="172" t="b">
        <v>0</v>
      </c>
      <c r="L1035" s="172" t="b">
        <v>0</v>
      </c>
      <c r="M1035" s="172" t="b">
        <v>0</v>
      </c>
      <c r="N1035" s="97"/>
      <c r="O1035" s="97"/>
      <c r="P1035" s="97"/>
      <c r="Q1035" s="174"/>
    </row>
    <row r="1036" spans="8:8" ht="43.5" customHeight="1">
      <c r="A1036" s="172">
        <v>4.0</v>
      </c>
      <c r="B1036" s="171" t="s">
        <v>3915</v>
      </c>
      <c r="C1036" s="172">
        <v>241168.0</v>
      </c>
      <c r="D1036" s="171" t="s">
        <v>4859</v>
      </c>
      <c r="E1036" s="172" t="s">
        <v>580</v>
      </c>
      <c r="F1036" s="172" t="b">
        <v>0</v>
      </c>
      <c r="G1036" s="172" t="b">
        <v>0</v>
      </c>
      <c r="H1036" s="172" t="b">
        <v>0</v>
      </c>
      <c r="I1036" s="172" t="b">
        <v>0</v>
      </c>
      <c r="J1036" s="172" t="b">
        <v>0</v>
      </c>
      <c r="K1036" s="172" t="b">
        <v>0</v>
      </c>
      <c r="L1036" s="172" t="b">
        <v>0</v>
      </c>
      <c r="M1036" s="172" t="b">
        <v>0</v>
      </c>
      <c r="N1036" s="97"/>
      <c r="O1036" s="97"/>
      <c r="P1036" s="97"/>
      <c r="Q1036" s="174"/>
    </row>
    <row r="1037" spans="8:8" ht="43.5" customHeight="1">
      <c r="A1037" s="172">
        <v>5.0</v>
      </c>
      <c r="B1037" s="171" t="s">
        <v>4249</v>
      </c>
      <c r="C1037" s="172">
        <v>241170.0</v>
      </c>
      <c r="D1037" s="171" t="s">
        <v>4859</v>
      </c>
      <c r="E1037" s="172" t="s">
        <v>580</v>
      </c>
      <c r="F1037" s="172" t="b">
        <v>0</v>
      </c>
      <c r="G1037" s="172" t="b">
        <v>0</v>
      </c>
      <c r="H1037" s="172" t="b">
        <v>1</v>
      </c>
      <c r="I1037" s="172" t="b">
        <v>0</v>
      </c>
      <c r="J1037" s="172" t="b">
        <v>0</v>
      </c>
      <c r="K1037" s="172" t="b">
        <v>0</v>
      </c>
      <c r="L1037" s="172" t="b">
        <v>0</v>
      </c>
      <c r="M1037" s="172" t="b">
        <v>0</v>
      </c>
      <c r="N1037" s="97"/>
      <c r="O1037" s="97"/>
      <c r="P1037" s="97"/>
      <c r="Q1037" s="174"/>
    </row>
    <row r="1038" spans="8:8" ht="43.5" customHeight="1">
      <c r="A1038" s="172">
        <v>6.0</v>
      </c>
      <c r="B1038" s="171" t="s">
        <v>4250</v>
      </c>
      <c r="C1038" s="172">
        <v>241593.0</v>
      </c>
      <c r="D1038" s="171" t="s">
        <v>4851</v>
      </c>
      <c r="E1038" s="172" t="s">
        <v>580</v>
      </c>
      <c r="F1038" s="172" t="b">
        <v>0</v>
      </c>
      <c r="G1038" s="172" t="b">
        <v>1</v>
      </c>
      <c r="H1038" s="172" t="b">
        <v>0</v>
      </c>
      <c r="I1038" s="172" t="b">
        <v>0</v>
      </c>
      <c r="J1038" s="172" t="b">
        <v>0</v>
      </c>
      <c r="K1038" s="172" t="b">
        <v>0</v>
      </c>
      <c r="L1038" s="172" t="b">
        <v>0</v>
      </c>
      <c r="M1038" s="172" t="b">
        <v>0</v>
      </c>
      <c r="N1038" s="97"/>
      <c r="O1038" s="97"/>
      <c r="P1038" s="97"/>
      <c r="Q1038" s="174"/>
    </row>
    <row r="1039" spans="8:8" ht="43.5" customHeight="1">
      <c r="A1039" s="172">
        <v>8.0</v>
      </c>
      <c r="B1039" s="171" t="s">
        <v>4251</v>
      </c>
      <c r="C1039" s="172">
        <v>241457.0</v>
      </c>
      <c r="D1039" s="171" t="s">
        <v>4851</v>
      </c>
      <c r="E1039" s="172" t="s">
        <v>580</v>
      </c>
      <c r="F1039" s="172" t="b">
        <v>0</v>
      </c>
      <c r="G1039" s="172" t="b">
        <v>0</v>
      </c>
      <c r="H1039" s="172" t="b">
        <v>0</v>
      </c>
      <c r="I1039" s="172" t="b">
        <v>0</v>
      </c>
      <c r="J1039" s="172" t="b">
        <v>0</v>
      </c>
      <c r="K1039" s="172" t="b">
        <v>0</v>
      </c>
      <c r="L1039" s="172" t="b">
        <v>0</v>
      </c>
      <c r="M1039" s="172" t="b">
        <v>0</v>
      </c>
      <c r="N1039" s="97"/>
      <c r="O1039" s="97"/>
      <c r="P1039" s="97"/>
      <c r="Q1039" s="174"/>
    </row>
    <row r="1040" spans="8:8" ht="43.5" customHeight="1">
      <c r="A1040" s="172">
        <v>9.0</v>
      </c>
      <c r="B1040" s="171" t="s">
        <v>4286</v>
      </c>
      <c r="C1040" s="172">
        <v>241459.0</v>
      </c>
      <c r="D1040" s="171" t="s">
        <v>4851</v>
      </c>
      <c r="E1040" s="172" t="s">
        <v>580</v>
      </c>
      <c r="F1040" s="172" t="b">
        <v>0</v>
      </c>
      <c r="G1040" s="172" t="b">
        <v>0</v>
      </c>
      <c r="H1040" s="172" t="b">
        <v>0</v>
      </c>
      <c r="I1040" s="172" t="b">
        <v>0</v>
      </c>
      <c r="J1040" s="172" t="b">
        <v>0</v>
      </c>
      <c r="K1040" s="172" t="b">
        <v>0</v>
      </c>
      <c r="L1040" s="172" t="b">
        <v>0</v>
      </c>
      <c r="M1040" s="172" t="b">
        <v>0</v>
      </c>
      <c r="N1040" s="97"/>
      <c r="O1040" s="97"/>
      <c r="P1040" s="97"/>
      <c r="Q1040" s="174"/>
    </row>
    <row r="1041" spans="8:8" ht="43.5" customHeight="1">
      <c r="A1041" s="172">
        <v>11.0</v>
      </c>
      <c r="B1041" s="171" t="s">
        <v>4252</v>
      </c>
      <c r="C1041" s="172">
        <v>241474.0</v>
      </c>
      <c r="D1041" s="171" t="s">
        <v>4851</v>
      </c>
      <c r="E1041" s="172" t="s">
        <v>580</v>
      </c>
      <c r="F1041" s="172" t="b">
        <v>0</v>
      </c>
      <c r="G1041" s="172" t="b">
        <v>0</v>
      </c>
      <c r="H1041" s="172" t="b">
        <v>1</v>
      </c>
      <c r="I1041" s="172" t="b">
        <v>0</v>
      </c>
      <c r="J1041" s="172" t="b">
        <v>0</v>
      </c>
      <c r="K1041" s="172" t="b">
        <v>0</v>
      </c>
      <c r="L1041" s="172" t="b">
        <v>0</v>
      </c>
      <c r="M1041" s="172" t="b">
        <v>0</v>
      </c>
      <c r="N1041" s="97"/>
      <c r="O1041" s="97"/>
      <c r="P1041" s="97"/>
      <c r="Q1041" s="174"/>
    </row>
    <row r="1042" spans="8:8" ht="43.5" customHeight="1">
      <c r="A1042" s="172">
        <v>12.0</v>
      </c>
      <c r="B1042" s="171" t="s">
        <v>4253</v>
      </c>
      <c r="C1042" s="172">
        <v>241476.0</v>
      </c>
      <c r="D1042" s="171" t="s">
        <v>4851</v>
      </c>
      <c r="E1042" s="172" t="s">
        <v>580</v>
      </c>
      <c r="F1042" s="172" t="b">
        <v>0</v>
      </c>
      <c r="G1042" s="172" t="b">
        <v>0</v>
      </c>
      <c r="H1042" s="172" t="b">
        <v>0</v>
      </c>
      <c r="I1042" s="172" t="b">
        <v>0</v>
      </c>
      <c r="J1042" s="172" t="b">
        <v>0</v>
      </c>
      <c r="K1042" s="172" t="b">
        <v>0</v>
      </c>
      <c r="L1042" s="172" t="b">
        <v>0</v>
      </c>
      <c r="M1042" s="172" t="b">
        <v>0</v>
      </c>
      <c r="N1042" s="97"/>
      <c r="O1042" s="97"/>
      <c r="P1042" s="97"/>
      <c r="Q1042" s="174"/>
    </row>
    <row r="1043" spans="8:8" ht="43.5" customHeight="1">
      <c r="A1043" s="172">
        <v>13.0</v>
      </c>
      <c r="B1043" s="181" t="s">
        <v>642</v>
      </c>
      <c r="C1043" s="97">
        <v>240916.0</v>
      </c>
      <c r="D1043" s="171" t="s">
        <v>4883</v>
      </c>
      <c r="E1043" s="172" t="s">
        <v>580</v>
      </c>
      <c r="F1043" s="172" t="b">
        <v>1</v>
      </c>
      <c r="G1043" s="172" t="b">
        <v>0</v>
      </c>
      <c r="H1043" s="172" t="b">
        <v>0</v>
      </c>
      <c r="I1043" s="172" t="b">
        <v>0</v>
      </c>
      <c r="J1043" s="172" t="b">
        <v>0</v>
      </c>
      <c r="K1043" s="172" t="b">
        <v>0</v>
      </c>
      <c r="L1043" s="172" t="b">
        <v>0</v>
      </c>
      <c r="M1043" s="172" t="b">
        <v>0</v>
      </c>
      <c r="N1043" s="97"/>
      <c r="O1043" s="97"/>
      <c r="P1043" s="97"/>
      <c r="Q1043" s="174"/>
    </row>
    <row r="1044" spans="8:8" ht="43.5" customHeight="1">
      <c r="A1044" s="172">
        <v>14.0</v>
      </c>
      <c r="B1044" s="171" t="s">
        <v>4254</v>
      </c>
      <c r="C1044" s="172">
        <v>241276.0</v>
      </c>
      <c r="D1044" s="171" t="s">
        <v>4859</v>
      </c>
      <c r="E1044" s="97" t="s">
        <v>580</v>
      </c>
      <c r="F1044" s="172" t="b">
        <v>0</v>
      </c>
      <c r="G1044" s="172" t="b">
        <v>1</v>
      </c>
      <c r="H1044" s="172" t="b">
        <v>1</v>
      </c>
      <c r="I1044" s="172" t="b">
        <v>0</v>
      </c>
      <c r="J1044" s="172" t="b">
        <v>0</v>
      </c>
      <c r="K1044" s="172" t="b">
        <v>0</v>
      </c>
      <c r="L1044" s="172" t="b">
        <v>0</v>
      </c>
      <c r="M1044" s="172" t="b">
        <v>0</v>
      </c>
      <c r="N1044" s="97"/>
      <c r="O1044" s="97"/>
      <c r="P1044" s="97"/>
      <c r="Q1044" s="174"/>
    </row>
    <row r="1045" spans="8:8" ht="43.5" customHeight="1">
      <c r="A1045" s="172">
        <v>15.0</v>
      </c>
      <c r="B1045" s="191" t="s">
        <v>4255</v>
      </c>
      <c r="C1045" s="190">
        <v>241637.0</v>
      </c>
      <c r="D1045" s="191" t="s">
        <v>4857</v>
      </c>
      <c r="E1045" s="190" t="s">
        <v>580</v>
      </c>
      <c r="F1045" s="190" t="b">
        <v>0</v>
      </c>
      <c r="G1045" s="190" t="b">
        <v>1</v>
      </c>
      <c r="H1045" s="213" t="b">
        <v>0</v>
      </c>
      <c r="I1045" s="213" t="b">
        <v>0</v>
      </c>
      <c r="J1045" s="213" t="b">
        <v>0</v>
      </c>
      <c r="K1045" s="213" t="b">
        <v>0</v>
      </c>
      <c r="L1045" s="213" t="b">
        <v>0</v>
      </c>
      <c r="M1045" s="213" t="b">
        <v>0</v>
      </c>
      <c r="N1045" s="214"/>
      <c r="O1045" s="214"/>
      <c r="P1045" s="214"/>
      <c r="Q1045" s="215"/>
    </row>
    <row r="1046" spans="8:8" ht="43.5" customHeight="1">
      <c r="A1046" s="189"/>
      <c r="B1046" s="171" t="s">
        <v>4256</v>
      </c>
      <c r="C1046" s="172">
        <v>241302.0</v>
      </c>
      <c r="D1046" s="171" t="s">
        <v>4856</v>
      </c>
      <c r="E1046" s="172" t="s">
        <v>580</v>
      </c>
      <c r="F1046" s="172" t="b">
        <v>0</v>
      </c>
      <c r="G1046" s="172" t="b">
        <v>0</v>
      </c>
      <c r="H1046" s="172" t="b">
        <v>1</v>
      </c>
      <c r="I1046" s="172" t="b">
        <v>0</v>
      </c>
      <c r="J1046" s="172" t="b">
        <v>0</v>
      </c>
      <c r="K1046" s="172" t="b">
        <v>0</v>
      </c>
      <c r="L1046" s="172" t="b">
        <v>0</v>
      </c>
      <c r="M1046" s="172" t="b">
        <v>0</v>
      </c>
      <c r="N1046" s="214"/>
      <c r="O1046" s="214"/>
      <c r="P1046" s="214"/>
      <c r="Q1046" s="215"/>
    </row>
    <row r="1047" spans="8:8" ht="43.5" customHeight="1">
      <c r="A1047" s="172">
        <v>18.0</v>
      </c>
      <c r="B1047" s="171" t="s">
        <v>4257</v>
      </c>
      <c r="C1047" s="172">
        <v>241292.0</v>
      </c>
      <c r="D1047" s="171" t="s">
        <v>4856</v>
      </c>
      <c r="E1047" s="172" t="s">
        <v>580</v>
      </c>
      <c r="F1047" s="172" t="b">
        <v>0</v>
      </c>
      <c r="G1047" s="172" t="b">
        <v>0</v>
      </c>
      <c r="H1047" s="172" t="b">
        <v>1</v>
      </c>
      <c r="I1047" s="172" t="b">
        <v>0</v>
      </c>
      <c r="J1047" s="172" t="b">
        <v>0</v>
      </c>
      <c r="K1047" s="172" t="b">
        <v>0</v>
      </c>
      <c r="L1047" s="172" t="b">
        <v>0</v>
      </c>
      <c r="M1047" s="172" t="b">
        <v>0</v>
      </c>
      <c r="N1047" s="97"/>
      <c r="O1047" s="97"/>
      <c r="P1047" s="97"/>
      <c r="Q1047" s="174"/>
    </row>
    <row r="1048" spans="8:8" ht="43.5" customHeight="1">
      <c r="A1048" s="172">
        <v>19.0</v>
      </c>
      <c r="B1048" s="182" t="s">
        <v>4815</v>
      </c>
      <c r="C1048" s="97"/>
      <c r="D1048" s="97"/>
      <c r="E1048" s="183"/>
      <c r="F1048" s="184">
        <f t="shared" si="38" ref="F1048:M1048">COUNTIF(F1027:F1038,TRUE)/COUNTA(F1027:F1038)</f>
        <v>0.08333333333333333</v>
      </c>
      <c r="G1048" s="184">
        <f t="shared" si="38"/>
        <v>0.5833333333333334</v>
      </c>
      <c r="H1048" s="184">
        <f t="shared" si="38"/>
        <v>0.5833333333333334</v>
      </c>
      <c r="I1048" s="184">
        <f t="shared" si="38"/>
        <v>0.0</v>
      </c>
      <c r="J1048" s="184">
        <f t="shared" si="38"/>
        <v>0.0</v>
      </c>
      <c r="K1048" s="184">
        <f t="shared" si="38"/>
        <v>0.0</v>
      </c>
      <c r="L1048" s="184">
        <f t="shared" si="38"/>
        <v>0.0</v>
      </c>
      <c r="M1048" s="184">
        <f t="shared" si="38"/>
        <v>0.0</v>
      </c>
      <c r="N1048" s="97"/>
      <c r="O1048" s="97"/>
      <c r="P1048" s="97"/>
      <c r="Q1048" s="174"/>
    </row>
    <row r="1049" spans="8:8" ht="43.5" customHeight="1">
      <c r="A1049" s="172">
        <v>20.0</v>
      </c>
      <c r="B1049" s="162" t="s">
        <v>19</v>
      </c>
      <c r="C1049" s="163"/>
      <c r="D1049" s="162" t="s">
        <v>4530</v>
      </c>
      <c r="E1049" s="162" t="s">
        <v>22</v>
      </c>
      <c r="F1049" s="163" t="s">
        <v>4794</v>
      </c>
      <c r="G1049" s="163" t="s">
        <v>4795</v>
      </c>
      <c r="H1049" s="163" t="s">
        <v>4796</v>
      </c>
      <c r="I1049" s="163" t="s">
        <v>4797</v>
      </c>
      <c r="J1049" s="163" t="s">
        <v>4798</v>
      </c>
      <c r="K1049" s="163" t="s">
        <v>4799</v>
      </c>
      <c r="L1049" s="163" t="s">
        <v>4800</v>
      </c>
      <c r="M1049" s="163" t="s">
        <v>4801</v>
      </c>
      <c r="N1049" s="166" t="s">
        <v>4946</v>
      </c>
      <c r="O1049" s="167"/>
      <c r="P1049" s="168"/>
      <c r="Q1049" s="169"/>
    </row>
    <row r="1050" spans="8:8" ht="43.5" customHeight="1">
      <c r="A1050" s="172">
        <v>22.0</v>
      </c>
      <c r="B1050" s="171" t="s">
        <v>4259</v>
      </c>
      <c r="C1050" s="172">
        <v>241477.0</v>
      </c>
      <c r="D1050" s="171" t="s">
        <v>4851</v>
      </c>
      <c r="E1050" s="172" t="s">
        <v>580</v>
      </c>
      <c r="F1050" s="172" t="b">
        <v>1</v>
      </c>
      <c r="G1050" s="172" t="b">
        <v>1</v>
      </c>
      <c r="H1050" s="172" t="b">
        <v>1</v>
      </c>
      <c r="I1050" s="172" t="b">
        <v>0</v>
      </c>
      <c r="J1050" s="172" t="b">
        <v>0</v>
      </c>
      <c r="K1050" s="172" t="b">
        <v>0</v>
      </c>
      <c r="L1050" s="172" t="b">
        <v>0</v>
      </c>
      <c r="M1050" s="172" t="b">
        <v>0</v>
      </c>
      <c r="N1050" s="173" t="s">
        <v>4804</v>
      </c>
      <c r="O1050" s="167"/>
      <c r="P1050" s="168"/>
      <c r="Q1050" s="174"/>
    </row>
    <row r="1051" spans="8:8" ht="43.5" customHeight="1">
      <c r="A1051" s="172">
        <v>23.0</v>
      </c>
      <c r="B1051" s="171" t="s">
        <v>4260</v>
      </c>
      <c r="C1051" s="172">
        <v>241599.0</v>
      </c>
      <c r="D1051" s="171" t="s">
        <v>4851</v>
      </c>
      <c r="E1051" s="172" t="s">
        <v>580</v>
      </c>
      <c r="F1051" s="172" t="b">
        <v>0</v>
      </c>
      <c r="G1051" s="172" t="b">
        <v>1</v>
      </c>
      <c r="H1051" s="172" t="b">
        <v>0</v>
      </c>
      <c r="I1051" s="172" t="b">
        <v>0</v>
      </c>
      <c r="J1051" s="172" t="b">
        <v>0</v>
      </c>
      <c r="K1051" s="172" t="b">
        <v>0</v>
      </c>
      <c r="L1051" s="172" t="b">
        <v>0</v>
      </c>
      <c r="M1051" s="172" t="b">
        <v>0</v>
      </c>
      <c r="N1051" s="175" t="s">
        <v>4805</v>
      </c>
      <c r="O1051" s="176" t="s">
        <v>4806</v>
      </c>
      <c r="P1051" s="97" t="s">
        <v>4807</v>
      </c>
      <c r="Q1051" s="174"/>
    </row>
    <row r="1052" spans="8:8" ht="43.5" customHeight="1">
      <c r="A1052" s="172">
        <v>24.0</v>
      </c>
      <c r="B1052" s="171" t="s">
        <v>4261</v>
      </c>
      <c r="C1052" s="172">
        <v>241597.0</v>
      </c>
      <c r="D1052" s="171" t="s">
        <v>4851</v>
      </c>
      <c r="E1052" s="172" t="s">
        <v>580</v>
      </c>
      <c r="F1052" s="172" t="b">
        <v>0</v>
      </c>
      <c r="G1052" s="172" t="b">
        <v>1</v>
      </c>
      <c r="H1052" s="172" t="b">
        <v>0</v>
      </c>
      <c r="I1052" s="172" t="b">
        <v>0</v>
      </c>
      <c r="J1052" s="172" t="b">
        <v>0</v>
      </c>
      <c r="K1052" s="172" t="b">
        <v>0</v>
      </c>
      <c r="L1052" s="172" t="b">
        <v>0</v>
      </c>
      <c r="M1052" s="172" t="b">
        <v>0</v>
      </c>
      <c r="N1052" s="97" t="s">
        <v>4794</v>
      </c>
      <c r="O1052" s="172" t="b">
        <v>0</v>
      </c>
      <c r="P1052" s="97" t="s">
        <v>4947</v>
      </c>
      <c r="Q1052" s="174"/>
    </row>
    <row r="1053" spans="8:8" ht="43.5" customHeight="1">
      <c r="A1053" s="172">
        <v>25.0</v>
      </c>
      <c r="B1053" s="171" t="s">
        <v>4262</v>
      </c>
      <c r="C1053" s="172">
        <v>241480.0</v>
      </c>
      <c r="D1053" s="171" t="s">
        <v>4851</v>
      </c>
      <c r="E1053" s="172" t="s">
        <v>580</v>
      </c>
      <c r="F1053" s="172" t="b">
        <v>0</v>
      </c>
      <c r="G1053" s="172" t="b">
        <v>1</v>
      </c>
      <c r="H1053" s="172" t="b">
        <v>1</v>
      </c>
      <c r="I1053" s="172" t="b">
        <v>0</v>
      </c>
      <c r="J1053" s="172" t="b">
        <v>0</v>
      </c>
      <c r="K1053" s="172" t="b">
        <v>0</v>
      </c>
      <c r="L1053" s="172" t="b">
        <v>0</v>
      </c>
      <c r="M1053" s="172" t="b">
        <v>0</v>
      </c>
      <c r="N1053" s="97" t="s">
        <v>4795</v>
      </c>
      <c r="O1053" s="172" t="b">
        <v>1</v>
      </c>
      <c r="P1053" s="97"/>
      <c r="Q1053" s="174"/>
    </row>
    <row r="1054" spans="8:8" ht="43.5" customHeight="1">
      <c r="A1054" s="190">
        <v>23.0</v>
      </c>
      <c r="B1054" s="171" t="s">
        <v>4263</v>
      </c>
      <c r="C1054" s="172">
        <v>241481.0</v>
      </c>
      <c r="D1054" s="171" t="s">
        <v>4851</v>
      </c>
      <c r="E1054" s="172" t="s">
        <v>580</v>
      </c>
      <c r="F1054" s="172" t="b">
        <v>0</v>
      </c>
      <c r="G1054" s="172" t="b">
        <v>1</v>
      </c>
      <c r="H1054" s="172" t="b">
        <v>1</v>
      </c>
      <c r="I1054" s="172" t="b">
        <v>0</v>
      </c>
      <c r="J1054" s="172" t="b">
        <v>0</v>
      </c>
      <c r="K1054" s="172" t="b">
        <v>0</v>
      </c>
      <c r="L1054" s="172" t="b">
        <v>0</v>
      </c>
      <c r="M1054" s="172" t="b">
        <v>0</v>
      </c>
      <c r="N1054" s="97" t="s">
        <v>4796</v>
      </c>
      <c r="O1054" s="172" t="b">
        <v>1</v>
      </c>
      <c r="P1054" s="97"/>
      <c r="Q1054" s="174"/>
    </row>
    <row r="1055" spans="8:8" ht="43.5" customHeight="1">
      <c r="A1055" s="170">
        <v>7.0</v>
      </c>
      <c r="B1055" s="171" t="s">
        <v>4264</v>
      </c>
      <c r="C1055" s="172">
        <v>241487.0</v>
      </c>
      <c r="D1055" s="171" t="s">
        <v>4851</v>
      </c>
      <c r="E1055" s="172" t="s">
        <v>580</v>
      </c>
      <c r="F1055" s="172" t="b">
        <v>0</v>
      </c>
      <c r="G1055" s="172" t="b">
        <v>0</v>
      </c>
      <c r="H1055" s="172" t="b">
        <v>1</v>
      </c>
      <c r="I1055" s="172" t="b">
        <v>0</v>
      </c>
      <c r="J1055" s="172" t="b">
        <v>0</v>
      </c>
      <c r="K1055" s="172" t="b">
        <v>0</v>
      </c>
      <c r="L1055" s="172" t="b">
        <v>0</v>
      </c>
      <c r="M1055" s="172" t="b">
        <v>0</v>
      </c>
      <c r="N1055" s="97" t="s">
        <v>4797</v>
      </c>
      <c r="O1055" s="172" t="b">
        <v>0</v>
      </c>
      <c r="P1055" s="97"/>
      <c r="Q1055" s="174"/>
    </row>
    <row r="1056" spans="8:8" ht="43.5" customHeight="1">
      <c r="A1056" s="172">
        <v>4.0</v>
      </c>
      <c r="B1056" s="171" t="s">
        <v>4265</v>
      </c>
      <c r="C1056" s="172">
        <v>241488.0</v>
      </c>
      <c r="D1056" s="171" t="s">
        <v>4851</v>
      </c>
      <c r="E1056" s="172" t="s">
        <v>580</v>
      </c>
      <c r="F1056" s="172" t="b">
        <v>0</v>
      </c>
      <c r="G1056" s="172" t="b">
        <v>0</v>
      </c>
      <c r="H1056" s="172" t="b">
        <v>0</v>
      </c>
      <c r="I1056" s="172" t="b">
        <v>0</v>
      </c>
      <c r="J1056" s="172" t="b">
        <v>0</v>
      </c>
      <c r="K1056" s="172" t="b">
        <v>0</v>
      </c>
      <c r="L1056" s="172" t="b">
        <v>0</v>
      </c>
      <c r="M1056" s="172" t="b">
        <v>0</v>
      </c>
      <c r="N1056" s="97" t="s">
        <v>4798</v>
      </c>
      <c r="O1056" s="172" t="b">
        <v>0</v>
      </c>
      <c r="P1056" s="97"/>
      <c r="Q1056" s="174"/>
    </row>
    <row r="1057" spans="8:8" ht="43.5" customHeight="1">
      <c r="A1057" s="97"/>
      <c r="B1057" s="171" t="s">
        <v>4266</v>
      </c>
      <c r="C1057" s="172">
        <v>241490.0</v>
      </c>
      <c r="D1057" s="171" t="s">
        <v>4851</v>
      </c>
      <c r="E1057" s="172" t="s">
        <v>580</v>
      </c>
      <c r="F1057" s="172" t="b">
        <v>0</v>
      </c>
      <c r="G1057" s="172" t="b">
        <v>0</v>
      </c>
      <c r="H1057" s="172" t="b">
        <v>1</v>
      </c>
      <c r="I1057" s="172" t="b">
        <v>0</v>
      </c>
      <c r="J1057" s="172" t="b">
        <v>0</v>
      </c>
      <c r="K1057" s="172" t="b">
        <v>0</v>
      </c>
      <c r="L1057" s="172" t="b">
        <v>0</v>
      </c>
      <c r="M1057" s="172" t="b">
        <v>0</v>
      </c>
      <c r="N1057" s="97" t="s">
        <v>4799</v>
      </c>
      <c r="O1057" s="172" t="b">
        <v>0</v>
      </c>
      <c r="P1057" s="97"/>
      <c r="Q1057" s="174"/>
    </row>
    <row r="1058" spans="8:8" ht="43.5" customHeight="1">
      <c r="A1058" s="162" t="s">
        <v>18</v>
      </c>
      <c r="B1058" s="171" t="s">
        <v>4267</v>
      </c>
      <c r="C1058" s="172">
        <v>241493.0</v>
      </c>
      <c r="D1058" s="171" t="s">
        <v>4851</v>
      </c>
      <c r="E1058" s="172" t="s">
        <v>580</v>
      </c>
      <c r="F1058" s="172" t="b">
        <v>0</v>
      </c>
      <c r="G1058" s="172" t="b">
        <v>0</v>
      </c>
      <c r="H1058" s="172" t="b">
        <v>1</v>
      </c>
      <c r="I1058" s="172" t="b">
        <v>0</v>
      </c>
      <c r="J1058" s="172" t="b">
        <v>0</v>
      </c>
      <c r="K1058" s="172" t="b">
        <v>0</v>
      </c>
      <c r="L1058" s="172" t="b">
        <v>0</v>
      </c>
      <c r="M1058" s="172" t="b">
        <v>0</v>
      </c>
      <c r="N1058" s="97" t="s">
        <v>4800</v>
      </c>
      <c r="O1058" s="172" t="b">
        <v>0</v>
      </c>
      <c r="P1058" s="97"/>
      <c r="Q1058" s="174"/>
    </row>
    <row r="1059" spans="8:8" ht="43.5" customHeight="1">
      <c r="A1059" s="172">
        <v>1.0</v>
      </c>
      <c r="B1059" s="171" t="s">
        <v>4268</v>
      </c>
      <c r="C1059" s="172">
        <v>241494.0</v>
      </c>
      <c r="D1059" s="171" t="s">
        <v>4851</v>
      </c>
      <c r="E1059" s="172" t="s">
        <v>580</v>
      </c>
      <c r="F1059" s="172" t="b">
        <v>0</v>
      </c>
      <c r="G1059" s="172" t="b">
        <v>0</v>
      </c>
      <c r="H1059" s="172" t="b">
        <v>1</v>
      </c>
      <c r="I1059" s="172" t="b">
        <v>0</v>
      </c>
      <c r="J1059" s="172" t="b">
        <v>0</v>
      </c>
      <c r="K1059" s="172" t="b">
        <v>0</v>
      </c>
      <c r="L1059" s="172" t="b">
        <v>0</v>
      </c>
      <c r="M1059" s="172" t="b">
        <v>0</v>
      </c>
      <c r="N1059" s="97" t="s">
        <v>4801</v>
      </c>
      <c r="O1059" s="172" t="b">
        <v>0</v>
      </c>
      <c r="P1059" s="97"/>
      <c r="Q1059" s="174"/>
    </row>
    <row r="1060" spans="8:8" ht="43.5" customHeight="1">
      <c r="A1060" s="172">
        <v>3.0</v>
      </c>
      <c r="B1060" s="171" t="s">
        <v>4269</v>
      </c>
      <c r="C1060" s="172">
        <v>241499.0</v>
      </c>
      <c r="D1060" s="171" t="s">
        <v>4851</v>
      </c>
      <c r="E1060" s="172" t="s">
        <v>580</v>
      </c>
      <c r="F1060" s="172" t="b">
        <v>0</v>
      </c>
      <c r="G1060" s="172" t="b">
        <v>1</v>
      </c>
      <c r="H1060" s="172" t="b">
        <v>0</v>
      </c>
      <c r="I1060" s="172" t="b">
        <v>0</v>
      </c>
      <c r="J1060" s="172" t="b">
        <v>0</v>
      </c>
      <c r="K1060" s="172" t="b">
        <v>0</v>
      </c>
      <c r="L1060" s="172" t="b">
        <v>0</v>
      </c>
      <c r="M1060" s="172" t="b">
        <v>0</v>
      </c>
      <c r="N1060" s="97"/>
      <c r="O1060" s="97"/>
      <c r="P1060" s="97"/>
      <c r="Q1060" s="174"/>
    </row>
    <row r="1061" spans="8:8" ht="43.5" customHeight="1">
      <c r="A1061" s="172">
        <v>6.0</v>
      </c>
      <c r="B1061" s="171" t="s">
        <v>4358</v>
      </c>
      <c r="C1061" s="172">
        <v>241506.0</v>
      </c>
      <c r="D1061" s="171" t="s">
        <v>4851</v>
      </c>
      <c r="E1061" s="172" t="s">
        <v>580</v>
      </c>
      <c r="F1061" s="172" t="b">
        <v>0</v>
      </c>
      <c r="G1061" s="172" t="b">
        <v>0</v>
      </c>
      <c r="H1061" s="172" t="b">
        <v>0</v>
      </c>
      <c r="I1061" s="172" t="b">
        <v>0</v>
      </c>
      <c r="J1061" s="172" t="b">
        <v>0</v>
      </c>
      <c r="K1061" s="172" t="b">
        <v>0</v>
      </c>
      <c r="L1061" s="172" t="b">
        <v>0</v>
      </c>
      <c r="M1061" s="172" t="b">
        <v>0</v>
      </c>
      <c r="N1061" s="189"/>
      <c r="O1061" s="189"/>
      <c r="P1061" s="189"/>
    </row>
    <row r="1062" spans="8:8" ht="43.5" customHeight="1">
      <c r="A1062" s="172">
        <v>7.0</v>
      </c>
      <c r="B1062" s="171" t="s">
        <v>4359</v>
      </c>
      <c r="C1062" s="172">
        <v>241947.0</v>
      </c>
      <c r="D1062" s="171" t="s">
        <v>4859</v>
      </c>
      <c r="E1062" s="172" t="s">
        <v>580</v>
      </c>
      <c r="F1062" s="172" t="b">
        <v>0</v>
      </c>
      <c r="G1062" s="172" t="b">
        <v>0</v>
      </c>
      <c r="H1062" s="172" t="b">
        <v>0</v>
      </c>
      <c r="I1062" s="172" t="b">
        <v>0</v>
      </c>
      <c r="J1062" s="172" t="b">
        <v>0</v>
      </c>
      <c r="K1062" s="172" t="b">
        <v>0</v>
      </c>
      <c r="L1062" s="172" t="b">
        <v>0</v>
      </c>
      <c r="M1062" s="172" t="b">
        <v>0</v>
      </c>
      <c r="N1062" s="97"/>
      <c r="O1062" s="97"/>
      <c r="P1062" s="97"/>
      <c r="Q1062" s="174"/>
    </row>
    <row r="1063" spans="8:8" ht="43.5" customHeight="1">
      <c r="A1063" s="189"/>
      <c r="B1063" s="171" t="s">
        <v>4360</v>
      </c>
      <c r="C1063" s="172">
        <v>241244.0</v>
      </c>
      <c r="D1063" s="171" t="s">
        <v>4859</v>
      </c>
      <c r="E1063" s="172" t="s">
        <v>580</v>
      </c>
      <c r="F1063" s="172" t="b">
        <v>0</v>
      </c>
      <c r="G1063" s="172" t="b">
        <v>1</v>
      </c>
      <c r="H1063" s="172" t="b">
        <v>0</v>
      </c>
      <c r="I1063" s="172" t="b">
        <v>0</v>
      </c>
      <c r="J1063" s="172" t="b">
        <v>0</v>
      </c>
      <c r="K1063" s="172" t="b">
        <v>0</v>
      </c>
      <c r="L1063" s="172" t="b">
        <v>0</v>
      </c>
      <c r="M1063" s="172" t="b">
        <v>0</v>
      </c>
      <c r="N1063" s="97"/>
      <c r="O1063" s="97"/>
      <c r="P1063" s="97"/>
      <c r="Q1063" s="174"/>
    </row>
    <row r="1064" spans="8:8" ht="43.5" customHeight="1">
      <c r="A1064" s="189"/>
      <c r="B1064" s="171" t="s">
        <v>4270</v>
      </c>
      <c r="C1064" s="172">
        <v>241157.0</v>
      </c>
      <c r="D1064" s="171" t="s">
        <v>4859</v>
      </c>
      <c r="E1064" s="172" t="s">
        <v>580</v>
      </c>
      <c r="F1064" s="172" t="b">
        <v>1</v>
      </c>
      <c r="G1064" s="172" t="b">
        <v>1</v>
      </c>
      <c r="H1064" s="172" t="b">
        <v>1</v>
      </c>
      <c r="I1064" s="172" t="b">
        <v>0</v>
      </c>
      <c r="J1064" s="172" t="b">
        <v>0</v>
      </c>
      <c r="K1064" s="172" t="b">
        <v>0</v>
      </c>
      <c r="L1064" s="172" t="b">
        <v>0</v>
      </c>
      <c r="M1064" s="172" t="b">
        <v>0</v>
      </c>
      <c r="N1064" s="97"/>
      <c r="O1064" s="97"/>
      <c r="P1064" s="97"/>
      <c r="Q1064" s="174"/>
    </row>
    <row r="1065" spans="8:8" ht="43.5" customHeight="1">
      <c r="A1065" s="172">
        <v>10.0</v>
      </c>
      <c r="B1065" s="171" t="s">
        <v>4285</v>
      </c>
      <c r="C1065" s="172">
        <v>241942.0</v>
      </c>
      <c r="D1065" s="171" t="s">
        <v>4859</v>
      </c>
      <c r="E1065" s="172" t="s">
        <v>580</v>
      </c>
      <c r="F1065" s="172" t="b">
        <v>0</v>
      </c>
      <c r="G1065" s="172" t="b">
        <v>0</v>
      </c>
      <c r="H1065" s="172" t="b">
        <v>1</v>
      </c>
      <c r="I1065" s="172" t="b">
        <v>0</v>
      </c>
      <c r="J1065" s="172" t="b">
        <v>0</v>
      </c>
      <c r="K1065" s="172" t="b">
        <v>0</v>
      </c>
      <c r="L1065" s="172" t="b">
        <v>0</v>
      </c>
      <c r="M1065" s="172" t="b">
        <v>0</v>
      </c>
      <c r="N1065" s="97"/>
      <c r="O1065" s="97"/>
      <c r="P1065" s="97"/>
      <c r="Q1065" s="174"/>
    </row>
    <row r="1066" spans="8:8" ht="43.5" customHeight="1">
      <c r="A1066" s="172">
        <v>11.0</v>
      </c>
      <c r="B1066" s="171" t="s">
        <v>4271</v>
      </c>
      <c r="C1066" s="172">
        <v>251497.0</v>
      </c>
      <c r="D1066" s="171" t="s">
        <v>4814</v>
      </c>
      <c r="E1066" s="172" t="s">
        <v>580</v>
      </c>
      <c r="F1066" s="172" t="b">
        <v>0</v>
      </c>
      <c r="G1066" s="172" t="b">
        <v>0</v>
      </c>
      <c r="H1066" s="172" t="b">
        <v>0</v>
      </c>
      <c r="I1066" s="172" t="b">
        <v>0</v>
      </c>
      <c r="J1066" s="172" t="b">
        <v>0</v>
      </c>
      <c r="K1066" s="172" t="b">
        <v>0</v>
      </c>
      <c r="L1066" s="172" t="b">
        <v>0</v>
      </c>
      <c r="M1066" s="172" t="b">
        <v>0</v>
      </c>
      <c r="N1066" s="97"/>
      <c r="O1066" s="97"/>
      <c r="P1066" s="97"/>
      <c r="Q1066" s="174"/>
    </row>
    <row r="1067" spans="8:8" ht="43.5" customHeight="1">
      <c r="A1067" s="172">
        <v>12.0</v>
      </c>
      <c r="B1067" s="171" t="s">
        <v>674</v>
      </c>
      <c r="C1067" s="172">
        <v>241079.0</v>
      </c>
      <c r="D1067" s="171" t="s">
        <v>4948</v>
      </c>
      <c r="E1067" s="172" t="s">
        <v>580</v>
      </c>
      <c r="F1067" s="172" t="b">
        <v>0</v>
      </c>
      <c r="G1067" s="172" t="b">
        <v>1</v>
      </c>
      <c r="H1067" s="172" t="b">
        <v>1</v>
      </c>
      <c r="I1067" s="172" t="b">
        <v>0</v>
      </c>
      <c r="J1067" s="172" t="b">
        <v>0</v>
      </c>
      <c r="K1067" s="172" t="b">
        <v>0</v>
      </c>
      <c r="L1067" s="172" t="b">
        <v>0</v>
      </c>
      <c r="M1067" s="172" t="b">
        <v>1</v>
      </c>
      <c r="N1067" s="97"/>
      <c r="O1067" s="97"/>
      <c r="P1067" s="97"/>
      <c r="Q1067" s="174"/>
    </row>
    <row r="1068" spans="8:8" ht="43.5" customHeight="1">
      <c r="A1068" s="172">
        <v>13.0</v>
      </c>
      <c r="B1068" s="171" t="s">
        <v>4272</v>
      </c>
      <c r="C1068" s="172">
        <v>241632.0</v>
      </c>
      <c r="D1068" s="171" t="s">
        <v>4857</v>
      </c>
      <c r="E1068" s="97" t="s">
        <v>580</v>
      </c>
      <c r="F1068" s="172" t="b">
        <v>0</v>
      </c>
      <c r="G1068" s="172" t="b">
        <v>0</v>
      </c>
      <c r="H1068" s="172" t="b">
        <v>1</v>
      </c>
      <c r="I1068" s="172" t="b">
        <v>0</v>
      </c>
      <c r="J1068" s="172" t="b">
        <v>0</v>
      </c>
      <c r="K1068" s="172" t="b">
        <v>0</v>
      </c>
      <c r="L1068" s="172" t="b">
        <v>0</v>
      </c>
      <c r="M1068" s="172" t="b">
        <v>0</v>
      </c>
      <c r="N1068" s="97"/>
      <c r="O1068" s="97"/>
      <c r="P1068" s="97"/>
      <c r="Q1068" s="174"/>
    </row>
    <row r="1069" spans="8:8" ht="43.5" customHeight="1">
      <c r="A1069" s="172">
        <v>14.0</v>
      </c>
      <c r="B1069" s="182" t="s">
        <v>4815</v>
      </c>
      <c r="C1069" s="97"/>
      <c r="D1069" s="97"/>
      <c r="E1069" s="183"/>
      <c r="F1069" s="184">
        <f t="shared" si="39" ref="F1069:M1069">COUNTIF(F1051:F1058,TRUE)/COUNTA(F1051:F1058)</f>
        <v>0.0</v>
      </c>
      <c r="G1069" s="184">
        <f t="shared" si="39"/>
        <v>0.5</v>
      </c>
      <c r="H1069" s="184">
        <f t="shared" si="39"/>
        <v>0.625</v>
      </c>
      <c r="I1069" s="184">
        <f t="shared" si="39"/>
        <v>0.0</v>
      </c>
      <c r="J1069" s="184">
        <f t="shared" si="39"/>
        <v>0.0</v>
      </c>
      <c r="K1069" s="184">
        <f t="shared" si="39"/>
        <v>0.0</v>
      </c>
      <c r="L1069" s="184">
        <f t="shared" si="39"/>
        <v>0.0</v>
      </c>
      <c r="M1069" s="184">
        <f t="shared" si="39"/>
        <v>0.0</v>
      </c>
      <c r="N1069" s="97"/>
      <c r="O1069" s="97"/>
      <c r="P1069" s="97"/>
      <c r="Q1069" s="174"/>
    </row>
    <row r="1070" spans="8:8" ht="43.5" customHeight="1">
      <c r="A1070" s="189"/>
      <c r="B1070" s="162" t="s">
        <v>19</v>
      </c>
      <c r="C1070" s="163"/>
      <c r="D1070" s="162" t="s">
        <v>4530</v>
      </c>
      <c r="E1070" s="162" t="s">
        <v>22</v>
      </c>
      <c r="F1070" s="163" t="s">
        <v>4794</v>
      </c>
      <c r="G1070" s="163" t="s">
        <v>4795</v>
      </c>
      <c r="H1070" s="163" t="s">
        <v>4796</v>
      </c>
      <c r="I1070" s="163" t="s">
        <v>4797</v>
      </c>
      <c r="J1070" s="163" t="s">
        <v>4798</v>
      </c>
      <c r="K1070" s="163" t="s">
        <v>4799</v>
      </c>
      <c r="L1070" s="163" t="s">
        <v>4800</v>
      </c>
      <c r="M1070" s="163" t="s">
        <v>4801</v>
      </c>
      <c r="N1070" s="166" t="s">
        <v>4949</v>
      </c>
      <c r="O1070" s="167"/>
      <c r="P1070" s="168"/>
      <c r="Q1070" s="169"/>
    </row>
    <row r="1071" spans="8:8" ht="43.5" customHeight="1">
      <c r="A1071" s="172">
        <v>16.0</v>
      </c>
      <c r="B1071" s="171" t="s">
        <v>4289</v>
      </c>
      <c r="C1071" s="172">
        <v>251705.0</v>
      </c>
      <c r="D1071" s="171" t="s">
        <v>4843</v>
      </c>
      <c r="E1071" s="172" t="s">
        <v>781</v>
      </c>
      <c r="F1071" s="172" t="b">
        <v>1</v>
      </c>
      <c r="G1071" s="172" t="b">
        <v>1</v>
      </c>
      <c r="H1071" s="172" t="b">
        <v>1</v>
      </c>
      <c r="I1071" s="172" t="b">
        <v>0</v>
      </c>
      <c r="J1071" s="172" t="b">
        <v>0</v>
      </c>
      <c r="K1071" s="172" t="b">
        <v>0</v>
      </c>
      <c r="L1071" s="172" t="b">
        <v>0</v>
      </c>
      <c r="M1071" s="172" t="b">
        <v>0</v>
      </c>
      <c r="N1071" s="97" t="s">
        <v>4804</v>
      </c>
      <c r="O1071" s="189"/>
      <c r="P1071" s="189"/>
    </row>
    <row r="1072" spans="8:8" ht="43.5" customHeight="1">
      <c r="A1072" s="172">
        <v>17.0</v>
      </c>
      <c r="B1072" s="171" t="s">
        <v>4290</v>
      </c>
      <c r="C1072" s="172">
        <v>251479.0</v>
      </c>
      <c r="D1072" s="171" t="s">
        <v>4834</v>
      </c>
      <c r="E1072" s="172" t="s">
        <v>781</v>
      </c>
      <c r="F1072" s="172" t="b">
        <v>1</v>
      </c>
      <c r="G1072" s="172" t="b">
        <v>1</v>
      </c>
      <c r="H1072" s="172" t="b">
        <v>1</v>
      </c>
      <c r="I1072" s="172" t="b">
        <v>0</v>
      </c>
      <c r="J1072" s="172" t="b">
        <v>0</v>
      </c>
      <c r="K1072" s="172" t="b">
        <v>0</v>
      </c>
      <c r="L1072" s="172" t="b">
        <v>0</v>
      </c>
      <c r="M1072" s="172" t="b">
        <v>0</v>
      </c>
      <c r="N1072" s="175" t="s">
        <v>4805</v>
      </c>
      <c r="O1072" s="176" t="s">
        <v>4806</v>
      </c>
      <c r="P1072" s="97" t="s">
        <v>4807</v>
      </c>
      <c r="Q1072" s="174"/>
    </row>
    <row r="1073" spans="8:8" ht="43.5" customHeight="1">
      <c r="A1073" s="172">
        <v>18.0</v>
      </c>
      <c r="B1073" s="171" t="s">
        <v>3957</v>
      </c>
      <c r="C1073" s="172">
        <v>251489.0</v>
      </c>
      <c r="D1073" s="171" t="s">
        <v>4834</v>
      </c>
      <c r="E1073" s="172" t="s">
        <v>781</v>
      </c>
      <c r="F1073" s="172" t="b">
        <v>0</v>
      </c>
      <c r="G1073" s="172" t="b">
        <v>0</v>
      </c>
      <c r="H1073" s="172" t="b">
        <v>1</v>
      </c>
      <c r="I1073" s="172" t="b">
        <v>0</v>
      </c>
      <c r="J1073" s="172" t="b">
        <v>0</v>
      </c>
      <c r="K1073" s="172" t="b">
        <v>0</v>
      </c>
      <c r="L1073" s="172" t="b">
        <v>0</v>
      </c>
      <c r="M1073" s="172" t="b">
        <v>0</v>
      </c>
      <c r="N1073" s="97" t="s">
        <v>4794</v>
      </c>
      <c r="O1073" s="189"/>
      <c r="P1073" s="97"/>
      <c r="Q1073" s="174"/>
    </row>
    <row r="1074" spans="8:8" ht="43.5" customHeight="1">
      <c r="A1074" s="172">
        <v>19.0</v>
      </c>
      <c r="B1074" s="171" t="s">
        <v>4291</v>
      </c>
      <c r="C1074" s="172">
        <v>241172.0</v>
      </c>
      <c r="D1074" s="171" t="s">
        <v>4859</v>
      </c>
      <c r="E1074" s="172" t="s">
        <v>781</v>
      </c>
      <c r="F1074" s="172" t="b">
        <v>0</v>
      </c>
      <c r="G1074" s="189"/>
      <c r="H1074" s="189"/>
      <c r="I1074" s="172" t="b">
        <v>0</v>
      </c>
      <c r="J1074" s="172" t="b">
        <v>0</v>
      </c>
      <c r="K1074" s="172" t="b">
        <v>0</v>
      </c>
      <c r="L1074" s="172" t="b">
        <v>0</v>
      </c>
      <c r="M1074" s="172" t="b">
        <v>0</v>
      </c>
      <c r="N1074" s="97" t="s">
        <v>4795</v>
      </c>
      <c r="O1074" s="172" t="b">
        <v>1</v>
      </c>
      <c r="P1074" s="97"/>
      <c r="Q1074" s="174"/>
    </row>
    <row r="1075" spans="8:8" ht="43.5" customHeight="1">
      <c r="A1075" s="172">
        <v>20.0</v>
      </c>
      <c r="B1075" s="171" t="s">
        <v>4292</v>
      </c>
      <c r="C1075" s="172">
        <v>241197.0</v>
      </c>
      <c r="D1075" s="171" t="s">
        <v>4859</v>
      </c>
      <c r="E1075" s="172" t="s">
        <v>781</v>
      </c>
      <c r="F1075" s="172" t="b">
        <v>0</v>
      </c>
      <c r="G1075" s="172" t="b">
        <v>1</v>
      </c>
      <c r="H1075" s="172" t="b">
        <v>1</v>
      </c>
      <c r="I1075" s="172" t="b">
        <v>0</v>
      </c>
      <c r="J1075" s="172" t="b">
        <v>0</v>
      </c>
      <c r="K1075" s="172" t="b">
        <v>0</v>
      </c>
      <c r="L1075" s="172" t="b">
        <v>0</v>
      </c>
      <c r="M1075" s="172" t="b">
        <v>0</v>
      </c>
      <c r="N1075" s="97" t="s">
        <v>4796</v>
      </c>
      <c r="O1075" s="189" t="b">
        <v>1</v>
      </c>
      <c r="P1075" s="97"/>
      <c r="Q1075" s="174"/>
    </row>
    <row r="1076" spans="8:8" ht="43.5" customHeight="1">
      <c r="A1076" s="172">
        <v>21.0</v>
      </c>
      <c r="B1076" s="171" t="s">
        <v>4293</v>
      </c>
      <c r="C1076" s="172">
        <v>241202.0</v>
      </c>
      <c r="D1076" s="171" t="s">
        <v>4859</v>
      </c>
      <c r="E1076" s="172" t="s">
        <v>781</v>
      </c>
      <c r="F1076" s="172" t="b">
        <v>0</v>
      </c>
      <c r="G1076" s="172" t="b">
        <v>1</v>
      </c>
      <c r="H1076" s="172" t="b">
        <v>1</v>
      </c>
      <c r="I1076" s="172" t="b">
        <v>0</v>
      </c>
      <c r="J1076" s="172" t="b">
        <v>0</v>
      </c>
      <c r="K1076" s="172" t="b">
        <v>0</v>
      </c>
      <c r="L1076" s="172" t="b">
        <v>0</v>
      </c>
      <c r="M1076" s="172" t="b">
        <v>0</v>
      </c>
      <c r="N1076" s="97" t="s">
        <v>4797</v>
      </c>
      <c r="O1076" s="172" t="b">
        <v>0</v>
      </c>
      <c r="P1076" s="97"/>
      <c r="Q1076" s="174"/>
    </row>
    <row r="1077" spans="8:8" ht="43.5" customHeight="1">
      <c r="A1077" s="172">
        <v>22.0</v>
      </c>
      <c r="B1077" s="171" t="s">
        <v>4294</v>
      </c>
      <c r="C1077" s="172">
        <v>241203.0</v>
      </c>
      <c r="D1077" s="171" t="s">
        <v>4859</v>
      </c>
      <c r="E1077" s="172" t="s">
        <v>781</v>
      </c>
      <c r="F1077" s="172" t="b">
        <v>0</v>
      </c>
      <c r="G1077" s="172" t="b">
        <v>1</v>
      </c>
      <c r="H1077" s="172" t="b">
        <v>1</v>
      </c>
      <c r="I1077" s="172" t="b">
        <v>0</v>
      </c>
      <c r="J1077" s="172" t="b">
        <v>0</v>
      </c>
      <c r="K1077" s="172" t="b">
        <v>0</v>
      </c>
      <c r="L1077" s="172" t="b">
        <v>0</v>
      </c>
      <c r="M1077" s="172" t="b">
        <v>0</v>
      </c>
      <c r="N1077" s="97" t="s">
        <v>4798</v>
      </c>
      <c r="O1077" s="189"/>
      <c r="P1077" s="97"/>
      <c r="Q1077" s="174"/>
    </row>
    <row r="1078" spans="8:8" ht="43.5" customHeight="1">
      <c r="A1078" s="172">
        <v>23.0</v>
      </c>
      <c r="B1078" s="171" t="s">
        <v>3958</v>
      </c>
      <c r="C1078" s="172">
        <v>241206.0</v>
      </c>
      <c r="D1078" s="171" t="s">
        <v>4859</v>
      </c>
      <c r="E1078" s="172" t="s">
        <v>781</v>
      </c>
      <c r="F1078" s="172" t="b">
        <v>0</v>
      </c>
      <c r="G1078" s="172" t="b">
        <v>1</v>
      </c>
      <c r="H1078" s="189"/>
      <c r="I1078" s="172" t="b">
        <v>0</v>
      </c>
      <c r="J1078" s="172" t="b">
        <v>0</v>
      </c>
      <c r="K1078" s="172" t="b">
        <v>0</v>
      </c>
      <c r="L1078" s="172" t="b">
        <v>0</v>
      </c>
      <c r="M1078" s="172" t="b">
        <v>0</v>
      </c>
      <c r="N1078" s="97" t="s">
        <v>4799</v>
      </c>
      <c r="O1078" s="172" t="b">
        <v>0</v>
      </c>
      <c r="P1078" s="97"/>
      <c r="Q1078" s="174"/>
    </row>
    <row r="1079" spans="8:8" ht="43.5" customHeight="1">
      <c r="A1079" s="172">
        <v>24.0</v>
      </c>
      <c r="B1079" s="171" t="s">
        <v>4295</v>
      </c>
      <c r="C1079" s="172">
        <v>241208.0</v>
      </c>
      <c r="D1079" s="171" t="s">
        <v>4859</v>
      </c>
      <c r="E1079" s="172" t="s">
        <v>781</v>
      </c>
      <c r="F1079" s="172" t="b">
        <v>0</v>
      </c>
      <c r="G1079" s="172" t="b">
        <v>0</v>
      </c>
      <c r="H1079" s="189"/>
      <c r="I1079" s="172" t="b">
        <v>0</v>
      </c>
      <c r="J1079" s="172" t="b">
        <v>0</v>
      </c>
      <c r="K1079" s="172" t="b">
        <v>0</v>
      </c>
      <c r="L1079" s="172" t="b">
        <v>0</v>
      </c>
      <c r="M1079" s="172" t="b">
        <v>0</v>
      </c>
      <c r="N1079" s="97" t="s">
        <v>4800</v>
      </c>
      <c r="O1079" s="189"/>
      <c r="P1079" s="97"/>
      <c r="Q1079" s="174"/>
    </row>
    <row r="1080" spans="8:8" ht="43.5" customHeight="1">
      <c r="A1080" s="172">
        <v>25.0</v>
      </c>
      <c r="B1080" s="171" t="s">
        <v>4296</v>
      </c>
      <c r="C1080" s="172">
        <v>241217.0</v>
      </c>
      <c r="D1080" s="171" t="s">
        <v>4859</v>
      </c>
      <c r="E1080" s="172" t="s">
        <v>781</v>
      </c>
      <c r="F1080" s="172" t="b">
        <v>0</v>
      </c>
      <c r="G1080" s="172" t="b">
        <v>1</v>
      </c>
      <c r="H1080" s="172" t="b">
        <v>1</v>
      </c>
      <c r="I1080" s="172" t="b">
        <v>0</v>
      </c>
      <c r="J1080" s="172" t="b">
        <v>0</v>
      </c>
      <c r="K1080" s="172" t="b">
        <v>0</v>
      </c>
      <c r="L1080" s="172" t="b">
        <v>0</v>
      </c>
      <c r="M1080" s="172" t="b">
        <v>0</v>
      </c>
      <c r="N1080" s="97" t="s">
        <v>4801</v>
      </c>
      <c r="O1080" s="172" t="b">
        <v>0</v>
      </c>
      <c r="P1080" s="97"/>
      <c r="Q1080" s="174"/>
    </row>
    <row r="1081" spans="8:8" ht="43.5" customHeight="1">
      <c r="A1081" s="97"/>
      <c r="B1081" s="171" t="s">
        <v>4297</v>
      </c>
      <c r="C1081" s="172">
        <v>241223.0</v>
      </c>
      <c r="D1081" s="171" t="s">
        <v>4859</v>
      </c>
      <c r="E1081" s="172" t="s">
        <v>781</v>
      </c>
      <c r="F1081" s="172" t="b">
        <v>0</v>
      </c>
      <c r="G1081" s="172" t="b">
        <v>0</v>
      </c>
      <c r="H1081" s="172" t="b">
        <v>0</v>
      </c>
      <c r="I1081" s="172" t="b">
        <v>0</v>
      </c>
      <c r="J1081" s="172" t="b">
        <v>0</v>
      </c>
      <c r="K1081" s="172" t="b">
        <v>0</v>
      </c>
      <c r="L1081" s="172" t="b">
        <v>0</v>
      </c>
      <c r="M1081" s="172" t="b">
        <v>0</v>
      </c>
      <c r="N1081" s="97"/>
      <c r="O1081" s="189"/>
      <c r="P1081" s="97"/>
      <c r="Q1081" s="174"/>
    </row>
    <row r="1082" spans="8:8" ht="43.5" customHeight="1">
      <c r="A1082" s="162" t="s">
        <v>18</v>
      </c>
      <c r="B1082" s="171" t="s">
        <v>4298</v>
      </c>
      <c r="C1082" s="172">
        <v>241225.0</v>
      </c>
      <c r="D1082" s="171" t="s">
        <v>4859</v>
      </c>
      <c r="E1082" s="172" t="s">
        <v>781</v>
      </c>
      <c r="F1082" s="172" t="b">
        <v>0</v>
      </c>
      <c r="G1082" s="172" t="b">
        <v>0</v>
      </c>
      <c r="H1082" s="189"/>
      <c r="I1082" s="172" t="b">
        <v>0</v>
      </c>
      <c r="J1082" s="172" t="b">
        <v>0</v>
      </c>
      <c r="K1082" s="172" t="b">
        <v>0</v>
      </c>
      <c r="L1082" s="172" t="b">
        <v>0</v>
      </c>
      <c r="M1082" s="172" t="b">
        <v>0</v>
      </c>
      <c r="N1082" s="97"/>
      <c r="O1082" s="97"/>
      <c r="P1082" s="97"/>
      <c r="Q1082" s="174"/>
    </row>
    <row r="1083" spans="8:8" ht="43.5" customHeight="1">
      <c r="A1083" s="172">
        <v>1.0</v>
      </c>
      <c r="B1083" s="171" t="s">
        <v>4299</v>
      </c>
      <c r="C1083" s="172">
        <v>241227.0</v>
      </c>
      <c r="D1083" s="171" t="s">
        <v>4859</v>
      </c>
      <c r="E1083" s="172" t="s">
        <v>781</v>
      </c>
      <c r="F1083" s="172" t="b">
        <v>0</v>
      </c>
      <c r="G1083" s="172" t="b">
        <v>1</v>
      </c>
      <c r="H1083" s="172" t="b">
        <v>1</v>
      </c>
      <c r="I1083" s="172" t="b">
        <v>0</v>
      </c>
      <c r="J1083" s="172" t="b">
        <v>0</v>
      </c>
      <c r="K1083" s="172" t="b">
        <v>0</v>
      </c>
      <c r="L1083" s="172" t="b">
        <v>0</v>
      </c>
      <c r="M1083" s="172" t="b">
        <v>0</v>
      </c>
      <c r="N1083" s="97"/>
      <c r="O1083" s="97"/>
      <c r="P1083" s="97"/>
      <c r="Q1083" s="174"/>
    </row>
    <row r="1084" spans="8:8" ht="43.5" customHeight="1">
      <c r="A1084" s="189"/>
      <c r="B1084" s="171" t="s">
        <v>4300</v>
      </c>
      <c r="C1084" s="172">
        <v>241228.0</v>
      </c>
      <c r="D1084" s="171" t="s">
        <v>4859</v>
      </c>
      <c r="E1084" s="172" t="s">
        <v>781</v>
      </c>
      <c r="F1084" s="172" t="b">
        <v>0</v>
      </c>
      <c r="G1084" s="172" t="b">
        <v>1</v>
      </c>
      <c r="H1084" s="172" t="b">
        <v>1</v>
      </c>
      <c r="I1084" s="172" t="b">
        <v>0</v>
      </c>
      <c r="J1084" s="172" t="b">
        <v>0</v>
      </c>
      <c r="K1084" s="172" t="b">
        <v>0</v>
      </c>
      <c r="L1084" s="172" t="b">
        <v>0</v>
      </c>
      <c r="M1084" s="172" t="b">
        <v>0</v>
      </c>
      <c r="N1084" s="97"/>
      <c r="O1084" s="97"/>
      <c r="P1084" s="97"/>
      <c r="Q1084" s="174"/>
    </row>
    <row r="1085" spans="8:8" ht="43.5" customHeight="1">
      <c r="A1085" s="172">
        <v>3.0</v>
      </c>
      <c r="B1085" s="171" t="s">
        <v>4301</v>
      </c>
      <c r="C1085" s="172">
        <v>241229.0</v>
      </c>
      <c r="D1085" s="171" t="s">
        <v>4859</v>
      </c>
      <c r="E1085" s="172" t="s">
        <v>781</v>
      </c>
      <c r="F1085" s="172" t="b">
        <v>0</v>
      </c>
      <c r="G1085" s="172" t="b">
        <v>1</v>
      </c>
      <c r="H1085" s="189"/>
      <c r="I1085" s="172" t="b">
        <v>0</v>
      </c>
      <c r="J1085" s="172" t="b">
        <v>0</v>
      </c>
      <c r="K1085" s="172" t="b">
        <v>0</v>
      </c>
      <c r="L1085" s="172" t="b">
        <v>0</v>
      </c>
      <c r="M1085" s="172" t="b">
        <v>0</v>
      </c>
      <c r="N1085" s="97"/>
      <c r="O1085" s="97"/>
      <c r="P1085" s="97"/>
      <c r="Q1085" s="174"/>
    </row>
    <row r="1086" spans="8:8" ht="43.5" customHeight="1">
      <c r="A1086" s="172">
        <v>4.0</v>
      </c>
      <c r="B1086" s="171" t="s">
        <v>4302</v>
      </c>
      <c r="C1086" s="172">
        <v>241230.0</v>
      </c>
      <c r="D1086" s="171" t="s">
        <v>4859</v>
      </c>
      <c r="E1086" s="172" t="s">
        <v>781</v>
      </c>
      <c r="F1086" s="172" t="b">
        <v>1</v>
      </c>
      <c r="G1086" s="172" t="b">
        <v>1</v>
      </c>
      <c r="H1086" s="189"/>
      <c r="I1086" s="172" t="b">
        <v>0</v>
      </c>
      <c r="J1086" s="172" t="b">
        <v>0</v>
      </c>
      <c r="K1086" s="172" t="b">
        <v>0</v>
      </c>
      <c r="L1086" s="172" t="b">
        <v>0</v>
      </c>
      <c r="M1086" s="172" t="b">
        <v>0</v>
      </c>
      <c r="N1086" s="97"/>
      <c r="O1086" s="97"/>
      <c r="P1086" s="97"/>
      <c r="Q1086" s="174"/>
    </row>
    <row r="1087" spans="8:8" ht="43.5" customHeight="1">
      <c r="A1087" s="172">
        <v>5.0</v>
      </c>
      <c r="B1087" s="171" t="s">
        <v>4303</v>
      </c>
      <c r="C1087" s="172">
        <v>241231.0</v>
      </c>
      <c r="D1087" s="171" t="s">
        <v>4859</v>
      </c>
      <c r="E1087" s="172" t="s">
        <v>781</v>
      </c>
      <c r="F1087" s="172" t="b">
        <v>1</v>
      </c>
      <c r="G1087" s="172" t="b">
        <v>1</v>
      </c>
      <c r="H1087" s="172" t="b">
        <v>1</v>
      </c>
      <c r="I1087" s="172" t="b">
        <v>0</v>
      </c>
      <c r="J1087" s="172" t="b">
        <v>0</v>
      </c>
      <c r="K1087" s="172" t="b">
        <v>0</v>
      </c>
      <c r="L1087" s="172" t="b">
        <v>0</v>
      </c>
      <c r="M1087" s="172" t="b">
        <v>0</v>
      </c>
      <c r="N1087" s="97"/>
      <c r="O1087" s="97"/>
      <c r="P1087" s="97"/>
      <c r="Q1087" s="174"/>
    </row>
    <row r="1088" spans="8:8" ht="43.5" customHeight="1">
      <c r="A1088" s="172">
        <v>6.0</v>
      </c>
      <c r="B1088" s="171" t="s">
        <v>4304</v>
      </c>
      <c r="C1088" s="172">
        <v>241240.0</v>
      </c>
      <c r="D1088" s="171" t="s">
        <v>4859</v>
      </c>
      <c r="E1088" s="172" t="s">
        <v>781</v>
      </c>
      <c r="F1088" s="172" t="b">
        <v>0</v>
      </c>
      <c r="G1088" s="172" t="b">
        <v>1</v>
      </c>
      <c r="H1088" s="172" t="b">
        <v>0</v>
      </c>
      <c r="I1088" s="172" t="b">
        <v>0</v>
      </c>
      <c r="J1088" s="172" t="b">
        <v>0</v>
      </c>
      <c r="K1088" s="172" t="b">
        <v>0</v>
      </c>
      <c r="L1088" s="172" t="b">
        <v>0</v>
      </c>
      <c r="M1088" s="172" t="b">
        <v>0</v>
      </c>
      <c r="N1088" s="97"/>
      <c r="O1088" s="97"/>
      <c r="P1088" s="97"/>
      <c r="Q1088" s="174"/>
    </row>
    <row r="1089" spans="8:8" ht="43.5" customHeight="1">
      <c r="A1089" s="189"/>
      <c r="B1089" s="171" t="s">
        <v>4305</v>
      </c>
      <c r="C1089" s="172">
        <v>241245.0</v>
      </c>
      <c r="D1089" s="171" t="s">
        <v>4859</v>
      </c>
      <c r="E1089" s="172" t="s">
        <v>781</v>
      </c>
      <c r="F1089" s="172" t="b">
        <v>0</v>
      </c>
      <c r="G1089" s="172" t="b">
        <v>1</v>
      </c>
      <c r="H1089" s="189"/>
      <c r="I1089" s="172" t="b">
        <v>0</v>
      </c>
      <c r="J1089" s="172" t="b">
        <v>0</v>
      </c>
      <c r="K1089" s="172" t="b">
        <v>0</v>
      </c>
      <c r="L1089" s="172" t="b">
        <v>0</v>
      </c>
      <c r="M1089" s="172" t="b">
        <v>0</v>
      </c>
      <c r="N1089" s="97"/>
      <c r="O1089" s="97"/>
      <c r="P1089" s="97"/>
      <c r="Q1089" s="174"/>
    </row>
    <row r="1090" spans="8:8" ht="43.5" customHeight="1">
      <c r="A1090" s="172">
        <v>8.0</v>
      </c>
      <c r="B1090" s="171" t="s">
        <v>4306</v>
      </c>
      <c r="C1090" s="172">
        <v>241246.0</v>
      </c>
      <c r="D1090" s="171" t="s">
        <v>4859</v>
      </c>
      <c r="E1090" s="172" t="s">
        <v>781</v>
      </c>
      <c r="F1090" s="172" t="b">
        <v>0</v>
      </c>
      <c r="G1090" s="172" t="b">
        <v>1</v>
      </c>
      <c r="H1090" s="172" t="b">
        <v>1</v>
      </c>
      <c r="I1090" s="172" t="b">
        <v>0</v>
      </c>
      <c r="J1090" s="172" t="b">
        <v>0</v>
      </c>
      <c r="K1090" s="172" t="b">
        <v>0</v>
      </c>
      <c r="L1090" s="172" t="b">
        <v>0</v>
      </c>
      <c r="M1090" s="172" t="b">
        <v>0</v>
      </c>
      <c r="N1090" s="97"/>
      <c r="O1090" s="97"/>
      <c r="P1090" s="97"/>
      <c r="Q1090" s="174"/>
    </row>
    <row r="1091" spans="8:8" ht="43.5" customHeight="1">
      <c r="A1091" s="172">
        <v>9.0</v>
      </c>
      <c r="B1091" s="171" t="s">
        <v>4307</v>
      </c>
      <c r="C1091" s="172">
        <v>241262.0</v>
      </c>
      <c r="D1091" s="171" t="s">
        <v>4859</v>
      </c>
      <c r="E1091" s="172" t="s">
        <v>781</v>
      </c>
      <c r="F1091" s="172" t="b">
        <v>0</v>
      </c>
      <c r="G1091" s="172" t="b">
        <v>1</v>
      </c>
      <c r="H1091" s="172" t="b">
        <v>1</v>
      </c>
      <c r="I1091" s="172" t="b">
        <v>0</v>
      </c>
      <c r="J1091" s="172" t="b">
        <v>0</v>
      </c>
      <c r="K1091" s="172" t="b">
        <v>0</v>
      </c>
      <c r="L1091" s="172" t="b">
        <v>0</v>
      </c>
      <c r="M1091" s="172" t="b">
        <v>0</v>
      </c>
      <c r="N1091" s="97"/>
      <c r="O1091" s="97"/>
      <c r="P1091" s="97"/>
      <c r="Q1091" s="174"/>
    </row>
    <row r="1092" spans="8:8" ht="43.5" customHeight="1">
      <c r="A1092" s="172">
        <v>10.0</v>
      </c>
      <c r="B1092" s="171" t="s">
        <v>4308</v>
      </c>
      <c r="C1092" s="172">
        <v>241265.0</v>
      </c>
      <c r="D1092" s="171" t="s">
        <v>4859</v>
      </c>
      <c r="E1092" s="172" t="s">
        <v>781</v>
      </c>
      <c r="F1092" s="172" t="b">
        <v>0</v>
      </c>
      <c r="G1092" s="172" t="b">
        <v>1</v>
      </c>
      <c r="H1092" s="189"/>
      <c r="I1092" s="172" t="b">
        <v>0</v>
      </c>
      <c r="J1092" s="172" t="b">
        <v>0</v>
      </c>
      <c r="K1092" s="172" t="b">
        <v>0</v>
      </c>
      <c r="L1092" s="172" t="b">
        <v>0</v>
      </c>
      <c r="M1092" s="172" t="b">
        <v>0</v>
      </c>
      <c r="N1092" s="97"/>
      <c r="O1092" s="97"/>
      <c r="P1092" s="97"/>
      <c r="Q1092" s="174"/>
    </row>
    <row r="1093" spans="8:8" ht="43.5" customHeight="1">
      <c r="A1093" s="172">
        <v>11.0</v>
      </c>
      <c r="B1093" s="181" t="s">
        <v>1426</v>
      </c>
      <c r="C1093" s="97">
        <v>240643.0</v>
      </c>
      <c r="D1093" s="171" t="s">
        <v>4883</v>
      </c>
      <c r="E1093" s="97" t="s">
        <v>781</v>
      </c>
      <c r="F1093" s="172" t="b">
        <v>0</v>
      </c>
      <c r="G1093" s="172" t="b">
        <v>1</v>
      </c>
      <c r="H1093" s="172" t="b">
        <v>0</v>
      </c>
      <c r="I1093" s="172" t="b">
        <v>0</v>
      </c>
      <c r="J1093" s="172" t="b">
        <v>0</v>
      </c>
      <c r="K1093" s="172" t="b">
        <v>0</v>
      </c>
      <c r="L1093" s="172" t="b">
        <v>0</v>
      </c>
      <c r="M1093" s="172" t="b">
        <v>0</v>
      </c>
      <c r="N1093" s="97"/>
      <c r="O1093" s="97"/>
      <c r="P1093" s="97"/>
      <c r="Q1093" s="174"/>
    </row>
    <row r="1094" spans="8:8" ht="43.5" customHeight="1">
      <c r="A1094" s="172">
        <v>12.0</v>
      </c>
      <c r="B1094" s="171" t="s">
        <v>4309</v>
      </c>
      <c r="C1094" s="172">
        <v>241280.0</v>
      </c>
      <c r="D1094" s="171" t="s">
        <v>4859</v>
      </c>
      <c r="E1094" s="172" t="s">
        <v>4310</v>
      </c>
      <c r="F1094" s="172" t="b">
        <v>0</v>
      </c>
      <c r="G1094" s="172" t="b">
        <v>1</v>
      </c>
      <c r="H1094" s="172" t="b">
        <v>1</v>
      </c>
      <c r="I1094" s="172" t="b">
        <v>0</v>
      </c>
      <c r="J1094" s="172" t="b">
        <v>0</v>
      </c>
      <c r="K1094" s="172" t="b">
        <v>0</v>
      </c>
      <c r="L1094" s="172" t="b">
        <v>0</v>
      </c>
      <c r="M1094" s="172" t="b">
        <v>0</v>
      </c>
      <c r="N1094" s="97"/>
      <c r="O1094" s="97"/>
      <c r="P1094" s="97"/>
      <c r="Q1094" s="174"/>
    </row>
    <row r="1095" spans="8:8" ht="43.5" customHeight="1">
      <c r="A1095" s="172">
        <v>13.0</v>
      </c>
      <c r="B1095" s="171" t="s">
        <v>4311</v>
      </c>
      <c r="C1095" s="172">
        <v>252338.0</v>
      </c>
      <c r="D1095" s="171" t="s">
        <v>104</v>
      </c>
      <c r="E1095" s="172" t="s">
        <v>781</v>
      </c>
      <c r="F1095" s="172" t="b">
        <v>1</v>
      </c>
      <c r="G1095" s="172" t="b">
        <v>1</v>
      </c>
      <c r="H1095" s="172" t="b">
        <v>1</v>
      </c>
      <c r="I1095" s="172" t="b">
        <v>0</v>
      </c>
      <c r="J1095" s="172" t="b">
        <v>0</v>
      </c>
      <c r="K1095" s="172" t="b">
        <v>0</v>
      </c>
      <c r="L1095" s="172" t="b">
        <v>0</v>
      </c>
      <c r="M1095" s="172" t="b">
        <v>0</v>
      </c>
      <c r="N1095" s="97"/>
      <c r="O1095" s="97"/>
      <c r="P1095" s="97"/>
      <c r="Q1095" s="174"/>
    </row>
    <row r="1096" spans="8:8" ht="43.5" customHeight="1">
      <c r="A1096" s="172">
        <v>14.0</v>
      </c>
      <c r="B1096" s="171" t="s">
        <v>4312</v>
      </c>
      <c r="C1096" s="172">
        <v>252057.0</v>
      </c>
      <c r="D1096" s="171" t="s">
        <v>104</v>
      </c>
      <c r="E1096" s="172" t="s">
        <v>781</v>
      </c>
      <c r="F1096" s="172" t="b">
        <v>0</v>
      </c>
      <c r="G1096" s="172" t="b">
        <v>1</v>
      </c>
      <c r="H1096" s="172" t="b">
        <v>0</v>
      </c>
      <c r="I1096" s="172" t="b">
        <v>0</v>
      </c>
      <c r="J1096" s="172" t="b">
        <v>0</v>
      </c>
      <c r="K1096" s="172" t="b">
        <v>0</v>
      </c>
      <c r="L1096" s="172" t="b">
        <v>0</v>
      </c>
      <c r="M1096" s="172" t="b">
        <v>0</v>
      </c>
      <c r="N1096" s="97"/>
      <c r="O1096" s="97"/>
      <c r="P1096" s="97"/>
      <c r="Q1096" s="174"/>
    </row>
    <row r="1097" spans="8:8" ht="43.5" customHeight="1">
      <c r="A1097" s="172">
        <v>15.0</v>
      </c>
      <c r="B1097" s="171" t="s">
        <v>4313</v>
      </c>
      <c r="C1097" s="172">
        <v>252340.0</v>
      </c>
      <c r="D1097" s="171" t="s">
        <v>104</v>
      </c>
      <c r="E1097" s="172" t="s">
        <v>781</v>
      </c>
      <c r="F1097" s="172" t="b">
        <v>0</v>
      </c>
      <c r="G1097" s="172" t="b">
        <v>1</v>
      </c>
      <c r="H1097" s="189"/>
      <c r="I1097" s="172" t="b">
        <v>0</v>
      </c>
      <c r="J1097" s="172" t="b">
        <v>0</v>
      </c>
      <c r="K1097" s="172" t="b">
        <v>0</v>
      </c>
      <c r="L1097" s="172" t="b">
        <v>0</v>
      </c>
      <c r="M1097" s="172" t="b">
        <v>0</v>
      </c>
      <c r="N1097" s="97"/>
      <c r="O1097" s="97"/>
      <c r="P1097" s="97"/>
      <c r="Q1097" s="174"/>
    </row>
    <row r="1098" spans="8:8" ht="43.5" customHeight="1">
      <c r="A1098" s="172">
        <v>16.0</v>
      </c>
      <c r="B1098" s="171" t="s">
        <v>4314</v>
      </c>
      <c r="C1098" s="172">
        <v>241634.0</v>
      </c>
      <c r="D1098" s="171" t="s">
        <v>4857</v>
      </c>
      <c r="E1098" s="172" t="s">
        <v>781</v>
      </c>
      <c r="F1098" s="172" t="b">
        <v>0</v>
      </c>
      <c r="G1098" s="189"/>
      <c r="H1098" s="172" t="b">
        <v>1</v>
      </c>
      <c r="I1098" s="172" t="b">
        <v>0</v>
      </c>
      <c r="J1098" s="172" t="b">
        <v>0</v>
      </c>
      <c r="K1098" s="172" t="b">
        <v>0</v>
      </c>
      <c r="L1098" s="172" t="b">
        <v>0</v>
      </c>
      <c r="M1098" s="172" t="b">
        <v>0</v>
      </c>
      <c r="N1098" s="97"/>
      <c r="O1098" s="97"/>
      <c r="P1098" s="97"/>
      <c r="Q1098" s="174"/>
    </row>
    <row r="1099" spans="8:8" ht="43.5" customHeight="1">
      <c r="A1099" s="172">
        <v>17.0</v>
      </c>
      <c r="B1099" s="171" t="s">
        <v>4315</v>
      </c>
      <c r="C1099" s="172">
        <v>241600.0</v>
      </c>
      <c r="D1099" s="171" t="s">
        <v>4857</v>
      </c>
      <c r="E1099" s="172" t="s">
        <v>781</v>
      </c>
      <c r="F1099" s="172" t="b">
        <v>0</v>
      </c>
      <c r="G1099" s="172" t="b">
        <v>1</v>
      </c>
      <c r="H1099" s="172" t="b">
        <v>1</v>
      </c>
      <c r="I1099" s="172" t="b">
        <v>0</v>
      </c>
      <c r="J1099" s="172" t="b">
        <v>0</v>
      </c>
      <c r="K1099" s="172" t="b">
        <v>0</v>
      </c>
      <c r="L1099" s="172" t="b">
        <v>0</v>
      </c>
      <c r="M1099" s="172" t="b">
        <v>0</v>
      </c>
      <c r="N1099" s="97"/>
      <c r="O1099" s="97"/>
      <c r="P1099" s="97"/>
      <c r="Q1099" s="174"/>
    </row>
    <row r="1100" spans="8:8" ht="43.5" customHeight="1">
      <c r="A1100" s="172">
        <v>18.0</v>
      </c>
      <c r="B1100" s="171" t="s">
        <v>4316</v>
      </c>
      <c r="C1100" s="172">
        <v>241820.0</v>
      </c>
      <c r="D1100" s="171" t="s">
        <v>4857</v>
      </c>
      <c r="E1100" s="172" t="s">
        <v>781</v>
      </c>
      <c r="F1100" s="172" t="b">
        <v>0</v>
      </c>
      <c r="G1100" s="172" t="b">
        <v>0</v>
      </c>
      <c r="H1100" s="172" t="b">
        <v>1</v>
      </c>
      <c r="I1100" s="172" t="b">
        <v>0</v>
      </c>
      <c r="J1100" s="172" t="b">
        <v>0</v>
      </c>
      <c r="K1100" s="172" t="b">
        <v>0</v>
      </c>
      <c r="L1100" s="172" t="b">
        <v>0</v>
      </c>
      <c r="M1100" s="172" t="b">
        <v>0</v>
      </c>
      <c r="N1100" s="97"/>
      <c r="O1100" s="97"/>
      <c r="P1100" s="97"/>
      <c r="Q1100" s="174"/>
    </row>
    <row r="1101" spans="8:8" ht="43.5" customHeight="1">
      <c r="A1101" s="172">
        <v>19.0</v>
      </c>
      <c r="B1101" s="171" t="s">
        <v>4317</v>
      </c>
      <c r="C1101" s="172">
        <v>241853.0</v>
      </c>
      <c r="D1101" s="171" t="s">
        <v>4857</v>
      </c>
      <c r="E1101" s="172" t="s">
        <v>781</v>
      </c>
      <c r="F1101" s="172" t="b">
        <v>0</v>
      </c>
      <c r="G1101" s="172" t="b">
        <v>0</v>
      </c>
      <c r="H1101" s="172" t="b">
        <v>1</v>
      </c>
      <c r="I1101" s="172" t="b">
        <v>0</v>
      </c>
      <c r="J1101" s="172" t="b">
        <v>0</v>
      </c>
      <c r="K1101" s="172" t="b">
        <v>0</v>
      </c>
      <c r="L1101" s="172" t="b">
        <v>0</v>
      </c>
      <c r="M1101" s="172" t="b">
        <v>0</v>
      </c>
      <c r="N1101" s="97"/>
      <c r="O1101" s="97"/>
      <c r="P1101" s="97"/>
      <c r="Q1101" s="174"/>
    </row>
    <row r="1102" spans="8:8" ht="43.5" customHeight="1">
      <c r="A1102" s="172">
        <v>20.0</v>
      </c>
      <c r="B1102" s="171" t="s">
        <v>4375</v>
      </c>
      <c r="C1102" s="172">
        <v>241661.0</v>
      </c>
      <c r="D1102" s="171" t="s">
        <v>4857</v>
      </c>
      <c r="E1102" s="172" t="s">
        <v>781</v>
      </c>
      <c r="F1102" s="172" t="b">
        <v>1</v>
      </c>
      <c r="G1102" s="172" t="b">
        <v>0</v>
      </c>
      <c r="H1102" s="172" t="b">
        <v>1</v>
      </c>
      <c r="I1102" s="172" t="b">
        <v>0</v>
      </c>
      <c r="J1102" s="172" t="b">
        <v>0</v>
      </c>
      <c r="K1102" s="172" t="b">
        <v>0</v>
      </c>
      <c r="L1102" s="172" t="b">
        <v>0</v>
      </c>
      <c r="M1102" s="172" t="b">
        <v>0</v>
      </c>
      <c r="N1102" s="97"/>
      <c r="O1102" s="97"/>
      <c r="P1102" s="97"/>
      <c r="Q1102" s="174"/>
    </row>
    <row r="1103" spans="8:8" ht="43.5" customHeight="1">
      <c r="A1103" s="172">
        <v>21.0</v>
      </c>
      <c r="B1103" s="171" t="s">
        <v>4318</v>
      </c>
      <c r="C1103" s="172">
        <v>241663.0</v>
      </c>
      <c r="D1103" s="171" t="s">
        <v>4857</v>
      </c>
      <c r="E1103" s="172" t="s">
        <v>781</v>
      </c>
      <c r="F1103" s="172" t="b">
        <v>0</v>
      </c>
      <c r="G1103" s="172" t="b">
        <v>1</v>
      </c>
      <c r="H1103" s="172" t="b">
        <v>1</v>
      </c>
      <c r="I1103" s="172" t="b">
        <v>0</v>
      </c>
      <c r="J1103" s="172" t="b">
        <v>0</v>
      </c>
      <c r="K1103" s="172" t="b">
        <v>0</v>
      </c>
      <c r="L1103" s="172" t="b">
        <v>0</v>
      </c>
      <c r="M1103" s="172" t="b">
        <v>0</v>
      </c>
      <c r="N1103" s="97"/>
      <c r="O1103" s="97"/>
      <c r="P1103" s="97"/>
      <c r="Q1103" s="174"/>
    </row>
    <row r="1104" spans="8:8" ht="43.5" customHeight="1">
      <c r="A1104" s="172">
        <v>17.0</v>
      </c>
      <c r="B1104" s="171" t="s">
        <v>4319</v>
      </c>
      <c r="C1104" s="172">
        <v>241398.0</v>
      </c>
      <c r="D1104" s="171" t="s">
        <v>1369</v>
      </c>
      <c r="E1104" s="172" t="s">
        <v>781</v>
      </c>
      <c r="F1104" s="172" t="b">
        <v>0</v>
      </c>
      <c r="G1104" s="172" t="b">
        <v>0</v>
      </c>
      <c r="H1104" s="172" t="b">
        <v>1</v>
      </c>
      <c r="I1104" s="172" t="b">
        <v>0</v>
      </c>
      <c r="J1104" s="172" t="b">
        <v>0</v>
      </c>
      <c r="K1104" s="172" t="b">
        <v>0</v>
      </c>
      <c r="L1104" s="172" t="b">
        <v>0</v>
      </c>
      <c r="M1104" s="172" t="b">
        <v>0</v>
      </c>
      <c r="N1104" s="216"/>
      <c r="O1104" s="216"/>
      <c r="P1104" s="216"/>
      <c r="Q1104" s="217"/>
    </row>
    <row r="1105" spans="8:8" ht="43.5" customHeight="1">
      <c r="A1105" s="170">
        <v>15.0</v>
      </c>
      <c r="B1105" s="171" t="s">
        <v>4320</v>
      </c>
      <c r="C1105" s="172">
        <v>241635.0</v>
      </c>
      <c r="D1105" s="171" t="s">
        <v>4857</v>
      </c>
      <c r="E1105" s="172" t="s">
        <v>781</v>
      </c>
      <c r="F1105" s="172" t="b">
        <v>0</v>
      </c>
      <c r="G1105" s="172" t="b">
        <v>1</v>
      </c>
      <c r="H1105" s="172" t="b">
        <v>1</v>
      </c>
      <c r="I1105" s="172" t="b">
        <v>0</v>
      </c>
      <c r="J1105" s="172" t="b">
        <v>0</v>
      </c>
      <c r="K1105" s="172" t="b">
        <v>0</v>
      </c>
      <c r="L1105" s="172" t="b">
        <v>0</v>
      </c>
      <c r="M1105" s="172" t="b">
        <v>0</v>
      </c>
      <c r="N1105" s="97"/>
      <c r="O1105" s="97"/>
      <c r="P1105" s="97"/>
      <c r="Q1105" s="174"/>
    </row>
    <row r="1106" spans="8:8" ht="43.5" customHeight="1">
      <c r="A1106" s="170">
        <v>13.0</v>
      </c>
      <c r="B1106" s="171" t="s">
        <v>4321</v>
      </c>
      <c r="C1106" s="172">
        <v>241627.0</v>
      </c>
      <c r="D1106" s="171" t="s">
        <v>4857</v>
      </c>
      <c r="E1106" s="172" t="s">
        <v>781</v>
      </c>
      <c r="F1106" s="172" t="b">
        <v>0</v>
      </c>
      <c r="G1106" s="172" t="b">
        <v>1</v>
      </c>
      <c r="H1106" s="172" t="b">
        <v>1</v>
      </c>
      <c r="I1106" s="172" t="b">
        <v>0</v>
      </c>
      <c r="J1106" s="172" t="b">
        <v>0</v>
      </c>
      <c r="K1106" s="172" t="b">
        <v>0</v>
      </c>
      <c r="L1106" s="172" t="b">
        <v>0</v>
      </c>
      <c r="M1106" s="172" t="b">
        <v>0</v>
      </c>
      <c r="N1106" s="189"/>
      <c r="O1106" s="189"/>
      <c r="P1106" s="189"/>
    </row>
    <row r="1107" spans="8:8" ht="43.5" customHeight="1">
      <c r="A1107" s="172">
        <v>22.0</v>
      </c>
      <c r="B1107" s="182" t="s">
        <v>4815</v>
      </c>
      <c r="C1107" s="97"/>
      <c r="D1107" s="97"/>
      <c r="E1107" s="183"/>
      <c r="F1107" s="184">
        <f t="shared" si="40" ref="F1107:G1107">COUNTIF(F1074:F1084,TRUE)/COUNTA(F1074:F1084)</f>
        <v>0.0</v>
      </c>
      <c r="G1107" s="184">
        <f t="shared" si="40"/>
        <v>0.7</v>
      </c>
      <c r="H1107" s="189"/>
      <c r="I1107" s="184">
        <f t="shared" si="41" ref="I1107:M1107">COUNTIF(I1074:I1084,TRUE)/COUNTA(I1074:I1084)</f>
        <v>0.0</v>
      </c>
      <c r="J1107" s="184">
        <f t="shared" si="41"/>
        <v>0.0</v>
      </c>
      <c r="K1107" s="184">
        <f t="shared" si="41"/>
        <v>0.0</v>
      </c>
      <c r="L1107" s="184">
        <f t="shared" si="41"/>
        <v>0.0</v>
      </c>
      <c r="M1107" s="184">
        <f t="shared" si="41"/>
        <v>0.0</v>
      </c>
      <c r="N1107" s="97"/>
      <c r="O1107" s="97"/>
      <c r="P1107" s="97"/>
      <c r="Q1107" s="174"/>
    </row>
    <row r="1108" spans="8:8" ht="43.5" customHeight="1">
      <c r="A1108" s="172">
        <v>23.0</v>
      </c>
      <c r="B1108" s="162" t="s">
        <v>19</v>
      </c>
      <c r="C1108" s="163"/>
      <c r="D1108" s="162" t="s">
        <v>4530</v>
      </c>
      <c r="E1108" s="162" t="s">
        <v>22</v>
      </c>
      <c r="F1108" s="163" t="s">
        <v>4794</v>
      </c>
      <c r="G1108" s="163" t="s">
        <v>4795</v>
      </c>
      <c r="H1108" s="163" t="s">
        <v>4796</v>
      </c>
      <c r="I1108" s="163" t="s">
        <v>4797</v>
      </c>
      <c r="J1108" s="163" t="s">
        <v>4798</v>
      </c>
      <c r="K1108" s="163" t="s">
        <v>4799</v>
      </c>
      <c r="L1108" s="163" t="s">
        <v>4800</v>
      </c>
      <c r="M1108" s="163" t="s">
        <v>4801</v>
      </c>
      <c r="N1108" s="166" t="s">
        <v>4950</v>
      </c>
      <c r="O1108" s="167"/>
      <c r="P1108" s="168"/>
      <c r="Q1108" s="169"/>
    </row>
    <row r="1109" spans="8:8" ht="43.5" customHeight="1">
      <c r="A1109" s="172">
        <v>24.0</v>
      </c>
      <c r="B1109" s="171" t="s">
        <v>4337</v>
      </c>
      <c r="C1109" s="172">
        <v>241266.0</v>
      </c>
      <c r="D1109" s="171" t="s">
        <v>4859</v>
      </c>
      <c r="E1109" s="172" t="s">
        <v>580</v>
      </c>
      <c r="F1109" s="172" t="b">
        <v>0</v>
      </c>
      <c r="G1109" s="172" t="b">
        <v>1</v>
      </c>
      <c r="H1109" s="172" t="b">
        <v>1</v>
      </c>
      <c r="I1109" s="172" t="b">
        <v>0</v>
      </c>
      <c r="J1109" s="172" t="b">
        <v>0</v>
      </c>
      <c r="K1109" s="172" t="b">
        <v>0</v>
      </c>
      <c r="L1109" s="172" t="b">
        <v>0</v>
      </c>
      <c r="M1109" s="172" t="b">
        <v>0</v>
      </c>
      <c r="N1109" s="173" t="s">
        <v>4804</v>
      </c>
      <c r="O1109" s="167"/>
      <c r="P1109" s="168"/>
      <c r="Q1109" s="174"/>
    </row>
    <row r="1110" spans="8:8" ht="43.5" customHeight="1">
      <c r="A1110" s="172">
        <v>26.0</v>
      </c>
      <c r="B1110" s="171" t="s">
        <v>4338</v>
      </c>
      <c r="C1110" s="172">
        <v>241267.0</v>
      </c>
      <c r="D1110" s="171" t="s">
        <v>4859</v>
      </c>
      <c r="E1110" s="172" t="s">
        <v>580</v>
      </c>
      <c r="F1110" s="172" t="b">
        <v>0</v>
      </c>
      <c r="G1110" s="172" t="b">
        <v>1</v>
      </c>
      <c r="H1110" s="172" t="b">
        <v>1</v>
      </c>
      <c r="I1110" s="172" t="b">
        <v>0</v>
      </c>
      <c r="J1110" s="172" t="b">
        <v>0</v>
      </c>
      <c r="K1110" s="172" t="b">
        <v>0</v>
      </c>
      <c r="L1110" s="172" t="b">
        <v>0</v>
      </c>
      <c r="M1110" s="172" t="b">
        <v>0</v>
      </c>
      <c r="N1110" s="175" t="s">
        <v>4805</v>
      </c>
      <c r="O1110" s="176" t="s">
        <v>4806</v>
      </c>
      <c r="P1110" s="97" t="s">
        <v>4807</v>
      </c>
      <c r="Q1110" s="174"/>
    </row>
    <row r="1111" spans="8:8" ht="43.5" customHeight="1">
      <c r="A1111" s="172">
        <v>27.0</v>
      </c>
      <c r="B1111" s="171" t="s">
        <v>4339</v>
      </c>
      <c r="C1111" s="172">
        <v>241195.0</v>
      </c>
      <c r="D1111" s="171" t="s">
        <v>4859</v>
      </c>
      <c r="E1111" s="172" t="s">
        <v>580</v>
      </c>
      <c r="F1111" s="172" t="b">
        <v>0</v>
      </c>
      <c r="G1111" s="172" t="b">
        <v>1</v>
      </c>
      <c r="H1111" s="172" t="b">
        <v>1</v>
      </c>
      <c r="I1111" s="172" t="b">
        <v>0</v>
      </c>
      <c r="J1111" s="172" t="b">
        <v>0</v>
      </c>
      <c r="K1111" s="172" t="b">
        <v>0</v>
      </c>
      <c r="L1111" s="172" t="b">
        <v>0</v>
      </c>
      <c r="M1111" s="172" t="b">
        <v>0</v>
      </c>
      <c r="N1111" s="97" t="s">
        <v>4794</v>
      </c>
      <c r="O1111" s="172" t="b">
        <v>1</v>
      </c>
      <c r="P1111" s="97" t="s">
        <v>4879</v>
      </c>
      <c r="Q1111" s="174"/>
    </row>
    <row r="1112" spans="8:8" ht="43.5" customHeight="1">
      <c r="A1112" s="172">
        <v>28.0</v>
      </c>
      <c r="B1112" s="171" t="s">
        <v>4340</v>
      </c>
      <c r="C1112" s="172">
        <v>241141.0</v>
      </c>
      <c r="D1112" s="171" t="s">
        <v>4859</v>
      </c>
      <c r="E1112" s="172" t="s">
        <v>580</v>
      </c>
      <c r="F1112" s="172" t="b">
        <v>0</v>
      </c>
      <c r="G1112" s="172" t="b">
        <v>0</v>
      </c>
      <c r="H1112" s="172" t="b">
        <v>0</v>
      </c>
      <c r="I1112" s="172" t="b">
        <v>0</v>
      </c>
      <c r="J1112" s="172" t="b">
        <v>0</v>
      </c>
      <c r="K1112" s="172" t="b">
        <v>0</v>
      </c>
      <c r="L1112" s="172" t="b">
        <v>0</v>
      </c>
      <c r="M1112" s="172" t="b">
        <v>0</v>
      </c>
      <c r="N1112" s="97" t="s">
        <v>4795</v>
      </c>
      <c r="O1112" s="172" t="b">
        <v>1</v>
      </c>
      <c r="P1112" s="218" t="s">
        <v>4951</v>
      </c>
      <c r="Q1112" s="219"/>
    </row>
    <row r="1113" spans="8:8" ht="43.5" customHeight="1">
      <c r="A1113" s="172">
        <v>29.0</v>
      </c>
      <c r="B1113" s="171" t="s">
        <v>4341</v>
      </c>
      <c r="C1113" s="172">
        <v>241144.0</v>
      </c>
      <c r="D1113" s="171" t="s">
        <v>4859</v>
      </c>
      <c r="E1113" s="172" t="s">
        <v>580</v>
      </c>
      <c r="F1113" s="172" t="b">
        <v>0</v>
      </c>
      <c r="G1113" s="172" t="b">
        <v>0</v>
      </c>
      <c r="H1113" s="172" t="b">
        <v>1</v>
      </c>
      <c r="I1113" s="172" t="b">
        <v>0</v>
      </c>
      <c r="J1113" s="172" t="b">
        <v>0</v>
      </c>
      <c r="K1113" s="172" t="b">
        <v>0</v>
      </c>
      <c r="L1113" s="172" t="b">
        <v>0</v>
      </c>
      <c r="M1113" s="172" t="b">
        <v>0</v>
      </c>
      <c r="N1113" s="97" t="s">
        <v>4796</v>
      </c>
      <c r="O1113" s="172" t="b">
        <v>1</v>
      </c>
      <c r="P1113" s="97" t="s">
        <v>4881</v>
      </c>
      <c r="Q1113" s="174"/>
    </row>
    <row r="1114" spans="8:8" ht="43.5" customHeight="1">
      <c r="A1114" s="172">
        <v>30.0</v>
      </c>
      <c r="B1114" s="171" t="s">
        <v>4342</v>
      </c>
      <c r="C1114" s="172">
        <v>241149.0</v>
      </c>
      <c r="D1114" s="171" t="s">
        <v>4859</v>
      </c>
      <c r="E1114" s="172" t="s">
        <v>580</v>
      </c>
      <c r="F1114" s="172" t="b">
        <v>0</v>
      </c>
      <c r="G1114" s="172" t="b">
        <v>0</v>
      </c>
      <c r="H1114" s="172" t="b">
        <v>1</v>
      </c>
      <c r="I1114" s="172" t="b">
        <v>0</v>
      </c>
      <c r="J1114" s="172" t="b">
        <v>0</v>
      </c>
      <c r="K1114" s="172" t="b">
        <v>0</v>
      </c>
      <c r="L1114" s="172" t="b">
        <v>0</v>
      </c>
      <c r="M1114" s="172" t="b">
        <v>0</v>
      </c>
      <c r="N1114" s="97" t="s">
        <v>4797</v>
      </c>
      <c r="O1114" s="172" t="b">
        <v>0</v>
      </c>
      <c r="P1114" s="97"/>
      <c r="Q1114" s="174"/>
    </row>
    <row r="1115" spans="8:8" ht="43.5" customHeight="1">
      <c r="A1115" s="172">
        <v>31.0</v>
      </c>
      <c r="B1115" s="171" t="s">
        <v>4343</v>
      </c>
      <c r="C1115" s="172">
        <v>241152.0</v>
      </c>
      <c r="D1115" s="171" t="s">
        <v>4859</v>
      </c>
      <c r="E1115" s="172" t="s">
        <v>580</v>
      </c>
      <c r="F1115" s="172" t="b">
        <v>0</v>
      </c>
      <c r="G1115" s="172" t="b">
        <v>1</v>
      </c>
      <c r="H1115" s="172" t="b">
        <v>1</v>
      </c>
      <c r="I1115" s="172" t="b">
        <v>0</v>
      </c>
      <c r="J1115" s="172" t="b">
        <v>0</v>
      </c>
      <c r="K1115" s="172" t="b">
        <v>0</v>
      </c>
      <c r="L1115" s="172" t="b">
        <v>0</v>
      </c>
      <c r="M1115" s="172" t="b">
        <v>0</v>
      </c>
      <c r="N1115" s="97" t="s">
        <v>4798</v>
      </c>
      <c r="O1115" s="172" t="b">
        <v>0</v>
      </c>
      <c r="P1115" s="97"/>
      <c r="Q1115" s="174"/>
    </row>
    <row r="1116" spans="8:8" ht="43.5" customHeight="1">
      <c r="A1116" s="170">
        <v>32.0</v>
      </c>
      <c r="B1116" s="171" t="s">
        <v>4344</v>
      </c>
      <c r="C1116" s="172">
        <v>241153.0</v>
      </c>
      <c r="D1116" s="171" t="s">
        <v>4859</v>
      </c>
      <c r="E1116" s="172" t="s">
        <v>580</v>
      </c>
      <c r="F1116" s="172" t="b">
        <v>0</v>
      </c>
      <c r="G1116" s="172" t="b">
        <v>1</v>
      </c>
      <c r="H1116" s="172" t="b">
        <v>1</v>
      </c>
      <c r="I1116" s="172" t="b">
        <v>0</v>
      </c>
      <c r="J1116" s="172" t="b">
        <v>0</v>
      </c>
      <c r="K1116" s="172" t="b">
        <v>0</v>
      </c>
      <c r="L1116" s="172" t="b">
        <v>0</v>
      </c>
      <c r="M1116" s="172" t="b">
        <v>0</v>
      </c>
      <c r="N1116" s="97" t="s">
        <v>4799</v>
      </c>
      <c r="O1116" s="172" t="b">
        <v>0</v>
      </c>
      <c r="P1116" s="97"/>
      <c r="Q1116" s="174"/>
    </row>
    <row r="1117" spans="8:8" ht="43.5" customHeight="1">
      <c r="A1117" s="170">
        <v>33.0</v>
      </c>
      <c r="B1117" s="171" t="s">
        <v>4345</v>
      </c>
      <c r="C1117" s="172">
        <v>241158.0</v>
      </c>
      <c r="D1117" s="171" t="s">
        <v>4859</v>
      </c>
      <c r="E1117" s="172" t="s">
        <v>580</v>
      </c>
      <c r="F1117" s="172" t="b">
        <v>0</v>
      </c>
      <c r="G1117" s="172" t="b">
        <v>1</v>
      </c>
      <c r="H1117" s="172" t="b">
        <v>0</v>
      </c>
      <c r="I1117" s="172" t="b">
        <v>0</v>
      </c>
      <c r="J1117" s="172" t="b">
        <v>0</v>
      </c>
      <c r="K1117" s="172" t="b">
        <v>0</v>
      </c>
      <c r="L1117" s="172" t="b">
        <v>0</v>
      </c>
      <c r="M1117" s="172" t="b">
        <v>0</v>
      </c>
      <c r="N1117" s="97" t="s">
        <v>4800</v>
      </c>
      <c r="O1117" s="172" t="b">
        <v>0</v>
      </c>
      <c r="P1117" s="97"/>
      <c r="Q1117" s="174"/>
    </row>
    <row r="1118" spans="8:8" ht="43.5" customHeight="1">
      <c r="A1118" s="170">
        <v>5.0</v>
      </c>
      <c r="B1118" s="171" t="s">
        <v>4346</v>
      </c>
      <c r="C1118" s="172">
        <v>241164.0</v>
      </c>
      <c r="D1118" s="171" t="s">
        <v>4859</v>
      </c>
      <c r="E1118" s="172" t="s">
        <v>580</v>
      </c>
      <c r="F1118" s="172" t="b">
        <v>0</v>
      </c>
      <c r="G1118" s="172" t="b">
        <v>1</v>
      </c>
      <c r="H1118" s="172" t="b">
        <v>0</v>
      </c>
      <c r="I1118" s="172" t="b">
        <v>0</v>
      </c>
      <c r="J1118" s="172" t="b">
        <v>0</v>
      </c>
      <c r="K1118" s="172" t="b">
        <v>0</v>
      </c>
      <c r="L1118" s="172" t="b">
        <v>0</v>
      </c>
      <c r="M1118" s="172" t="b">
        <v>0</v>
      </c>
      <c r="N1118" s="97" t="s">
        <v>4801</v>
      </c>
      <c r="O1118" s="172" t="b">
        <v>0</v>
      </c>
      <c r="P1118" s="97"/>
      <c r="Q1118" s="174"/>
    </row>
    <row r="1119" spans="8:8" ht="43.5" customHeight="1">
      <c r="A1119" s="170" t="b">
        <v>1</v>
      </c>
      <c r="B1119" s="171" t="s">
        <v>4347</v>
      </c>
      <c r="C1119" s="172">
        <v>241167.0</v>
      </c>
      <c r="D1119" s="171" t="s">
        <v>4859</v>
      </c>
      <c r="E1119" s="172" t="s">
        <v>580</v>
      </c>
      <c r="F1119" s="172" t="b">
        <v>0</v>
      </c>
      <c r="G1119" s="172" t="b">
        <v>1</v>
      </c>
      <c r="H1119" s="172" t="b">
        <v>1</v>
      </c>
      <c r="I1119" s="172" t="b">
        <v>0</v>
      </c>
      <c r="J1119" s="172" t="b">
        <v>0</v>
      </c>
      <c r="K1119" s="172" t="b">
        <v>0</v>
      </c>
      <c r="L1119" s="172" t="b">
        <v>0</v>
      </c>
      <c r="M1119" s="172" t="b">
        <v>0</v>
      </c>
      <c r="N1119" s="97"/>
      <c r="O1119" s="97"/>
      <c r="P1119" s="97"/>
      <c r="Q1119" s="174"/>
    </row>
    <row r="1120" spans="8:8" ht="43.5" customHeight="1">
      <c r="A1120" s="170">
        <v>3.0</v>
      </c>
      <c r="B1120" s="171" t="s">
        <v>4348</v>
      </c>
      <c r="C1120" s="172">
        <v>241169.0</v>
      </c>
      <c r="D1120" s="171" t="s">
        <v>4859</v>
      </c>
      <c r="E1120" s="172" t="s">
        <v>580</v>
      </c>
      <c r="F1120" s="172" t="b">
        <v>0</v>
      </c>
      <c r="G1120" s="172" t="b">
        <v>0</v>
      </c>
      <c r="H1120" s="172" t="b">
        <v>0</v>
      </c>
      <c r="I1120" s="172" t="b">
        <v>0</v>
      </c>
      <c r="J1120" s="172" t="b">
        <v>0</v>
      </c>
      <c r="K1120" s="172" t="b">
        <v>0</v>
      </c>
      <c r="L1120" s="172" t="b">
        <v>0</v>
      </c>
      <c r="M1120" s="172" t="b">
        <v>0</v>
      </c>
      <c r="N1120" s="97"/>
      <c r="O1120" s="97"/>
      <c r="P1120" s="97"/>
      <c r="Q1120" s="174"/>
    </row>
    <row r="1121" spans="8:8" ht="43.5" customHeight="1">
      <c r="A1121" s="97"/>
      <c r="B1121" s="171" t="s">
        <v>4349</v>
      </c>
      <c r="C1121" s="172">
        <v>241171.0</v>
      </c>
      <c r="D1121" s="171" t="s">
        <v>4859</v>
      </c>
      <c r="E1121" s="172" t="s">
        <v>580</v>
      </c>
      <c r="F1121" s="172" t="b">
        <v>0</v>
      </c>
      <c r="G1121" s="172" t="b">
        <v>0</v>
      </c>
      <c r="H1121" s="172" t="b">
        <v>1</v>
      </c>
      <c r="I1121" s="172" t="b">
        <v>0</v>
      </c>
      <c r="J1121" s="172" t="b">
        <v>0</v>
      </c>
      <c r="K1121" s="172" t="b">
        <v>0</v>
      </c>
      <c r="L1121" s="172" t="b">
        <v>0</v>
      </c>
      <c r="M1121" s="172" t="b">
        <v>0</v>
      </c>
      <c r="N1121" s="97"/>
      <c r="O1121" s="97"/>
      <c r="P1121" s="97"/>
      <c r="Q1121" s="174"/>
    </row>
    <row r="1122" spans="8:8" ht="43.5" customHeight="1">
      <c r="A1122" s="162" t="s">
        <v>18</v>
      </c>
      <c r="B1122" s="171" t="s">
        <v>4350</v>
      </c>
      <c r="C1122" s="172">
        <v>241173.0</v>
      </c>
      <c r="D1122" s="171" t="s">
        <v>4859</v>
      </c>
      <c r="E1122" s="172" t="s">
        <v>580</v>
      </c>
      <c r="F1122" s="172" t="b">
        <v>0</v>
      </c>
      <c r="G1122" s="172" t="b">
        <v>1</v>
      </c>
      <c r="H1122" s="172" t="b">
        <v>0</v>
      </c>
      <c r="I1122" s="172" t="b">
        <v>0</v>
      </c>
      <c r="J1122" s="172" t="b">
        <v>0</v>
      </c>
      <c r="K1122" s="172" t="b">
        <v>0</v>
      </c>
      <c r="L1122" s="172" t="b">
        <v>0</v>
      </c>
      <c r="M1122" s="172" t="b">
        <v>0</v>
      </c>
      <c r="N1122" s="97"/>
      <c r="O1122" s="97"/>
      <c r="P1122" s="97"/>
      <c r="Q1122" s="174"/>
    </row>
    <row r="1123" spans="8:8" ht="43.5" customHeight="1">
      <c r="A1123" s="172">
        <v>1.0</v>
      </c>
      <c r="B1123" s="171" t="s">
        <v>4351</v>
      </c>
      <c r="C1123" s="172">
        <v>241175.0</v>
      </c>
      <c r="D1123" s="171" t="s">
        <v>4859</v>
      </c>
      <c r="E1123" s="172" t="s">
        <v>580</v>
      </c>
      <c r="F1123" s="172" t="b">
        <v>0</v>
      </c>
      <c r="G1123" s="172" t="b">
        <v>1</v>
      </c>
      <c r="H1123" s="172" t="b">
        <v>0</v>
      </c>
      <c r="I1123" s="172" t="b">
        <v>0</v>
      </c>
      <c r="J1123" s="172" t="b">
        <v>0</v>
      </c>
      <c r="K1123" s="172" t="b">
        <v>0</v>
      </c>
      <c r="L1123" s="172" t="b">
        <v>0</v>
      </c>
      <c r="M1123" s="172" t="b">
        <v>0</v>
      </c>
      <c r="N1123" s="97"/>
      <c r="O1123" s="97"/>
      <c r="P1123" s="97"/>
      <c r="Q1123" s="174"/>
    </row>
    <row r="1124" spans="8:8" ht="43.5" customHeight="1">
      <c r="A1124" s="172">
        <v>2.0</v>
      </c>
      <c r="B1124" s="171" t="s">
        <v>4352</v>
      </c>
      <c r="C1124" s="172">
        <v>241176.0</v>
      </c>
      <c r="D1124" s="171" t="s">
        <v>4859</v>
      </c>
      <c r="E1124" s="172" t="s">
        <v>580</v>
      </c>
      <c r="F1124" s="172" t="b">
        <v>0</v>
      </c>
      <c r="G1124" s="172" t="b">
        <v>1</v>
      </c>
      <c r="H1124" s="172" t="b">
        <v>0</v>
      </c>
      <c r="I1124" s="172" t="b">
        <v>0</v>
      </c>
      <c r="J1124" s="172" t="b">
        <v>0</v>
      </c>
      <c r="K1124" s="172" t="b">
        <v>0</v>
      </c>
      <c r="L1124" s="172" t="b">
        <v>0</v>
      </c>
      <c r="M1124" s="172" t="b">
        <v>0</v>
      </c>
      <c r="N1124" s="97"/>
      <c r="O1124" s="97"/>
      <c r="P1124" s="97"/>
      <c r="Q1124" s="174"/>
    </row>
    <row r="1125" spans="8:8" ht="43.5" customHeight="1">
      <c r="A1125" s="172">
        <v>3.0</v>
      </c>
      <c r="B1125" s="171" t="s">
        <v>4353</v>
      </c>
      <c r="C1125" s="172">
        <v>241179.0</v>
      </c>
      <c r="D1125" s="171" t="s">
        <v>4859</v>
      </c>
      <c r="E1125" s="172" t="s">
        <v>580</v>
      </c>
      <c r="F1125" s="172" t="b">
        <v>0</v>
      </c>
      <c r="G1125" s="172" t="b">
        <v>0</v>
      </c>
      <c r="H1125" s="172" t="b">
        <v>1</v>
      </c>
      <c r="I1125" s="172" t="b">
        <v>0</v>
      </c>
      <c r="J1125" s="172" t="b">
        <v>0</v>
      </c>
      <c r="K1125" s="172" t="b">
        <v>0</v>
      </c>
      <c r="L1125" s="172" t="b">
        <v>0</v>
      </c>
      <c r="M1125" s="172" t="b">
        <v>0</v>
      </c>
      <c r="N1125" s="97"/>
      <c r="O1125" s="97"/>
      <c r="P1125" s="97"/>
      <c r="Q1125" s="174"/>
    </row>
    <row r="1126" spans="8:8" ht="43.5" customHeight="1">
      <c r="A1126" s="172">
        <v>4.0</v>
      </c>
      <c r="B1126" s="171" t="s">
        <v>4354</v>
      </c>
      <c r="C1126" s="172">
        <v>241247.0</v>
      </c>
      <c r="D1126" s="171" t="s">
        <v>4859</v>
      </c>
      <c r="E1126" s="172" t="s">
        <v>580</v>
      </c>
      <c r="F1126" s="172" t="b">
        <v>0</v>
      </c>
      <c r="G1126" s="172" t="b">
        <v>0</v>
      </c>
      <c r="H1126" s="172" t="b">
        <v>0</v>
      </c>
      <c r="I1126" s="172" t="b">
        <v>0</v>
      </c>
      <c r="J1126" s="172" t="b">
        <v>0</v>
      </c>
      <c r="K1126" s="172" t="b">
        <v>0</v>
      </c>
      <c r="L1126" s="172" t="b">
        <v>0</v>
      </c>
      <c r="M1126" s="172" t="b">
        <v>0</v>
      </c>
      <c r="N1126" s="189"/>
      <c r="O1126" s="189"/>
      <c r="P1126" s="189"/>
    </row>
    <row r="1127" spans="8:8" ht="43.5" customHeight="1">
      <c r="A1127" s="172">
        <v>5.0</v>
      </c>
      <c r="B1127" s="171" t="s">
        <v>4355</v>
      </c>
      <c r="C1127" s="172">
        <v>241250.0</v>
      </c>
      <c r="D1127" s="171" t="s">
        <v>4859</v>
      </c>
      <c r="E1127" s="172" t="s">
        <v>580</v>
      </c>
      <c r="F1127" s="172" t="b">
        <v>0</v>
      </c>
      <c r="G1127" s="172" t="b">
        <v>1</v>
      </c>
      <c r="H1127" s="172" t="b">
        <v>1</v>
      </c>
      <c r="I1127" s="172" t="b">
        <v>0</v>
      </c>
      <c r="J1127" s="172" t="b">
        <v>0</v>
      </c>
      <c r="K1127" s="172" t="b">
        <v>0</v>
      </c>
      <c r="L1127" s="172" t="b">
        <v>0</v>
      </c>
      <c r="M1127" s="172" t="b">
        <v>0</v>
      </c>
      <c r="N1127" s="97"/>
      <c r="O1127" s="97"/>
      <c r="P1127" s="97"/>
      <c r="Q1127" s="174"/>
    </row>
    <row r="1128" spans="8:8" ht="43.5" customHeight="1">
      <c r="A1128" s="172">
        <v>6.0</v>
      </c>
      <c r="B1128" s="171" t="s">
        <v>4356</v>
      </c>
      <c r="C1128" s="172">
        <v>241260.0</v>
      </c>
      <c r="D1128" s="171" t="s">
        <v>4859</v>
      </c>
      <c r="E1128" s="172" t="s">
        <v>580</v>
      </c>
      <c r="F1128" s="172" t="b">
        <v>0</v>
      </c>
      <c r="G1128" s="172" t="b">
        <v>1</v>
      </c>
      <c r="H1128" s="172" t="b">
        <v>1</v>
      </c>
      <c r="I1128" s="172" t="b">
        <v>0</v>
      </c>
      <c r="J1128" s="172" t="b">
        <v>0</v>
      </c>
      <c r="K1128" s="172" t="b">
        <v>0</v>
      </c>
      <c r="L1128" s="172" t="b">
        <v>0</v>
      </c>
      <c r="M1128" s="172" t="b">
        <v>0</v>
      </c>
      <c r="N1128" s="97"/>
      <c r="O1128" s="97"/>
      <c r="P1128" s="97"/>
      <c r="Q1128" s="174"/>
    </row>
    <row r="1129" spans="8:8" ht="43.5" customHeight="1">
      <c r="A1129" s="172">
        <v>8.0</v>
      </c>
      <c r="B1129" s="171" t="s">
        <v>4035</v>
      </c>
      <c r="C1129" s="172">
        <v>241475.0</v>
      </c>
      <c r="D1129" s="171" t="s">
        <v>4851</v>
      </c>
      <c r="E1129" s="172" t="s">
        <v>580</v>
      </c>
      <c r="F1129" s="172" t="b">
        <v>0</v>
      </c>
      <c r="G1129" s="172" t="b">
        <v>0</v>
      </c>
      <c r="H1129" s="172" t="b">
        <v>0</v>
      </c>
      <c r="I1129" s="172" t="b">
        <v>0</v>
      </c>
      <c r="J1129" s="172" t="b">
        <v>0</v>
      </c>
      <c r="K1129" s="172" t="b">
        <v>0</v>
      </c>
      <c r="L1129" s="172" t="b">
        <v>0</v>
      </c>
      <c r="M1129" s="172" t="b">
        <v>0</v>
      </c>
      <c r="N1129" s="97"/>
      <c r="O1129" s="97"/>
      <c r="P1129" s="97"/>
      <c r="Q1129" s="174"/>
    </row>
    <row r="1130" spans="8:8" ht="43.5" customHeight="1">
      <c r="A1130" s="172">
        <v>9.0</v>
      </c>
      <c r="B1130" s="171" t="s">
        <v>4357</v>
      </c>
      <c r="C1130" s="172">
        <v>241497.0</v>
      </c>
      <c r="D1130" s="171" t="s">
        <v>4851</v>
      </c>
      <c r="E1130" s="97" t="s">
        <v>580</v>
      </c>
      <c r="F1130" s="172" t="b">
        <v>0</v>
      </c>
      <c r="G1130" s="172" t="b">
        <v>0</v>
      </c>
      <c r="H1130" s="172" t="b">
        <v>0</v>
      </c>
      <c r="I1130" s="172" t="b">
        <v>0</v>
      </c>
      <c r="J1130" s="172" t="b">
        <v>0</v>
      </c>
      <c r="K1130" s="172" t="b">
        <v>0</v>
      </c>
      <c r="L1130" s="172" t="b">
        <v>0</v>
      </c>
      <c r="M1130" s="172" t="b">
        <v>0</v>
      </c>
      <c r="N1130" s="97"/>
      <c r="O1130" s="97"/>
      <c r="P1130" s="97"/>
      <c r="Q1130" s="174"/>
    </row>
    <row r="1131" spans="8:8" ht="43.5" customHeight="1">
      <c r="A1131" s="172">
        <v>11.0</v>
      </c>
      <c r="B1131" s="182" t="s">
        <v>4815</v>
      </c>
      <c r="C1131" s="97"/>
      <c r="D1131" s="97"/>
      <c r="E1131" s="183"/>
      <c r="F1131" s="184">
        <f t="shared" si="42" ref="F1131:M1131">COUNTIF(F1117:F1126,TRUE)/COUNTA(F1117:F1126)</f>
        <v>0.0</v>
      </c>
      <c r="G1131" s="184">
        <f t="shared" si="42"/>
        <v>0.6</v>
      </c>
      <c r="H1131" s="184">
        <f t="shared" si="42"/>
        <v>0.3</v>
      </c>
      <c r="I1131" s="184">
        <f t="shared" si="42"/>
        <v>0.0</v>
      </c>
      <c r="J1131" s="184">
        <f t="shared" si="42"/>
        <v>0.0</v>
      </c>
      <c r="K1131" s="184">
        <f t="shared" si="42"/>
        <v>0.0</v>
      </c>
      <c r="L1131" s="184">
        <f t="shared" si="42"/>
        <v>0.0</v>
      </c>
      <c r="M1131" s="184">
        <f t="shared" si="42"/>
        <v>0.0</v>
      </c>
      <c r="N1131" s="97"/>
      <c r="O1131" s="97"/>
      <c r="P1131" s="97"/>
      <c r="Q1131" s="174"/>
    </row>
    <row r="1132" spans="8:8" ht="43.5" customHeight="1">
      <c r="A1132" s="172">
        <v>12.0</v>
      </c>
      <c r="B1132" s="162" t="s">
        <v>19</v>
      </c>
      <c r="C1132" s="163"/>
      <c r="D1132" s="162" t="s">
        <v>4530</v>
      </c>
      <c r="E1132" s="162" t="s">
        <v>22</v>
      </c>
      <c r="F1132" s="163" t="s">
        <v>4794</v>
      </c>
      <c r="G1132" s="163" t="s">
        <v>4795</v>
      </c>
      <c r="H1132" s="163" t="s">
        <v>4796</v>
      </c>
      <c r="I1132" s="163" t="s">
        <v>4797</v>
      </c>
      <c r="J1132" s="163" t="s">
        <v>4798</v>
      </c>
      <c r="K1132" s="163" t="s">
        <v>4799</v>
      </c>
      <c r="L1132" s="163" t="s">
        <v>4800</v>
      </c>
      <c r="M1132" s="163" t="s">
        <v>4801</v>
      </c>
      <c r="N1132" s="166" t="s">
        <v>4952</v>
      </c>
      <c r="O1132" s="167"/>
      <c r="P1132" s="168"/>
      <c r="Q1132" s="169"/>
    </row>
    <row r="1133" spans="8:8" ht="43.5" customHeight="1">
      <c r="A1133" s="172">
        <v>13.0</v>
      </c>
      <c r="B1133" s="171" t="s">
        <v>4324</v>
      </c>
      <c r="C1133" s="172">
        <v>241515.0</v>
      </c>
      <c r="D1133" s="171" t="s">
        <v>4851</v>
      </c>
      <c r="E1133" s="172" t="s">
        <v>781</v>
      </c>
      <c r="F1133" s="172" t="b">
        <v>0</v>
      </c>
      <c r="G1133" s="172" t="b">
        <v>0</v>
      </c>
      <c r="H1133" s="172" t="b">
        <v>0</v>
      </c>
      <c r="I1133" s="172" t="b">
        <v>0</v>
      </c>
      <c r="J1133" s="172" t="b">
        <v>0</v>
      </c>
      <c r="K1133" s="172" t="b">
        <v>0</v>
      </c>
      <c r="L1133" s="172" t="b">
        <v>0</v>
      </c>
      <c r="M1133" s="172" t="b">
        <v>0</v>
      </c>
      <c r="N1133" s="173" t="s">
        <v>4804</v>
      </c>
      <c r="O1133" s="167"/>
      <c r="P1133" s="168"/>
      <c r="Q1133" s="174"/>
    </row>
    <row r="1134" spans="8:8" ht="43.5" customHeight="1">
      <c r="A1134" s="172">
        <v>14.0</v>
      </c>
      <c r="B1134" s="171" t="s">
        <v>4325</v>
      </c>
      <c r="C1134" s="172">
        <v>241520.0</v>
      </c>
      <c r="D1134" s="171" t="s">
        <v>4851</v>
      </c>
      <c r="E1134" s="172" t="s">
        <v>781</v>
      </c>
      <c r="F1134" s="172" t="b">
        <v>0</v>
      </c>
      <c r="G1134" s="172" t="b">
        <v>0</v>
      </c>
      <c r="H1134" s="172" t="b">
        <v>1</v>
      </c>
      <c r="I1134" s="172" t="b">
        <v>0</v>
      </c>
      <c r="J1134" s="172" t="b">
        <v>0</v>
      </c>
      <c r="K1134" s="172" t="b">
        <v>0</v>
      </c>
      <c r="L1134" s="172" t="b">
        <v>0</v>
      </c>
      <c r="M1134" s="172" t="b">
        <v>0</v>
      </c>
      <c r="N1134" s="175" t="s">
        <v>4805</v>
      </c>
      <c r="O1134" s="176" t="s">
        <v>4806</v>
      </c>
      <c r="P1134" s="97" t="s">
        <v>4807</v>
      </c>
      <c r="Q1134" s="174"/>
    </row>
    <row r="1135" spans="8:8" ht="43.5" customHeight="1">
      <c r="A1135" s="172">
        <v>15.0</v>
      </c>
      <c r="B1135" s="171" t="s">
        <v>4497</v>
      </c>
      <c r="C1135" s="172">
        <v>241524.0</v>
      </c>
      <c r="D1135" s="171" t="s">
        <v>4851</v>
      </c>
      <c r="E1135" s="172" t="s">
        <v>781</v>
      </c>
      <c r="F1135" s="172" t="b">
        <v>0</v>
      </c>
      <c r="G1135" s="172" t="b">
        <v>1</v>
      </c>
      <c r="H1135" s="172" t="b">
        <v>0</v>
      </c>
      <c r="I1135" s="172" t="b">
        <v>0</v>
      </c>
      <c r="J1135" s="172" t="b">
        <v>0</v>
      </c>
      <c r="K1135" s="172" t="b">
        <v>0</v>
      </c>
      <c r="L1135" s="172" t="b">
        <v>0</v>
      </c>
      <c r="M1135" s="172" t="b">
        <v>0</v>
      </c>
      <c r="N1135" s="97" t="s">
        <v>4794</v>
      </c>
      <c r="O1135" s="172" t="b">
        <v>1</v>
      </c>
      <c r="P1135" s="97"/>
      <c r="Q1135" s="174"/>
    </row>
    <row r="1136" spans="8:8" ht="43.5" customHeight="1">
      <c r="A1136" s="172">
        <v>16.0</v>
      </c>
      <c r="B1136" s="171" t="s">
        <v>4326</v>
      </c>
      <c r="C1136" s="172">
        <v>241529.0</v>
      </c>
      <c r="D1136" s="171" t="s">
        <v>4851</v>
      </c>
      <c r="E1136" s="172" t="s">
        <v>781</v>
      </c>
      <c r="F1136" s="172" t="b">
        <v>0</v>
      </c>
      <c r="G1136" s="172" t="b">
        <v>1</v>
      </c>
      <c r="H1136" s="172" t="b">
        <v>0</v>
      </c>
      <c r="I1136" s="172" t="b">
        <v>0</v>
      </c>
      <c r="J1136" s="172" t="b">
        <v>0</v>
      </c>
      <c r="K1136" s="172" t="b">
        <v>0</v>
      </c>
      <c r="L1136" s="172" t="b">
        <v>0</v>
      </c>
      <c r="M1136" s="172" t="b">
        <v>0</v>
      </c>
      <c r="N1136" s="97" t="s">
        <v>4795</v>
      </c>
      <c r="O1136" s="172" t="b">
        <v>1</v>
      </c>
      <c r="P1136" s="97"/>
      <c r="Q1136" s="174"/>
    </row>
    <row r="1137" spans="8:8" ht="43.5" customHeight="1">
      <c r="A1137" s="172">
        <v>17.0</v>
      </c>
      <c r="B1137" s="171" t="s">
        <v>4327</v>
      </c>
      <c r="C1137" s="172">
        <v>241537.0</v>
      </c>
      <c r="D1137" s="171" t="s">
        <v>4851</v>
      </c>
      <c r="E1137" s="172" t="s">
        <v>781</v>
      </c>
      <c r="F1137" s="172" t="b">
        <v>0</v>
      </c>
      <c r="G1137" s="172" t="b">
        <v>0</v>
      </c>
      <c r="H1137" s="172" t="b">
        <v>0</v>
      </c>
      <c r="I1137" s="172" t="b">
        <v>0</v>
      </c>
      <c r="J1137" s="172" t="b">
        <v>0</v>
      </c>
      <c r="K1137" s="172" t="b">
        <v>0</v>
      </c>
      <c r="L1137" s="172" t="b">
        <v>0</v>
      </c>
      <c r="M1137" s="172" t="b">
        <v>0</v>
      </c>
      <c r="N1137" s="97" t="s">
        <v>4796</v>
      </c>
      <c r="O1137" s="172" t="b">
        <v>1</v>
      </c>
      <c r="P1137" s="97"/>
      <c r="Q1137" s="174"/>
    </row>
    <row r="1138" spans="8:8" ht="43.5" customHeight="1">
      <c r="A1138" s="172">
        <v>18.0</v>
      </c>
      <c r="B1138" s="171" t="s">
        <v>4328</v>
      </c>
      <c r="C1138" s="172">
        <v>241553.0</v>
      </c>
      <c r="D1138" s="171" t="s">
        <v>4851</v>
      </c>
      <c r="E1138" s="172" t="s">
        <v>781</v>
      </c>
      <c r="F1138" s="172" t="b">
        <v>0</v>
      </c>
      <c r="G1138" s="172" t="b">
        <v>0</v>
      </c>
      <c r="H1138" s="172" t="b">
        <v>1</v>
      </c>
      <c r="I1138" s="172" t="b">
        <v>0</v>
      </c>
      <c r="J1138" s="172" t="b">
        <v>0</v>
      </c>
      <c r="K1138" s="172" t="b">
        <v>0</v>
      </c>
      <c r="L1138" s="172" t="b">
        <v>0</v>
      </c>
      <c r="M1138" s="172" t="b">
        <v>0</v>
      </c>
      <c r="N1138" s="97" t="s">
        <v>4797</v>
      </c>
      <c r="O1138" s="172" t="b">
        <v>0</v>
      </c>
      <c r="P1138" s="97"/>
      <c r="Q1138" s="174"/>
    </row>
    <row r="1139" spans="8:8" ht="43.5" customHeight="1">
      <c r="A1139" s="172">
        <v>20.0</v>
      </c>
      <c r="B1139" s="171" t="s">
        <v>4329</v>
      </c>
      <c r="C1139" s="172">
        <v>241570.0</v>
      </c>
      <c r="D1139" s="171" t="s">
        <v>4851</v>
      </c>
      <c r="E1139" s="172" t="s">
        <v>781</v>
      </c>
      <c r="F1139" s="172" t="b">
        <v>0</v>
      </c>
      <c r="G1139" s="172" t="b">
        <v>1</v>
      </c>
      <c r="H1139" s="172" t="b">
        <v>1</v>
      </c>
      <c r="I1139" s="172" t="b">
        <v>0</v>
      </c>
      <c r="J1139" s="172" t="b">
        <v>0</v>
      </c>
      <c r="K1139" s="172" t="b">
        <v>0</v>
      </c>
      <c r="L1139" s="172" t="b">
        <v>0</v>
      </c>
      <c r="M1139" s="172" t="b">
        <v>0</v>
      </c>
      <c r="N1139" s="97" t="s">
        <v>4798</v>
      </c>
      <c r="O1139" s="172" t="b">
        <v>0</v>
      </c>
      <c r="P1139" s="97"/>
      <c r="Q1139" s="174"/>
    </row>
    <row r="1140" spans="8:8" ht="43.5" customHeight="1">
      <c r="A1140" s="189"/>
      <c r="B1140" s="171" t="s">
        <v>4330</v>
      </c>
      <c r="C1140" s="172">
        <v>241587.0</v>
      </c>
      <c r="D1140" s="171" t="s">
        <v>4851</v>
      </c>
      <c r="E1140" s="172" t="s">
        <v>781</v>
      </c>
      <c r="F1140" s="172" t="b">
        <v>0</v>
      </c>
      <c r="G1140" s="172" t="b">
        <v>1</v>
      </c>
      <c r="H1140" s="172" t="b">
        <v>1</v>
      </c>
      <c r="I1140" s="172" t="b">
        <v>0</v>
      </c>
      <c r="J1140" s="172" t="b">
        <v>0</v>
      </c>
      <c r="K1140" s="172" t="b">
        <v>0</v>
      </c>
      <c r="L1140" s="172" t="b">
        <v>0</v>
      </c>
      <c r="M1140" s="172" t="b">
        <v>0</v>
      </c>
      <c r="N1140" s="97" t="s">
        <v>4799</v>
      </c>
      <c r="O1140" s="172" t="b">
        <v>0</v>
      </c>
      <c r="P1140" s="97"/>
      <c r="Q1140" s="174"/>
    </row>
    <row r="1141" spans="8:8" ht="43.5" customHeight="1">
      <c r="A1141" s="172">
        <v>22.0</v>
      </c>
      <c r="B1141" s="171" t="s">
        <v>4331</v>
      </c>
      <c r="C1141" s="172">
        <v>241591.0</v>
      </c>
      <c r="D1141" s="171" t="s">
        <v>4851</v>
      </c>
      <c r="E1141" s="172" t="s">
        <v>781</v>
      </c>
      <c r="F1141" s="172" t="b">
        <v>0</v>
      </c>
      <c r="G1141" s="172" t="b">
        <v>1</v>
      </c>
      <c r="H1141" s="172" t="b">
        <v>0</v>
      </c>
      <c r="I1141" s="172" t="b">
        <v>0</v>
      </c>
      <c r="J1141" s="172" t="b">
        <v>0</v>
      </c>
      <c r="K1141" s="172" t="b">
        <v>0</v>
      </c>
      <c r="L1141" s="172" t="b">
        <v>0</v>
      </c>
      <c r="M1141" s="172" t="b">
        <v>0</v>
      </c>
      <c r="N1141" s="97" t="s">
        <v>4800</v>
      </c>
      <c r="O1141" s="172" t="b">
        <v>0</v>
      </c>
      <c r="P1141" s="97"/>
      <c r="Q1141" s="174"/>
    </row>
    <row r="1142" spans="8:8" ht="43.5" customHeight="1">
      <c r="A1142" s="172">
        <v>23.0</v>
      </c>
      <c r="B1142" s="171" t="s">
        <v>4332</v>
      </c>
      <c r="C1142" s="172">
        <v>241837.0</v>
      </c>
      <c r="D1142" s="171" t="s">
        <v>4857</v>
      </c>
      <c r="E1142" s="172" t="s">
        <v>781</v>
      </c>
      <c r="F1142" s="172" t="b">
        <v>0</v>
      </c>
      <c r="G1142" s="172" t="b">
        <v>0</v>
      </c>
      <c r="H1142" s="189"/>
      <c r="I1142" s="172" t="b">
        <v>0</v>
      </c>
      <c r="J1142" s="172" t="b">
        <v>0</v>
      </c>
      <c r="K1142" s="172" t="b">
        <v>0</v>
      </c>
      <c r="L1142" s="172" t="b">
        <v>0</v>
      </c>
      <c r="M1142" s="172" t="b">
        <v>0</v>
      </c>
      <c r="N1142" s="97" t="s">
        <v>4801</v>
      </c>
      <c r="O1142" s="172" t="b">
        <v>0</v>
      </c>
      <c r="P1142" s="97"/>
      <c r="Q1142" s="174"/>
    </row>
    <row r="1143" spans="8:8" ht="43.5" customHeight="1">
      <c r="A1143" s="189"/>
      <c r="B1143" s="171" t="s">
        <v>4333</v>
      </c>
      <c r="C1143" s="172">
        <v>241594.0</v>
      </c>
      <c r="D1143" s="171" t="s">
        <v>4851</v>
      </c>
      <c r="E1143" s="172" t="s">
        <v>781</v>
      </c>
      <c r="F1143" s="172" t="b">
        <v>0</v>
      </c>
      <c r="G1143" s="172" t="b">
        <v>0</v>
      </c>
      <c r="H1143" s="172" t="b">
        <v>1</v>
      </c>
      <c r="I1143" s="172" t="b">
        <v>0</v>
      </c>
      <c r="J1143" s="172" t="b">
        <v>0</v>
      </c>
      <c r="K1143" s="172" t="b">
        <v>0</v>
      </c>
      <c r="L1143" s="172" t="b">
        <v>0</v>
      </c>
      <c r="M1143" s="172" t="b">
        <v>0</v>
      </c>
      <c r="N1143" s="97"/>
      <c r="O1143" s="97"/>
      <c r="P1143" s="97"/>
      <c r="Q1143" s="174"/>
    </row>
    <row r="1144" spans="8:8" ht="43.5" customHeight="1">
      <c r="A1144" s="97"/>
      <c r="B1144" s="171" t="s">
        <v>4334</v>
      </c>
      <c r="C1144" s="172">
        <v>241598.0</v>
      </c>
      <c r="D1144" s="171" t="s">
        <v>4851</v>
      </c>
      <c r="E1144" s="172" t="s">
        <v>781</v>
      </c>
      <c r="F1144" s="172" t="b">
        <v>0</v>
      </c>
      <c r="G1144" s="172" t="b">
        <v>0</v>
      </c>
      <c r="H1144" s="172" t="b">
        <v>1</v>
      </c>
      <c r="I1144" s="172" t="b">
        <v>0</v>
      </c>
      <c r="J1144" s="172" t="b">
        <v>0</v>
      </c>
      <c r="K1144" s="172" t="b">
        <v>0</v>
      </c>
      <c r="L1144" s="172" t="b">
        <v>0</v>
      </c>
      <c r="M1144" s="172" t="b">
        <v>0</v>
      </c>
      <c r="N1144" s="97"/>
      <c r="O1144" s="97"/>
      <c r="P1144" s="97"/>
      <c r="Q1144" s="174"/>
    </row>
    <row r="1145" spans="8:8" ht="43.5" customHeight="1">
      <c r="A1145" s="162" t="s">
        <v>18</v>
      </c>
      <c r="B1145" s="171" t="s">
        <v>4335</v>
      </c>
      <c r="C1145" s="172">
        <v>241273.0</v>
      </c>
      <c r="D1145" s="171" t="s">
        <v>4859</v>
      </c>
      <c r="E1145" s="172" t="s">
        <v>781</v>
      </c>
      <c r="F1145" s="172" t="b">
        <v>0</v>
      </c>
      <c r="G1145" s="172" t="b">
        <v>1</v>
      </c>
      <c r="H1145" s="172" t="b">
        <v>0</v>
      </c>
      <c r="I1145" s="172" t="b">
        <v>0</v>
      </c>
      <c r="J1145" s="172" t="b">
        <v>0</v>
      </c>
      <c r="K1145" s="172" t="b">
        <v>0</v>
      </c>
      <c r="L1145" s="172" t="b">
        <v>0</v>
      </c>
      <c r="M1145" s="172" t="b">
        <v>0</v>
      </c>
      <c r="N1145" s="97"/>
      <c r="O1145" s="97"/>
      <c r="P1145" s="97"/>
      <c r="Q1145" s="174"/>
    </row>
    <row r="1146" spans="8:8" ht="43.5" customHeight="1">
      <c r="A1146" s="172">
        <v>1.0</v>
      </c>
      <c r="B1146" s="171" t="s">
        <v>4336</v>
      </c>
      <c r="C1146" s="172">
        <v>241275.0</v>
      </c>
      <c r="D1146" s="171" t="s">
        <v>4859</v>
      </c>
      <c r="E1146" s="172" t="s">
        <v>781</v>
      </c>
      <c r="F1146" s="172" t="b">
        <v>0</v>
      </c>
      <c r="G1146" s="172" t="b">
        <v>1</v>
      </c>
      <c r="H1146" s="172" t="b">
        <v>1</v>
      </c>
      <c r="I1146" s="172" t="b">
        <v>0</v>
      </c>
      <c r="J1146" s="172" t="b">
        <v>0</v>
      </c>
      <c r="K1146" s="172" t="b">
        <v>0</v>
      </c>
      <c r="L1146" s="172" t="b">
        <v>0</v>
      </c>
      <c r="M1146" s="172" t="b">
        <v>0</v>
      </c>
      <c r="N1146" s="97"/>
      <c r="O1146" s="97"/>
      <c r="P1146" s="97"/>
      <c r="Q1146" s="174"/>
    </row>
    <row r="1147" spans="8:8" ht="43.5" customHeight="1">
      <c r="A1147" s="172">
        <v>3.0</v>
      </c>
      <c r="B1147" s="171" t="s">
        <v>4361</v>
      </c>
      <c r="C1147" s="172">
        <v>241454.0</v>
      </c>
      <c r="D1147" s="171" t="s">
        <v>4851</v>
      </c>
      <c r="E1147" s="172" t="s">
        <v>781</v>
      </c>
      <c r="F1147" s="172" t="b">
        <v>1</v>
      </c>
      <c r="G1147" s="172" t="b">
        <v>1</v>
      </c>
      <c r="H1147" s="172" t="b">
        <v>1</v>
      </c>
      <c r="I1147" s="172" t="b">
        <v>0</v>
      </c>
      <c r="J1147" s="172" t="b">
        <v>0</v>
      </c>
      <c r="K1147" s="172" t="b">
        <v>0</v>
      </c>
      <c r="L1147" s="172" t="b">
        <v>0</v>
      </c>
      <c r="M1147" s="172" t="b">
        <v>0</v>
      </c>
      <c r="N1147" s="97"/>
      <c r="O1147" s="97"/>
      <c r="P1147" s="97"/>
      <c r="Q1147" s="174"/>
    </row>
    <row r="1148" spans="8:8" ht="43.5" customHeight="1">
      <c r="A1148" s="189"/>
      <c r="B1148" s="171" t="s">
        <v>4496</v>
      </c>
      <c r="C1148" s="172">
        <v>241216.0</v>
      </c>
      <c r="D1148" s="171" t="s">
        <v>4859</v>
      </c>
      <c r="E1148" s="172" t="s">
        <v>781</v>
      </c>
      <c r="F1148" s="172" t="b">
        <v>0</v>
      </c>
      <c r="G1148" s="172" t="b">
        <v>1</v>
      </c>
      <c r="H1148" s="172" t="b">
        <v>1</v>
      </c>
      <c r="I1148" s="172" t="b">
        <v>0</v>
      </c>
      <c r="J1148" s="172" t="b">
        <v>0</v>
      </c>
      <c r="K1148" s="172" t="b">
        <v>0</v>
      </c>
      <c r="L1148" s="172" t="b">
        <v>0</v>
      </c>
      <c r="M1148" s="172" t="b">
        <v>0</v>
      </c>
      <c r="N1148" s="97"/>
      <c r="O1148" s="97"/>
      <c r="P1148" s="97"/>
      <c r="Q1148" s="174"/>
    </row>
    <row r="1149" spans="8:8" ht="43.5" customHeight="1">
      <c r="A1149" s="172">
        <v>6.0</v>
      </c>
      <c r="B1149" s="171" t="s">
        <v>4362</v>
      </c>
      <c r="C1149" s="172">
        <v>241184.0</v>
      </c>
      <c r="D1149" s="171" t="s">
        <v>4859</v>
      </c>
      <c r="E1149" s="172" t="s">
        <v>781</v>
      </c>
      <c r="F1149" s="172" t="b">
        <v>0</v>
      </c>
      <c r="G1149" s="172" t="b">
        <v>1</v>
      </c>
      <c r="H1149" s="172" t="b">
        <v>0</v>
      </c>
      <c r="I1149" s="172" t="b">
        <v>0</v>
      </c>
      <c r="J1149" s="172" t="b">
        <v>0</v>
      </c>
      <c r="K1149" s="172" t="b">
        <v>0</v>
      </c>
      <c r="L1149" s="172" t="b">
        <v>0</v>
      </c>
      <c r="M1149" s="172" t="b">
        <v>0</v>
      </c>
      <c r="N1149" s="97"/>
      <c r="O1149" s="97"/>
      <c r="P1149" s="97"/>
      <c r="Q1149" s="174"/>
    </row>
    <row r="1150" spans="8:8" ht="43.5" customHeight="1">
      <c r="A1150" s="172">
        <v>7.0</v>
      </c>
      <c r="B1150" s="171" t="s">
        <v>4363</v>
      </c>
      <c r="C1150" s="172">
        <v>241183.0</v>
      </c>
      <c r="D1150" s="171" t="s">
        <v>4859</v>
      </c>
      <c r="E1150" s="172" t="s">
        <v>781</v>
      </c>
      <c r="F1150" s="172" t="b">
        <v>0</v>
      </c>
      <c r="G1150" s="172" t="b">
        <v>1</v>
      </c>
      <c r="H1150" s="172" t="b">
        <v>1</v>
      </c>
      <c r="I1150" s="172" t="b">
        <v>0</v>
      </c>
      <c r="J1150" s="172" t="b">
        <v>0</v>
      </c>
      <c r="K1150" s="172" t="b">
        <v>0</v>
      </c>
      <c r="L1150" s="172" t="b">
        <v>0</v>
      </c>
      <c r="M1150" s="172" t="b">
        <v>0</v>
      </c>
      <c r="N1150" s="189"/>
      <c r="O1150" s="189"/>
      <c r="P1150" s="189"/>
    </row>
    <row r="1151" spans="8:8" ht="43.5" customHeight="1">
      <c r="A1151" s="172">
        <v>8.0</v>
      </c>
      <c r="B1151" s="171" t="s">
        <v>4364</v>
      </c>
      <c r="C1151" s="172">
        <v>241264.0</v>
      </c>
      <c r="D1151" s="171" t="s">
        <v>4859</v>
      </c>
      <c r="E1151" s="172" t="s">
        <v>781</v>
      </c>
      <c r="F1151" s="172" t="b">
        <v>0</v>
      </c>
      <c r="G1151" s="172" t="b">
        <v>0</v>
      </c>
      <c r="H1151" s="172" t="b">
        <v>1</v>
      </c>
      <c r="I1151" s="172" t="b">
        <v>0</v>
      </c>
      <c r="J1151" s="172" t="b">
        <v>0</v>
      </c>
      <c r="K1151" s="172" t="b">
        <v>0</v>
      </c>
      <c r="L1151" s="172" t="b">
        <v>0</v>
      </c>
      <c r="M1151" s="172" t="b">
        <v>0</v>
      </c>
      <c r="N1151" s="189"/>
      <c r="O1151" s="189"/>
      <c r="P1151" s="189"/>
    </row>
    <row r="1152" spans="8:8" ht="43.5" customHeight="1">
      <c r="A1152" s="172">
        <v>9.0</v>
      </c>
      <c r="B1152" s="181" t="s">
        <v>980</v>
      </c>
      <c r="C1152" s="97">
        <v>240789.0</v>
      </c>
      <c r="D1152" s="171" t="s">
        <v>4883</v>
      </c>
      <c r="E1152" s="172" t="s">
        <v>781</v>
      </c>
      <c r="F1152" s="172" t="b">
        <v>0</v>
      </c>
      <c r="G1152" s="172" t="b">
        <v>1</v>
      </c>
      <c r="H1152" s="172" t="b">
        <v>1</v>
      </c>
      <c r="I1152" s="172" t="b">
        <v>0</v>
      </c>
      <c r="J1152" s="172" t="b">
        <v>0</v>
      </c>
      <c r="K1152" s="172" t="b">
        <v>0</v>
      </c>
      <c r="L1152" s="172" t="b">
        <v>0</v>
      </c>
      <c r="M1152" s="172" t="b">
        <v>0</v>
      </c>
      <c r="N1152" s="97"/>
      <c r="O1152" s="97"/>
      <c r="P1152" s="97"/>
      <c r="Q1152" s="174"/>
    </row>
    <row r="1153" spans="8:8" ht="43.5" customHeight="1">
      <c r="A1153" s="172">
        <v>10.0</v>
      </c>
      <c r="B1153" s="171" t="s">
        <v>4365</v>
      </c>
      <c r="C1153" s="172">
        <v>251700.0</v>
      </c>
      <c r="D1153" s="171" t="s">
        <v>4843</v>
      </c>
      <c r="E1153" s="172" t="s">
        <v>781</v>
      </c>
      <c r="F1153" s="172" t="b">
        <v>0</v>
      </c>
      <c r="G1153" s="172" t="b">
        <v>1</v>
      </c>
      <c r="H1153" s="172" t="b">
        <v>1</v>
      </c>
      <c r="I1153" s="172" t="b">
        <v>0</v>
      </c>
      <c r="J1153" s="172" t="b">
        <v>0</v>
      </c>
      <c r="K1153" s="172" t="b">
        <v>0</v>
      </c>
      <c r="L1153" s="172" t="b">
        <v>0</v>
      </c>
      <c r="M1153" s="172" t="b">
        <v>0</v>
      </c>
      <c r="N1153" s="97"/>
      <c r="O1153" s="97"/>
      <c r="P1153" s="97"/>
      <c r="Q1153" s="174"/>
    </row>
    <row r="1154" spans="8:8" ht="43.5" customHeight="1">
      <c r="A1154" s="172">
        <v>11.0</v>
      </c>
      <c r="B1154" s="171" t="s">
        <v>4366</v>
      </c>
      <c r="C1154" s="172">
        <v>251522.0</v>
      </c>
      <c r="D1154" s="171" t="s">
        <v>4814</v>
      </c>
      <c r="E1154" s="97" t="s">
        <v>781</v>
      </c>
      <c r="F1154" s="172" t="b">
        <v>1</v>
      </c>
      <c r="G1154" s="172" t="b">
        <v>0</v>
      </c>
      <c r="H1154" s="172" t="b">
        <v>1</v>
      </c>
      <c r="I1154" s="172" t="b">
        <v>0</v>
      </c>
      <c r="J1154" s="172" t="b">
        <v>0</v>
      </c>
      <c r="K1154" s="172" t="b">
        <v>0</v>
      </c>
      <c r="L1154" s="172" t="b">
        <v>0</v>
      </c>
      <c r="M1154" s="172" t="b">
        <v>0</v>
      </c>
      <c r="N1154" s="97"/>
      <c r="O1154" s="97"/>
      <c r="P1154" s="97"/>
      <c r="Q1154" s="174"/>
    </row>
    <row r="1155" spans="8:8" ht="43.5" customHeight="1">
      <c r="A1155" s="172">
        <v>12.0</v>
      </c>
      <c r="B1155" s="171" t="s">
        <v>4367</v>
      </c>
      <c r="C1155" s="172">
        <v>241626.0</v>
      </c>
      <c r="D1155" s="171" t="s">
        <v>4857</v>
      </c>
      <c r="E1155" s="172" t="s">
        <v>781</v>
      </c>
      <c r="F1155" s="172" t="b">
        <v>0</v>
      </c>
      <c r="G1155" s="172" t="b">
        <v>1</v>
      </c>
      <c r="H1155" s="172" t="b">
        <v>0</v>
      </c>
      <c r="I1155" s="172" t="b">
        <v>0</v>
      </c>
      <c r="J1155" s="172" t="b">
        <v>0</v>
      </c>
      <c r="K1155" s="172" t="b">
        <v>0</v>
      </c>
      <c r="L1155" s="172" t="b">
        <v>0</v>
      </c>
      <c r="M1155" s="172" t="b">
        <v>0</v>
      </c>
      <c r="N1155" s="97"/>
      <c r="O1155" s="97"/>
      <c r="P1155" s="97"/>
      <c r="Q1155" s="174"/>
    </row>
    <row r="1156" spans="8:8" ht="43.5" customHeight="1">
      <c r="A1156" s="172">
        <v>13.0</v>
      </c>
      <c r="B1156" s="171" t="s">
        <v>4368</v>
      </c>
      <c r="C1156" s="172">
        <v>241666.0</v>
      </c>
      <c r="D1156" s="171" t="s">
        <v>4857</v>
      </c>
      <c r="E1156" s="172" t="s">
        <v>781</v>
      </c>
      <c r="F1156" s="172" t="b">
        <v>0</v>
      </c>
      <c r="G1156" s="172" t="b">
        <v>0</v>
      </c>
      <c r="H1156" s="172" t="b">
        <v>1</v>
      </c>
      <c r="I1156" s="172" t="b">
        <v>0</v>
      </c>
      <c r="J1156" s="172" t="b">
        <v>0</v>
      </c>
      <c r="K1156" s="172" t="b">
        <v>0</v>
      </c>
      <c r="L1156" s="172" t="b">
        <v>0</v>
      </c>
      <c r="M1156" s="172" t="b">
        <v>0</v>
      </c>
      <c r="N1156" s="97"/>
      <c r="O1156" s="97"/>
      <c r="P1156" s="97"/>
      <c r="Q1156" s="174"/>
    </row>
    <row r="1157" spans="8:8" ht="43.5" customHeight="1">
      <c r="A1157" s="172">
        <v>14.0</v>
      </c>
      <c r="B1157" s="171" t="s">
        <v>4369</v>
      </c>
      <c r="C1157" s="172">
        <v>241901.0</v>
      </c>
      <c r="D1157" s="171" t="s">
        <v>4857</v>
      </c>
      <c r="E1157" s="172" t="s">
        <v>781</v>
      </c>
      <c r="F1157" s="172" t="b">
        <v>0</v>
      </c>
      <c r="G1157" s="172" t="b">
        <v>0</v>
      </c>
      <c r="H1157" s="172" t="b">
        <v>1</v>
      </c>
      <c r="I1157" s="172" t="b">
        <v>0</v>
      </c>
      <c r="J1157" s="172" t="b">
        <v>0</v>
      </c>
      <c r="K1157" s="172" t="b">
        <v>0</v>
      </c>
      <c r="L1157" s="172" t="b">
        <v>0</v>
      </c>
      <c r="M1157" s="172" t="b">
        <v>0</v>
      </c>
      <c r="N1157" s="97"/>
      <c r="O1157" s="97"/>
      <c r="P1157" s="97"/>
      <c r="Q1157" s="174"/>
    </row>
    <row r="1158" spans="8:8" ht="43.5" customHeight="1">
      <c r="A1158" s="172">
        <v>15.0</v>
      </c>
      <c r="B1158" s="171" t="s">
        <v>4370</v>
      </c>
      <c r="C1158" s="172">
        <v>241611.0</v>
      </c>
      <c r="D1158" s="171" t="s">
        <v>4857</v>
      </c>
      <c r="E1158" s="172" t="s">
        <v>781</v>
      </c>
      <c r="F1158" s="172" t="b">
        <v>0</v>
      </c>
      <c r="G1158" s="172" t="b">
        <v>1</v>
      </c>
      <c r="H1158" s="172" t="b">
        <v>0</v>
      </c>
      <c r="I1158" s="172" t="b">
        <v>0</v>
      </c>
      <c r="J1158" s="172" t="b">
        <v>0</v>
      </c>
      <c r="K1158" s="172" t="b">
        <v>0</v>
      </c>
      <c r="L1158" s="172" t="b">
        <v>0</v>
      </c>
      <c r="M1158" s="172" t="b">
        <v>0</v>
      </c>
      <c r="N1158" s="97"/>
      <c r="O1158" s="97"/>
      <c r="P1158" s="97"/>
      <c r="Q1158" s="174"/>
    </row>
    <row r="1159" spans="8:8" ht="43.5" customHeight="1">
      <c r="A1159" s="189"/>
      <c r="B1159" s="191" t="s">
        <v>951</v>
      </c>
      <c r="C1159" s="190">
        <v>240978.0</v>
      </c>
      <c r="D1159" s="191" t="s">
        <v>606</v>
      </c>
      <c r="E1159" s="190" t="s">
        <v>781</v>
      </c>
      <c r="F1159" s="177" t="b">
        <v>1</v>
      </c>
      <c r="G1159" s="190" t="b">
        <v>1</v>
      </c>
      <c r="H1159" s="190" t="b">
        <v>0</v>
      </c>
      <c r="I1159" s="190" t="b">
        <v>0</v>
      </c>
      <c r="J1159" s="190" t="b">
        <v>0</v>
      </c>
      <c r="K1159" s="190" t="b">
        <v>0</v>
      </c>
      <c r="L1159" s="190" t="b">
        <v>0</v>
      </c>
      <c r="M1159" s="190" t="b">
        <v>0</v>
      </c>
      <c r="N1159" s="97"/>
      <c r="O1159" s="97"/>
      <c r="P1159" s="97"/>
      <c r="Q1159" s="174"/>
    </row>
    <row r="1160" spans="8:8" ht="43.5" customHeight="1">
      <c r="A1160" s="172">
        <v>17.0</v>
      </c>
      <c r="B1160" s="171" t="s">
        <v>4371</v>
      </c>
      <c r="C1160" s="172">
        <v>241623.0</v>
      </c>
      <c r="D1160" s="171" t="s">
        <v>4857</v>
      </c>
      <c r="E1160" s="172" t="s">
        <v>781</v>
      </c>
      <c r="F1160" s="172" t="b">
        <v>0</v>
      </c>
      <c r="G1160" s="172" t="b">
        <v>1</v>
      </c>
      <c r="H1160" s="172" t="b">
        <v>1</v>
      </c>
      <c r="I1160" s="172" t="b">
        <v>0</v>
      </c>
      <c r="J1160" s="172" t="b">
        <v>0</v>
      </c>
      <c r="K1160" s="172" t="b">
        <v>0</v>
      </c>
      <c r="L1160" s="172" t="b">
        <v>0</v>
      </c>
      <c r="M1160" s="172" t="b">
        <v>0</v>
      </c>
      <c r="N1160" s="97"/>
      <c r="O1160" s="97"/>
      <c r="P1160" s="97"/>
      <c r="Q1160" s="174"/>
    </row>
    <row r="1161" spans="8:8" ht="43.5" customHeight="1">
      <c r="A1161" s="189"/>
      <c r="B1161" s="96" t="s">
        <v>4372</v>
      </c>
      <c r="C1161" s="177">
        <v>240243.0</v>
      </c>
      <c r="D1161" s="96" t="s">
        <v>2932</v>
      </c>
      <c r="E1161" s="177" t="s">
        <v>781</v>
      </c>
      <c r="F1161" s="177" t="b">
        <v>0</v>
      </c>
      <c r="G1161" s="177" t="b">
        <v>1</v>
      </c>
      <c r="H1161" s="177" t="b">
        <v>1</v>
      </c>
      <c r="I1161" s="177" t="b">
        <v>0</v>
      </c>
      <c r="J1161" s="177" t="b">
        <v>0</v>
      </c>
      <c r="K1161" s="177" t="b">
        <v>0</v>
      </c>
      <c r="L1161" s="177" t="b">
        <v>0</v>
      </c>
      <c r="M1161" s="177" t="b">
        <v>0</v>
      </c>
      <c r="N1161" s="97"/>
      <c r="O1161" s="97"/>
      <c r="P1161" s="97"/>
      <c r="Q1161" s="174"/>
    </row>
    <row r="1162" spans="8:8" ht="43.5" customHeight="1">
      <c r="A1162" s="172">
        <v>19.0</v>
      </c>
      <c r="B1162" s="171" t="s">
        <v>4373</v>
      </c>
      <c r="C1162" s="172">
        <v>241295.0</v>
      </c>
      <c r="D1162" s="171" t="s">
        <v>4856</v>
      </c>
      <c r="E1162" s="172" t="s">
        <v>781</v>
      </c>
      <c r="F1162" s="172" t="b">
        <v>0</v>
      </c>
      <c r="G1162" s="172" t="b">
        <v>0</v>
      </c>
      <c r="H1162" s="172" t="b">
        <v>1</v>
      </c>
      <c r="I1162" s="172" t="b">
        <v>0</v>
      </c>
      <c r="J1162" s="172" t="b">
        <v>0</v>
      </c>
      <c r="K1162" s="172" t="b">
        <v>0</v>
      </c>
      <c r="L1162" s="172" t="b">
        <v>0</v>
      </c>
      <c r="M1162" s="172" t="b">
        <v>0</v>
      </c>
      <c r="N1162" s="97"/>
      <c r="O1162" s="97"/>
      <c r="P1162" s="97"/>
      <c r="Q1162" s="174"/>
    </row>
    <row r="1163" spans="8:8" ht="43.5" customHeight="1">
      <c r="A1163" s="172">
        <v>20.0</v>
      </c>
      <c r="B1163" s="171" t="s">
        <v>4374</v>
      </c>
      <c r="C1163" s="172">
        <v>241658.0</v>
      </c>
      <c r="D1163" s="171" t="s">
        <v>4857</v>
      </c>
      <c r="E1163" s="172" t="s">
        <v>781</v>
      </c>
      <c r="F1163" s="172" t="b">
        <v>0</v>
      </c>
      <c r="G1163" s="172" t="b">
        <v>0</v>
      </c>
      <c r="H1163" s="172" t="b">
        <v>1</v>
      </c>
      <c r="I1163" s="172" t="b">
        <v>0</v>
      </c>
      <c r="J1163" s="172" t="b">
        <v>0</v>
      </c>
      <c r="K1163" s="172" t="b">
        <v>0</v>
      </c>
      <c r="L1163" s="172" t="b">
        <v>0</v>
      </c>
      <c r="M1163" s="172" t="b">
        <v>0</v>
      </c>
      <c r="N1163" s="97"/>
      <c r="O1163" s="97"/>
      <c r="P1163" s="97"/>
      <c r="Q1163" s="174"/>
    </row>
    <row r="1164" spans="8:8" ht="43.5" customHeight="1">
      <c r="A1164" s="172">
        <v>21.0</v>
      </c>
      <c r="B1164" s="171" t="s">
        <v>922</v>
      </c>
      <c r="C1164" s="172">
        <v>240683.0</v>
      </c>
      <c r="D1164" s="171" t="s">
        <v>606</v>
      </c>
      <c r="E1164" s="172" t="s">
        <v>781</v>
      </c>
      <c r="F1164" s="172" t="b">
        <v>0</v>
      </c>
      <c r="G1164" s="172" t="b">
        <v>0</v>
      </c>
      <c r="H1164" s="172" t="b">
        <v>0</v>
      </c>
      <c r="I1164" s="172" t="b">
        <v>0</v>
      </c>
      <c r="J1164" s="172" t="b">
        <v>0</v>
      </c>
      <c r="K1164" s="172" t="b">
        <v>0</v>
      </c>
      <c r="L1164" s="172" t="b">
        <v>0</v>
      </c>
      <c r="M1164" s="172" t="b">
        <v>0</v>
      </c>
      <c r="N1164" s="177"/>
      <c r="O1164" s="177"/>
      <c r="P1164" s="97"/>
      <c r="Q1164" s="174"/>
    </row>
    <row r="1165" spans="8:8" ht="43.5" customHeight="1">
      <c r="A1165" s="172">
        <v>22.0</v>
      </c>
      <c r="B1165" s="182" t="s">
        <v>4815</v>
      </c>
      <c r="C1165" s="97"/>
      <c r="D1165" s="97"/>
      <c r="E1165" s="183"/>
      <c r="F1165" s="184">
        <f t="shared" si="43" ref="F1165:M1165">COUNTIF(F1138:F1147,TRUE)/COUNTA(F1138:F1147)</f>
        <v>0.1</v>
      </c>
      <c r="G1165" s="184">
        <f t="shared" si="43"/>
        <v>0.6</v>
      </c>
      <c r="H1165" s="184">
        <f t="shared" si="43"/>
        <v>0.7777777777777778</v>
      </c>
      <c r="I1165" s="184">
        <f t="shared" si="43"/>
        <v>0.0</v>
      </c>
      <c r="J1165" s="184">
        <f t="shared" si="43"/>
        <v>0.0</v>
      </c>
      <c r="K1165" s="184">
        <f t="shared" si="43"/>
        <v>0.0</v>
      </c>
      <c r="L1165" s="184">
        <f t="shared" si="43"/>
        <v>0.0</v>
      </c>
      <c r="M1165" s="184">
        <f t="shared" si="43"/>
        <v>0.0</v>
      </c>
      <c r="N1165" s="177"/>
      <c r="O1165" s="177"/>
      <c r="P1165" s="97"/>
      <c r="Q1165" s="174"/>
    </row>
    <row r="1166" spans="8:8" ht="43.5" customHeight="1">
      <c r="A1166" s="172">
        <v>23.0</v>
      </c>
      <c r="B1166" s="162" t="s">
        <v>19</v>
      </c>
      <c r="C1166" s="163"/>
      <c r="D1166" s="162" t="s">
        <v>4530</v>
      </c>
      <c r="E1166" s="162" t="s">
        <v>22</v>
      </c>
      <c r="F1166" s="163" t="s">
        <v>4794</v>
      </c>
      <c r="G1166" s="163" t="s">
        <v>4795</v>
      </c>
      <c r="H1166" s="163" t="s">
        <v>4796</v>
      </c>
      <c r="I1166" s="163" t="s">
        <v>4797</v>
      </c>
      <c r="J1166" s="163" t="s">
        <v>4798</v>
      </c>
      <c r="K1166" s="163" t="s">
        <v>4799</v>
      </c>
      <c r="L1166" s="163" t="s">
        <v>4800</v>
      </c>
      <c r="M1166" s="163" t="s">
        <v>4801</v>
      </c>
      <c r="N1166" s="166" t="s">
        <v>4953</v>
      </c>
      <c r="O1166" s="167"/>
      <c r="P1166" s="168"/>
      <c r="Q1166" s="169"/>
    </row>
    <row r="1167" spans="8:8" ht="43.5" customHeight="1">
      <c r="A1167" s="172">
        <v>24.0</v>
      </c>
      <c r="B1167" s="171" t="s">
        <v>4382</v>
      </c>
      <c r="C1167" s="172">
        <v>251701.0</v>
      </c>
      <c r="D1167" s="171" t="s">
        <v>4843</v>
      </c>
      <c r="E1167" s="172" t="s">
        <v>1645</v>
      </c>
      <c r="F1167" s="172" t="b">
        <v>1</v>
      </c>
      <c r="G1167" s="172" t="b">
        <v>1</v>
      </c>
      <c r="H1167" s="172" t="b">
        <v>1</v>
      </c>
      <c r="I1167" s="172" t="b">
        <v>0</v>
      </c>
      <c r="J1167" s="172" t="b">
        <v>0</v>
      </c>
      <c r="K1167" s="172" t="b">
        <v>0</v>
      </c>
      <c r="L1167" s="172" t="b">
        <v>0</v>
      </c>
      <c r="M1167" s="172" t="b">
        <v>0</v>
      </c>
      <c r="N1167" s="173" t="s">
        <v>4804</v>
      </c>
      <c r="O1167" s="167"/>
      <c r="P1167" s="168"/>
      <c r="Q1167" s="174"/>
    </row>
    <row r="1168" spans="8:8" ht="43.5" customHeight="1">
      <c r="A1168" s="172">
        <v>25.0</v>
      </c>
      <c r="B1168" s="171" t="s">
        <v>4383</v>
      </c>
      <c r="C1168" s="172">
        <v>251702.0</v>
      </c>
      <c r="D1168" s="171" t="s">
        <v>4843</v>
      </c>
      <c r="E1168" s="172" t="s">
        <v>1645</v>
      </c>
      <c r="F1168" s="172" t="b">
        <v>1</v>
      </c>
      <c r="G1168" s="172" t="b">
        <v>1</v>
      </c>
      <c r="H1168" s="172" t="b">
        <v>1</v>
      </c>
      <c r="I1168" s="172" t="b">
        <v>0</v>
      </c>
      <c r="J1168" s="172" t="b">
        <v>0</v>
      </c>
      <c r="K1168" s="172" t="b">
        <v>0</v>
      </c>
      <c r="L1168" s="172" t="b">
        <v>0</v>
      </c>
      <c r="M1168" s="172" t="b">
        <v>0</v>
      </c>
      <c r="N1168" s="175" t="s">
        <v>4805</v>
      </c>
      <c r="O1168" s="176" t="s">
        <v>4806</v>
      </c>
      <c r="P1168" s="97" t="s">
        <v>4807</v>
      </c>
      <c r="Q1168" s="174"/>
    </row>
    <row r="1169" spans="8:8" ht="43.5" customHeight="1">
      <c r="A1169" s="172">
        <v>26.0</v>
      </c>
      <c r="B1169" s="171" t="s">
        <v>4384</v>
      </c>
      <c r="C1169" s="172">
        <v>241287.0</v>
      </c>
      <c r="D1169" s="171" t="s">
        <v>4859</v>
      </c>
      <c r="E1169" s="172" t="s">
        <v>1645</v>
      </c>
      <c r="F1169" s="172" t="b">
        <v>0</v>
      </c>
      <c r="G1169" s="172" t="b">
        <v>1</v>
      </c>
      <c r="H1169" s="172" t="b">
        <v>1</v>
      </c>
      <c r="I1169" s="172" t="b">
        <v>0</v>
      </c>
      <c r="J1169" s="172" t="b">
        <v>0</v>
      </c>
      <c r="K1169" s="172" t="b">
        <v>0</v>
      </c>
      <c r="L1169" s="172" t="b">
        <v>0</v>
      </c>
      <c r="M1169" s="172" t="b">
        <v>0</v>
      </c>
      <c r="N1169" s="97" t="s">
        <v>4794</v>
      </c>
      <c r="O1169" s="172" t="b">
        <v>1</v>
      </c>
      <c r="P1169" s="97" t="s">
        <v>4954</v>
      </c>
      <c r="Q1169" s="174"/>
    </row>
    <row r="1170" spans="8:8" ht="43.5" customHeight="1">
      <c r="A1170" s="172">
        <v>27.0</v>
      </c>
      <c r="B1170" s="171" t="s">
        <v>4399</v>
      </c>
      <c r="C1170" s="172">
        <v>241532.0</v>
      </c>
      <c r="D1170" s="171" t="s">
        <v>4851</v>
      </c>
      <c r="E1170" s="172" t="s">
        <v>1645</v>
      </c>
      <c r="F1170" s="172" t="b">
        <v>0</v>
      </c>
      <c r="G1170" s="172" t="b">
        <v>0</v>
      </c>
      <c r="H1170" s="172" t="b">
        <v>0</v>
      </c>
      <c r="I1170" s="172" t="b">
        <v>0</v>
      </c>
      <c r="J1170" s="172" t="b">
        <v>0</v>
      </c>
      <c r="K1170" s="172" t="b">
        <v>0</v>
      </c>
      <c r="L1170" s="172" t="b">
        <v>0</v>
      </c>
      <c r="M1170" s="172" t="b">
        <v>0</v>
      </c>
      <c r="N1170" s="97" t="s">
        <v>4795</v>
      </c>
      <c r="O1170" s="172" t="b">
        <v>1</v>
      </c>
      <c r="P1170" s="97" t="s">
        <v>4886</v>
      </c>
      <c r="Q1170" s="174"/>
    </row>
    <row r="1171" spans="8:8" ht="43.5" customHeight="1">
      <c r="A1171" s="172">
        <v>28.0</v>
      </c>
      <c r="B1171" s="171" t="s">
        <v>4398</v>
      </c>
      <c r="C1171" s="172">
        <v>241558.0</v>
      </c>
      <c r="D1171" s="171" t="s">
        <v>4851</v>
      </c>
      <c r="E1171" s="172" t="s">
        <v>1645</v>
      </c>
      <c r="F1171" s="172" t="b">
        <v>0</v>
      </c>
      <c r="G1171" s="172" t="b">
        <v>0</v>
      </c>
      <c r="H1171" s="172" t="b">
        <v>0</v>
      </c>
      <c r="I1171" s="172" t="b">
        <v>0</v>
      </c>
      <c r="J1171" s="172" t="b">
        <v>0</v>
      </c>
      <c r="K1171" s="172" t="b">
        <v>0</v>
      </c>
      <c r="L1171" s="172" t="b">
        <v>0</v>
      </c>
      <c r="M1171" s="172" t="b">
        <v>0</v>
      </c>
      <c r="N1171" s="97" t="s">
        <v>4796</v>
      </c>
      <c r="O1171" s="172" t="b">
        <v>1</v>
      </c>
      <c r="P1171" s="97" t="s">
        <v>4886</v>
      </c>
      <c r="Q1171" s="174"/>
    </row>
    <row r="1172" spans="8:8" ht="43.5" customHeight="1">
      <c r="A1172" s="172">
        <v>29.0</v>
      </c>
      <c r="B1172" s="171" t="s">
        <v>4385</v>
      </c>
      <c r="C1172" s="172">
        <v>241572.0</v>
      </c>
      <c r="D1172" s="171" t="s">
        <v>4851</v>
      </c>
      <c r="E1172" s="172" t="s">
        <v>1645</v>
      </c>
      <c r="F1172" s="172" t="b">
        <v>0</v>
      </c>
      <c r="G1172" s="172" t="b">
        <v>1</v>
      </c>
      <c r="H1172" s="172" t="b">
        <v>0</v>
      </c>
      <c r="I1172" s="172" t="b">
        <v>0</v>
      </c>
      <c r="J1172" s="172" t="b">
        <v>0</v>
      </c>
      <c r="K1172" s="172" t="b">
        <v>0</v>
      </c>
      <c r="L1172" s="172" t="b">
        <v>0</v>
      </c>
      <c r="M1172" s="172" t="b">
        <v>0</v>
      </c>
      <c r="N1172" s="97" t="s">
        <v>4797</v>
      </c>
      <c r="O1172" s="172" t="b">
        <v>0</v>
      </c>
      <c r="P1172" s="97"/>
      <c r="Q1172" s="174"/>
    </row>
    <row r="1173" spans="8:8" ht="43.5" customHeight="1">
      <c r="A1173" s="172">
        <v>30.0</v>
      </c>
      <c r="B1173" s="171" t="s">
        <v>4386</v>
      </c>
      <c r="C1173" s="172">
        <v>241573.0</v>
      </c>
      <c r="D1173" s="171" t="s">
        <v>4851</v>
      </c>
      <c r="E1173" s="172" t="s">
        <v>1645</v>
      </c>
      <c r="F1173" s="172" t="b">
        <v>0</v>
      </c>
      <c r="G1173" s="172" t="b">
        <v>0</v>
      </c>
      <c r="H1173" s="172" t="b">
        <v>1</v>
      </c>
      <c r="I1173" s="172" t="b">
        <v>0</v>
      </c>
      <c r="J1173" s="172" t="b">
        <v>0</v>
      </c>
      <c r="K1173" s="172" t="b">
        <v>0</v>
      </c>
      <c r="L1173" s="172" t="b">
        <v>0</v>
      </c>
      <c r="M1173" s="172" t="b">
        <v>0</v>
      </c>
      <c r="N1173" s="97" t="s">
        <v>4798</v>
      </c>
      <c r="O1173" s="172" t="b">
        <v>0</v>
      </c>
      <c r="P1173" s="97"/>
      <c r="Q1173" s="174"/>
    </row>
    <row r="1174" spans="8:8" ht="43.5" customHeight="1">
      <c r="A1174" s="172">
        <v>31.0</v>
      </c>
      <c r="B1174" s="171" t="s">
        <v>4387</v>
      </c>
      <c r="C1174" s="172">
        <v>241574.0</v>
      </c>
      <c r="D1174" s="171" t="s">
        <v>4851</v>
      </c>
      <c r="E1174" s="172" t="s">
        <v>1645</v>
      </c>
      <c r="F1174" s="172" t="b">
        <v>0</v>
      </c>
      <c r="G1174" s="172" t="b">
        <v>1</v>
      </c>
      <c r="H1174" s="172" t="b">
        <v>1</v>
      </c>
      <c r="I1174" s="172" t="b">
        <v>0</v>
      </c>
      <c r="J1174" s="172" t="b">
        <v>0</v>
      </c>
      <c r="K1174" s="172" t="b">
        <v>0</v>
      </c>
      <c r="L1174" s="172" t="b">
        <v>0</v>
      </c>
      <c r="M1174" s="172" t="b">
        <v>0</v>
      </c>
      <c r="N1174" s="97" t="s">
        <v>4799</v>
      </c>
      <c r="O1174" s="172" t="b">
        <v>0</v>
      </c>
      <c r="P1174" s="97"/>
      <c r="Q1174" s="174"/>
    </row>
    <row r="1175" spans="8:8" ht="43.5" customHeight="1">
      <c r="A1175" s="170">
        <v>32.0</v>
      </c>
      <c r="B1175" s="171" t="s">
        <v>4397</v>
      </c>
      <c r="C1175" s="172">
        <v>241576.0</v>
      </c>
      <c r="D1175" s="171" t="s">
        <v>4851</v>
      </c>
      <c r="E1175" s="172" t="s">
        <v>1645</v>
      </c>
      <c r="F1175" s="172" t="b">
        <v>0</v>
      </c>
      <c r="G1175" s="172" t="b">
        <v>0</v>
      </c>
      <c r="H1175" s="172" t="b">
        <v>1</v>
      </c>
      <c r="I1175" s="172" t="b">
        <v>0</v>
      </c>
      <c r="J1175" s="172" t="b">
        <v>0</v>
      </c>
      <c r="K1175" s="172" t="b">
        <v>0</v>
      </c>
      <c r="L1175" s="172" t="b">
        <v>0</v>
      </c>
      <c r="M1175" s="172" t="b">
        <v>0</v>
      </c>
      <c r="N1175" s="97" t="s">
        <v>4800</v>
      </c>
      <c r="O1175" s="172" t="b">
        <v>0</v>
      </c>
      <c r="P1175" s="97"/>
      <c r="Q1175" s="174"/>
    </row>
    <row r="1176" spans="8:8" ht="43.5" customHeight="1">
      <c r="A1176" s="177">
        <v>25.0</v>
      </c>
      <c r="B1176" s="171" t="s">
        <v>4388</v>
      </c>
      <c r="C1176" s="172">
        <v>241581.0</v>
      </c>
      <c r="D1176" s="171" t="s">
        <v>4851</v>
      </c>
      <c r="E1176" s="172" t="s">
        <v>1645</v>
      </c>
      <c r="F1176" s="172" t="b">
        <v>1</v>
      </c>
      <c r="G1176" s="172" t="b">
        <v>1</v>
      </c>
      <c r="H1176" s="172" t="b">
        <v>1</v>
      </c>
      <c r="I1176" s="172" t="b">
        <v>0</v>
      </c>
      <c r="J1176" s="172" t="b">
        <v>0</v>
      </c>
      <c r="K1176" s="172" t="b">
        <v>0</v>
      </c>
      <c r="L1176" s="172" t="b">
        <v>0</v>
      </c>
      <c r="M1176" s="172" t="b">
        <v>0</v>
      </c>
      <c r="N1176" s="97" t="s">
        <v>4801</v>
      </c>
      <c r="O1176" s="172" t="b">
        <v>0</v>
      </c>
      <c r="P1176" s="97"/>
      <c r="Q1176" s="174"/>
    </row>
    <row r="1177" spans="8:8" ht="43.5" customHeight="1">
      <c r="A1177" s="170" t="b">
        <v>1</v>
      </c>
      <c r="B1177" s="171" t="s">
        <v>4389</v>
      </c>
      <c r="C1177" s="172">
        <v>241595.0</v>
      </c>
      <c r="D1177" s="171" t="s">
        <v>4851</v>
      </c>
      <c r="E1177" s="172" t="s">
        <v>1645</v>
      </c>
      <c r="F1177" s="172" t="b">
        <v>0</v>
      </c>
      <c r="G1177" s="172" t="b">
        <v>1</v>
      </c>
      <c r="H1177" s="172" t="b">
        <v>0</v>
      </c>
      <c r="I1177" s="172" t="b">
        <v>0</v>
      </c>
      <c r="J1177" s="172" t="b">
        <v>0</v>
      </c>
      <c r="K1177" s="172" t="b">
        <v>0</v>
      </c>
      <c r="L1177" s="172" t="b">
        <v>0</v>
      </c>
      <c r="M1177" s="172" t="b">
        <v>0</v>
      </c>
      <c r="N1177" s="97"/>
      <c r="O1177" s="97"/>
      <c r="P1177" s="97"/>
      <c r="Q1177" s="174"/>
    </row>
    <row r="1178" spans="8:8" ht="43.5" customHeight="1">
      <c r="A1178" s="170">
        <v>1.0</v>
      </c>
      <c r="B1178" s="171" t="s">
        <v>4390</v>
      </c>
      <c r="C1178" s="172">
        <v>241606.0</v>
      </c>
      <c r="D1178" s="171" t="s">
        <v>4857</v>
      </c>
      <c r="E1178" s="172" t="s">
        <v>1645</v>
      </c>
      <c r="F1178" s="172" t="b">
        <v>0</v>
      </c>
      <c r="G1178" s="172" t="b">
        <v>0</v>
      </c>
      <c r="H1178" s="172" t="b">
        <v>1</v>
      </c>
      <c r="I1178" s="172" t="b">
        <v>0</v>
      </c>
      <c r="J1178" s="172" t="b">
        <v>0</v>
      </c>
      <c r="K1178" s="172" t="b">
        <v>0</v>
      </c>
      <c r="L1178" s="172" t="b">
        <v>0</v>
      </c>
      <c r="M1178" s="172" t="b">
        <v>0</v>
      </c>
      <c r="N1178" s="97"/>
      <c r="O1178" s="97"/>
      <c r="P1178" s="97"/>
      <c r="Q1178" s="174"/>
    </row>
    <row r="1179" spans="8:8" ht="43.5" customHeight="1">
      <c r="A1179" s="172">
        <v>16.0</v>
      </c>
      <c r="B1179" s="171" t="s">
        <v>4391</v>
      </c>
      <c r="C1179" s="172">
        <v>241643.0</v>
      </c>
      <c r="D1179" s="171" t="s">
        <v>4857</v>
      </c>
      <c r="E1179" s="172" t="s">
        <v>1645</v>
      </c>
      <c r="F1179" s="172" t="b">
        <v>0</v>
      </c>
      <c r="G1179" s="172" t="b">
        <v>0</v>
      </c>
      <c r="H1179" s="172" t="b">
        <v>1</v>
      </c>
      <c r="I1179" s="172" t="b">
        <v>0</v>
      </c>
      <c r="J1179" s="172" t="b">
        <v>0</v>
      </c>
      <c r="K1179" s="172" t="b">
        <v>0</v>
      </c>
      <c r="L1179" s="172" t="b">
        <v>0</v>
      </c>
      <c r="M1179" s="172" t="b">
        <v>0</v>
      </c>
      <c r="N1179" s="97"/>
      <c r="O1179" s="97"/>
      <c r="P1179" s="97"/>
      <c r="Q1179" s="174"/>
    </row>
    <row r="1180" spans="8:8" ht="43.5" customHeight="1">
      <c r="A1180" s="97"/>
      <c r="B1180" s="171" t="s">
        <v>4392</v>
      </c>
      <c r="C1180" s="172">
        <v>241653.0</v>
      </c>
      <c r="D1180" s="171" t="s">
        <v>4857</v>
      </c>
      <c r="E1180" s="172" t="s">
        <v>1645</v>
      </c>
      <c r="F1180" s="172" t="b">
        <v>0</v>
      </c>
      <c r="G1180" s="172" t="b">
        <v>0</v>
      </c>
      <c r="H1180" s="172" t="b">
        <v>1</v>
      </c>
      <c r="I1180" s="172" t="b">
        <v>0</v>
      </c>
      <c r="J1180" s="172" t="b">
        <v>0</v>
      </c>
      <c r="K1180" s="172" t="b">
        <v>0</v>
      </c>
      <c r="L1180" s="172" t="b">
        <v>0</v>
      </c>
      <c r="M1180" s="172" t="b">
        <v>0</v>
      </c>
      <c r="N1180" s="97"/>
      <c r="O1180" s="97"/>
      <c r="P1180" s="97"/>
      <c r="Q1180" s="174"/>
    </row>
    <row r="1181" spans="8:8" ht="43.5" customHeight="1">
      <c r="A1181" s="162" t="s">
        <v>18</v>
      </c>
      <c r="B1181" s="182" t="s">
        <v>4815</v>
      </c>
      <c r="C1181" s="97"/>
      <c r="D1181" s="97"/>
      <c r="E1181" s="183"/>
      <c r="F1181" s="184">
        <f t="shared" si="44" ref="F1181:M1181">COUNTIF(F1153:F1170,TRUE)/COUNTA(F1153:F1170)</f>
        <v>0.2222222222222222</v>
      </c>
      <c r="G1181" s="184">
        <f t="shared" si="44"/>
        <v>0.5</v>
      </c>
      <c r="H1181" s="184">
        <f t="shared" si="44"/>
        <v>0.6111111111111112</v>
      </c>
      <c r="I1181" s="184">
        <f t="shared" si="44"/>
        <v>0.0</v>
      </c>
      <c r="J1181" s="184">
        <f t="shared" si="44"/>
        <v>0.0</v>
      </c>
      <c r="K1181" s="184">
        <f t="shared" si="44"/>
        <v>0.0</v>
      </c>
      <c r="L1181" s="184">
        <f t="shared" si="44"/>
        <v>0.0</v>
      </c>
      <c r="M1181" s="184">
        <f t="shared" si="44"/>
        <v>0.0</v>
      </c>
      <c r="N1181" s="97"/>
      <c r="O1181" s="97"/>
      <c r="P1181" s="97"/>
      <c r="Q1181" s="174"/>
    </row>
    <row r="1182" spans="8:8" ht="43.5" customHeight="1">
      <c r="A1182" s="172">
        <v>1.0</v>
      </c>
      <c r="B1182" s="162" t="s">
        <v>19</v>
      </c>
      <c r="C1182" s="163"/>
      <c r="D1182" s="162" t="s">
        <v>4530</v>
      </c>
      <c r="E1182" s="162" t="s">
        <v>22</v>
      </c>
      <c r="F1182" s="163" t="s">
        <v>4794</v>
      </c>
      <c r="G1182" s="163" t="s">
        <v>4795</v>
      </c>
      <c r="H1182" s="163" t="s">
        <v>4796</v>
      </c>
      <c r="I1182" s="163" t="s">
        <v>4797</v>
      </c>
      <c r="J1182" s="163" t="s">
        <v>4798</v>
      </c>
      <c r="K1182" s="163" t="s">
        <v>4799</v>
      </c>
      <c r="L1182" s="163" t="s">
        <v>4800</v>
      </c>
      <c r="M1182" s="163" t="s">
        <v>4801</v>
      </c>
      <c r="N1182" s="195" t="s">
        <v>4955</v>
      </c>
      <c r="O1182" s="167"/>
      <c r="P1182" s="168"/>
      <c r="Q1182" s="196"/>
    </row>
    <row r="1183" spans="8:8" ht="43.5" customHeight="1">
      <c r="A1183" s="172">
        <v>2.0</v>
      </c>
      <c r="B1183" s="171" t="s">
        <v>4400</v>
      </c>
      <c r="C1183" s="172">
        <v>251641.0</v>
      </c>
      <c r="D1183" s="171" t="s">
        <v>4812</v>
      </c>
      <c r="E1183" s="172" t="s">
        <v>1512</v>
      </c>
      <c r="F1183" s="172" t="b">
        <v>0</v>
      </c>
      <c r="G1183" s="172" t="b">
        <v>0</v>
      </c>
      <c r="H1183" s="172" t="b">
        <v>0</v>
      </c>
      <c r="I1183" s="172" t="b">
        <v>0</v>
      </c>
      <c r="J1183" s="172" t="b">
        <v>0</v>
      </c>
      <c r="K1183" s="172" t="b">
        <v>0</v>
      </c>
      <c r="L1183" s="172" t="b">
        <v>0</v>
      </c>
      <c r="M1183" s="172" t="b">
        <v>0</v>
      </c>
      <c r="N1183" s="173" t="s">
        <v>4804</v>
      </c>
      <c r="O1183" s="167"/>
      <c r="P1183" s="168"/>
      <c r="Q1183" s="174"/>
    </row>
    <row r="1184" spans="8:8" ht="43.5" customHeight="1">
      <c r="A1184" s="172">
        <v>3.0</v>
      </c>
      <c r="B1184" s="171" t="s">
        <v>4753</v>
      </c>
      <c r="C1184" s="172">
        <v>251642.0</v>
      </c>
      <c r="D1184" s="171" t="s">
        <v>4812</v>
      </c>
      <c r="E1184" s="172" t="s">
        <v>1512</v>
      </c>
      <c r="F1184" s="172" t="b">
        <v>0</v>
      </c>
      <c r="G1184" s="172" t="b">
        <v>0</v>
      </c>
      <c r="H1184" s="172" t="b">
        <v>0</v>
      </c>
      <c r="I1184" s="172" t="b">
        <v>0</v>
      </c>
      <c r="J1184" s="172" t="b">
        <v>0</v>
      </c>
      <c r="K1184" s="172" t="b">
        <v>0</v>
      </c>
      <c r="L1184" s="172" t="b">
        <v>0</v>
      </c>
      <c r="M1184" s="172" t="b">
        <v>0</v>
      </c>
      <c r="N1184" s="176" t="s">
        <v>4805</v>
      </c>
      <c r="O1184" s="176" t="s">
        <v>4806</v>
      </c>
      <c r="P1184" s="97" t="s">
        <v>4807</v>
      </c>
      <c r="Q1184" s="174"/>
    </row>
    <row r="1185" spans="8:8" ht="43.5" customHeight="1">
      <c r="A1185" s="189"/>
      <c r="B1185" s="171" t="s">
        <v>4754</v>
      </c>
      <c r="C1185" s="172">
        <v>251664.0</v>
      </c>
      <c r="D1185" s="171" t="s">
        <v>4840</v>
      </c>
      <c r="E1185" s="172" t="s">
        <v>1512</v>
      </c>
      <c r="F1185" s="172" t="b">
        <v>0</v>
      </c>
      <c r="G1185" s="172" t="b">
        <v>0</v>
      </c>
      <c r="H1185" s="172" t="b">
        <v>0</v>
      </c>
      <c r="I1185" s="172" t="b">
        <v>0</v>
      </c>
      <c r="J1185" s="172" t="b">
        <v>0</v>
      </c>
      <c r="K1185" s="172" t="b">
        <v>0</v>
      </c>
      <c r="L1185" s="172" t="b">
        <v>0</v>
      </c>
      <c r="M1185" s="172" t="b">
        <v>0</v>
      </c>
      <c r="N1185" s="177" t="s">
        <v>4794</v>
      </c>
      <c r="O1185" s="190" t="b">
        <v>1</v>
      </c>
      <c r="P1185" s="97"/>
      <c r="Q1185" s="174"/>
    </row>
    <row r="1186" spans="8:8" ht="43.5" customHeight="1">
      <c r="A1186" s="189"/>
      <c r="B1186" s="171" t="s">
        <v>4956</v>
      </c>
      <c r="C1186" s="172">
        <v>251674.0</v>
      </c>
      <c r="D1186" s="171" t="s">
        <v>4840</v>
      </c>
      <c r="E1186" s="172" t="s">
        <v>1512</v>
      </c>
      <c r="F1186" s="172" t="b">
        <v>0</v>
      </c>
      <c r="G1186" s="172" t="b">
        <v>0</v>
      </c>
      <c r="H1186" s="172" t="b">
        <v>0</v>
      </c>
      <c r="I1186" s="172" t="b">
        <v>0</v>
      </c>
      <c r="J1186" s="172" t="b">
        <v>0</v>
      </c>
      <c r="K1186" s="172" t="b">
        <v>0</v>
      </c>
      <c r="L1186" s="172" t="b">
        <v>0</v>
      </c>
      <c r="M1186" s="172" t="b">
        <v>0</v>
      </c>
      <c r="N1186" s="177" t="s">
        <v>4795</v>
      </c>
      <c r="O1186" s="190" t="b">
        <v>1</v>
      </c>
      <c r="P1186" s="97"/>
      <c r="Q1186" s="174"/>
    </row>
    <row r="1187" spans="8:8" ht="43.5" customHeight="1">
      <c r="A1187" s="189"/>
      <c r="B1187" s="171" t="s">
        <v>4755</v>
      </c>
      <c r="C1187" s="172">
        <v>252760.0</v>
      </c>
      <c r="D1187" s="171" t="s">
        <v>4957</v>
      </c>
      <c r="E1187" s="172" t="s">
        <v>1512</v>
      </c>
      <c r="F1187" s="172" t="b">
        <v>0</v>
      </c>
      <c r="G1187" s="172" t="b">
        <v>0</v>
      </c>
      <c r="H1187" s="172" t="b">
        <v>0</v>
      </c>
      <c r="I1187" s="172" t="b">
        <v>0</v>
      </c>
      <c r="J1187" s="172" t="b">
        <v>0</v>
      </c>
      <c r="K1187" s="172" t="b">
        <v>0</v>
      </c>
      <c r="L1187" s="172" t="b">
        <v>0</v>
      </c>
      <c r="M1187" s="172" t="b">
        <v>0</v>
      </c>
      <c r="N1187" s="177" t="s">
        <v>4796</v>
      </c>
      <c r="O1187" s="190" t="b">
        <v>1</v>
      </c>
      <c r="P1187" s="97"/>
      <c r="Q1187" s="174"/>
    </row>
    <row r="1188" spans="8:8" ht="43.5" customHeight="1">
      <c r="A1188" s="189"/>
      <c r="B1188" s="171" t="s">
        <v>4756</v>
      </c>
      <c r="C1188" s="172">
        <v>251752.0</v>
      </c>
      <c r="D1188" s="171" t="s">
        <v>4828</v>
      </c>
      <c r="E1188" s="172" t="s">
        <v>1512</v>
      </c>
      <c r="F1188" s="172" t="b">
        <v>0</v>
      </c>
      <c r="G1188" s="172" t="b">
        <v>0</v>
      </c>
      <c r="H1188" s="172" t="b">
        <v>0</v>
      </c>
      <c r="I1188" s="172" t="b">
        <v>0</v>
      </c>
      <c r="J1188" s="172" t="b">
        <v>0</v>
      </c>
      <c r="K1188" s="172" t="b">
        <v>0</v>
      </c>
      <c r="L1188" s="172" t="b">
        <v>0</v>
      </c>
      <c r="M1188" s="172" t="b">
        <v>0</v>
      </c>
      <c r="N1188" s="177" t="s">
        <v>4797</v>
      </c>
      <c r="O1188" s="190" t="b">
        <v>0</v>
      </c>
      <c r="P1188" s="97"/>
      <c r="Q1188" s="174"/>
    </row>
    <row r="1189" spans="8:8" ht="43.5" customHeight="1">
      <c r="A1189" s="172">
        <v>8.0</v>
      </c>
      <c r="B1189" s="181" t="s">
        <v>4401</v>
      </c>
      <c r="C1189" s="97">
        <v>251561.0</v>
      </c>
      <c r="D1189" s="181" t="s">
        <v>4958</v>
      </c>
      <c r="E1189" s="172" t="s">
        <v>1512</v>
      </c>
      <c r="F1189" s="172" t="b">
        <v>0</v>
      </c>
      <c r="G1189" s="172" t="b">
        <v>0</v>
      </c>
      <c r="H1189" s="172" t="b">
        <v>0</v>
      </c>
      <c r="I1189" s="172" t="b">
        <v>0</v>
      </c>
      <c r="J1189" s="172" t="b">
        <v>0</v>
      </c>
      <c r="K1189" s="172" t="b">
        <v>0</v>
      </c>
      <c r="L1189" s="172" t="b">
        <v>0</v>
      </c>
      <c r="M1189" s="172" t="b">
        <v>0</v>
      </c>
      <c r="N1189" s="177" t="s">
        <v>4798</v>
      </c>
      <c r="O1189" s="190" t="b">
        <v>0</v>
      </c>
      <c r="P1189" s="97"/>
      <c r="Q1189" s="174"/>
    </row>
    <row r="1190" spans="8:8" ht="43.5" customHeight="1">
      <c r="A1190" s="189"/>
      <c r="B1190" s="171" t="s">
        <v>4402</v>
      </c>
      <c r="C1190" s="172">
        <v>251442.0</v>
      </c>
      <c r="D1190" s="171" t="s">
        <v>4827</v>
      </c>
      <c r="E1190" s="172" t="s">
        <v>1512</v>
      </c>
      <c r="F1190" s="172" t="b">
        <v>1</v>
      </c>
      <c r="G1190" s="172" t="b">
        <v>1</v>
      </c>
      <c r="H1190" s="172" t="b">
        <v>0</v>
      </c>
      <c r="I1190" s="172" t="b">
        <v>0</v>
      </c>
      <c r="J1190" s="172" t="b">
        <v>0</v>
      </c>
      <c r="K1190" s="172" t="b">
        <v>0</v>
      </c>
      <c r="L1190" s="172" t="b">
        <v>0</v>
      </c>
      <c r="M1190" s="172" t="b">
        <v>0</v>
      </c>
      <c r="N1190" s="177" t="s">
        <v>4799</v>
      </c>
      <c r="O1190" s="190" t="b">
        <v>0</v>
      </c>
      <c r="P1190" s="97"/>
      <c r="Q1190" s="174"/>
    </row>
    <row r="1191" spans="8:8" ht="43.5" customHeight="1">
      <c r="A1191" s="172">
        <v>11.0</v>
      </c>
      <c r="B1191" s="171" t="s">
        <v>4403</v>
      </c>
      <c r="C1191" s="172">
        <v>251491.0</v>
      </c>
      <c r="D1191" s="171" t="s">
        <v>4834</v>
      </c>
      <c r="E1191" s="172" t="s">
        <v>1512</v>
      </c>
      <c r="F1191" s="172" t="b">
        <v>0</v>
      </c>
      <c r="G1191" s="172" t="b">
        <v>0</v>
      </c>
      <c r="H1191" s="172" t="b">
        <v>0</v>
      </c>
      <c r="I1191" s="172" t="b">
        <v>0</v>
      </c>
      <c r="J1191" s="172" t="b">
        <v>0</v>
      </c>
      <c r="K1191" s="172" t="b">
        <v>0</v>
      </c>
      <c r="L1191" s="172" t="b">
        <v>0</v>
      </c>
      <c r="M1191" s="172" t="b">
        <v>0</v>
      </c>
      <c r="N1191" s="177" t="s">
        <v>4800</v>
      </c>
      <c r="O1191" s="190" t="b">
        <v>0</v>
      </c>
      <c r="P1191" s="97"/>
      <c r="Q1191" s="174"/>
    </row>
    <row r="1192" spans="8:8" ht="43.5" customHeight="1">
      <c r="A1192" s="172">
        <v>12.0</v>
      </c>
      <c r="B1192" s="171" t="s">
        <v>4404</v>
      </c>
      <c r="C1192" s="172">
        <v>241951.0</v>
      </c>
      <c r="D1192" s="171" t="s">
        <v>4859</v>
      </c>
      <c r="E1192" s="172" t="s">
        <v>1512</v>
      </c>
      <c r="F1192" s="172" t="b">
        <v>0</v>
      </c>
      <c r="G1192" s="172" t="b">
        <v>0</v>
      </c>
      <c r="H1192" s="172" t="b">
        <v>0</v>
      </c>
      <c r="I1192" s="172" t="b">
        <v>0</v>
      </c>
      <c r="J1192" s="172" t="b">
        <v>0</v>
      </c>
      <c r="K1192" s="172" t="b">
        <v>0</v>
      </c>
      <c r="L1192" s="172" t="b">
        <v>0</v>
      </c>
      <c r="M1192" s="172" t="b">
        <v>0</v>
      </c>
      <c r="N1192" s="177" t="s">
        <v>4801</v>
      </c>
      <c r="O1192" s="190" t="b">
        <v>0</v>
      </c>
      <c r="P1192" s="97"/>
      <c r="Q1192" s="174"/>
    </row>
    <row r="1193" spans="8:8" ht="43.5" customHeight="1">
      <c r="A1193" s="172">
        <v>13.0</v>
      </c>
      <c r="B1193" s="171" t="s">
        <v>4405</v>
      </c>
      <c r="C1193" s="172">
        <v>251639.0</v>
      </c>
      <c r="D1193" s="171" t="s">
        <v>4814</v>
      </c>
      <c r="E1193" s="172" t="s">
        <v>1512</v>
      </c>
      <c r="F1193" s="172" t="b">
        <v>0</v>
      </c>
      <c r="G1193" s="172" t="b">
        <v>0</v>
      </c>
      <c r="H1193" s="172" t="b">
        <v>0</v>
      </c>
      <c r="I1193" s="172" t="b">
        <v>0</v>
      </c>
      <c r="J1193" s="172" t="b">
        <v>0</v>
      </c>
      <c r="K1193" s="172" t="b">
        <v>0</v>
      </c>
      <c r="L1193" s="172" t="b">
        <v>0</v>
      </c>
      <c r="M1193" s="172" t="b">
        <v>0</v>
      </c>
      <c r="N1193" s="97"/>
      <c r="O1193" s="97"/>
      <c r="P1193" s="97"/>
      <c r="Q1193" s="174"/>
    </row>
    <row r="1194" spans="8:8" ht="43.5" customHeight="1">
      <c r="A1194" s="172">
        <v>14.0</v>
      </c>
      <c r="B1194" s="171" t="s">
        <v>4757</v>
      </c>
      <c r="C1194" s="172">
        <v>251495.0</v>
      </c>
      <c r="D1194" s="171" t="s">
        <v>4834</v>
      </c>
      <c r="E1194" s="172" t="s">
        <v>1512</v>
      </c>
      <c r="F1194" s="172" t="b">
        <v>0</v>
      </c>
      <c r="G1194" s="172" t="b">
        <v>0</v>
      </c>
      <c r="H1194" s="172" t="b">
        <v>0</v>
      </c>
      <c r="I1194" s="172" t="b">
        <v>0</v>
      </c>
      <c r="J1194" s="172" t="b">
        <v>0</v>
      </c>
      <c r="K1194" s="172" t="b">
        <v>0</v>
      </c>
      <c r="L1194" s="172" t="b">
        <v>0</v>
      </c>
      <c r="M1194" s="172" t="b">
        <v>0</v>
      </c>
      <c r="N1194" s="97"/>
      <c r="O1194" s="172"/>
      <c r="P1194" s="97"/>
      <c r="Q1194" s="174"/>
    </row>
    <row r="1195" spans="8:8" ht="43.5" customHeight="1">
      <c r="A1195" s="172">
        <v>15.0</v>
      </c>
      <c r="B1195" s="171" t="s">
        <v>4406</v>
      </c>
      <c r="C1195" s="172">
        <v>251474.0</v>
      </c>
      <c r="D1195" s="171" t="s">
        <v>4834</v>
      </c>
      <c r="E1195" s="172" t="s">
        <v>1512</v>
      </c>
      <c r="F1195" s="172" t="b">
        <v>0</v>
      </c>
      <c r="G1195" s="172" t="b">
        <v>0</v>
      </c>
      <c r="H1195" s="172" t="b">
        <v>0</v>
      </c>
      <c r="I1195" s="172" t="b">
        <v>0</v>
      </c>
      <c r="J1195" s="172" t="b">
        <v>0</v>
      </c>
      <c r="K1195" s="172" t="b">
        <v>0</v>
      </c>
      <c r="L1195" s="172" t="b">
        <v>0</v>
      </c>
      <c r="M1195" s="172" t="b">
        <v>0</v>
      </c>
      <c r="N1195" s="97"/>
      <c r="O1195" s="97"/>
      <c r="P1195" s="97"/>
      <c r="Q1195" s="174"/>
    </row>
    <row r="1196" spans="8:8" ht="43.5" customHeight="1">
      <c r="A1196" s="172">
        <v>16.0</v>
      </c>
      <c r="B1196" s="171" t="s">
        <v>4407</v>
      </c>
      <c r="C1196" s="172">
        <v>251493.0</v>
      </c>
      <c r="D1196" s="171" t="s">
        <v>4834</v>
      </c>
      <c r="E1196" s="172" t="s">
        <v>1512</v>
      </c>
      <c r="F1196" s="172" t="b">
        <v>0</v>
      </c>
      <c r="G1196" s="172" t="b">
        <v>1</v>
      </c>
      <c r="H1196" s="172" t="b">
        <v>1</v>
      </c>
      <c r="I1196" s="172" t="b">
        <v>0</v>
      </c>
      <c r="J1196" s="172" t="b">
        <v>0</v>
      </c>
      <c r="K1196" s="172" t="b">
        <v>0</v>
      </c>
      <c r="L1196" s="172" t="b">
        <v>0</v>
      </c>
      <c r="M1196" s="172" t="b">
        <v>0</v>
      </c>
      <c r="N1196" s="97"/>
      <c r="O1196" s="97"/>
      <c r="P1196" s="97"/>
      <c r="Q1196" s="174"/>
    </row>
    <row r="1197" spans="8:8" ht="43.5" customHeight="1">
      <c r="A1197" s="172">
        <v>17.0</v>
      </c>
      <c r="B1197" s="171" t="s">
        <v>4408</v>
      </c>
      <c r="C1197" s="172">
        <v>241281.0</v>
      </c>
      <c r="D1197" s="171" t="s">
        <v>4875</v>
      </c>
      <c r="E1197" s="172" t="s">
        <v>1512</v>
      </c>
      <c r="F1197" s="172" t="b">
        <v>0</v>
      </c>
      <c r="G1197" s="172" t="b">
        <v>0</v>
      </c>
      <c r="H1197" s="172" t="b">
        <v>0</v>
      </c>
      <c r="I1197" s="172" t="b">
        <v>0</v>
      </c>
      <c r="J1197" s="172" t="b">
        <v>0</v>
      </c>
      <c r="K1197" s="172" t="b">
        <v>0</v>
      </c>
      <c r="L1197" s="172" t="b">
        <v>0</v>
      </c>
      <c r="M1197" s="172" t="b">
        <v>0</v>
      </c>
      <c r="N1197" s="97"/>
      <c r="O1197" s="97"/>
      <c r="P1197" s="97"/>
      <c r="Q1197" s="174"/>
    </row>
    <row r="1198" spans="8:8" ht="43.5" customHeight="1">
      <c r="A1198" s="170" t="b">
        <v>1</v>
      </c>
      <c r="B1198" s="171" t="s">
        <v>4409</v>
      </c>
      <c r="C1198" s="172">
        <v>251669.0</v>
      </c>
      <c r="D1198" s="171" t="s">
        <v>4840</v>
      </c>
      <c r="E1198" s="172" t="s">
        <v>1512</v>
      </c>
      <c r="F1198" s="172" t="b">
        <v>0</v>
      </c>
      <c r="G1198" s="172" t="b">
        <v>0</v>
      </c>
      <c r="H1198" s="172" t="b">
        <v>1</v>
      </c>
      <c r="I1198" s="172" t="b">
        <v>0</v>
      </c>
      <c r="J1198" s="172" t="b">
        <v>0</v>
      </c>
      <c r="K1198" s="172" t="b">
        <v>0</v>
      </c>
      <c r="L1198" s="172" t="b">
        <v>0</v>
      </c>
      <c r="M1198" s="172" t="b">
        <v>0</v>
      </c>
      <c r="N1198" s="97"/>
      <c r="O1198" s="97"/>
      <c r="P1198" s="97"/>
      <c r="Q1198" s="174"/>
    </row>
    <row r="1199" spans="8:8" ht="43.5" customHeight="1">
      <c r="A1199" s="170">
        <v>2.0</v>
      </c>
      <c r="B1199" s="171" t="s">
        <v>4410</v>
      </c>
      <c r="C1199" s="172">
        <v>251486.0</v>
      </c>
      <c r="D1199" s="171" t="s">
        <v>4834</v>
      </c>
      <c r="E1199" s="172" t="s">
        <v>1512</v>
      </c>
      <c r="F1199" s="172" t="b">
        <v>0</v>
      </c>
      <c r="G1199" s="172" t="b">
        <v>0</v>
      </c>
      <c r="H1199" s="172" t="b">
        <v>0</v>
      </c>
      <c r="I1199" s="172" t="b">
        <v>0</v>
      </c>
      <c r="J1199" s="172" t="b">
        <v>0</v>
      </c>
      <c r="K1199" s="172" t="b">
        <v>0</v>
      </c>
      <c r="L1199" s="172" t="b">
        <v>0</v>
      </c>
      <c r="M1199" s="172" t="b">
        <v>0</v>
      </c>
      <c r="N1199" s="97"/>
      <c r="O1199" s="97"/>
      <c r="P1199" s="97"/>
      <c r="Q1199" s="174"/>
    </row>
    <row r="1200" spans="8:8" ht="43.5" customHeight="1">
      <c r="A1200" s="170" t="b">
        <v>1</v>
      </c>
      <c r="B1200" s="171" t="s">
        <v>4422</v>
      </c>
      <c r="C1200" s="172">
        <v>252110.0</v>
      </c>
      <c r="D1200" s="171" t="s">
        <v>104</v>
      </c>
      <c r="E1200" s="172" t="s">
        <v>1512</v>
      </c>
      <c r="F1200" s="172" t="b">
        <v>0</v>
      </c>
      <c r="G1200" s="172" t="b">
        <v>0</v>
      </c>
      <c r="H1200" s="172" t="b">
        <v>0</v>
      </c>
      <c r="I1200" s="172" t="b">
        <v>0</v>
      </c>
      <c r="J1200" s="172" t="b">
        <v>0</v>
      </c>
      <c r="K1200" s="172" t="b">
        <v>0</v>
      </c>
      <c r="L1200" s="172" t="b">
        <v>0</v>
      </c>
      <c r="M1200" s="172" t="b">
        <v>0</v>
      </c>
      <c r="N1200" s="97"/>
      <c r="O1200" s="97"/>
      <c r="P1200" s="97"/>
      <c r="Q1200" s="174"/>
    </row>
    <row r="1201" spans="8:8" ht="43.5" customHeight="1">
      <c r="A1201" s="97"/>
      <c r="B1201" s="171" t="s">
        <v>4758</v>
      </c>
      <c r="C1201" s="172">
        <v>252154.0</v>
      </c>
      <c r="D1201" s="171" t="s">
        <v>104</v>
      </c>
      <c r="E1201" s="172" t="s">
        <v>1512</v>
      </c>
      <c r="F1201" s="172" t="b">
        <v>0</v>
      </c>
      <c r="G1201" s="172" t="b">
        <v>0</v>
      </c>
      <c r="H1201" s="172" t="b">
        <v>0</v>
      </c>
      <c r="I1201" s="172" t="b">
        <v>0</v>
      </c>
      <c r="J1201" s="172" t="b">
        <v>0</v>
      </c>
      <c r="K1201" s="172" t="b">
        <v>0</v>
      </c>
      <c r="L1201" s="172" t="b">
        <v>0</v>
      </c>
      <c r="M1201" s="172" t="b">
        <v>0</v>
      </c>
      <c r="N1201" s="97"/>
      <c r="O1201" s="97"/>
      <c r="P1201" s="97"/>
      <c r="Q1201" s="174"/>
    </row>
    <row r="1202" spans="8:8" ht="43.5" customHeight="1">
      <c r="A1202" s="97">
        <v>1.0</v>
      </c>
      <c r="B1202" s="171" t="s">
        <v>4959</v>
      </c>
      <c r="C1202" s="172">
        <v>252945.0</v>
      </c>
      <c r="D1202" s="171" t="s">
        <v>90</v>
      </c>
      <c r="E1202" s="172" t="s">
        <v>1512</v>
      </c>
      <c r="F1202" s="172" t="b">
        <v>0</v>
      </c>
      <c r="G1202" s="172" t="b">
        <v>0</v>
      </c>
      <c r="H1202" s="172" t="b">
        <v>0</v>
      </c>
      <c r="I1202" s="172" t="b">
        <v>0</v>
      </c>
      <c r="J1202" s="172" t="b">
        <v>0</v>
      </c>
      <c r="K1202" s="172" t="b">
        <v>0</v>
      </c>
      <c r="L1202" s="172" t="b">
        <v>0</v>
      </c>
      <c r="M1202" s="172" t="b">
        <v>0</v>
      </c>
      <c r="N1202" s="97"/>
      <c r="O1202" s="97"/>
      <c r="P1202" s="97"/>
      <c r="Q1202" s="174"/>
    </row>
    <row r="1203" spans="8:8" ht="43.5" customHeight="1">
      <c r="A1203" s="172">
        <v>2.0</v>
      </c>
      <c r="B1203" s="181" t="s">
        <v>4759</v>
      </c>
      <c r="C1203" s="97">
        <v>251833.0</v>
      </c>
      <c r="D1203" s="171" t="s">
        <v>104</v>
      </c>
      <c r="E1203" s="172" t="s">
        <v>1512</v>
      </c>
      <c r="F1203" s="172" t="b">
        <v>0</v>
      </c>
      <c r="G1203" s="172" t="b">
        <v>0</v>
      </c>
      <c r="H1203" s="172" t="b">
        <v>0</v>
      </c>
      <c r="I1203" s="172" t="b">
        <v>0</v>
      </c>
      <c r="J1203" s="172" t="b">
        <v>0</v>
      </c>
      <c r="K1203" s="172" t="b">
        <v>0</v>
      </c>
      <c r="L1203" s="172" t="b">
        <v>0</v>
      </c>
      <c r="M1203" s="172" t="b">
        <v>0</v>
      </c>
      <c r="N1203" s="189"/>
      <c r="O1203" s="189"/>
      <c r="P1203" s="189"/>
    </row>
    <row r="1204" spans="8:8" ht="43.5" customHeight="1">
      <c r="A1204" s="97">
        <v>3.0</v>
      </c>
      <c r="B1204" s="171" t="s">
        <v>4760</v>
      </c>
      <c r="C1204" s="172">
        <v>252708.0</v>
      </c>
      <c r="D1204" s="171" t="s">
        <v>90</v>
      </c>
      <c r="E1204" s="172" t="s">
        <v>1512</v>
      </c>
      <c r="F1204" s="172" t="b">
        <v>0</v>
      </c>
      <c r="G1204" s="172" t="b">
        <v>0</v>
      </c>
      <c r="H1204" s="172" t="b">
        <v>0</v>
      </c>
      <c r="I1204" s="172" t="b">
        <v>0</v>
      </c>
      <c r="J1204" s="172" t="b">
        <v>0</v>
      </c>
      <c r="K1204" s="172" t="b">
        <v>0</v>
      </c>
      <c r="L1204" s="172" t="b">
        <v>0</v>
      </c>
      <c r="M1204" s="172" t="b">
        <v>0</v>
      </c>
      <c r="N1204" s="97"/>
      <c r="O1204" s="97"/>
      <c r="P1204" s="97"/>
      <c r="Q1204" s="174"/>
    </row>
    <row r="1205" spans="8:8" ht="43.5" customHeight="1">
      <c r="A1205" s="97">
        <v>4.0</v>
      </c>
      <c r="B1205" s="171" t="s">
        <v>4761</v>
      </c>
      <c r="C1205" s="172">
        <v>252744.0</v>
      </c>
      <c r="D1205" s="171" t="s">
        <v>90</v>
      </c>
      <c r="E1205" s="172" t="s">
        <v>1512</v>
      </c>
      <c r="F1205" s="172" t="b">
        <v>0</v>
      </c>
      <c r="G1205" s="172" t="b">
        <v>0</v>
      </c>
      <c r="H1205" s="172" t="b">
        <v>0</v>
      </c>
      <c r="I1205" s="172" t="b">
        <v>0</v>
      </c>
      <c r="J1205" s="172" t="b">
        <v>0</v>
      </c>
      <c r="K1205" s="172" t="b">
        <v>0</v>
      </c>
      <c r="L1205" s="172" t="b">
        <v>0</v>
      </c>
      <c r="M1205" s="172" t="b">
        <v>0</v>
      </c>
      <c r="N1205" s="97"/>
      <c r="O1205" s="97"/>
      <c r="P1205" s="97"/>
      <c r="Q1205" s="174"/>
    </row>
    <row r="1206" spans="8:8" ht="43.5" customHeight="1">
      <c r="A1206" s="172">
        <v>5.0</v>
      </c>
      <c r="B1206" s="171" t="s">
        <v>3221</v>
      </c>
      <c r="C1206" s="172">
        <v>252770.0</v>
      </c>
      <c r="D1206" s="171" t="s">
        <v>90</v>
      </c>
      <c r="E1206" s="97" t="s">
        <v>1512</v>
      </c>
      <c r="F1206" s="172" t="b">
        <v>0</v>
      </c>
      <c r="G1206" s="172" t="b">
        <v>0</v>
      </c>
      <c r="H1206" s="172" t="b">
        <v>1</v>
      </c>
      <c r="I1206" s="172" t="b">
        <v>0</v>
      </c>
      <c r="J1206" s="172" t="b">
        <v>0</v>
      </c>
      <c r="K1206" s="172" t="b">
        <v>0</v>
      </c>
      <c r="L1206" s="172" t="b">
        <v>0</v>
      </c>
      <c r="M1206" s="172" t="b">
        <v>0</v>
      </c>
      <c r="N1206" s="97"/>
      <c r="O1206" s="97"/>
      <c r="P1206" s="97"/>
      <c r="Q1206" s="174"/>
    </row>
    <row r="1207" spans="8:8" ht="43.5" customHeight="1">
      <c r="A1207" s="97">
        <v>6.0</v>
      </c>
      <c r="B1207" s="171" t="s">
        <v>3220</v>
      </c>
      <c r="C1207" s="172">
        <v>253216.0</v>
      </c>
      <c r="D1207" s="171" t="s">
        <v>2971</v>
      </c>
      <c r="E1207" s="97" t="s">
        <v>1512</v>
      </c>
      <c r="F1207" s="172" t="b">
        <v>0</v>
      </c>
      <c r="G1207" s="172" t="b">
        <v>0</v>
      </c>
      <c r="H1207" s="172" t="b">
        <v>0</v>
      </c>
      <c r="I1207" s="172" t="b">
        <v>0</v>
      </c>
      <c r="J1207" s="172" t="b">
        <v>0</v>
      </c>
      <c r="K1207" s="172" t="b">
        <v>0</v>
      </c>
      <c r="L1207" s="172" t="b">
        <v>0</v>
      </c>
      <c r="M1207" s="172" t="b">
        <v>0</v>
      </c>
      <c r="N1207" s="97"/>
      <c r="O1207" s="97"/>
      <c r="P1207" s="97"/>
      <c r="Q1207" s="174"/>
    </row>
    <row r="1208" spans="8:8" ht="43.5" customHeight="1">
      <c r="A1208" s="172">
        <v>8.0</v>
      </c>
      <c r="B1208" s="171" t="s">
        <v>4411</v>
      </c>
      <c r="C1208" s="172">
        <v>241272.0</v>
      </c>
      <c r="D1208" s="171" t="s">
        <v>4859</v>
      </c>
      <c r="E1208" s="172" t="s">
        <v>1512</v>
      </c>
      <c r="F1208" s="172" t="b">
        <v>0</v>
      </c>
      <c r="G1208" s="172" t="b">
        <v>0</v>
      </c>
      <c r="H1208" s="172" t="b">
        <v>0</v>
      </c>
      <c r="I1208" s="172" t="b">
        <v>0</v>
      </c>
      <c r="J1208" s="172" t="b">
        <v>0</v>
      </c>
      <c r="K1208" s="172" t="b">
        <v>0</v>
      </c>
      <c r="L1208" s="172" t="b">
        <v>0</v>
      </c>
      <c r="M1208" s="172" t="b">
        <v>0</v>
      </c>
      <c r="N1208" s="97"/>
      <c r="O1208" s="97"/>
      <c r="P1208" s="97"/>
      <c r="Q1208" s="174"/>
    </row>
    <row r="1209" spans="8:8" ht="43.5" customHeight="1">
      <c r="A1209" s="189"/>
      <c r="B1209" s="171" t="s">
        <v>4412</v>
      </c>
      <c r="C1209" s="172">
        <v>241235.0</v>
      </c>
      <c r="D1209" s="171" t="s">
        <v>4859</v>
      </c>
      <c r="E1209" s="172" t="s">
        <v>1512</v>
      </c>
      <c r="F1209" s="172" t="b">
        <v>0</v>
      </c>
      <c r="G1209" s="172" t="b">
        <v>0</v>
      </c>
      <c r="H1209" s="172" t="b">
        <v>0</v>
      </c>
      <c r="I1209" s="172" t="b">
        <v>0</v>
      </c>
      <c r="J1209" s="172" t="b">
        <v>0</v>
      </c>
      <c r="K1209" s="172" t="b">
        <v>0</v>
      </c>
      <c r="L1209" s="172" t="b">
        <v>0</v>
      </c>
      <c r="M1209" s="172" t="b">
        <v>0</v>
      </c>
      <c r="N1209" s="189"/>
      <c r="O1209" s="189"/>
      <c r="P1209" s="189"/>
    </row>
    <row r="1210" spans="8:8" ht="43.5" customHeight="1">
      <c r="A1210" s="172">
        <v>37.0</v>
      </c>
      <c r="B1210" s="171" t="s">
        <v>4762</v>
      </c>
      <c r="C1210" s="172">
        <v>241507.0</v>
      </c>
      <c r="D1210" s="171" t="s">
        <v>4851</v>
      </c>
      <c r="E1210" s="172" t="s">
        <v>1512</v>
      </c>
      <c r="F1210" s="172" t="b">
        <v>0</v>
      </c>
      <c r="G1210" s="172" t="b">
        <v>0</v>
      </c>
      <c r="H1210" s="172" t="b">
        <v>0</v>
      </c>
      <c r="I1210" s="172" t="b">
        <v>0</v>
      </c>
      <c r="J1210" s="172" t="b">
        <v>0</v>
      </c>
      <c r="K1210" s="172" t="b">
        <v>0</v>
      </c>
      <c r="L1210" s="172" t="b">
        <v>0</v>
      </c>
      <c r="M1210" s="172" t="b">
        <v>0</v>
      </c>
      <c r="N1210" s="189"/>
      <c r="O1210" s="189"/>
      <c r="P1210" s="189"/>
    </row>
    <row r="1211" spans="8:8" ht="43.5" customHeight="1">
      <c r="A1211" s="172">
        <v>14.0</v>
      </c>
      <c r="B1211" s="171" t="s">
        <v>4763</v>
      </c>
      <c r="C1211" s="172">
        <v>241489.0</v>
      </c>
      <c r="D1211" s="171" t="s">
        <v>4851</v>
      </c>
      <c r="E1211" s="172" t="s">
        <v>1512</v>
      </c>
      <c r="F1211" s="172" t="b">
        <v>0</v>
      </c>
      <c r="G1211" s="172" t="b">
        <v>0</v>
      </c>
      <c r="H1211" s="172" t="b">
        <v>0</v>
      </c>
      <c r="I1211" s="172" t="b">
        <v>0</v>
      </c>
      <c r="J1211" s="172" t="b">
        <v>0</v>
      </c>
      <c r="K1211" s="172" t="b">
        <v>0</v>
      </c>
      <c r="L1211" s="172" t="b">
        <v>0</v>
      </c>
      <c r="M1211" s="172" t="b">
        <v>0</v>
      </c>
      <c r="N1211" s="189"/>
      <c r="O1211" s="189"/>
      <c r="P1211" s="189"/>
    </row>
    <row r="1212" spans="8:8" ht="43.5" customHeight="1">
      <c r="A1212" s="97">
        <v>12.0</v>
      </c>
      <c r="B1212" s="171" t="s">
        <v>4960</v>
      </c>
      <c r="C1212" s="172">
        <v>241469.0</v>
      </c>
      <c r="D1212" s="171" t="s">
        <v>4851</v>
      </c>
      <c r="E1212" s="172" t="s">
        <v>1512</v>
      </c>
      <c r="F1212" s="172" t="b">
        <v>0</v>
      </c>
      <c r="G1212" s="172" t="b">
        <v>0</v>
      </c>
      <c r="H1212" s="172" t="b">
        <v>0</v>
      </c>
      <c r="I1212" s="172" t="b">
        <v>0</v>
      </c>
      <c r="J1212" s="172" t="b">
        <v>0</v>
      </c>
      <c r="K1212" s="172" t="b">
        <v>0</v>
      </c>
      <c r="L1212" s="172" t="b">
        <v>0</v>
      </c>
      <c r="M1212" s="172" t="b">
        <v>0</v>
      </c>
      <c r="N1212" s="97"/>
      <c r="O1212" s="172"/>
      <c r="P1212" s="97"/>
      <c r="Q1212" s="174"/>
    </row>
    <row r="1213" spans="8:8" ht="43.5" customHeight="1">
      <c r="A1213" s="97">
        <v>13.0</v>
      </c>
      <c r="B1213" s="171" t="s">
        <v>4961</v>
      </c>
      <c r="C1213" s="172">
        <v>241592.0</v>
      </c>
      <c r="D1213" s="171" t="s">
        <v>4851</v>
      </c>
      <c r="E1213" s="172" t="s">
        <v>1512</v>
      </c>
      <c r="F1213" s="172" t="b">
        <v>0</v>
      </c>
      <c r="G1213" s="172" t="b">
        <v>0</v>
      </c>
      <c r="H1213" s="172" t="b">
        <v>0</v>
      </c>
      <c r="I1213" s="172" t="b">
        <v>0</v>
      </c>
      <c r="J1213" s="172" t="b">
        <v>0</v>
      </c>
      <c r="K1213" s="172" t="b">
        <v>0</v>
      </c>
      <c r="L1213" s="172" t="b">
        <v>0</v>
      </c>
      <c r="M1213" s="172" t="b">
        <v>0</v>
      </c>
      <c r="N1213" s="97"/>
      <c r="O1213" s="172"/>
      <c r="P1213" s="97"/>
      <c r="Q1213" s="174"/>
    </row>
    <row r="1214" spans="8:8" ht="43.5" customHeight="1">
      <c r="A1214" s="172">
        <v>29.0</v>
      </c>
      <c r="B1214" s="171" t="s">
        <v>4962</v>
      </c>
      <c r="C1214" s="172">
        <v>241155.0</v>
      </c>
      <c r="D1214" s="171" t="s">
        <v>4859</v>
      </c>
      <c r="E1214" s="172" t="s">
        <v>1512</v>
      </c>
      <c r="F1214" s="172" t="b">
        <v>0</v>
      </c>
      <c r="G1214" s="172" t="b">
        <v>0</v>
      </c>
      <c r="H1214" s="172" t="b">
        <v>0</v>
      </c>
      <c r="I1214" s="172" t="b">
        <v>0</v>
      </c>
      <c r="J1214" s="172" t="b">
        <v>0</v>
      </c>
      <c r="K1214" s="172" t="b">
        <v>0</v>
      </c>
      <c r="L1214" s="172" t="b">
        <v>0</v>
      </c>
      <c r="M1214" s="172" t="b">
        <v>0</v>
      </c>
      <c r="N1214" s="97"/>
      <c r="O1214" s="172"/>
      <c r="P1214" s="97"/>
      <c r="Q1214" s="174"/>
    </row>
    <row r="1215" spans="8:8" ht="43.5" customHeight="1">
      <c r="A1215" s="97">
        <v>15.0</v>
      </c>
      <c r="B1215" s="171" t="s">
        <v>4413</v>
      </c>
      <c r="C1215" s="172">
        <v>251662.0</v>
      </c>
      <c r="D1215" s="171" t="s">
        <v>4840</v>
      </c>
      <c r="E1215" s="172" t="s">
        <v>1512</v>
      </c>
      <c r="F1215" s="172" t="b">
        <v>0</v>
      </c>
      <c r="G1215" s="172" t="b">
        <v>0</v>
      </c>
      <c r="H1215" s="172" t="b">
        <v>0</v>
      </c>
      <c r="I1215" s="172" t="b">
        <v>0</v>
      </c>
      <c r="J1215" s="172" t="b">
        <v>0</v>
      </c>
      <c r="K1215" s="172" t="b">
        <v>0</v>
      </c>
      <c r="L1215" s="172" t="b">
        <v>0</v>
      </c>
      <c r="M1215" s="172" t="b">
        <v>0</v>
      </c>
      <c r="N1215" s="97"/>
      <c r="O1215" s="97"/>
      <c r="P1215" s="97"/>
      <c r="Q1215" s="174"/>
    </row>
    <row r="1216" spans="8:8" ht="43.5" customHeight="1">
      <c r="A1216" s="97">
        <v>16.0</v>
      </c>
      <c r="B1216" s="171" t="s">
        <v>4414</v>
      </c>
      <c r="C1216" s="172">
        <v>251672.0</v>
      </c>
      <c r="D1216" s="171" t="s">
        <v>4840</v>
      </c>
      <c r="E1216" s="172" t="s">
        <v>1512</v>
      </c>
      <c r="F1216" s="172" t="b">
        <v>0</v>
      </c>
      <c r="G1216" s="172" t="b">
        <v>0</v>
      </c>
      <c r="H1216" s="172" t="b">
        <v>0</v>
      </c>
      <c r="I1216" s="172" t="b">
        <v>0</v>
      </c>
      <c r="J1216" s="172" t="b">
        <v>0</v>
      </c>
      <c r="K1216" s="172" t="b">
        <v>0</v>
      </c>
      <c r="L1216" s="172" t="b">
        <v>0</v>
      </c>
      <c r="M1216" s="172" t="b">
        <v>0</v>
      </c>
      <c r="N1216" s="97"/>
      <c r="O1216" s="97"/>
      <c r="P1216" s="97"/>
      <c r="Q1216" s="174"/>
    </row>
    <row r="1217" spans="8:8" ht="43.5" customHeight="1">
      <c r="A1217" s="172">
        <v>17.0</v>
      </c>
      <c r="B1217" s="171" t="s">
        <v>4764</v>
      </c>
      <c r="C1217" s="172">
        <v>251638.0</v>
      </c>
      <c r="D1217" s="172"/>
      <c r="E1217" s="172" t="s">
        <v>1512</v>
      </c>
      <c r="F1217" s="172" t="b">
        <v>0</v>
      </c>
      <c r="G1217" s="172" t="b">
        <v>0</v>
      </c>
      <c r="H1217" s="172" t="b">
        <v>0</v>
      </c>
      <c r="I1217" s="172" t="b">
        <v>0</v>
      </c>
      <c r="J1217" s="172" t="b">
        <v>0</v>
      </c>
      <c r="K1217" s="172" t="b">
        <v>0</v>
      </c>
      <c r="L1217" s="172" t="b">
        <v>0</v>
      </c>
      <c r="M1217" s="172" t="b">
        <v>0</v>
      </c>
      <c r="N1217" s="97"/>
      <c r="O1217" s="97"/>
      <c r="P1217" s="97"/>
      <c r="Q1217" s="174"/>
    </row>
    <row r="1218" spans="8:8" ht="43.5" customHeight="1">
      <c r="A1218" s="97">
        <v>18.0</v>
      </c>
      <c r="B1218" s="171" t="s">
        <v>4765</v>
      </c>
      <c r="C1218" s="172">
        <v>252850.0</v>
      </c>
      <c r="D1218" s="171" t="s">
        <v>90</v>
      </c>
      <c r="E1218" s="172" t="s">
        <v>1512</v>
      </c>
      <c r="F1218" s="172" t="b">
        <v>0</v>
      </c>
      <c r="G1218" s="172" t="b">
        <v>0</v>
      </c>
      <c r="H1218" s="172" t="b">
        <v>0</v>
      </c>
      <c r="I1218" s="172" t="b">
        <v>0</v>
      </c>
      <c r="J1218" s="172" t="b">
        <v>0</v>
      </c>
      <c r="K1218" s="172" t="b">
        <v>0</v>
      </c>
      <c r="L1218" s="172" t="b">
        <v>0</v>
      </c>
      <c r="M1218" s="172" t="b">
        <v>0</v>
      </c>
      <c r="N1218" s="97"/>
      <c r="O1218" s="97"/>
      <c r="P1218" s="97"/>
      <c r="Q1218" s="174"/>
    </row>
    <row r="1219" spans="8:8" ht="43.5" customHeight="1">
      <c r="A1219" s="172">
        <v>20.0</v>
      </c>
      <c r="B1219" s="171" t="s">
        <v>4415</v>
      </c>
      <c r="C1219" s="172">
        <v>252936.0</v>
      </c>
      <c r="D1219" s="171" t="s">
        <v>104</v>
      </c>
      <c r="E1219" s="172" t="s">
        <v>1512</v>
      </c>
      <c r="F1219" s="172" t="b">
        <v>1</v>
      </c>
      <c r="G1219" s="172" t="b">
        <v>1</v>
      </c>
      <c r="H1219" s="172" t="b">
        <v>1</v>
      </c>
      <c r="I1219" s="172" t="b">
        <v>0</v>
      </c>
      <c r="J1219" s="172" t="b">
        <v>0</v>
      </c>
      <c r="K1219" s="172" t="b">
        <v>0</v>
      </c>
      <c r="L1219" s="172" t="b">
        <v>0</v>
      </c>
      <c r="M1219" s="172" t="b">
        <v>0</v>
      </c>
      <c r="N1219" s="97"/>
      <c r="O1219" s="97"/>
      <c r="P1219" s="97"/>
      <c r="Q1219" s="174"/>
    </row>
    <row r="1220" spans="8:8" ht="43.5" customHeight="1">
      <c r="A1220" s="189"/>
      <c r="B1220" s="171" t="s">
        <v>4509</v>
      </c>
      <c r="C1220" s="172">
        <v>252125.0</v>
      </c>
      <c r="D1220" s="171" t="s">
        <v>104</v>
      </c>
      <c r="E1220" s="172" t="s">
        <v>1512</v>
      </c>
      <c r="F1220" s="172" t="b">
        <v>0</v>
      </c>
      <c r="G1220" s="172" t="b">
        <v>0</v>
      </c>
      <c r="H1220" s="172" t="b">
        <v>0</v>
      </c>
      <c r="I1220" s="172" t="b">
        <v>0</v>
      </c>
      <c r="J1220" s="172" t="b">
        <v>0</v>
      </c>
      <c r="K1220" s="172" t="b">
        <v>0</v>
      </c>
      <c r="L1220" s="172" t="b">
        <v>0</v>
      </c>
      <c r="M1220" s="172" t="b">
        <v>0</v>
      </c>
      <c r="N1220" s="97"/>
      <c r="O1220" s="97"/>
      <c r="P1220" s="97"/>
      <c r="Q1220" s="174"/>
    </row>
    <row r="1221" spans="8:8" ht="43.5" customHeight="1">
      <c r="A1221" s="172">
        <v>23.0</v>
      </c>
      <c r="B1221" s="171" t="s">
        <v>4766</v>
      </c>
      <c r="C1221" s="172">
        <v>252129.0</v>
      </c>
      <c r="D1221" s="171" t="s">
        <v>104</v>
      </c>
      <c r="E1221" s="172" t="s">
        <v>1512</v>
      </c>
      <c r="F1221" s="172" t="b">
        <v>0</v>
      </c>
      <c r="G1221" s="172" t="b">
        <v>0</v>
      </c>
      <c r="H1221" s="172" t="b">
        <v>0</v>
      </c>
      <c r="I1221" s="172" t="b">
        <v>0</v>
      </c>
      <c r="J1221" s="172" t="b">
        <v>0</v>
      </c>
      <c r="K1221" s="172" t="b">
        <v>0</v>
      </c>
      <c r="L1221" s="172" t="b">
        <v>0</v>
      </c>
      <c r="M1221" s="172" t="b">
        <v>0</v>
      </c>
      <c r="N1221" s="97"/>
      <c r="O1221" s="97"/>
      <c r="P1221" s="97"/>
      <c r="Q1221" s="174"/>
    </row>
    <row r="1222" spans="8:8" ht="43.5" customHeight="1">
      <c r="A1222" s="97">
        <v>25.0</v>
      </c>
      <c r="B1222" s="171" t="s">
        <v>4416</v>
      </c>
      <c r="C1222" s="172">
        <v>252134.0</v>
      </c>
      <c r="D1222" s="171" t="s">
        <v>104</v>
      </c>
      <c r="E1222" s="172" t="s">
        <v>1512</v>
      </c>
      <c r="F1222" s="172" t="b">
        <v>0</v>
      </c>
      <c r="G1222" s="172" t="b">
        <v>0</v>
      </c>
      <c r="H1222" s="172" t="b">
        <v>0</v>
      </c>
      <c r="I1222" s="172" t="b">
        <v>0</v>
      </c>
      <c r="J1222" s="172" t="b">
        <v>0</v>
      </c>
      <c r="K1222" s="172" t="b">
        <v>0</v>
      </c>
      <c r="L1222" s="172" t="b">
        <v>0</v>
      </c>
      <c r="M1222" s="172" t="b">
        <v>0</v>
      </c>
      <c r="N1222" s="97"/>
      <c r="O1222" s="97"/>
      <c r="P1222" s="97"/>
      <c r="Q1222" s="174"/>
    </row>
    <row r="1223" spans="8:8" ht="43.5" customHeight="1">
      <c r="A1223" s="220">
        <v>26.0</v>
      </c>
      <c r="B1223" s="171" t="s">
        <v>4417</v>
      </c>
      <c r="C1223" s="172">
        <v>252141.0</v>
      </c>
      <c r="D1223" s="171" t="s">
        <v>104</v>
      </c>
      <c r="E1223" s="172" t="s">
        <v>1512</v>
      </c>
      <c r="F1223" s="172" t="b">
        <v>0</v>
      </c>
      <c r="G1223" s="172" t="b">
        <v>0</v>
      </c>
      <c r="H1223" s="172" t="b">
        <v>1</v>
      </c>
      <c r="I1223" s="172" t="b">
        <v>0</v>
      </c>
      <c r="J1223" s="172" t="b">
        <v>0</v>
      </c>
      <c r="K1223" s="172" t="b">
        <v>0</v>
      </c>
      <c r="L1223" s="172" t="b">
        <v>0</v>
      </c>
      <c r="M1223" s="172" t="b">
        <v>0</v>
      </c>
      <c r="N1223" s="189"/>
      <c r="O1223" s="189"/>
      <c r="P1223" s="189"/>
    </row>
    <row r="1224" spans="8:8" ht="43.5" customHeight="1">
      <c r="A1224" s="172">
        <v>27.0</v>
      </c>
      <c r="B1224" s="171" t="s">
        <v>4514</v>
      </c>
      <c r="C1224" s="172">
        <v>252149.0</v>
      </c>
      <c r="D1224" s="171" t="s">
        <v>104</v>
      </c>
      <c r="E1224" s="172" t="s">
        <v>1512</v>
      </c>
      <c r="F1224" s="172" t="b">
        <v>0</v>
      </c>
      <c r="G1224" s="172" t="b">
        <v>0</v>
      </c>
      <c r="H1224" s="172" t="b">
        <v>0</v>
      </c>
      <c r="I1224" s="172" t="b">
        <v>0</v>
      </c>
      <c r="J1224" s="172" t="b">
        <v>0</v>
      </c>
      <c r="K1224" s="172" t="b">
        <v>0</v>
      </c>
      <c r="L1224" s="172" t="b">
        <v>0</v>
      </c>
      <c r="M1224" s="172" t="b">
        <v>0</v>
      </c>
      <c r="N1224" s="97"/>
      <c r="O1224" s="97"/>
      <c r="P1224" s="97"/>
      <c r="Q1224" s="174"/>
    </row>
    <row r="1225" spans="8:8" ht="43.5" customHeight="1">
      <c r="A1225" s="189"/>
      <c r="B1225" s="171" t="s">
        <v>4418</v>
      </c>
      <c r="C1225" s="172">
        <v>252977.0</v>
      </c>
      <c r="D1225" s="171" t="s">
        <v>90</v>
      </c>
      <c r="E1225" s="97" t="s">
        <v>1512</v>
      </c>
      <c r="F1225" s="172" t="b">
        <v>0</v>
      </c>
      <c r="G1225" s="172" t="b">
        <v>0</v>
      </c>
      <c r="H1225" s="172" t="b">
        <v>0</v>
      </c>
      <c r="I1225" s="172" t="b">
        <v>0</v>
      </c>
      <c r="J1225" s="172" t="b">
        <v>0</v>
      </c>
      <c r="K1225" s="172" t="b">
        <v>0</v>
      </c>
      <c r="L1225" s="172" t="b">
        <v>0</v>
      </c>
      <c r="M1225" s="172" t="b">
        <v>0</v>
      </c>
      <c r="N1225" s="97"/>
      <c r="O1225" s="97"/>
      <c r="P1225" s="97"/>
      <c r="Q1225" s="174"/>
    </row>
    <row r="1226" spans="8:8" ht="43.5" customHeight="1">
      <c r="A1226" s="172">
        <v>31.0</v>
      </c>
      <c r="B1226" s="171" t="s">
        <v>4508</v>
      </c>
      <c r="C1226" s="172">
        <v>253266.0</v>
      </c>
      <c r="D1226" s="171" t="s">
        <v>2922</v>
      </c>
      <c r="E1226" s="97" t="s">
        <v>1512</v>
      </c>
      <c r="F1226" s="172" t="b">
        <v>0</v>
      </c>
      <c r="G1226" s="172" t="b">
        <v>0</v>
      </c>
      <c r="H1226" s="172" t="b">
        <v>0</v>
      </c>
      <c r="I1226" s="172" t="b">
        <v>0</v>
      </c>
      <c r="J1226" s="172" t="b">
        <v>0</v>
      </c>
      <c r="K1226" s="172" t="b">
        <v>0</v>
      </c>
      <c r="L1226" s="172" t="b">
        <v>0</v>
      </c>
      <c r="M1226" s="172" t="b">
        <v>0</v>
      </c>
      <c r="N1226" s="97"/>
      <c r="O1226" s="97"/>
      <c r="P1226" s="97"/>
      <c r="Q1226" s="174"/>
    </row>
    <row r="1227" spans="8:8" ht="43.5" customHeight="1">
      <c r="A1227" s="172">
        <v>32.0</v>
      </c>
      <c r="B1227" s="171" t="s">
        <v>4510</v>
      </c>
      <c r="C1227" s="172">
        <v>253263.0</v>
      </c>
      <c r="D1227" s="171" t="s">
        <v>2922</v>
      </c>
      <c r="E1227" s="97" t="s">
        <v>1512</v>
      </c>
      <c r="F1227" s="172" t="b">
        <v>0</v>
      </c>
      <c r="G1227" s="172" t="b">
        <v>0</v>
      </c>
      <c r="H1227" s="172" t="b">
        <v>1</v>
      </c>
      <c r="I1227" s="172" t="b">
        <v>0</v>
      </c>
      <c r="J1227" s="172" t="b">
        <v>0</v>
      </c>
      <c r="K1227" s="172" t="b">
        <v>0</v>
      </c>
      <c r="L1227" s="172" t="b">
        <v>0</v>
      </c>
      <c r="M1227" s="172" t="b">
        <v>0</v>
      </c>
      <c r="N1227" s="97"/>
      <c r="O1227" s="97"/>
      <c r="P1227" s="97"/>
      <c r="Q1227" s="174"/>
    </row>
    <row r="1228" spans="8:8" ht="43.5" customHeight="1">
      <c r="A1228" s="189"/>
      <c r="B1228" s="171" t="s">
        <v>4515</v>
      </c>
      <c r="C1228" s="172">
        <v>253272.0</v>
      </c>
      <c r="D1228" s="171" t="s">
        <v>2922</v>
      </c>
      <c r="E1228" s="97" t="s">
        <v>1512</v>
      </c>
      <c r="F1228" s="172" t="b">
        <v>0</v>
      </c>
      <c r="G1228" s="172" t="b">
        <v>0</v>
      </c>
      <c r="H1228" s="172" t="b">
        <v>1</v>
      </c>
      <c r="I1228" s="172" t="b">
        <v>0</v>
      </c>
      <c r="J1228" s="172" t="b">
        <v>0</v>
      </c>
      <c r="K1228" s="172" t="b">
        <v>0</v>
      </c>
      <c r="L1228" s="172" t="b">
        <v>0</v>
      </c>
      <c r="M1228" s="172" t="b">
        <v>0</v>
      </c>
      <c r="N1228" s="97"/>
      <c r="O1228" s="97"/>
      <c r="P1228" s="97"/>
      <c r="Q1228" s="174"/>
    </row>
    <row r="1229" spans="8:8" ht="43.5" customHeight="1">
      <c r="A1229" s="189"/>
      <c r="B1229" s="19" t="s">
        <v>4419</v>
      </c>
      <c r="C1229" s="20">
        <v>253066.0</v>
      </c>
      <c r="D1229" s="19" t="s">
        <v>104</v>
      </c>
      <c r="E1229" s="20" t="s">
        <v>1512</v>
      </c>
      <c r="F1229" s="20" t="b">
        <v>0</v>
      </c>
      <c r="G1229" s="20" t="b">
        <v>0</v>
      </c>
      <c r="H1229" s="20" t="b">
        <v>1</v>
      </c>
      <c r="I1229" s="20" t="b">
        <v>0</v>
      </c>
      <c r="J1229" s="20" t="b">
        <v>0</v>
      </c>
      <c r="K1229" s="20" t="b">
        <v>0</v>
      </c>
      <c r="L1229" s="20" t="b">
        <v>0</v>
      </c>
      <c r="M1229" s="20" t="b">
        <v>0</v>
      </c>
      <c r="N1229" s="97"/>
      <c r="O1229" s="97"/>
      <c r="P1229" s="97"/>
      <c r="Q1229" s="174"/>
    </row>
    <row r="1230" spans="8:8" ht="43.5" customHeight="1">
      <c r="A1230" s="172">
        <v>35.0</v>
      </c>
      <c r="B1230" s="19" t="s">
        <v>4767</v>
      </c>
      <c r="C1230" s="20">
        <v>240902.0</v>
      </c>
      <c r="D1230" s="19" t="s">
        <v>1063</v>
      </c>
      <c r="E1230" s="20" t="s">
        <v>1512</v>
      </c>
      <c r="F1230" s="20" t="b">
        <v>0</v>
      </c>
      <c r="G1230" s="20" t="b">
        <v>0</v>
      </c>
      <c r="H1230" s="20" t="b">
        <v>0</v>
      </c>
      <c r="I1230" s="20" t="b">
        <v>0</v>
      </c>
      <c r="J1230" s="20" t="b">
        <v>0</v>
      </c>
      <c r="K1230" s="20" t="b">
        <v>0</v>
      </c>
      <c r="L1230" s="20" t="b">
        <v>0</v>
      </c>
      <c r="M1230" s="20" t="b">
        <v>0</v>
      </c>
      <c r="N1230" s="97"/>
      <c r="O1230" s="97"/>
      <c r="P1230" s="97"/>
      <c r="Q1230" s="174"/>
    </row>
    <row r="1231" spans="8:8" ht="43.5" customHeight="1">
      <c r="A1231" s="172">
        <v>36.0</v>
      </c>
      <c r="B1231" s="19" t="s">
        <v>4516</v>
      </c>
      <c r="C1231" s="20">
        <v>253284.0</v>
      </c>
      <c r="D1231" s="19" t="s">
        <v>2922</v>
      </c>
      <c r="E1231" s="20" t="s">
        <v>1512</v>
      </c>
      <c r="F1231" s="20" t="b">
        <v>0</v>
      </c>
      <c r="G1231" s="20" t="b">
        <v>0</v>
      </c>
      <c r="H1231" s="20" t="b">
        <v>0</v>
      </c>
      <c r="I1231" s="20" t="b">
        <v>0</v>
      </c>
      <c r="J1231" s="20" t="b">
        <v>0</v>
      </c>
      <c r="K1231" s="20" t="b">
        <v>0</v>
      </c>
      <c r="L1231" s="20" t="b">
        <v>0</v>
      </c>
      <c r="M1231" s="20" t="b">
        <v>0</v>
      </c>
      <c r="N1231" s="97"/>
      <c r="O1231" s="97"/>
      <c r="P1231" s="97"/>
      <c r="Q1231" s="174"/>
    </row>
    <row r="1232" spans="8:8" ht="43.5" customHeight="1">
      <c r="A1232" s="172">
        <v>38.0</v>
      </c>
      <c r="B1232" s="19" t="s">
        <v>4963</v>
      </c>
      <c r="C1232" s="20">
        <v>253208.0</v>
      </c>
      <c r="D1232" s="19" t="s">
        <v>2971</v>
      </c>
      <c r="E1232" s="20" t="s">
        <v>1512</v>
      </c>
      <c r="F1232" s="20" t="b">
        <v>0</v>
      </c>
      <c r="G1232" s="20" t="b">
        <v>0</v>
      </c>
      <c r="H1232" s="20" t="b">
        <v>0</v>
      </c>
      <c r="I1232" s="20" t="b">
        <v>0</v>
      </c>
      <c r="J1232" s="20" t="b">
        <v>0</v>
      </c>
      <c r="K1232" s="20" t="b">
        <v>0</v>
      </c>
      <c r="L1232" s="20" t="b">
        <v>0</v>
      </c>
      <c r="M1232" s="20" t="b">
        <v>0</v>
      </c>
      <c r="N1232" s="97"/>
      <c r="O1232" s="97"/>
      <c r="P1232" s="97"/>
      <c r="Q1232" s="174"/>
    </row>
    <row r="1233" spans="8:8" ht="43.5" customHeight="1">
      <c r="A1233" s="172">
        <v>39.0</v>
      </c>
      <c r="B1233" s="171" t="s">
        <v>1567</v>
      </c>
      <c r="C1233" s="172">
        <v>240753.0</v>
      </c>
      <c r="D1233" s="171" t="s">
        <v>606</v>
      </c>
      <c r="E1233" s="172" t="s">
        <v>1512</v>
      </c>
      <c r="F1233" s="172" t="b">
        <v>0</v>
      </c>
      <c r="G1233" s="172" t="b">
        <v>0</v>
      </c>
      <c r="H1233" s="172" t="b">
        <v>0</v>
      </c>
      <c r="I1233" s="172" t="b">
        <v>0</v>
      </c>
      <c r="J1233" s="172" t="b">
        <v>0</v>
      </c>
      <c r="K1233" s="172" t="b">
        <v>0</v>
      </c>
      <c r="L1233" s="172" t="b">
        <v>0</v>
      </c>
      <c r="M1233" s="172" t="b">
        <v>0</v>
      </c>
      <c r="N1233" s="97"/>
      <c r="O1233" s="97"/>
      <c r="P1233" s="97"/>
      <c r="Q1233" s="174"/>
    </row>
    <row r="1234" spans="8:8" ht="43.5" customHeight="1">
      <c r="A1234" s="172">
        <v>40.0</v>
      </c>
      <c r="B1234" s="182" t="s">
        <v>4815</v>
      </c>
      <c r="C1234" s="97"/>
      <c r="D1234" s="97"/>
      <c r="E1234" s="183"/>
      <c r="F1234" s="184">
        <f t="shared" si="45" ref="F1234:M1234">COUNTIF(F1197:F1210,TRUE)/COUNTA(F1197:F1210)</f>
        <v>0.0</v>
      </c>
      <c r="G1234" s="184">
        <f t="shared" si="45"/>
        <v>0.0</v>
      </c>
      <c r="H1234" s="184">
        <f t="shared" si="45"/>
        <v>0.14285714285714285</v>
      </c>
      <c r="I1234" s="184">
        <f t="shared" si="45"/>
        <v>0.0</v>
      </c>
      <c r="J1234" s="184">
        <f t="shared" si="45"/>
        <v>0.0</v>
      </c>
      <c r="K1234" s="184">
        <f t="shared" si="45"/>
        <v>0.0</v>
      </c>
      <c r="L1234" s="184">
        <f t="shared" si="45"/>
        <v>0.0</v>
      </c>
      <c r="M1234" s="184">
        <f t="shared" si="45"/>
        <v>0.0</v>
      </c>
      <c r="N1234" s="97"/>
      <c r="O1234" s="97"/>
      <c r="P1234" s="97"/>
      <c r="Q1234" s="174"/>
    </row>
    <row r="1235" spans="8:8" ht="43.5" customHeight="1">
      <c r="A1235" s="172">
        <v>41.0</v>
      </c>
      <c r="B1235" s="162" t="s">
        <v>19</v>
      </c>
      <c r="C1235" s="163"/>
      <c r="D1235" s="162" t="s">
        <v>4530</v>
      </c>
      <c r="E1235" s="162" t="s">
        <v>22</v>
      </c>
      <c r="F1235" s="163" t="s">
        <v>4794</v>
      </c>
      <c r="G1235" s="163" t="s">
        <v>4795</v>
      </c>
      <c r="H1235" s="163" t="s">
        <v>4796</v>
      </c>
      <c r="I1235" s="163" t="s">
        <v>4797</v>
      </c>
      <c r="J1235" s="163" t="s">
        <v>4798</v>
      </c>
      <c r="K1235" s="163" t="s">
        <v>4799</v>
      </c>
      <c r="L1235" s="163" t="s">
        <v>4800</v>
      </c>
      <c r="M1235" s="163" t="s">
        <v>4801</v>
      </c>
      <c r="N1235" s="166" t="s">
        <v>4964</v>
      </c>
      <c r="O1235" s="167"/>
      <c r="P1235" s="168"/>
      <c r="Q1235" s="169"/>
    </row>
    <row r="1236" spans="8:8" ht="43.5" customHeight="1">
      <c r="A1236" s="172">
        <v>42.0</v>
      </c>
      <c r="B1236" s="171" t="s">
        <v>4423</v>
      </c>
      <c r="C1236" s="172">
        <v>251785.0</v>
      </c>
      <c r="D1236" s="171" t="s">
        <v>4829</v>
      </c>
      <c r="E1236" s="172" t="s">
        <v>984</v>
      </c>
      <c r="F1236" s="172" t="b">
        <v>0</v>
      </c>
      <c r="G1236" s="172" t="b">
        <v>0</v>
      </c>
      <c r="H1236" s="172" t="b">
        <v>1</v>
      </c>
      <c r="I1236" s="172" t="b">
        <v>0</v>
      </c>
      <c r="J1236" s="172" t="b">
        <v>0</v>
      </c>
      <c r="K1236" s="172" t="b">
        <v>0</v>
      </c>
      <c r="L1236" s="172" t="b">
        <v>0</v>
      </c>
      <c r="M1236" s="172" t="b">
        <v>0</v>
      </c>
      <c r="N1236" s="173" t="s">
        <v>4804</v>
      </c>
      <c r="O1236" s="167"/>
      <c r="P1236" s="168"/>
      <c r="Q1236" s="174"/>
    </row>
    <row r="1237" spans="8:8" ht="43.5" customHeight="1">
      <c r="A1237" s="172">
        <v>43.0</v>
      </c>
      <c r="B1237" s="171" t="s">
        <v>4965</v>
      </c>
      <c r="C1237" s="172">
        <v>251792.0</v>
      </c>
      <c r="D1237" s="171" t="s">
        <v>4829</v>
      </c>
      <c r="E1237" s="172" t="s">
        <v>984</v>
      </c>
      <c r="F1237" s="172" t="b">
        <v>0</v>
      </c>
      <c r="G1237" s="172" t="b">
        <v>0</v>
      </c>
      <c r="H1237" s="172" t="b">
        <v>0</v>
      </c>
      <c r="I1237" s="172" t="b">
        <v>0</v>
      </c>
      <c r="J1237" s="172" t="b">
        <v>0</v>
      </c>
      <c r="K1237" s="172" t="b">
        <v>0</v>
      </c>
      <c r="L1237" s="172" t="b">
        <v>0</v>
      </c>
      <c r="M1237" s="172" t="b">
        <v>0</v>
      </c>
      <c r="N1237" s="175" t="s">
        <v>4805</v>
      </c>
      <c r="O1237" s="176" t="s">
        <v>4806</v>
      </c>
      <c r="P1237" s="97" t="s">
        <v>4807</v>
      </c>
      <c r="Q1237" s="174"/>
    </row>
    <row r="1238" spans="8:8" ht="43.5" customHeight="1">
      <c r="A1238" s="172">
        <v>44.0</v>
      </c>
      <c r="B1238" s="171" t="s">
        <v>4768</v>
      </c>
      <c r="C1238" s="172">
        <v>241156.0</v>
      </c>
      <c r="D1238" s="171" t="s">
        <v>4859</v>
      </c>
      <c r="E1238" s="172" t="s">
        <v>984</v>
      </c>
      <c r="F1238" s="172" t="b">
        <v>0</v>
      </c>
      <c r="G1238" s="172" t="b">
        <v>0</v>
      </c>
      <c r="H1238" s="172" t="b">
        <v>0</v>
      </c>
      <c r="I1238" s="172" t="b">
        <v>0</v>
      </c>
      <c r="J1238" s="172" t="b">
        <v>0</v>
      </c>
      <c r="K1238" s="172" t="b">
        <v>0</v>
      </c>
      <c r="L1238" s="172" t="b">
        <v>0</v>
      </c>
      <c r="M1238" s="172" t="b">
        <v>0</v>
      </c>
      <c r="N1238" s="97" t="s">
        <v>4794</v>
      </c>
      <c r="O1238" s="172" t="b">
        <v>0</v>
      </c>
      <c r="P1238" s="97" t="s">
        <v>4966</v>
      </c>
      <c r="Q1238" s="174"/>
    </row>
    <row r="1239" spans="8:8" ht="43.5" customHeight="1">
      <c r="A1239" s="172">
        <v>45.0</v>
      </c>
      <c r="B1239" s="171" t="s">
        <v>4769</v>
      </c>
      <c r="C1239" s="172">
        <v>241185.0</v>
      </c>
      <c r="D1239" s="171" t="s">
        <v>4859</v>
      </c>
      <c r="E1239" s="172" t="s">
        <v>984</v>
      </c>
      <c r="F1239" s="172" t="b">
        <v>0</v>
      </c>
      <c r="G1239" s="172" t="b">
        <v>0</v>
      </c>
      <c r="H1239" s="172" t="b">
        <v>0</v>
      </c>
      <c r="I1239" s="172" t="b">
        <v>0</v>
      </c>
      <c r="J1239" s="172" t="b">
        <v>0</v>
      </c>
      <c r="K1239" s="172" t="b">
        <v>0</v>
      </c>
      <c r="L1239" s="172" t="b">
        <v>0</v>
      </c>
      <c r="M1239" s="172" t="b">
        <v>0</v>
      </c>
      <c r="N1239" s="97" t="s">
        <v>4795</v>
      </c>
      <c r="O1239" s="172" t="b">
        <v>0</v>
      </c>
      <c r="P1239" s="97" t="s">
        <v>4966</v>
      </c>
      <c r="Q1239" s="174"/>
    </row>
    <row r="1240" spans="8:8" ht="43.5" customHeight="1">
      <c r="A1240" s="172">
        <v>46.0</v>
      </c>
      <c r="B1240" s="171" t="s">
        <v>4967</v>
      </c>
      <c r="C1240" s="172">
        <v>251523.0</v>
      </c>
      <c r="D1240" s="172"/>
      <c r="E1240" s="172" t="s">
        <v>984</v>
      </c>
      <c r="F1240" s="172" t="b">
        <v>0</v>
      </c>
      <c r="G1240" s="172" t="b">
        <v>0</v>
      </c>
      <c r="H1240" s="172" t="b">
        <v>0</v>
      </c>
      <c r="I1240" s="172" t="b">
        <v>0</v>
      </c>
      <c r="J1240" s="172" t="b">
        <v>0</v>
      </c>
      <c r="K1240" s="172" t="b">
        <v>0</v>
      </c>
      <c r="L1240" s="172" t="b">
        <v>0</v>
      </c>
      <c r="M1240" s="172" t="b">
        <v>0</v>
      </c>
      <c r="N1240" s="97" t="s">
        <v>4796</v>
      </c>
      <c r="O1240" s="172" t="b">
        <v>1</v>
      </c>
      <c r="P1240" s="97"/>
      <c r="Q1240" s="174"/>
    </row>
    <row r="1241" spans="8:8" ht="43.5" customHeight="1">
      <c r="A1241" s="189"/>
      <c r="B1241" s="181" t="s">
        <v>4770</v>
      </c>
      <c r="C1241" s="97">
        <v>252046.0</v>
      </c>
      <c r="D1241" s="181" t="s">
        <v>4860</v>
      </c>
      <c r="E1241" s="172" t="s">
        <v>984</v>
      </c>
      <c r="F1241" s="172" t="b">
        <v>0</v>
      </c>
      <c r="G1241" s="172" t="b">
        <v>0</v>
      </c>
      <c r="H1241" s="172" t="b">
        <v>0</v>
      </c>
      <c r="I1241" s="172" t="b">
        <v>0</v>
      </c>
      <c r="J1241" s="172" t="b">
        <v>0</v>
      </c>
      <c r="K1241" s="172" t="b">
        <v>0</v>
      </c>
      <c r="L1241" s="172" t="b">
        <v>0</v>
      </c>
      <c r="M1241" s="172" t="b">
        <v>0</v>
      </c>
      <c r="N1241" s="97" t="s">
        <v>4797</v>
      </c>
      <c r="O1241" s="172" t="b">
        <v>0</v>
      </c>
      <c r="P1241" s="97"/>
      <c r="Q1241" s="174"/>
    </row>
    <row r="1242" spans="8:8" ht="43.5" customHeight="1">
      <c r="A1242" s="172">
        <v>48.0</v>
      </c>
      <c r="B1242" s="171" t="s">
        <v>4771</v>
      </c>
      <c r="C1242" s="172">
        <v>241495.0</v>
      </c>
      <c r="D1242" s="171" t="s">
        <v>4851</v>
      </c>
      <c r="E1242" s="172" t="s">
        <v>984</v>
      </c>
      <c r="F1242" s="172" t="b">
        <v>0</v>
      </c>
      <c r="G1242" s="172" t="b">
        <v>0</v>
      </c>
      <c r="H1242" s="172" t="b">
        <v>0</v>
      </c>
      <c r="I1242" s="172" t="b">
        <v>0</v>
      </c>
      <c r="J1242" s="172" t="b">
        <v>0</v>
      </c>
      <c r="K1242" s="172" t="b">
        <v>0</v>
      </c>
      <c r="L1242" s="172" t="b">
        <v>0</v>
      </c>
      <c r="M1242" s="172" t="b">
        <v>0</v>
      </c>
      <c r="N1242" s="97" t="s">
        <v>4798</v>
      </c>
      <c r="O1242" s="172" t="b">
        <v>0</v>
      </c>
      <c r="P1242" s="97"/>
      <c r="Q1242" s="174"/>
    </row>
    <row r="1243" spans="8:8" ht="43.5" customHeight="1">
      <c r="A1243" s="189"/>
      <c r="B1243" s="171" t="s">
        <v>4968</v>
      </c>
      <c r="C1243" s="172">
        <v>241221.0</v>
      </c>
      <c r="D1243" s="171" t="s">
        <v>4859</v>
      </c>
      <c r="E1243" s="172" t="s">
        <v>984</v>
      </c>
      <c r="F1243" s="172" t="b">
        <v>0</v>
      </c>
      <c r="G1243" s="172" t="b">
        <v>0</v>
      </c>
      <c r="H1243" s="172" t="b">
        <v>0</v>
      </c>
      <c r="I1243" s="172" t="b">
        <v>0</v>
      </c>
      <c r="J1243" s="172" t="b">
        <v>0</v>
      </c>
      <c r="K1243" s="172" t="b">
        <v>0</v>
      </c>
      <c r="L1243" s="172" t="b">
        <v>0</v>
      </c>
      <c r="M1243" s="172" t="b">
        <v>0</v>
      </c>
      <c r="N1243" s="97" t="s">
        <v>4799</v>
      </c>
      <c r="O1243" s="172" t="b">
        <v>0</v>
      </c>
      <c r="P1243" s="97"/>
      <c r="Q1243" s="174"/>
    </row>
    <row r="1244" spans="8:8" ht="43.5" customHeight="1">
      <c r="A1244" s="172">
        <v>50.0</v>
      </c>
      <c r="B1244" s="171" t="s">
        <v>4424</v>
      </c>
      <c r="C1244" s="172">
        <v>241550.0</v>
      </c>
      <c r="D1244" s="171" t="s">
        <v>4851</v>
      </c>
      <c r="E1244" s="172" t="s">
        <v>984</v>
      </c>
      <c r="F1244" s="172" t="b">
        <v>0</v>
      </c>
      <c r="G1244" s="172" t="b">
        <v>0</v>
      </c>
      <c r="H1244" s="172" t="b">
        <v>0</v>
      </c>
      <c r="I1244" s="172" t="b">
        <v>0</v>
      </c>
      <c r="J1244" s="172" t="b">
        <v>0</v>
      </c>
      <c r="K1244" s="172" t="b">
        <v>0</v>
      </c>
      <c r="L1244" s="172" t="b">
        <v>0</v>
      </c>
      <c r="M1244" s="172" t="b">
        <v>0</v>
      </c>
      <c r="N1244" s="97" t="s">
        <v>4800</v>
      </c>
      <c r="O1244" s="172" t="b">
        <v>0</v>
      </c>
      <c r="P1244" s="97"/>
      <c r="Q1244" s="174"/>
    </row>
    <row r="1245" spans="8:8" ht="43.5" customHeight="1">
      <c r="A1245" s="172">
        <v>52.0</v>
      </c>
      <c r="B1245" s="171" t="s">
        <v>4446</v>
      </c>
      <c r="C1245" s="172">
        <v>241505.0</v>
      </c>
      <c r="D1245" s="171" t="s">
        <v>4851</v>
      </c>
      <c r="E1245" s="172" t="s">
        <v>984</v>
      </c>
      <c r="F1245" s="172" t="b">
        <v>0</v>
      </c>
      <c r="G1245" s="172" t="b">
        <v>0</v>
      </c>
      <c r="H1245" s="172" t="b">
        <v>0</v>
      </c>
      <c r="I1245" s="172" t="b">
        <v>0</v>
      </c>
      <c r="J1245" s="172" t="b">
        <v>0</v>
      </c>
      <c r="K1245" s="172" t="b">
        <v>0</v>
      </c>
      <c r="L1245" s="172" t="b">
        <v>0</v>
      </c>
      <c r="M1245" s="172" t="b">
        <v>0</v>
      </c>
      <c r="N1245" s="97" t="s">
        <v>4801</v>
      </c>
      <c r="O1245" s="172" t="b">
        <v>0</v>
      </c>
      <c r="P1245" s="97"/>
      <c r="Q1245" s="174"/>
    </row>
    <row r="1246" spans="8:8" ht="43.5" customHeight="1">
      <c r="A1246" s="220">
        <v>54.0</v>
      </c>
      <c r="B1246" s="171" t="s">
        <v>4969</v>
      </c>
      <c r="C1246" s="172">
        <v>241954.0</v>
      </c>
      <c r="D1246" s="171" t="s">
        <v>4859</v>
      </c>
      <c r="E1246" s="172" t="s">
        <v>984</v>
      </c>
      <c r="F1246" s="172" t="b">
        <v>0</v>
      </c>
      <c r="G1246" s="172" t="b">
        <v>0</v>
      </c>
      <c r="H1246" s="172" t="b">
        <v>0</v>
      </c>
      <c r="I1246" s="172" t="b">
        <v>0</v>
      </c>
      <c r="J1246" s="172" t="b">
        <v>0</v>
      </c>
      <c r="K1246" s="172" t="b">
        <v>0</v>
      </c>
      <c r="L1246" s="172" t="b">
        <v>0</v>
      </c>
      <c r="M1246" s="172" t="b">
        <v>0</v>
      </c>
      <c r="N1246" s="97"/>
      <c r="O1246" s="97"/>
      <c r="P1246" s="97"/>
      <c r="Q1246" s="174"/>
    </row>
    <row r="1247" spans="8:8" ht="43.5" customHeight="1">
      <c r="A1247" s="97">
        <v>55.0</v>
      </c>
      <c r="B1247" s="171" t="s">
        <v>4425</v>
      </c>
      <c r="C1247" s="172">
        <v>251628.0</v>
      </c>
      <c r="D1247" s="171" t="s">
        <v>4812</v>
      </c>
      <c r="E1247" s="172" t="s">
        <v>984</v>
      </c>
      <c r="F1247" s="172" t="b">
        <v>0</v>
      </c>
      <c r="G1247" s="172" t="b">
        <v>0</v>
      </c>
      <c r="H1247" s="172" t="b">
        <v>0</v>
      </c>
      <c r="I1247" s="172" t="b">
        <v>0</v>
      </c>
      <c r="J1247" s="172" t="b">
        <v>0</v>
      </c>
      <c r="K1247" s="172" t="b">
        <v>0</v>
      </c>
      <c r="L1247" s="172" t="b">
        <v>0</v>
      </c>
      <c r="M1247" s="172" t="b">
        <v>0</v>
      </c>
      <c r="N1247" s="97"/>
      <c r="O1247" s="97"/>
      <c r="P1247" s="97"/>
      <c r="Q1247" s="174"/>
    </row>
    <row r="1248" spans="8:8" ht="43.5" customHeight="1">
      <c r="A1248" s="97">
        <v>56.0</v>
      </c>
      <c r="B1248" s="171" t="s">
        <v>4772</v>
      </c>
      <c r="C1248" s="172">
        <v>251500.0</v>
      </c>
      <c r="D1248" s="171" t="s">
        <v>4970</v>
      </c>
      <c r="E1248" s="172" t="s">
        <v>984</v>
      </c>
      <c r="F1248" s="172" t="b">
        <v>0</v>
      </c>
      <c r="G1248" s="172" t="b">
        <v>0</v>
      </c>
      <c r="H1248" s="172" t="b">
        <v>0</v>
      </c>
      <c r="I1248" s="172" t="b">
        <v>0</v>
      </c>
      <c r="J1248" s="172" t="b">
        <v>0</v>
      </c>
      <c r="K1248" s="172" t="b">
        <v>0</v>
      </c>
      <c r="L1248" s="172" t="b">
        <v>0</v>
      </c>
      <c r="M1248" s="172" t="b">
        <v>0</v>
      </c>
      <c r="N1248" s="97"/>
      <c r="O1248" s="97"/>
      <c r="P1248" s="97"/>
      <c r="Q1248" s="174"/>
    </row>
    <row r="1249" spans="8:8" ht="43.5" customHeight="1">
      <c r="A1249" s="97">
        <v>57.0</v>
      </c>
      <c r="B1249" s="171" t="s">
        <v>4773</v>
      </c>
      <c r="C1249" s="172">
        <v>240816.0</v>
      </c>
      <c r="D1249" s="171" t="s">
        <v>4971</v>
      </c>
      <c r="E1249" s="97" t="s">
        <v>984</v>
      </c>
      <c r="F1249" s="172" t="b">
        <v>0</v>
      </c>
      <c r="G1249" s="172" t="b">
        <v>0</v>
      </c>
      <c r="H1249" s="172" t="b">
        <v>0</v>
      </c>
      <c r="I1249" s="172" t="b">
        <v>0</v>
      </c>
      <c r="J1249" s="172" t="b">
        <v>0</v>
      </c>
      <c r="K1249" s="172" t="b">
        <v>0</v>
      </c>
      <c r="L1249" s="172" t="b">
        <v>0</v>
      </c>
      <c r="M1249" s="172" t="b">
        <v>0</v>
      </c>
      <c r="N1249" s="97"/>
      <c r="O1249" s="97"/>
      <c r="P1249" s="97"/>
      <c r="Q1249" s="174"/>
    </row>
    <row r="1250" spans="8:8" ht="43.5" customHeight="1">
      <c r="A1250" s="20">
        <v>58.0</v>
      </c>
      <c r="B1250" s="181" t="s">
        <v>4426</v>
      </c>
      <c r="C1250" s="97">
        <v>253215.0</v>
      </c>
      <c r="D1250" s="181" t="s">
        <v>2971</v>
      </c>
      <c r="E1250" s="97" t="s">
        <v>984</v>
      </c>
      <c r="F1250" s="97" t="b">
        <v>0</v>
      </c>
      <c r="G1250" s="97" t="b">
        <v>0</v>
      </c>
      <c r="H1250" s="97" t="b">
        <v>1</v>
      </c>
      <c r="I1250" s="97" t="b">
        <v>0</v>
      </c>
      <c r="J1250" s="97" t="b">
        <v>0</v>
      </c>
      <c r="K1250" s="97" t="b">
        <v>0</v>
      </c>
      <c r="L1250" s="97" t="b">
        <v>0</v>
      </c>
      <c r="M1250" s="97" t="b">
        <v>0</v>
      </c>
      <c r="N1250" s="97"/>
      <c r="O1250" s="97"/>
      <c r="P1250" s="97"/>
      <c r="Q1250" s="174"/>
    </row>
    <row r="1251" spans="8:8" ht="43.5" customHeight="1">
      <c r="A1251" s="20">
        <v>59.0</v>
      </c>
      <c r="B1251" s="181" t="s">
        <v>4427</v>
      </c>
      <c r="C1251" s="97">
        <v>253290.0</v>
      </c>
      <c r="D1251" s="181" t="s">
        <v>2922</v>
      </c>
      <c r="E1251" s="97" t="s">
        <v>984</v>
      </c>
      <c r="F1251" s="97" t="b">
        <v>0</v>
      </c>
      <c r="G1251" s="97" t="b">
        <v>0</v>
      </c>
      <c r="H1251" s="97" t="b">
        <v>1</v>
      </c>
      <c r="I1251" s="97" t="b">
        <v>0</v>
      </c>
      <c r="J1251" s="97" t="b">
        <v>0</v>
      </c>
      <c r="K1251" s="97" t="b">
        <v>0</v>
      </c>
      <c r="L1251" s="97" t="b">
        <v>0</v>
      </c>
      <c r="M1251" s="97" t="b">
        <v>0</v>
      </c>
      <c r="N1251" s="97"/>
      <c r="O1251" s="97"/>
      <c r="P1251" s="97"/>
      <c r="Q1251" s="174"/>
    </row>
    <row r="1252" spans="8:8" ht="43.5" customHeight="1">
      <c r="A1252" s="20">
        <v>60.0</v>
      </c>
      <c r="B1252" s="181" t="s">
        <v>4444</v>
      </c>
      <c r="C1252" s="97">
        <v>253207.0</v>
      </c>
      <c r="D1252" s="181" t="s">
        <v>2971</v>
      </c>
      <c r="E1252" s="97" t="s">
        <v>984</v>
      </c>
      <c r="F1252" s="97" t="b">
        <v>0</v>
      </c>
      <c r="G1252" s="97" t="b">
        <v>0</v>
      </c>
      <c r="H1252" s="97" t="b">
        <v>0</v>
      </c>
      <c r="I1252" s="97" t="b">
        <v>0</v>
      </c>
      <c r="J1252" s="97" t="b">
        <v>0</v>
      </c>
      <c r="K1252" s="97" t="b">
        <v>0</v>
      </c>
      <c r="L1252" s="97" t="b">
        <v>0</v>
      </c>
      <c r="M1252" s="97" t="b">
        <v>0</v>
      </c>
      <c r="N1252" s="97"/>
      <c r="O1252" s="97"/>
      <c r="P1252" s="97"/>
      <c r="Q1252" s="174"/>
    </row>
    <row r="1253" spans="8:8" ht="43.5" customHeight="1">
      <c r="A1253" s="20">
        <v>61.0</v>
      </c>
      <c r="B1253" s="181" t="s">
        <v>4428</v>
      </c>
      <c r="C1253" s="97">
        <v>253212.0</v>
      </c>
      <c r="D1253" s="181" t="s">
        <v>2971</v>
      </c>
      <c r="E1253" s="97" t="s">
        <v>984</v>
      </c>
      <c r="F1253" s="97" t="b">
        <v>0</v>
      </c>
      <c r="G1253" s="97" t="b">
        <v>0</v>
      </c>
      <c r="H1253" s="97" t="b">
        <v>1</v>
      </c>
      <c r="I1253" s="97" t="b">
        <v>0</v>
      </c>
      <c r="J1253" s="97" t="b">
        <v>0</v>
      </c>
      <c r="K1253" s="97" t="b">
        <v>0</v>
      </c>
      <c r="L1253" s="97" t="b">
        <v>0</v>
      </c>
      <c r="M1253" s="97" t="b">
        <v>0</v>
      </c>
      <c r="N1253" s="97"/>
      <c r="O1253" s="97"/>
      <c r="P1253" s="97"/>
      <c r="Q1253" s="174"/>
    </row>
    <row r="1254" spans="8:8" ht="43.5" customHeight="1">
      <c r="A1254" s="97"/>
      <c r="B1254" s="181" t="s">
        <v>4429</v>
      </c>
      <c r="C1254" s="97">
        <v>253250.0</v>
      </c>
      <c r="D1254" s="181" t="s">
        <v>4486</v>
      </c>
      <c r="E1254" s="97" t="s">
        <v>984</v>
      </c>
      <c r="F1254" s="97" t="b">
        <v>0</v>
      </c>
      <c r="G1254" s="97" t="b">
        <v>0</v>
      </c>
      <c r="H1254" s="97" t="b">
        <v>1</v>
      </c>
      <c r="I1254" s="97" t="b">
        <v>0</v>
      </c>
      <c r="J1254" s="97" t="b">
        <v>0</v>
      </c>
      <c r="K1254" s="97" t="b">
        <v>0</v>
      </c>
      <c r="L1254" s="97" t="b">
        <v>0</v>
      </c>
      <c r="M1254" s="97" t="b">
        <v>0</v>
      </c>
      <c r="N1254" s="189"/>
      <c r="O1254" s="189"/>
      <c r="P1254" s="189"/>
    </row>
    <row r="1255" spans="8:8" ht="43.5" customHeight="1">
      <c r="A1255" s="172">
        <v>1.0</v>
      </c>
      <c r="B1255" s="182" t="s">
        <v>4815</v>
      </c>
      <c r="C1255" s="97"/>
      <c r="D1255" s="97"/>
      <c r="E1255" s="183"/>
      <c r="F1255" s="184">
        <f t="shared" si="46" ref="F1255:M1255">COUNTIF(F1216:F1242,TRUE)/COUNTA(F1216:F1242)</f>
        <v>0.037037037037037035</v>
      </c>
      <c r="G1255" s="184">
        <f t="shared" si="46"/>
        <v>0.037037037037037035</v>
      </c>
      <c r="H1255" s="184">
        <f t="shared" si="46"/>
        <v>0.2222222222222222</v>
      </c>
      <c r="I1255" s="184">
        <f t="shared" si="46"/>
        <v>0.0</v>
      </c>
      <c r="J1255" s="184">
        <f t="shared" si="46"/>
        <v>0.0</v>
      </c>
      <c r="K1255" s="184">
        <f t="shared" si="46"/>
        <v>0.0</v>
      </c>
      <c r="L1255" s="184">
        <f t="shared" si="46"/>
        <v>0.0</v>
      </c>
      <c r="M1255" s="184">
        <f t="shared" si="46"/>
        <v>0.0</v>
      </c>
      <c r="N1255" s="189"/>
      <c r="O1255" s="189"/>
      <c r="P1255" s="189"/>
    </row>
    <row r="1256" spans="8:8" ht="43.5" customHeight="1">
      <c r="A1256" s="97">
        <v>2.0</v>
      </c>
      <c r="B1256" s="162" t="s">
        <v>19</v>
      </c>
      <c r="C1256" s="163"/>
      <c r="D1256" s="162" t="s">
        <v>4530</v>
      </c>
      <c r="E1256" s="162" t="s">
        <v>22</v>
      </c>
      <c r="F1256" s="163" t="s">
        <v>4794</v>
      </c>
      <c r="G1256" s="163" t="s">
        <v>4795</v>
      </c>
      <c r="H1256" s="163" t="s">
        <v>4796</v>
      </c>
      <c r="I1256" s="163" t="s">
        <v>4797</v>
      </c>
      <c r="J1256" s="163" t="s">
        <v>4798</v>
      </c>
      <c r="K1256" s="163" t="s">
        <v>4799</v>
      </c>
      <c r="L1256" s="163" t="s">
        <v>4800</v>
      </c>
      <c r="M1256" s="163" t="s">
        <v>4801</v>
      </c>
      <c r="N1256" s="166" t="s">
        <v>4972</v>
      </c>
      <c r="O1256" s="167"/>
      <c r="P1256" s="168"/>
      <c r="Q1256" s="169"/>
    </row>
    <row r="1257" spans="8:8" ht="43.5" customHeight="1">
      <c r="A1257" s="97">
        <v>3.0</v>
      </c>
      <c r="B1257" s="171" t="s">
        <v>4448</v>
      </c>
      <c r="C1257" s="172">
        <v>251629.0</v>
      </c>
      <c r="D1257" s="171" t="s">
        <v>4812</v>
      </c>
      <c r="E1257" s="172" t="s">
        <v>1490</v>
      </c>
      <c r="F1257" s="172" t="b">
        <v>0</v>
      </c>
      <c r="G1257" s="172" t="b">
        <v>0</v>
      </c>
      <c r="H1257" s="172" t="b">
        <v>0</v>
      </c>
      <c r="I1257" s="172" t="b">
        <v>0</v>
      </c>
      <c r="J1257" s="172" t="b">
        <v>0</v>
      </c>
      <c r="K1257" s="172" t="b">
        <v>0</v>
      </c>
      <c r="L1257" s="172" t="b">
        <v>0</v>
      </c>
      <c r="M1257" s="172" t="b">
        <v>0</v>
      </c>
      <c r="N1257" s="173" t="s">
        <v>4804</v>
      </c>
      <c r="O1257" s="167"/>
      <c r="P1257" s="168"/>
      <c r="Q1257" s="174"/>
    </row>
    <row r="1258" spans="8:8" ht="43.5" customHeight="1">
      <c r="A1258" s="97">
        <v>4.0</v>
      </c>
      <c r="B1258" s="171" t="s">
        <v>4973</v>
      </c>
      <c r="C1258" s="172">
        <v>251655.0</v>
      </c>
      <c r="D1258" s="171" t="s">
        <v>4812</v>
      </c>
      <c r="E1258" s="172" t="s">
        <v>1490</v>
      </c>
      <c r="F1258" s="172" t="b">
        <v>0</v>
      </c>
      <c r="G1258" s="172" t="b">
        <v>0</v>
      </c>
      <c r="H1258" s="172" t="b">
        <v>0</v>
      </c>
      <c r="I1258" s="172" t="b">
        <v>0</v>
      </c>
      <c r="J1258" s="172" t="b">
        <v>0</v>
      </c>
      <c r="K1258" s="172" t="b">
        <v>0</v>
      </c>
      <c r="L1258" s="172" t="b">
        <v>0</v>
      </c>
      <c r="M1258" s="172" t="b">
        <v>0</v>
      </c>
      <c r="N1258" s="175" t="s">
        <v>4805</v>
      </c>
      <c r="O1258" s="176" t="s">
        <v>4806</v>
      </c>
      <c r="P1258" s="97" t="s">
        <v>4807</v>
      </c>
      <c r="Q1258" s="174"/>
    </row>
    <row r="1259" spans="8:8" ht="43.5" customHeight="1">
      <c r="A1259" s="97">
        <v>5.0</v>
      </c>
      <c r="B1259" s="171" t="s">
        <v>4974</v>
      </c>
      <c r="C1259" s="172">
        <v>251667.0</v>
      </c>
      <c r="D1259" s="171" t="s">
        <v>4840</v>
      </c>
      <c r="E1259" s="172" t="s">
        <v>1490</v>
      </c>
      <c r="F1259" s="172" t="b">
        <v>0</v>
      </c>
      <c r="G1259" s="172" t="b">
        <v>0</v>
      </c>
      <c r="H1259" s="172" t="b">
        <v>0</v>
      </c>
      <c r="I1259" s="172" t="b">
        <v>0</v>
      </c>
      <c r="J1259" s="172" t="b">
        <v>0</v>
      </c>
      <c r="K1259" s="172" t="b">
        <v>0</v>
      </c>
      <c r="L1259" s="172" t="b">
        <v>0</v>
      </c>
      <c r="M1259" s="172" t="b">
        <v>0</v>
      </c>
      <c r="N1259" s="97" t="s">
        <v>4794</v>
      </c>
      <c r="O1259" s="172" t="b">
        <v>1</v>
      </c>
      <c r="P1259" s="97"/>
      <c r="Q1259" s="174"/>
    </row>
    <row r="1260" spans="8:8" ht="43.5" customHeight="1">
      <c r="A1260" s="97">
        <v>6.0</v>
      </c>
      <c r="B1260" s="181" t="s">
        <v>4777</v>
      </c>
      <c r="C1260" s="97">
        <v>240538.0</v>
      </c>
      <c r="D1260" s="181" t="s">
        <v>4948</v>
      </c>
      <c r="E1260" s="172" t="s">
        <v>1490</v>
      </c>
      <c r="F1260" s="172" t="b">
        <v>0</v>
      </c>
      <c r="G1260" s="172" t="b">
        <v>0</v>
      </c>
      <c r="H1260" s="172" t="b">
        <v>0</v>
      </c>
      <c r="I1260" s="172" t="b">
        <v>0</v>
      </c>
      <c r="J1260" s="172" t="b">
        <v>0</v>
      </c>
      <c r="K1260" s="172" t="b">
        <v>0</v>
      </c>
      <c r="L1260" s="172" t="b">
        <v>0</v>
      </c>
      <c r="M1260" s="172" t="b">
        <v>0</v>
      </c>
      <c r="N1260" s="97" t="s">
        <v>4795</v>
      </c>
      <c r="O1260" s="172" t="b">
        <v>1</v>
      </c>
      <c r="P1260" s="97"/>
      <c r="Q1260" s="174"/>
    </row>
    <row r="1261" spans="8:8" ht="43.5" customHeight="1">
      <c r="A1261" s="97">
        <v>7.0</v>
      </c>
      <c r="B1261" s="181" t="s">
        <v>4527</v>
      </c>
      <c r="C1261" s="97">
        <v>241181.0</v>
      </c>
      <c r="D1261" s="181" t="s">
        <v>4859</v>
      </c>
      <c r="E1261" s="172" t="s">
        <v>1490</v>
      </c>
      <c r="F1261" s="172" t="b">
        <v>0</v>
      </c>
      <c r="G1261" s="172" t="b">
        <v>0</v>
      </c>
      <c r="H1261" s="172" t="b">
        <v>1</v>
      </c>
      <c r="I1261" s="172" t="b">
        <v>0</v>
      </c>
      <c r="J1261" s="172" t="b">
        <v>0</v>
      </c>
      <c r="K1261" s="172" t="b">
        <v>0</v>
      </c>
      <c r="L1261" s="172" t="b">
        <v>0</v>
      </c>
      <c r="M1261" s="172" t="b">
        <v>0</v>
      </c>
      <c r="N1261" s="97" t="s">
        <v>4796</v>
      </c>
      <c r="O1261" s="172" t="b">
        <v>0</v>
      </c>
      <c r="P1261" s="97"/>
      <c r="Q1261" s="174"/>
    </row>
    <row r="1262" spans="8:8" ht="43.5" customHeight="1">
      <c r="A1262" s="97">
        <v>8.0</v>
      </c>
      <c r="B1262" s="181" t="s">
        <v>4449</v>
      </c>
      <c r="C1262" s="97">
        <v>241534.0</v>
      </c>
      <c r="D1262" s="181" t="s">
        <v>4851</v>
      </c>
      <c r="E1262" s="172" t="s">
        <v>1490</v>
      </c>
      <c r="F1262" s="172" t="b">
        <v>0</v>
      </c>
      <c r="G1262" s="172" t="b">
        <v>0</v>
      </c>
      <c r="H1262" s="172" t="b">
        <v>0</v>
      </c>
      <c r="I1262" s="172" t="b">
        <v>0</v>
      </c>
      <c r="J1262" s="172" t="b">
        <v>0</v>
      </c>
      <c r="K1262" s="172" t="b">
        <v>0</v>
      </c>
      <c r="L1262" s="172" t="b">
        <v>0</v>
      </c>
      <c r="M1262" s="172" t="b">
        <v>0</v>
      </c>
      <c r="N1262" s="97" t="s">
        <v>4797</v>
      </c>
      <c r="O1262" s="172" t="b">
        <v>0</v>
      </c>
      <c r="P1262" s="97"/>
      <c r="Q1262" s="174"/>
    </row>
    <row r="1263" spans="8:8" ht="43.5" customHeight="1">
      <c r="A1263" s="97">
        <v>9.0</v>
      </c>
      <c r="B1263" s="181" t="s">
        <v>4450</v>
      </c>
      <c r="C1263" s="97">
        <v>241548.0</v>
      </c>
      <c r="D1263" s="181" t="s">
        <v>4851</v>
      </c>
      <c r="E1263" s="172" t="s">
        <v>1490</v>
      </c>
      <c r="F1263" s="172" t="b">
        <v>0</v>
      </c>
      <c r="G1263" s="172" t="b">
        <v>0</v>
      </c>
      <c r="H1263" s="172" t="b">
        <v>1</v>
      </c>
      <c r="I1263" s="172" t="b">
        <v>0</v>
      </c>
      <c r="J1263" s="172" t="b">
        <v>0</v>
      </c>
      <c r="K1263" s="172" t="b">
        <v>0</v>
      </c>
      <c r="L1263" s="172" t="b">
        <v>0</v>
      </c>
      <c r="M1263" s="172" t="b">
        <v>0</v>
      </c>
      <c r="N1263" s="97" t="s">
        <v>4798</v>
      </c>
      <c r="O1263" s="172" t="b">
        <v>0</v>
      </c>
      <c r="P1263" s="97"/>
      <c r="Q1263" s="174"/>
    </row>
    <row r="1264" spans="8:8" ht="43.5" customHeight="1">
      <c r="A1264" s="189"/>
      <c r="B1264" s="181" t="s">
        <v>4778</v>
      </c>
      <c r="C1264" s="97">
        <v>241551.0</v>
      </c>
      <c r="D1264" s="181" t="s">
        <v>4851</v>
      </c>
      <c r="E1264" s="172" t="s">
        <v>1490</v>
      </c>
      <c r="F1264" s="172" t="b">
        <v>0</v>
      </c>
      <c r="G1264" s="172" t="b">
        <v>0</v>
      </c>
      <c r="H1264" s="172" t="b">
        <v>0</v>
      </c>
      <c r="I1264" s="172" t="b">
        <v>0</v>
      </c>
      <c r="J1264" s="172" t="b">
        <v>0</v>
      </c>
      <c r="K1264" s="172" t="b">
        <v>0</v>
      </c>
      <c r="L1264" s="172" t="b">
        <v>0</v>
      </c>
      <c r="M1264" s="172" t="b">
        <v>0</v>
      </c>
      <c r="N1264" s="97" t="s">
        <v>4799</v>
      </c>
      <c r="O1264" s="172" t="b">
        <v>0</v>
      </c>
      <c r="P1264" s="97"/>
      <c r="Q1264" s="174"/>
    </row>
    <row r="1265" spans="8:8" ht="43.5" customHeight="1">
      <c r="A1265" s="97">
        <v>11.0</v>
      </c>
      <c r="B1265" s="181" t="s">
        <v>4451</v>
      </c>
      <c r="C1265" s="97">
        <v>241585.0</v>
      </c>
      <c r="D1265" s="181" t="s">
        <v>4851</v>
      </c>
      <c r="E1265" s="172" t="s">
        <v>1490</v>
      </c>
      <c r="F1265" s="172" t="b">
        <v>0</v>
      </c>
      <c r="G1265" s="172" t="b">
        <v>0</v>
      </c>
      <c r="H1265" s="172" t="b">
        <v>0</v>
      </c>
      <c r="I1265" s="172" t="b">
        <v>0</v>
      </c>
      <c r="J1265" s="172" t="b">
        <v>0</v>
      </c>
      <c r="K1265" s="172" t="b">
        <v>0</v>
      </c>
      <c r="L1265" s="172" t="b">
        <v>0</v>
      </c>
      <c r="M1265" s="172" t="b">
        <v>0</v>
      </c>
      <c r="N1265" s="97" t="s">
        <v>4800</v>
      </c>
      <c r="O1265" s="172" t="b">
        <v>0</v>
      </c>
      <c r="P1265" s="97"/>
      <c r="Q1265" s="174"/>
    </row>
    <row r="1266" spans="8:8" ht="43.5" customHeight="1">
      <c r="A1266" s="97">
        <v>12.0</v>
      </c>
      <c r="B1266" s="181" t="s">
        <v>4452</v>
      </c>
      <c r="C1266" s="97">
        <v>241464.0</v>
      </c>
      <c r="D1266" s="181" t="s">
        <v>4851</v>
      </c>
      <c r="E1266" s="172" t="s">
        <v>1490</v>
      </c>
      <c r="F1266" s="172" t="b">
        <v>0</v>
      </c>
      <c r="G1266" s="172" t="b">
        <v>0</v>
      </c>
      <c r="H1266" s="172" t="b">
        <v>0</v>
      </c>
      <c r="I1266" s="172" t="b">
        <v>0</v>
      </c>
      <c r="J1266" s="172" t="b">
        <v>0</v>
      </c>
      <c r="K1266" s="172" t="b">
        <v>0</v>
      </c>
      <c r="L1266" s="172" t="b">
        <v>0</v>
      </c>
      <c r="M1266" s="172" t="b">
        <v>0</v>
      </c>
      <c r="N1266" s="97" t="s">
        <v>4801</v>
      </c>
      <c r="O1266" s="172" t="b">
        <v>0</v>
      </c>
      <c r="P1266" s="97"/>
      <c r="Q1266" s="174"/>
    </row>
    <row r="1267" spans="8:8" ht="43.5" customHeight="1">
      <c r="A1267" s="97">
        <v>13.0</v>
      </c>
      <c r="B1267" s="181" t="s">
        <v>4779</v>
      </c>
      <c r="C1267" s="97">
        <v>241465.0</v>
      </c>
      <c r="D1267" s="181" t="s">
        <v>4851</v>
      </c>
      <c r="E1267" s="172" t="s">
        <v>1490</v>
      </c>
      <c r="F1267" s="172" t="b">
        <v>0</v>
      </c>
      <c r="G1267" s="172" t="b">
        <v>0</v>
      </c>
      <c r="H1267" s="172" t="b">
        <v>0</v>
      </c>
      <c r="I1267" s="172" t="b">
        <v>0</v>
      </c>
      <c r="J1267" s="172" t="b">
        <v>0</v>
      </c>
      <c r="K1267" s="172" t="b">
        <v>0</v>
      </c>
      <c r="L1267" s="172" t="b">
        <v>0</v>
      </c>
      <c r="M1267" s="172" t="b">
        <v>0</v>
      </c>
      <c r="N1267" s="97"/>
      <c r="O1267" s="97"/>
      <c r="P1267" s="97"/>
      <c r="Q1267" s="174"/>
    </row>
    <row r="1268" spans="8:8" ht="43.5" customHeight="1">
      <c r="A1268" s="97">
        <v>14.0</v>
      </c>
      <c r="B1268" s="171" t="s">
        <v>4453</v>
      </c>
      <c r="C1268" s="172">
        <v>241189.0</v>
      </c>
      <c r="D1268" s="171" t="s">
        <v>4859</v>
      </c>
      <c r="E1268" s="172" t="s">
        <v>1490</v>
      </c>
      <c r="F1268" s="172" t="b">
        <v>0</v>
      </c>
      <c r="G1268" s="172" t="b">
        <v>1</v>
      </c>
      <c r="H1268" s="172" t="b">
        <v>1</v>
      </c>
      <c r="I1268" s="172" t="b">
        <v>0</v>
      </c>
      <c r="J1268" s="172" t="b">
        <v>0</v>
      </c>
      <c r="K1268" s="172" t="b">
        <v>0</v>
      </c>
      <c r="L1268" s="172" t="b">
        <v>0</v>
      </c>
      <c r="M1268" s="172" t="b">
        <v>0</v>
      </c>
      <c r="N1268" s="97"/>
      <c r="O1268" s="97"/>
      <c r="P1268" s="97"/>
      <c r="Q1268" s="174"/>
    </row>
    <row r="1269" spans="8:8" ht="43.5" customHeight="1">
      <c r="A1269" s="220">
        <v>15.0</v>
      </c>
      <c r="B1269" s="171" t="s">
        <v>4454</v>
      </c>
      <c r="C1269" s="172">
        <v>241190.0</v>
      </c>
      <c r="D1269" s="171" t="s">
        <v>4859</v>
      </c>
      <c r="E1269" s="172" t="s">
        <v>1490</v>
      </c>
      <c r="F1269" s="172" t="b">
        <v>0</v>
      </c>
      <c r="G1269" s="172" t="b">
        <v>0</v>
      </c>
      <c r="H1269" s="172" t="b">
        <v>0</v>
      </c>
      <c r="I1269" s="172" t="b">
        <v>0</v>
      </c>
      <c r="J1269" s="172" t="b">
        <v>0</v>
      </c>
      <c r="K1269" s="172" t="b">
        <v>0</v>
      </c>
      <c r="L1269" s="172" t="b">
        <v>0</v>
      </c>
      <c r="M1269" s="172" t="b">
        <v>0</v>
      </c>
      <c r="N1269" s="97"/>
      <c r="O1269" s="97"/>
      <c r="P1269" s="97"/>
      <c r="Q1269" s="174"/>
    </row>
    <row r="1270" spans="8:8" ht="43.5" customHeight="1">
      <c r="A1270" s="97">
        <v>16.0</v>
      </c>
      <c r="B1270" s="171" t="s">
        <v>4455</v>
      </c>
      <c r="C1270" s="172">
        <v>241191.0</v>
      </c>
      <c r="D1270" s="171" t="s">
        <v>4859</v>
      </c>
      <c r="E1270" s="172" t="s">
        <v>1490</v>
      </c>
      <c r="F1270" s="172" t="b">
        <v>0</v>
      </c>
      <c r="G1270" s="172" t="b">
        <v>1</v>
      </c>
      <c r="H1270" s="172" t="b">
        <v>0</v>
      </c>
      <c r="I1270" s="172" t="b">
        <v>0</v>
      </c>
      <c r="J1270" s="172" t="b">
        <v>0</v>
      </c>
      <c r="K1270" s="172" t="b">
        <v>0</v>
      </c>
      <c r="L1270" s="172" t="b">
        <v>0</v>
      </c>
      <c r="M1270" s="172" t="b">
        <v>0</v>
      </c>
      <c r="N1270" s="97"/>
      <c r="O1270" s="97"/>
      <c r="P1270" s="97"/>
      <c r="Q1270" s="174"/>
    </row>
    <row r="1271" spans="8:8" ht="43.5" customHeight="1">
      <c r="A1271" s="97">
        <v>17.0</v>
      </c>
      <c r="B1271" s="171" t="s">
        <v>4526</v>
      </c>
      <c r="C1271" s="172">
        <v>241192.0</v>
      </c>
      <c r="D1271" s="171" t="s">
        <v>4859</v>
      </c>
      <c r="E1271" s="172" t="s">
        <v>1490</v>
      </c>
      <c r="F1271" s="172" t="b">
        <v>0</v>
      </c>
      <c r="G1271" s="172" t="b">
        <v>0</v>
      </c>
      <c r="H1271" s="172" t="b">
        <v>0</v>
      </c>
      <c r="I1271" s="172" t="b">
        <v>0</v>
      </c>
      <c r="J1271" s="172" t="b">
        <v>0</v>
      </c>
      <c r="K1271" s="172" t="b">
        <v>0</v>
      </c>
      <c r="L1271" s="172" t="b">
        <v>0</v>
      </c>
      <c r="M1271" s="172" t="b">
        <v>0</v>
      </c>
      <c r="N1271" s="97"/>
      <c r="O1271" s="97"/>
      <c r="P1271" s="97"/>
      <c r="Q1271" s="174"/>
    </row>
    <row r="1272" spans="8:8" ht="43.5" customHeight="1">
      <c r="A1272" s="97">
        <v>18.0</v>
      </c>
      <c r="B1272" s="171" t="s">
        <v>4456</v>
      </c>
      <c r="C1272" s="172">
        <v>241207.0</v>
      </c>
      <c r="D1272" s="171" t="s">
        <v>4859</v>
      </c>
      <c r="E1272" s="172" t="s">
        <v>1490</v>
      </c>
      <c r="F1272" s="172" t="b">
        <v>0</v>
      </c>
      <c r="G1272" s="172" t="b">
        <v>0</v>
      </c>
      <c r="H1272" s="172" t="b">
        <v>1</v>
      </c>
      <c r="I1272" s="172" t="b">
        <v>0</v>
      </c>
      <c r="J1272" s="172" t="b">
        <v>0</v>
      </c>
      <c r="K1272" s="172" t="b">
        <v>0</v>
      </c>
      <c r="L1272" s="172" t="b">
        <v>0</v>
      </c>
      <c r="M1272" s="172" t="b">
        <v>0</v>
      </c>
      <c r="N1272" s="97"/>
      <c r="O1272" s="97"/>
      <c r="P1272" s="97"/>
      <c r="Q1272" s="174"/>
    </row>
    <row r="1273" spans="8:8" ht="43.5" customHeight="1">
      <c r="A1273" s="97">
        <v>19.0</v>
      </c>
      <c r="B1273" s="171" t="s">
        <v>4525</v>
      </c>
      <c r="C1273" s="172">
        <v>241212.0</v>
      </c>
      <c r="D1273" s="171" t="s">
        <v>4859</v>
      </c>
      <c r="E1273" s="172" t="s">
        <v>1490</v>
      </c>
      <c r="F1273" s="172" t="b">
        <v>0</v>
      </c>
      <c r="G1273" s="172" t="b">
        <v>0</v>
      </c>
      <c r="H1273" s="172" t="b">
        <v>1</v>
      </c>
      <c r="I1273" s="172" t="b">
        <v>0</v>
      </c>
      <c r="J1273" s="172" t="b">
        <v>0</v>
      </c>
      <c r="K1273" s="172" t="b">
        <v>0</v>
      </c>
      <c r="L1273" s="172" t="b">
        <v>0</v>
      </c>
      <c r="M1273" s="172" t="b">
        <v>0</v>
      </c>
      <c r="N1273" s="97"/>
      <c r="O1273" s="97"/>
      <c r="P1273" s="97"/>
      <c r="Q1273" s="174"/>
    </row>
    <row r="1274" spans="8:8" ht="43.5" customHeight="1">
      <c r="A1274" s="189"/>
      <c r="B1274" s="171" t="s">
        <v>4457</v>
      </c>
      <c r="C1274" s="172">
        <v>241214.0</v>
      </c>
      <c r="D1274" s="171" t="s">
        <v>4859</v>
      </c>
      <c r="E1274" s="172" t="s">
        <v>1490</v>
      </c>
      <c r="F1274" s="172" t="b">
        <v>0</v>
      </c>
      <c r="G1274" s="172" t="b">
        <v>1</v>
      </c>
      <c r="H1274" s="172" t="b">
        <v>1</v>
      </c>
      <c r="I1274" s="172" t="b">
        <v>0</v>
      </c>
      <c r="J1274" s="172" t="b">
        <v>0</v>
      </c>
      <c r="K1274" s="172" t="b">
        <v>0</v>
      </c>
      <c r="L1274" s="172" t="b">
        <v>0</v>
      </c>
      <c r="M1274" s="172" t="b">
        <v>0</v>
      </c>
      <c r="N1274" s="97"/>
      <c r="O1274" s="97"/>
      <c r="P1274" s="97"/>
      <c r="Q1274" s="174"/>
    </row>
    <row r="1275" spans="8:8" ht="43.5" customHeight="1">
      <c r="A1275" s="97">
        <v>21.0</v>
      </c>
      <c r="B1275" s="171" t="s">
        <v>4458</v>
      </c>
      <c r="C1275" s="172">
        <v>241139.0</v>
      </c>
      <c r="D1275" s="171" t="s">
        <v>4859</v>
      </c>
      <c r="E1275" s="172" t="s">
        <v>1490</v>
      </c>
      <c r="F1275" s="172" t="b">
        <v>0</v>
      </c>
      <c r="G1275" s="172" t="b">
        <v>1</v>
      </c>
      <c r="H1275" s="172" t="b">
        <v>1</v>
      </c>
      <c r="I1275" s="172" t="b">
        <v>0</v>
      </c>
      <c r="J1275" s="172" t="b">
        <v>0</v>
      </c>
      <c r="K1275" s="172" t="b">
        <v>0</v>
      </c>
      <c r="L1275" s="172" t="b">
        <v>0</v>
      </c>
      <c r="M1275" s="172" t="b">
        <v>0</v>
      </c>
      <c r="N1275" s="97"/>
      <c r="O1275" s="97"/>
      <c r="P1275" s="97"/>
      <c r="Q1275" s="174"/>
    </row>
    <row r="1276" spans="8:8" ht="43.5" customHeight="1">
      <c r="A1276" s="189"/>
      <c r="B1276" s="171" t="s">
        <v>4459</v>
      </c>
      <c r="C1276" s="172">
        <v>241513.0</v>
      </c>
      <c r="D1276" s="171" t="s">
        <v>4851</v>
      </c>
      <c r="E1276" s="172" t="s">
        <v>1490</v>
      </c>
      <c r="F1276" s="172" t="b">
        <v>0</v>
      </c>
      <c r="G1276" s="172" t="b">
        <v>1</v>
      </c>
      <c r="H1276" s="172" t="b">
        <v>1</v>
      </c>
      <c r="I1276" s="172" t="b">
        <v>0</v>
      </c>
      <c r="J1276" s="172" t="b">
        <v>0</v>
      </c>
      <c r="K1276" s="172" t="b">
        <v>0</v>
      </c>
      <c r="L1276" s="172" t="b">
        <v>0</v>
      </c>
      <c r="M1276" s="172" t="b">
        <v>0</v>
      </c>
      <c r="N1276" s="97"/>
      <c r="O1276" s="97"/>
      <c r="P1276" s="97"/>
      <c r="Q1276" s="174"/>
    </row>
    <row r="1277" spans="8:8" ht="43.5" customHeight="1">
      <c r="A1277" s="97"/>
      <c r="B1277" s="171" t="s">
        <v>4460</v>
      </c>
      <c r="C1277" s="172">
        <v>241518.0</v>
      </c>
      <c r="D1277" s="171" t="s">
        <v>4851</v>
      </c>
      <c r="E1277" s="172" t="s">
        <v>1490</v>
      </c>
      <c r="F1277" s="172" t="b">
        <v>0</v>
      </c>
      <c r="G1277" s="172" t="b">
        <v>1</v>
      </c>
      <c r="H1277" s="172" t="b">
        <v>0</v>
      </c>
      <c r="I1277" s="172" t="b">
        <v>0</v>
      </c>
      <c r="J1277" s="172" t="b">
        <v>0</v>
      </c>
      <c r="K1277" s="172" t="b">
        <v>0</v>
      </c>
      <c r="L1277" s="172" t="b">
        <v>0</v>
      </c>
      <c r="M1277" s="172" t="b">
        <v>0</v>
      </c>
      <c r="N1277" s="97"/>
      <c r="O1277" s="97"/>
      <c r="P1277" s="97"/>
      <c r="Q1277" s="174"/>
    </row>
    <row r="1278" spans="8:8" ht="43.5" customHeight="1">
      <c r="A1278" s="162" t="s">
        <v>18</v>
      </c>
      <c r="B1278" s="171" t="s">
        <v>4975</v>
      </c>
      <c r="C1278" s="172">
        <v>241519.0</v>
      </c>
      <c r="D1278" s="171" t="s">
        <v>4851</v>
      </c>
      <c r="E1278" s="172" t="s">
        <v>1490</v>
      </c>
      <c r="F1278" s="172" t="b">
        <v>0</v>
      </c>
      <c r="G1278" s="172" t="b">
        <v>0</v>
      </c>
      <c r="H1278" s="172" t="b">
        <v>0</v>
      </c>
      <c r="I1278" s="172" t="b">
        <v>0</v>
      </c>
      <c r="J1278" s="172" t="b">
        <v>0</v>
      </c>
      <c r="K1278" s="172" t="b">
        <v>0</v>
      </c>
      <c r="L1278" s="172" t="b">
        <v>0</v>
      </c>
      <c r="M1278" s="172" t="b">
        <v>0</v>
      </c>
      <c r="N1278" s="97"/>
      <c r="O1278" s="97"/>
      <c r="P1278" s="97"/>
      <c r="Q1278" s="174"/>
    </row>
    <row r="1279" spans="8:8" ht="43.5" customHeight="1">
      <c r="A1279" s="97">
        <v>1.0</v>
      </c>
      <c r="B1279" s="171" t="s">
        <v>4976</v>
      </c>
      <c r="C1279" s="172">
        <v>241522.0</v>
      </c>
      <c r="D1279" s="171" t="s">
        <v>4851</v>
      </c>
      <c r="E1279" s="172" t="s">
        <v>1490</v>
      </c>
      <c r="F1279" s="172" t="b">
        <v>0</v>
      </c>
      <c r="G1279" s="172" t="b">
        <v>0</v>
      </c>
      <c r="H1279" s="172" t="b">
        <v>0</v>
      </c>
      <c r="I1279" s="172" t="b">
        <v>0</v>
      </c>
      <c r="J1279" s="172" t="b">
        <v>0</v>
      </c>
      <c r="K1279" s="172" t="b">
        <v>0</v>
      </c>
      <c r="L1279" s="172" t="b">
        <v>0</v>
      </c>
      <c r="M1279" s="172" t="b">
        <v>0</v>
      </c>
      <c r="N1279" s="97"/>
      <c r="O1279" s="97"/>
      <c r="P1279" s="97"/>
      <c r="Q1279" s="174"/>
    </row>
    <row r="1280" spans="8:8" ht="43.5" customHeight="1">
      <c r="A1280" s="172">
        <v>2.0</v>
      </c>
      <c r="B1280" s="171" t="s">
        <v>4461</v>
      </c>
      <c r="C1280" s="172">
        <v>241523.0</v>
      </c>
      <c r="D1280" s="171" t="s">
        <v>4851</v>
      </c>
      <c r="E1280" s="97" t="s">
        <v>1490</v>
      </c>
      <c r="F1280" s="172" t="b">
        <v>0</v>
      </c>
      <c r="G1280" s="172" t="b">
        <v>0</v>
      </c>
      <c r="H1280" s="172" t="b">
        <v>0</v>
      </c>
      <c r="I1280" s="172" t="b">
        <v>0</v>
      </c>
      <c r="J1280" s="172" t="b">
        <v>0</v>
      </c>
      <c r="K1280" s="172" t="b">
        <v>0</v>
      </c>
      <c r="L1280" s="172" t="b">
        <v>0</v>
      </c>
      <c r="M1280" s="172" t="b">
        <v>0</v>
      </c>
      <c r="N1280" s="97"/>
      <c r="O1280" s="97"/>
      <c r="P1280" s="97"/>
      <c r="Q1280" s="174"/>
    </row>
    <row r="1281" spans="8:8" ht="43.5" customHeight="1">
      <c r="A1281" s="97">
        <v>3.0</v>
      </c>
      <c r="B1281" s="204" t="s">
        <v>1502</v>
      </c>
      <c r="C1281" s="205">
        <v>240962.0</v>
      </c>
      <c r="D1281" s="204" t="s">
        <v>606</v>
      </c>
      <c r="E1281" s="203" t="s">
        <v>1490</v>
      </c>
      <c r="F1281" s="190" t="b">
        <v>0</v>
      </c>
      <c r="G1281" s="190" t="b">
        <v>0</v>
      </c>
      <c r="H1281" s="190" t="b">
        <v>0</v>
      </c>
      <c r="I1281" s="190" t="b">
        <v>0</v>
      </c>
      <c r="J1281" s="190" t="b">
        <v>0</v>
      </c>
      <c r="K1281" s="190" t="b">
        <v>0</v>
      </c>
      <c r="L1281" s="190" t="b">
        <v>0</v>
      </c>
      <c r="M1281" s="190" t="b">
        <v>0</v>
      </c>
      <c r="N1281" s="206"/>
      <c r="O1281" s="190"/>
      <c r="P1281" s="207"/>
      <c r="Q1281" s="208"/>
    </row>
    <row r="1282" spans="8:8" ht="43.5" customHeight="1">
      <c r="A1282" s="97">
        <v>4.0</v>
      </c>
      <c r="B1282" s="204" t="s">
        <v>3247</v>
      </c>
      <c r="C1282" s="205">
        <v>253211.0</v>
      </c>
      <c r="D1282" s="204" t="s">
        <v>2971</v>
      </c>
      <c r="E1282" s="203" t="s">
        <v>1490</v>
      </c>
      <c r="F1282" s="190" t="b">
        <v>0</v>
      </c>
      <c r="G1282" s="190" t="b">
        <v>0</v>
      </c>
      <c r="H1282" s="190" t="b">
        <v>0</v>
      </c>
      <c r="I1282" s="190" t="b">
        <v>0</v>
      </c>
      <c r="J1282" s="190" t="b">
        <v>0</v>
      </c>
      <c r="K1282" s="190" t="b">
        <v>0</v>
      </c>
      <c r="L1282" s="190" t="b">
        <v>0</v>
      </c>
      <c r="M1282" s="190" t="b">
        <v>0</v>
      </c>
      <c r="N1282" s="206"/>
      <c r="O1282" s="190"/>
      <c r="P1282" s="207"/>
      <c r="Q1282" s="208"/>
    </row>
    <row r="1283" spans="8:8" ht="43.5" customHeight="1">
      <c r="A1283" s="172">
        <v>5.0</v>
      </c>
      <c r="B1283" s="96" t="s">
        <v>3246</v>
      </c>
      <c r="C1283" s="177">
        <v>253210.0</v>
      </c>
      <c r="D1283" s="171" t="s">
        <v>4810</v>
      </c>
      <c r="E1283" s="177" t="s">
        <v>1490</v>
      </c>
      <c r="F1283" s="221" t="b">
        <v>0</v>
      </c>
      <c r="G1283" s="221" t="b">
        <v>0</v>
      </c>
      <c r="H1283" s="177" t="b">
        <v>1</v>
      </c>
      <c r="I1283" s="221" t="b">
        <v>0</v>
      </c>
      <c r="J1283" s="221" t="b">
        <v>0</v>
      </c>
      <c r="K1283" s="221" t="b">
        <v>0</v>
      </c>
      <c r="L1283" s="221" t="b">
        <v>0</v>
      </c>
      <c r="M1283" s="221" t="b">
        <v>0</v>
      </c>
      <c r="N1283" s="177"/>
      <c r="O1283" s="177"/>
      <c r="P1283" s="97"/>
      <c r="Q1283" s="174"/>
    </row>
    <row r="1284" spans="8:8" ht="43.5" customHeight="1">
      <c r="A1284" s="97">
        <v>6.0</v>
      </c>
      <c r="B1284" s="182" t="s">
        <v>4815</v>
      </c>
      <c r="C1284" s="97"/>
      <c r="D1284" s="97"/>
      <c r="E1284" s="183"/>
      <c r="F1284" s="184">
        <f t="shared" si="47" ref="F1284:M1284">COUNTIF(F1270:F1279,TRUE)/COUNTA(F1270:F1279)</f>
        <v>0.0</v>
      </c>
      <c r="G1284" s="184">
        <f t="shared" si="47"/>
        <v>0.5</v>
      </c>
      <c r="H1284" s="184">
        <f t="shared" si="47"/>
        <v>0.5</v>
      </c>
      <c r="I1284" s="184">
        <f t="shared" si="47"/>
        <v>0.0</v>
      </c>
      <c r="J1284" s="184">
        <f t="shared" si="47"/>
        <v>0.0</v>
      </c>
      <c r="K1284" s="184">
        <f t="shared" si="47"/>
        <v>0.0</v>
      </c>
      <c r="L1284" s="184">
        <f t="shared" si="47"/>
        <v>0.0</v>
      </c>
      <c r="M1284" s="184">
        <f t="shared" si="47"/>
        <v>0.0</v>
      </c>
      <c r="N1284" s="97"/>
      <c r="O1284" s="97"/>
      <c r="P1284" s="97"/>
      <c r="Q1284" s="174"/>
    </row>
    <row r="1285" spans="8:8" ht="43.5" customHeight="1">
      <c r="A1285" s="97">
        <v>7.0</v>
      </c>
      <c r="B1285" s="162" t="s">
        <v>19</v>
      </c>
      <c r="C1285" s="163"/>
      <c r="D1285" s="162" t="s">
        <v>4530</v>
      </c>
      <c r="E1285" s="162" t="s">
        <v>22</v>
      </c>
      <c r="F1285" s="163" t="s">
        <v>4794</v>
      </c>
      <c r="G1285" s="163" t="s">
        <v>4795</v>
      </c>
      <c r="H1285" s="163" t="s">
        <v>4796</v>
      </c>
      <c r="I1285" s="163" t="s">
        <v>4797</v>
      </c>
      <c r="J1285" s="163" t="s">
        <v>4798</v>
      </c>
      <c r="K1285" s="163" t="s">
        <v>4799</v>
      </c>
      <c r="L1285" s="163" t="s">
        <v>4800</v>
      </c>
      <c r="M1285" s="163" t="s">
        <v>4801</v>
      </c>
      <c r="N1285" s="166" t="s">
        <v>4977</v>
      </c>
      <c r="O1285" s="167"/>
      <c r="P1285" s="168"/>
      <c r="Q1285" s="169"/>
    </row>
    <row r="1286" spans="8:8" ht="43.5" customHeight="1">
      <c r="A1286" s="97">
        <v>8.0</v>
      </c>
      <c r="B1286" s="171" t="s">
        <v>4471</v>
      </c>
      <c r="C1286" s="172">
        <v>251475.0</v>
      </c>
      <c r="D1286" s="171" t="s">
        <v>4834</v>
      </c>
      <c r="E1286" s="172" t="s">
        <v>1477</v>
      </c>
      <c r="F1286" s="172" t="b">
        <v>0</v>
      </c>
      <c r="G1286" s="172" t="b">
        <v>0</v>
      </c>
      <c r="H1286" s="172" t="b">
        <v>0</v>
      </c>
      <c r="I1286" s="172" t="b">
        <v>0</v>
      </c>
      <c r="J1286" s="172" t="b">
        <v>0</v>
      </c>
      <c r="K1286" s="172" t="b">
        <v>0</v>
      </c>
      <c r="L1286" s="172" t="b">
        <v>0</v>
      </c>
      <c r="M1286" s="172" t="b">
        <v>0</v>
      </c>
      <c r="N1286" s="173" t="s">
        <v>4804</v>
      </c>
      <c r="O1286" s="167"/>
      <c r="P1286" s="168"/>
      <c r="Q1286" s="174"/>
    </row>
    <row r="1287" spans="8:8" ht="43.5" customHeight="1">
      <c r="A1287" s="97">
        <v>9.0</v>
      </c>
      <c r="B1287" s="171" t="s">
        <v>4472</v>
      </c>
      <c r="C1287" s="172">
        <v>241472.0</v>
      </c>
      <c r="D1287" s="171" t="s">
        <v>4851</v>
      </c>
      <c r="E1287" s="172" t="s">
        <v>1477</v>
      </c>
      <c r="F1287" s="172" t="b">
        <v>0</v>
      </c>
      <c r="G1287" s="172" t="b">
        <v>0</v>
      </c>
      <c r="H1287" s="172" t="b">
        <v>0</v>
      </c>
      <c r="I1287" s="172" t="b">
        <v>0</v>
      </c>
      <c r="J1287" s="172" t="b">
        <v>0</v>
      </c>
      <c r="K1287" s="172" t="b">
        <v>0</v>
      </c>
      <c r="L1287" s="172" t="b">
        <v>0</v>
      </c>
      <c r="M1287" s="172" t="b">
        <v>0</v>
      </c>
      <c r="N1287" s="175" t="s">
        <v>4805</v>
      </c>
      <c r="O1287" s="176" t="s">
        <v>4806</v>
      </c>
      <c r="P1287" s="97" t="s">
        <v>4807</v>
      </c>
      <c r="Q1287" s="174"/>
    </row>
    <row r="1288" spans="8:8" ht="43.5" customHeight="1">
      <c r="A1288" s="97">
        <v>10.0</v>
      </c>
      <c r="B1288" s="171" t="s">
        <v>4780</v>
      </c>
      <c r="C1288" s="172">
        <v>241143.0</v>
      </c>
      <c r="D1288" s="171" t="s">
        <v>4859</v>
      </c>
      <c r="E1288" s="172" t="s">
        <v>1477</v>
      </c>
      <c r="F1288" s="172" t="b">
        <v>0</v>
      </c>
      <c r="G1288" s="172" t="b">
        <v>0</v>
      </c>
      <c r="H1288" s="172" t="b">
        <v>0</v>
      </c>
      <c r="I1288" s="172" t="b">
        <v>0</v>
      </c>
      <c r="J1288" s="172" t="b">
        <v>0</v>
      </c>
      <c r="K1288" s="172" t="b">
        <v>0</v>
      </c>
      <c r="L1288" s="172" t="b">
        <v>0</v>
      </c>
      <c r="M1288" s="172" t="b">
        <v>0</v>
      </c>
      <c r="N1288" s="97" t="s">
        <v>4794</v>
      </c>
      <c r="O1288" s="172" t="b">
        <v>0</v>
      </c>
      <c r="P1288" s="97"/>
      <c r="Q1288" s="174"/>
    </row>
    <row r="1289" spans="8:8" ht="43.5" customHeight="1">
      <c r="A1289" s="97">
        <v>11.0</v>
      </c>
      <c r="B1289" s="171" t="s">
        <v>4473</v>
      </c>
      <c r="C1289" s="172">
        <v>241200.0</v>
      </c>
      <c r="D1289" s="171" t="s">
        <v>4859</v>
      </c>
      <c r="E1289" s="172" t="s">
        <v>1477</v>
      </c>
      <c r="F1289" s="172" t="b">
        <v>0</v>
      </c>
      <c r="G1289" s="172" t="b">
        <v>1</v>
      </c>
      <c r="H1289" s="172" t="b">
        <v>1</v>
      </c>
      <c r="I1289" s="172" t="b">
        <v>0</v>
      </c>
      <c r="J1289" s="172" t="b">
        <v>0</v>
      </c>
      <c r="K1289" s="172" t="b">
        <v>0</v>
      </c>
      <c r="L1289" s="172" t="b">
        <v>0</v>
      </c>
      <c r="M1289" s="172" t="b">
        <v>0</v>
      </c>
      <c r="N1289" s="97" t="s">
        <v>4795</v>
      </c>
      <c r="O1289" s="172" t="b">
        <v>1</v>
      </c>
      <c r="P1289" s="97" t="s">
        <v>4914</v>
      </c>
      <c r="Q1289" s="174"/>
    </row>
    <row r="1290" spans="8:8" ht="43.5" customHeight="1">
      <c r="A1290" s="97">
        <v>12.0</v>
      </c>
      <c r="B1290" s="171" t="s">
        <v>4474</v>
      </c>
      <c r="C1290" s="172">
        <v>241222.0</v>
      </c>
      <c r="D1290" s="171" t="s">
        <v>4859</v>
      </c>
      <c r="E1290" s="172" t="s">
        <v>1477</v>
      </c>
      <c r="F1290" s="172" t="b">
        <v>0</v>
      </c>
      <c r="G1290" s="172" t="b">
        <v>1</v>
      </c>
      <c r="H1290" s="172" t="b">
        <v>1</v>
      </c>
      <c r="I1290" s="172" t="b">
        <v>0</v>
      </c>
      <c r="J1290" s="172" t="b">
        <v>0</v>
      </c>
      <c r="K1290" s="172" t="b">
        <v>0</v>
      </c>
      <c r="L1290" s="172" t="b">
        <v>0</v>
      </c>
      <c r="M1290" s="172" t="b">
        <v>0</v>
      </c>
      <c r="N1290" s="97" t="s">
        <v>4796</v>
      </c>
      <c r="O1290" s="172" t="b">
        <v>1</v>
      </c>
      <c r="P1290" s="97" t="s">
        <v>4978</v>
      </c>
      <c r="Q1290" s="174"/>
    </row>
    <row r="1291" spans="8:8" ht="43.5" customHeight="1">
      <c r="A1291" s="97">
        <v>13.0</v>
      </c>
      <c r="B1291" s="181" t="s">
        <v>4475</v>
      </c>
      <c r="C1291" s="97">
        <v>241178.0</v>
      </c>
      <c r="D1291" s="181" t="s">
        <v>4859</v>
      </c>
      <c r="E1291" s="97" t="s">
        <v>1477</v>
      </c>
      <c r="F1291" s="97" t="b">
        <v>0</v>
      </c>
      <c r="G1291" s="97" t="b">
        <v>0</v>
      </c>
      <c r="H1291" s="97" t="b">
        <v>0</v>
      </c>
      <c r="I1291" s="97" t="b">
        <v>0</v>
      </c>
      <c r="J1291" s="97" t="b">
        <v>0</v>
      </c>
      <c r="K1291" s="97" t="b">
        <v>0</v>
      </c>
      <c r="L1291" s="97" t="b">
        <v>0</v>
      </c>
      <c r="M1291" s="97" t="b">
        <v>0</v>
      </c>
      <c r="N1291" s="97" t="s">
        <v>4797</v>
      </c>
      <c r="O1291" s="172" t="b">
        <v>0</v>
      </c>
      <c r="P1291" s="97"/>
      <c r="Q1291" s="174"/>
    </row>
    <row r="1292" spans="8:8" ht="43.5" customHeight="1">
      <c r="A1292" s="97">
        <v>14.0</v>
      </c>
      <c r="B1292" s="171" t="s">
        <v>4476</v>
      </c>
      <c r="C1292" s="172">
        <v>241449.0</v>
      </c>
      <c r="D1292" s="171" t="s">
        <v>4851</v>
      </c>
      <c r="E1292" s="172" t="s">
        <v>1477</v>
      </c>
      <c r="F1292" s="172" t="b">
        <v>0</v>
      </c>
      <c r="G1292" s="172" t="b">
        <v>1</v>
      </c>
      <c r="H1292" s="172" t="b">
        <v>1</v>
      </c>
      <c r="I1292" s="172" t="b">
        <v>0</v>
      </c>
      <c r="J1292" s="172" t="b">
        <v>0</v>
      </c>
      <c r="K1292" s="172" t="b">
        <v>0</v>
      </c>
      <c r="L1292" s="172" t="b">
        <v>0</v>
      </c>
      <c r="M1292" s="172" t="b">
        <v>0</v>
      </c>
      <c r="N1292" s="97" t="s">
        <v>4798</v>
      </c>
      <c r="O1292" s="172" t="b">
        <v>0</v>
      </c>
      <c r="P1292" s="97"/>
      <c r="Q1292" s="174"/>
    </row>
    <row r="1293" spans="8:8" ht="43.5" customHeight="1">
      <c r="A1293" s="189"/>
      <c r="B1293" s="189"/>
      <c r="C1293" s="189"/>
      <c r="D1293" s="189"/>
      <c r="E1293" s="189"/>
      <c r="F1293" s="189"/>
      <c r="G1293" s="189"/>
      <c r="H1293" s="189"/>
      <c r="I1293" s="189"/>
      <c r="J1293" s="189"/>
      <c r="K1293" s="189"/>
      <c r="L1293" s="189"/>
      <c r="M1293" s="189"/>
      <c r="N1293" s="97" t="s">
        <v>4799</v>
      </c>
      <c r="O1293" s="97" t="b">
        <v>0</v>
      </c>
      <c r="P1293" s="97"/>
      <c r="Q1293" s="174"/>
    </row>
    <row r="1294" spans="8:8" ht="43.5" customHeight="1">
      <c r="A1294" s="189"/>
      <c r="B1294" s="189"/>
      <c r="C1294" s="189"/>
      <c r="D1294" s="189"/>
      <c r="E1294" s="189"/>
      <c r="F1294" s="189"/>
      <c r="G1294" s="189"/>
      <c r="H1294" s="189"/>
      <c r="I1294" s="189"/>
      <c r="J1294" s="189"/>
      <c r="K1294" s="189"/>
      <c r="L1294" s="189"/>
      <c r="M1294" s="189"/>
      <c r="N1294" s="97" t="s">
        <v>4800</v>
      </c>
      <c r="O1294" s="172" t="b">
        <v>0</v>
      </c>
      <c r="P1294" s="97"/>
      <c r="Q1294" s="174"/>
    </row>
    <row r="1295" spans="8:8" ht="43.5" customHeight="1">
      <c r="A1295" s="189"/>
      <c r="B1295" s="189"/>
      <c r="C1295" s="189"/>
      <c r="D1295" s="189"/>
      <c r="E1295" s="189"/>
      <c r="F1295" s="189"/>
      <c r="G1295" s="189"/>
      <c r="H1295" s="189"/>
      <c r="I1295" s="189"/>
      <c r="J1295" s="189"/>
      <c r="K1295" s="189"/>
      <c r="L1295" s="189"/>
      <c r="M1295" s="189"/>
      <c r="N1295" s="97" t="s">
        <v>4801</v>
      </c>
      <c r="O1295" s="172" t="b">
        <v>0</v>
      </c>
      <c r="P1295" s="97"/>
      <c r="Q1295" s="174"/>
    </row>
    <row r="1296" spans="8:8" ht="43.5" customHeight="1">
      <c r="A1296" s="97">
        <v>15.0</v>
      </c>
      <c r="B1296" s="182" t="s">
        <v>4815</v>
      </c>
      <c r="C1296" s="97"/>
      <c r="D1296" s="97"/>
      <c r="E1296" s="183"/>
      <c r="F1296" s="184">
        <f t="shared" si="48" ref="F1296:M1296">COUNTIF(F1288:F1292,TRUE)/COUNTA(F1288:F1292)</f>
        <v>0.0</v>
      </c>
      <c r="G1296" s="184">
        <f t="shared" si="48"/>
        <v>0.6</v>
      </c>
      <c r="H1296" s="184">
        <f t="shared" si="48"/>
        <v>0.6</v>
      </c>
      <c r="I1296" s="184">
        <f t="shared" si="48"/>
        <v>0.0</v>
      </c>
      <c r="J1296" s="184">
        <f t="shared" si="48"/>
        <v>0.0</v>
      </c>
      <c r="K1296" s="184">
        <f t="shared" si="48"/>
        <v>0.0</v>
      </c>
      <c r="L1296" s="184">
        <f t="shared" si="48"/>
        <v>0.0</v>
      </c>
      <c r="M1296" s="184">
        <f t="shared" si="48"/>
        <v>0.0</v>
      </c>
      <c r="N1296" s="97"/>
      <c r="O1296" s="97"/>
      <c r="P1296" s="97"/>
      <c r="Q1296" s="174"/>
    </row>
    <row r="1297" spans="8:8" ht="43.5" customHeight="1">
      <c r="A1297" s="97">
        <v>16.0</v>
      </c>
      <c r="B1297" s="222" t="s">
        <v>19</v>
      </c>
      <c r="C1297" s="223"/>
      <c r="D1297" s="222" t="s">
        <v>4530</v>
      </c>
      <c r="E1297" s="222" t="s">
        <v>22</v>
      </c>
      <c r="F1297" s="163" t="s">
        <v>4794</v>
      </c>
      <c r="G1297" s="163" t="s">
        <v>4795</v>
      </c>
      <c r="H1297" s="163" t="s">
        <v>4796</v>
      </c>
      <c r="I1297" s="163" t="s">
        <v>4797</v>
      </c>
      <c r="J1297" s="163" t="s">
        <v>4798</v>
      </c>
      <c r="K1297" s="163" t="s">
        <v>4799</v>
      </c>
      <c r="L1297" s="163" t="s">
        <v>4800</v>
      </c>
      <c r="M1297" s="163" t="s">
        <v>4801</v>
      </c>
      <c r="N1297" s="224" t="s">
        <v>4979</v>
      </c>
      <c r="O1297" s="167"/>
      <c r="P1297" s="168"/>
      <c r="Q1297" s="169"/>
    </row>
    <row r="1298" spans="8:8" ht="43.5" customHeight="1">
      <c r="A1298" s="97">
        <v>17.0</v>
      </c>
      <c r="B1298" s="225" t="s">
        <v>4032</v>
      </c>
      <c r="C1298" s="180">
        <v>241544.0</v>
      </c>
      <c r="D1298" s="225" t="s">
        <v>4851</v>
      </c>
      <c r="E1298" s="180" t="s">
        <v>4033</v>
      </c>
      <c r="F1298" s="226" t="b">
        <v>0</v>
      </c>
      <c r="G1298" s="226" t="b">
        <v>0</v>
      </c>
      <c r="H1298" s="226" t="b">
        <v>0</v>
      </c>
      <c r="I1298" s="226" t="b">
        <v>0</v>
      </c>
      <c r="J1298" s="226" t="b">
        <v>0</v>
      </c>
      <c r="K1298" s="226" t="b">
        <v>0</v>
      </c>
      <c r="L1298" s="226" t="b">
        <v>0</v>
      </c>
      <c r="M1298" s="226" t="b">
        <v>0</v>
      </c>
      <c r="N1298" s="173" t="s">
        <v>4804</v>
      </c>
      <c r="O1298" s="167"/>
      <c r="P1298" s="168"/>
      <c r="Q1298" s="174"/>
    </row>
    <row r="1299" spans="8:8" ht="43.5" customHeight="1">
      <c r="A1299" s="97">
        <v>18.0</v>
      </c>
      <c r="B1299" s="225" t="s">
        <v>4781</v>
      </c>
      <c r="C1299" s="180">
        <v>240532.0</v>
      </c>
      <c r="D1299" s="225" t="s">
        <v>4948</v>
      </c>
      <c r="E1299" s="180" t="s">
        <v>4033</v>
      </c>
      <c r="F1299" s="226" t="b">
        <v>0</v>
      </c>
      <c r="G1299" s="226" t="b">
        <v>0</v>
      </c>
      <c r="H1299" s="226" t="b">
        <v>0</v>
      </c>
      <c r="I1299" s="226" t="b">
        <v>0</v>
      </c>
      <c r="J1299" s="226" t="b">
        <v>0</v>
      </c>
      <c r="K1299" s="226" t="b">
        <v>0</v>
      </c>
      <c r="L1299" s="226" t="b">
        <v>0</v>
      </c>
      <c r="M1299" s="226" t="b">
        <v>0</v>
      </c>
      <c r="N1299" s="175" t="s">
        <v>4805</v>
      </c>
      <c r="O1299" s="176" t="s">
        <v>4806</v>
      </c>
      <c r="P1299" s="97" t="s">
        <v>4807</v>
      </c>
      <c r="Q1299" s="174"/>
    </row>
    <row r="1300" spans="8:8" ht="43.5" customHeight="1">
      <c r="A1300" s="97">
        <v>19.0</v>
      </c>
      <c r="B1300" s="225" t="s">
        <v>4034</v>
      </c>
      <c r="C1300" s="180">
        <v>241406.0</v>
      </c>
      <c r="D1300" s="225" t="s">
        <v>4856</v>
      </c>
      <c r="E1300" s="180" t="s">
        <v>4033</v>
      </c>
      <c r="F1300" s="226" t="b">
        <v>0</v>
      </c>
      <c r="G1300" s="226" t="b">
        <v>0</v>
      </c>
      <c r="H1300" s="226" t="b">
        <v>0</v>
      </c>
      <c r="I1300" s="226" t="b">
        <v>0</v>
      </c>
      <c r="J1300" s="226" t="b">
        <v>0</v>
      </c>
      <c r="K1300" s="226" t="b">
        <v>0</v>
      </c>
      <c r="L1300" s="226" t="b">
        <v>0</v>
      </c>
      <c r="M1300" s="226" t="b">
        <v>0</v>
      </c>
      <c r="N1300" s="97" t="s">
        <v>4794</v>
      </c>
      <c r="O1300" s="172" t="b">
        <v>0</v>
      </c>
      <c r="P1300" s="97" t="s">
        <v>4980</v>
      </c>
      <c r="Q1300" s="174"/>
    </row>
    <row r="1301" spans="8:8" ht="43.5" customHeight="1">
      <c r="A1301" s="97">
        <v>20.0</v>
      </c>
      <c r="B1301" s="225" t="s">
        <v>4981</v>
      </c>
      <c r="C1301" s="180">
        <v>240225.0</v>
      </c>
      <c r="D1301" s="225" t="s">
        <v>1065</v>
      </c>
      <c r="E1301" s="180" t="s">
        <v>4033</v>
      </c>
      <c r="F1301" s="226" t="b">
        <v>0</v>
      </c>
      <c r="G1301" s="226" t="b">
        <v>0</v>
      </c>
      <c r="H1301" s="226" t="b">
        <v>0</v>
      </c>
      <c r="I1301" s="226" t="b">
        <v>0</v>
      </c>
      <c r="J1301" s="226" t="b">
        <v>0</v>
      </c>
      <c r="K1301" s="226" t="b">
        <v>0</v>
      </c>
      <c r="L1301" s="226" t="b">
        <v>0</v>
      </c>
      <c r="M1301" s="226" t="b">
        <v>0</v>
      </c>
      <c r="N1301" s="97" t="s">
        <v>4795</v>
      </c>
      <c r="O1301" s="172" t="b">
        <v>0</v>
      </c>
      <c r="P1301" s="97" t="s">
        <v>4980</v>
      </c>
      <c r="Q1301" s="174"/>
    </row>
    <row r="1302" spans="8:8" ht="43.5" customHeight="1">
      <c r="A1302" s="97">
        <v>21.0</v>
      </c>
      <c r="B1302" s="227"/>
      <c r="C1302" s="227"/>
      <c r="D1302" s="227"/>
      <c r="E1302" s="227"/>
      <c r="F1302" s="227"/>
      <c r="G1302" s="227"/>
      <c r="H1302" s="227"/>
      <c r="I1302" s="227"/>
      <c r="J1302" s="227"/>
      <c r="K1302" s="227"/>
      <c r="L1302" s="227"/>
      <c r="M1302" s="227"/>
      <c r="N1302" s="97" t="s">
        <v>4796</v>
      </c>
      <c r="O1302" s="172" t="b">
        <v>0</v>
      </c>
      <c r="P1302" s="97" t="s">
        <v>4980</v>
      </c>
      <c r="Q1302" s="174"/>
    </row>
    <row r="1303" spans="8:8" ht="43.5" customHeight="1">
      <c r="A1303" s="97">
        <v>22.0</v>
      </c>
      <c r="B1303" s="227"/>
      <c r="C1303" s="227"/>
      <c r="D1303" s="227"/>
      <c r="E1303" s="227"/>
      <c r="F1303" s="227"/>
      <c r="G1303" s="227"/>
      <c r="H1303" s="227"/>
      <c r="I1303" s="227"/>
      <c r="J1303" s="227"/>
      <c r="K1303" s="227"/>
      <c r="L1303" s="227"/>
      <c r="M1303" s="227"/>
      <c r="N1303" s="97" t="s">
        <v>4797</v>
      </c>
      <c r="O1303" s="172" t="b">
        <v>0</v>
      </c>
      <c r="P1303" s="97"/>
      <c r="Q1303" s="174"/>
    </row>
    <row r="1304" spans="8:8" ht="43.5" customHeight="1">
      <c r="A1304" s="97">
        <v>23.0</v>
      </c>
      <c r="B1304" s="227"/>
      <c r="C1304" s="227"/>
      <c r="D1304" s="227"/>
      <c r="E1304" s="227"/>
      <c r="F1304" s="227"/>
      <c r="G1304" s="227"/>
      <c r="H1304" s="227"/>
      <c r="I1304" s="227"/>
      <c r="J1304" s="227"/>
      <c r="K1304" s="227"/>
      <c r="L1304" s="227"/>
      <c r="M1304" s="227"/>
      <c r="N1304" s="97" t="s">
        <v>4798</v>
      </c>
      <c r="O1304" s="172" t="b">
        <v>0</v>
      </c>
      <c r="P1304" s="97"/>
      <c r="Q1304" s="174"/>
    </row>
    <row r="1305" spans="8:8" ht="43.5" customHeight="1">
      <c r="A1305" s="97">
        <v>24.0</v>
      </c>
      <c r="B1305" s="227"/>
      <c r="C1305" s="227"/>
      <c r="D1305" s="227"/>
      <c r="E1305" s="227"/>
      <c r="F1305" s="227"/>
      <c r="G1305" s="227"/>
      <c r="H1305" s="227"/>
      <c r="I1305" s="227"/>
      <c r="J1305" s="227"/>
      <c r="K1305" s="227"/>
      <c r="L1305" s="227"/>
      <c r="M1305" s="227"/>
      <c r="N1305" s="97" t="s">
        <v>4799</v>
      </c>
      <c r="O1305" s="172" t="b">
        <v>0</v>
      </c>
      <c r="P1305" s="97"/>
      <c r="Q1305" s="174"/>
    </row>
    <row r="1306" spans="8:8" ht="43.5" customHeight="1">
      <c r="A1306" s="203">
        <v>25.0</v>
      </c>
      <c r="B1306" s="227"/>
      <c r="C1306" s="227"/>
      <c r="D1306" s="227"/>
      <c r="E1306" s="227"/>
      <c r="F1306" s="227"/>
      <c r="G1306" s="227"/>
      <c r="H1306" s="227"/>
      <c r="I1306" s="227"/>
      <c r="J1306" s="227"/>
      <c r="K1306" s="227"/>
      <c r="L1306" s="227"/>
      <c r="M1306" s="227"/>
      <c r="N1306" s="97" t="s">
        <v>4800</v>
      </c>
      <c r="O1306" s="172" t="b">
        <v>0</v>
      </c>
      <c r="P1306" s="97"/>
      <c r="Q1306" s="174"/>
    </row>
    <row r="1307" spans="8:8" ht="43.5" customHeight="1">
      <c r="A1307" s="203">
        <v>26.0</v>
      </c>
      <c r="B1307" s="228" t="s">
        <v>4815</v>
      </c>
      <c r="C1307" s="229"/>
      <c r="D1307" s="229"/>
      <c r="E1307" s="229"/>
      <c r="F1307" s="230">
        <f t="shared" si="49" ref="F1307:M1307">COUNTIF(F1294:F1301,TRUE)/COUNTA(F1294:F1301)</f>
        <v>0.0</v>
      </c>
      <c r="G1307" s="230">
        <f t="shared" si="49"/>
        <v>0.0</v>
      </c>
      <c r="H1307" s="230">
        <f t="shared" si="49"/>
        <v>0.0</v>
      </c>
      <c r="I1307" s="230">
        <f t="shared" si="49"/>
        <v>0.0</v>
      </c>
      <c r="J1307" s="230">
        <f t="shared" si="49"/>
        <v>0.0</v>
      </c>
      <c r="K1307" s="230">
        <f t="shared" si="49"/>
        <v>0.0</v>
      </c>
      <c r="L1307" s="230">
        <f t="shared" si="49"/>
        <v>0.0</v>
      </c>
      <c r="M1307" s="230">
        <f t="shared" si="49"/>
        <v>0.0</v>
      </c>
      <c r="N1307" s="97" t="s">
        <v>4801</v>
      </c>
      <c r="O1307" s="172" t="b">
        <v>0</v>
      </c>
      <c r="P1307" s="97"/>
      <c r="Q1307" s="174"/>
    </row>
    <row r="1308" spans="8:8" ht="43.5" customHeight="1">
      <c r="A1308" s="170">
        <v>8.0</v>
      </c>
      <c r="B1308" s="231"/>
      <c r="C1308" s="231"/>
      <c r="D1308" s="231"/>
      <c r="E1308" s="231"/>
      <c r="F1308" s="231"/>
      <c r="G1308" s="231"/>
      <c r="H1308" s="231"/>
      <c r="I1308" s="231"/>
      <c r="J1308" s="231"/>
      <c r="K1308" s="231"/>
      <c r="L1308" s="231"/>
      <c r="M1308" s="231"/>
      <c r="N1308" s="227"/>
      <c r="O1308" s="227"/>
      <c r="P1308" s="227"/>
      <c r="Q1308" s="232"/>
    </row>
    <row r="1309" spans="8:8" ht="43.5" customHeight="1">
      <c r="A1309" s="97"/>
      <c r="B1309" s="227"/>
      <c r="C1309" s="227"/>
      <c r="D1309" s="227"/>
      <c r="E1309" s="227"/>
      <c r="F1309" s="227"/>
      <c r="G1309" s="227"/>
      <c r="H1309" s="227"/>
      <c r="I1309" s="227"/>
      <c r="J1309" s="227"/>
      <c r="K1309" s="227"/>
      <c r="L1309" s="227"/>
      <c r="M1309" s="227"/>
      <c r="N1309" s="227"/>
      <c r="O1309" s="227"/>
      <c r="P1309" s="227"/>
      <c r="Q1309" s="232"/>
    </row>
    <row r="1310" spans="8:8" ht="43.5" customHeight="1">
      <c r="A1310" s="97">
        <v>3.0</v>
      </c>
      <c r="B1310" s="227"/>
      <c r="C1310" s="227"/>
      <c r="D1310" s="227"/>
      <c r="E1310" s="227"/>
      <c r="F1310" s="227"/>
      <c r="G1310" s="227"/>
      <c r="H1310" s="227"/>
      <c r="I1310" s="227"/>
      <c r="J1310" s="227"/>
      <c r="K1310" s="227"/>
      <c r="L1310" s="227"/>
      <c r="M1310" s="227"/>
      <c r="N1310" s="227"/>
      <c r="O1310" s="227"/>
      <c r="P1310" s="227"/>
      <c r="Q1310" s="232"/>
    </row>
    <row r="1311" spans="8:8" ht="43.5" customHeight="1">
      <c r="A1311" s="97">
        <v>4.0</v>
      </c>
      <c r="B1311" s="227"/>
      <c r="C1311" s="227"/>
      <c r="D1311" s="227"/>
      <c r="E1311" s="227"/>
      <c r="F1311" s="227"/>
      <c r="G1311" s="227"/>
      <c r="H1311" s="227"/>
      <c r="I1311" s="227"/>
      <c r="J1311" s="227"/>
      <c r="K1311" s="227"/>
      <c r="L1311" s="227"/>
      <c r="M1311" s="227"/>
      <c r="N1311" s="227"/>
      <c r="O1311" s="227"/>
      <c r="P1311" s="227"/>
      <c r="Q1311" s="232"/>
    </row>
    <row r="1312" spans="8:8" ht="43.5" customHeight="1">
      <c r="A1312" s="97">
        <v>5.0</v>
      </c>
      <c r="B1312" s="227"/>
      <c r="C1312" s="227"/>
      <c r="D1312" s="227"/>
      <c r="E1312" s="227"/>
      <c r="F1312" s="227"/>
      <c r="G1312" s="227"/>
      <c r="H1312" s="227"/>
      <c r="I1312" s="227"/>
      <c r="J1312" s="227"/>
      <c r="K1312" s="227"/>
      <c r="L1312" s="227"/>
      <c r="M1312" s="227"/>
      <c r="N1312" s="227"/>
      <c r="O1312" s="227"/>
      <c r="P1312" s="227"/>
      <c r="Q1312" s="232"/>
    </row>
    <row r="1313" spans="8:8" ht="43.5" customHeight="1">
      <c r="A1313" s="189"/>
      <c r="B1313" s="227"/>
      <c r="C1313" s="227"/>
      <c r="D1313" s="227"/>
      <c r="E1313" s="227"/>
      <c r="F1313" s="227"/>
      <c r="G1313" s="227"/>
      <c r="H1313" s="227"/>
      <c r="I1313" s="227"/>
      <c r="J1313" s="227"/>
      <c r="K1313" s="227"/>
      <c r="L1313" s="227"/>
      <c r="M1313" s="227"/>
      <c r="N1313" s="227"/>
      <c r="O1313" s="227"/>
      <c r="P1313" s="227"/>
      <c r="Q1313" s="232"/>
    </row>
    <row r="1314" spans="8:8" ht="43.5" customHeight="1">
      <c r="A1314" s="189"/>
      <c r="B1314" s="227"/>
      <c r="C1314" s="227"/>
      <c r="D1314" s="227"/>
      <c r="E1314" s="227"/>
      <c r="F1314" s="227"/>
      <c r="G1314" s="227"/>
      <c r="H1314" s="227"/>
      <c r="I1314" s="227"/>
      <c r="J1314" s="227"/>
      <c r="K1314" s="227"/>
      <c r="L1314" s="227"/>
      <c r="M1314" s="227"/>
      <c r="N1314" s="227"/>
      <c r="O1314" s="227"/>
      <c r="P1314" s="227"/>
      <c r="Q1314" s="232"/>
    </row>
    <row r="1315" spans="8:8" ht="43.5" customHeight="1">
      <c r="A1315" s="97">
        <v>8.0</v>
      </c>
      <c r="B1315" s="227"/>
      <c r="C1315" s="227"/>
      <c r="D1315" s="227"/>
      <c r="E1315" s="227"/>
      <c r="F1315" s="227"/>
      <c r="G1315" s="227"/>
      <c r="H1315" s="227"/>
      <c r="I1315" s="227"/>
      <c r="J1315" s="227"/>
      <c r="K1315" s="227"/>
      <c r="L1315" s="227"/>
      <c r="M1315" s="227"/>
      <c r="N1315" s="227"/>
      <c r="O1315" s="227"/>
      <c r="P1315" s="227"/>
      <c r="Q1315" s="232"/>
    </row>
    <row r="1316" spans="8:8" ht="43.5" customHeight="1">
      <c r="A1316" s="97">
        <v>9.0</v>
      </c>
      <c r="B1316" s="227"/>
      <c r="C1316" s="227"/>
      <c r="D1316" s="227"/>
      <c r="E1316" s="227"/>
      <c r="F1316" s="227"/>
      <c r="G1316" s="227"/>
      <c r="H1316" s="227"/>
      <c r="I1316" s="227"/>
      <c r="J1316" s="227"/>
      <c r="K1316" s="227"/>
      <c r="L1316" s="227"/>
      <c r="M1316" s="227"/>
      <c r="N1316" s="227"/>
      <c r="O1316" s="227"/>
      <c r="P1316" s="227"/>
      <c r="Q1316" s="232"/>
    </row>
    <row r="1317" spans="8:8" ht="43.5" customHeight="1">
      <c r="A1317" s="189"/>
      <c r="B1317" s="227"/>
      <c r="C1317" s="227"/>
      <c r="D1317" s="227"/>
      <c r="E1317" s="227"/>
      <c r="F1317" s="227"/>
      <c r="G1317" s="227"/>
      <c r="H1317" s="227"/>
      <c r="I1317" s="227"/>
      <c r="J1317" s="227"/>
      <c r="K1317" s="227"/>
      <c r="L1317" s="227"/>
      <c r="M1317" s="227"/>
      <c r="N1317" s="227"/>
      <c r="O1317" s="227"/>
      <c r="P1317" s="227"/>
      <c r="Q1317" s="232"/>
    </row>
    <row r="1318" spans="8:8" ht="43.5" customHeight="1">
      <c r="A1318" s="97"/>
      <c r="B1318" s="227"/>
      <c r="C1318" s="227"/>
      <c r="D1318" s="227"/>
      <c r="E1318" s="227"/>
      <c r="F1318" s="227"/>
      <c r="G1318" s="227"/>
      <c r="H1318" s="227"/>
      <c r="I1318" s="227"/>
      <c r="J1318" s="227"/>
      <c r="K1318" s="227"/>
      <c r="L1318" s="227"/>
      <c r="M1318" s="227"/>
      <c r="N1318" s="227"/>
      <c r="O1318" s="227"/>
      <c r="P1318" s="227"/>
      <c r="Q1318" s="232"/>
    </row>
    <row r="1319" spans="8:8" ht="43.5" customHeight="1">
      <c r="A1319" s="222" t="s">
        <v>18</v>
      </c>
      <c r="B1319" s="227"/>
      <c r="C1319" s="227"/>
      <c r="D1319" s="227"/>
      <c r="E1319" s="227"/>
      <c r="F1319" s="227"/>
      <c r="G1319" s="227"/>
      <c r="H1319" s="227"/>
      <c r="I1319" s="227"/>
      <c r="J1319" s="227"/>
      <c r="K1319" s="227"/>
      <c r="L1319" s="227"/>
      <c r="M1319" s="227"/>
      <c r="N1319" s="227"/>
      <c r="O1319" s="227"/>
      <c r="P1319" s="227"/>
      <c r="Q1319" s="232"/>
    </row>
    <row r="1320" spans="8:8" ht="43.5" customHeight="1">
      <c r="A1320" s="226">
        <v>1.0</v>
      </c>
      <c r="B1320" s="227"/>
      <c r="C1320" s="227"/>
      <c r="D1320" s="227"/>
      <c r="E1320" s="227"/>
      <c r="F1320" s="227"/>
      <c r="G1320" s="227"/>
      <c r="H1320" s="227"/>
      <c r="I1320" s="227"/>
      <c r="J1320" s="227"/>
      <c r="K1320" s="227"/>
      <c r="L1320" s="227"/>
      <c r="M1320" s="227"/>
      <c r="N1320" s="227"/>
      <c r="O1320" s="227"/>
      <c r="P1320" s="227"/>
      <c r="Q1320" s="232"/>
    </row>
    <row r="1321" spans="8:8" ht="43.5" customHeight="1">
      <c r="A1321" s="180">
        <v>2.0</v>
      </c>
      <c r="B1321" s="227"/>
      <c r="C1321" s="227"/>
      <c r="D1321" s="227"/>
      <c r="E1321" s="227"/>
      <c r="F1321" s="227"/>
      <c r="G1321" s="227"/>
      <c r="H1321" s="227"/>
      <c r="I1321" s="227"/>
      <c r="J1321" s="227"/>
      <c r="K1321" s="227"/>
      <c r="L1321" s="227"/>
      <c r="M1321" s="227"/>
      <c r="N1321" s="227"/>
      <c r="O1321" s="227"/>
      <c r="P1321" s="227"/>
      <c r="Q1321" s="232"/>
    </row>
    <row r="1322" spans="8:8" ht="43.5" customHeight="1">
      <c r="A1322" s="226">
        <v>3.0</v>
      </c>
      <c r="B1322" s="227"/>
      <c r="C1322" s="227"/>
      <c r="D1322" s="227"/>
      <c r="E1322" s="227"/>
      <c r="F1322" s="227"/>
      <c r="G1322" s="227"/>
      <c r="H1322" s="227"/>
      <c r="I1322" s="227"/>
      <c r="J1322" s="227"/>
      <c r="K1322" s="227"/>
      <c r="L1322" s="227"/>
      <c r="M1322" s="227"/>
      <c r="N1322" s="227"/>
      <c r="O1322" s="227"/>
      <c r="P1322" s="227"/>
      <c r="Q1322" s="232"/>
    </row>
    <row r="1323" spans="8:8" ht="43.5" customHeight="1">
      <c r="A1323" s="180">
        <v>4.0</v>
      </c>
      <c r="B1323" s="227"/>
      <c r="C1323" s="227"/>
      <c r="D1323" s="227"/>
      <c r="E1323" s="227"/>
      <c r="F1323" s="227"/>
      <c r="G1323" s="227"/>
      <c r="H1323" s="227"/>
      <c r="I1323" s="227"/>
      <c r="J1323" s="227"/>
      <c r="K1323" s="227"/>
      <c r="L1323" s="227"/>
      <c r="M1323" s="227"/>
      <c r="N1323" s="227"/>
      <c r="O1323" s="227"/>
      <c r="P1323" s="227"/>
      <c r="Q1323" s="232"/>
    </row>
    <row r="1324" spans="8:8" ht="43.5" customHeight="1">
      <c r="A1324" s="227"/>
      <c r="B1324" s="227"/>
      <c r="C1324" s="227"/>
      <c r="D1324" s="227"/>
      <c r="E1324" s="227"/>
      <c r="F1324" s="227"/>
      <c r="G1324" s="227"/>
      <c r="H1324" s="227"/>
      <c r="I1324" s="227"/>
      <c r="J1324" s="227"/>
      <c r="K1324" s="227"/>
      <c r="L1324" s="227"/>
      <c r="M1324" s="227"/>
      <c r="N1324" s="227"/>
      <c r="O1324" s="227"/>
      <c r="P1324" s="227"/>
      <c r="Q1324" s="232"/>
    </row>
    <row r="1325" spans="8:8" ht="43.5" customHeight="1">
      <c r="A1325" s="227"/>
      <c r="B1325" s="227"/>
      <c r="C1325" s="227"/>
      <c r="D1325" s="227"/>
      <c r="E1325" s="227"/>
      <c r="F1325" s="227"/>
      <c r="G1325" s="227"/>
      <c r="H1325" s="227"/>
      <c r="I1325" s="227"/>
      <c r="J1325" s="227"/>
      <c r="K1325" s="227"/>
      <c r="L1325" s="227"/>
      <c r="M1325" s="227"/>
      <c r="N1325" s="227"/>
      <c r="O1325" s="227"/>
      <c r="P1325" s="227"/>
      <c r="Q1325" s="232"/>
    </row>
    <row r="1326" spans="8:8" ht="43.5" customHeight="1">
      <c r="A1326" s="227"/>
      <c r="B1326" s="227"/>
      <c r="C1326" s="227"/>
      <c r="D1326" s="227"/>
      <c r="E1326" s="227"/>
      <c r="F1326" s="227"/>
      <c r="G1326" s="227"/>
      <c r="H1326" s="227"/>
      <c r="I1326" s="227"/>
      <c r="J1326" s="227"/>
      <c r="K1326" s="227"/>
      <c r="L1326" s="227"/>
      <c r="M1326" s="227"/>
      <c r="N1326" s="227"/>
      <c r="O1326" s="227"/>
      <c r="P1326" s="227"/>
      <c r="Q1326" s="232"/>
    </row>
    <row r="1327" spans="8:8" ht="43.5" customHeight="1">
      <c r="A1327" s="227"/>
      <c r="B1327" s="227"/>
      <c r="C1327" s="227"/>
      <c r="D1327" s="227"/>
      <c r="E1327" s="227"/>
      <c r="F1327" s="227"/>
      <c r="G1327" s="227"/>
      <c r="H1327" s="227"/>
      <c r="I1327" s="227"/>
      <c r="J1327" s="227"/>
      <c r="K1327" s="227"/>
      <c r="L1327" s="227"/>
      <c r="M1327" s="227"/>
      <c r="N1327" s="227"/>
      <c r="O1327" s="227"/>
      <c r="P1327" s="227"/>
      <c r="Q1327" s="232"/>
    </row>
    <row r="1328" spans="8:8" ht="43.5" customHeight="1">
      <c r="A1328" s="227"/>
      <c r="B1328" s="227"/>
      <c r="C1328" s="227"/>
      <c r="D1328" s="227"/>
      <c r="E1328" s="227"/>
      <c r="F1328" s="227"/>
      <c r="G1328" s="227"/>
      <c r="H1328" s="227"/>
      <c r="I1328" s="227"/>
      <c r="J1328" s="227"/>
      <c r="K1328" s="227"/>
      <c r="L1328" s="227"/>
      <c r="M1328" s="227"/>
      <c r="N1328" s="227"/>
      <c r="O1328" s="227"/>
      <c r="P1328" s="227"/>
      <c r="Q1328" s="232"/>
    </row>
    <row r="1329" spans="8:8" ht="43.5" customHeight="1">
      <c r="A1329" s="229"/>
      <c r="B1329" s="227"/>
      <c r="C1329" s="227"/>
      <c r="D1329" s="227"/>
      <c r="E1329" s="227"/>
      <c r="F1329" s="227"/>
      <c r="G1329" s="227"/>
      <c r="H1329" s="227"/>
      <c r="I1329" s="227"/>
      <c r="J1329" s="227"/>
      <c r="K1329" s="227"/>
      <c r="L1329" s="227"/>
      <c r="M1329" s="227"/>
      <c r="N1329" s="227"/>
      <c r="O1329" s="227"/>
      <c r="P1329" s="227"/>
      <c r="Q1329" s="232"/>
    </row>
    <row r="1330" spans="8:8" ht="43.5" customHeight="1">
      <c r="A1330" s="231"/>
      <c r="B1330" s="227"/>
      <c r="C1330" s="227"/>
      <c r="D1330" s="227"/>
      <c r="E1330" s="227"/>
      <c r="F1330" s="227"/>
      <c r="G1330" s="227"/>
      <c r="H1330" s="227"/>
      <c r="I1330" s="227"/>
      <c r="J1330" s="227"/>
      <c r="K1330" s="227"/>
      <c r="L1330" s="227"/>
      <c r="M1330" s="227"/>
      <c r="N1330" s="227"/>
      <c r="O1330" s="227"/>
      <c r="P1330" s="227"/>
      <c r="Q1330" s="232"/>
    </row>
    <row r="1331" spans="8:8" ht="43.5" customHeight="1">
      <c r="A1331" s="227"/>
      <c r="B1331" s="227"/>
      <c r="C1331" s="227"/>
      <c r="D1331" s="227"/>
      <c r="E1331" s="227"/>
      <c r="F1331" s="227"/>
      <c r="G1331" s="227"/>
      <c r="H1331" s="227"/>
      <c r="I1331" s="227"/>
      <c r="J1331" s="227"/>
      <c r="K1331" s="227"/>
      <c r="L1331" s="227"/>
      <c r="M1331" s="227"/>
      <c r="N1331" s="227"/>
      <c r="O1331" s="227"/>
      <c r="P1331" s="227"/>
      <c r="Q1331" s="232"/>
    </row>
    <row r="1332" spans="8:8" ht="43.5" customHeight="1">
      <c r="A1332" s="227"/>
      <c r="B1332" s="227"/>
      <c r="C1332" s="227"/>
      <c r="D1332" s="227"/>
      <c r="E1332" s="227"/>
      <c r="F1332" s="227"/>
      <c r="G1332" s="227"/>
      <c r="H1332" s="227"/>
      <c r="I1332" s="227"/>
      <c r="J1332" s="227"/>
      <c r="K1332" s="227"/>
      <c r="L1332" s="227"/>
      <c r="M1332" s="227"/>
      <c r="N1332" s="227"/>
      <c r="O1332" s="227"/>
      <c r="P1332" s="227"/>
      <c r="Q1332" s="232"/>
    </row>
    <row r="1333" spans="8:8" ht="43.5" customHeight="1">
      <c r="A1333" s="227"/>
      <c r="B1333" s="227"/>
      <c r="C1333" s="227"/>
      <c r="D1333" s="227"/>
      <c r="E1333" s="227"/>
      <c r="F1333" s="227"/>
      <c r="G1333" s="227"/>
      <c r="H1333" s="227"/>
      <c r="I1333" s="227"/>
      <c r="J1333" s="227"/>
      <c r="K1333" s="227"/>
      <c r="L1333" s="227"/>
      <c r="M1333" s="227"/>
      <c r="N1333" s="227"/>
      <c r="O1333" s="227"/>
      <c r="P1333" s="227"/>
      <c r="Q1333" s="232"/>
    </row>
    <row r="1334" spans="8:8" ht="43.5" customHeight="1">
      <c r="A1334" s="227"/>
      <c r="B1334" s="227"/>
      <c r="C1334" s="227"/>
      <c r="D1334" s="227"/>
      <c r="E1334" s="227"/>
      <c r="F1334" s="227"/>
      <c r="G1334" s="227"/>
      <c r="H1334" s="227"/>
      <c r="I1334" s="227"/>
      <c r="J1334" s="227"/>
      <c r="K1334" s="227"/>
      <c r="L1334" s="227"/>
      <c r="M1334" s="227"/>
      <c r="N1334" s="227"/>
      <c r="O1334" s="227"/>
      <c r="P1334" s="227"/>
      <c r="Q1334" s="232"/>
    </row>
    <row r="1335" spans="8:8" ht="43.5" customHeight="1">
      <c r="A1335" s="227"/>
      <c r="B1335" s="227"/>
      <c r="C1335" s="227"/>
      <c r="D1335" s="227"/>
      <c r="E1335" s="227"/>
      <c r="F1335" s="227"/>
      <c r="G1335" s="227"/>
      <c r="H1335" s="227"/>
      <c r="I1335" s="227"/>
      <c r="J1335" s="227"/>
      <c r="K1335" s="227"/>
      <c r="L1335" s="227"/>
      <c r="M1335" s="227"/>
      <c r="N1335" s="227"/>
      <c r="O1335" s="227"/>
      <c r="P1335" s="227"/>
      <c r="Q1335" s="232"/>
    </row>
    <row r="1336" spans="8:8" ht="43.5" customHeight="1">
      <c r="A1336" s="227"/>
      <c r="B1336" s="227"/>
      <c r="C1336" s="227"/>
      <c r="D1336" s="227"/>
      <c r="E1336" s="227"/>
      <c r="F1336" s="227"/>
      <c r="G1336" s="227"/>
      <c r="H1336" s="227"/>
      <c r="I1336" s="227"/>
      <c r="J1336" s="227"/>
      <c r="K1336" s="227"/>
      <c r="L1336" s="227"/>
      <c r="M1336" s="227"/>
      <c r="N1336" s="227"/>
      <c r="O1336" s="227"/>
      <c r="P1336" s="227"/>
      <c r="Q1336" s="232"/>
    </row>
    <row r="1337" spans="8:8" ht="43.5" customHeight="1">
      <c r="A1337" s="227"/>
      <c r="B1337" s="227"/>
      <c r="C1337" s="227"/>
      <c r="D1337" s="227"/>
      <c r="E1337" s="227"/>
      <c r="F1337" s="227"/>
      <c r="G1337" s="227"/>
      <c r="H1337" s="227"/>
      <c r="I1337" s="227"/>
      <c r="J1337" s="227"/>
      <c r="K1337" s="227"/>
      <c r="L1337" s="227"/>
      <c r="M1337" s="227"/>
      <c r="N1337" s="227"/>
      <c r="O1337" s="227"/>
      <c r="P1337" s="227"/>
      <c r="Q1337" s="232"/>
    </row>
    <row r="1338" spans="8:8" ht="43.5" customHeight="1">
      <c r="A1338" s="227"/>
      <c r="B1338" s="227"/>
      <c r="C1338" s="227"/>
      <c r="D1338" s="227"/>
      <c r="E1338" s="227"/>
      <c r="F1338" s="227"/>
      <c r="G1338" s="227"/>
      <c r="H1338" s="227"/>
      <c r="I1338" s="227"/>
      <c r="J1338" s="227"/>
      <c r="K1338" s="227"/>
      <c r="L1338" s="227"/>
      <c r="M1338" s="227"/>
      <c r="N1338" s="227"/>
      <c r="O1338" s="227"/>
      <c r="P1338" s="227"/>
      <c r="Q1338" s="232"/>
    </row>
    <row r="1339" spans="8:8" ht="43.5" customHeight="1">
      <c r="A1339" s="227"/>
      <c r="B1339" s="227"/>
      <c r="C1339" s="227"/>
      <c r="D1339" s="227"/>
      <c r="E1339" s="227"/>
      <c r="F1339" s="227"/>
      <c r="G1339" s="227"/>
      <c r="H1339" s="227"/>
      <c r="I1339" s="227"/>
      <c r="J1339" s="227"/>
      <c r="K1339" s="227"/>
      <c r="L1339" s="227"/>
      <c r="M1339" s="227"/>
      <c r="N1339" s="227"/>
      <c r="O1339" s="227"/>
      <c r="P1339" s="227"/>
      <c r="Q1339" s="232"/>
    </row>
    <row r="1340" spans="8:8" ht="43.5" customHeight="1">
      <c r="A1340" s="227"/>
      <c r="B1340" s="227"/>
      <c r="C1340" s="227"/>
      <c r="D1340" s="227"/>
      <c r="E1340" s="227"/>
      <c r="F1340" s="227"/>
      <c r="G1340" s="227"/>
      <c r="H1340" s="227"/>
      <c r="I1340" s="227"/>
      <c r="J1340" s="227"/>
      <c r="K1340" s="227"/>
      <c r="L1340" s="227"/>
      <c r="M1340" s="227"/>
      <c r="N1340" s="227"/>
      <c r="O1340" s="227"/>
      <c r="P1340" s="227"/>
      <c r="Q1340" s="232"/>
    </row>
    <row r="1341" spans="8:8" ht="43.5" customHeight="1">
      <c r="A1341" s="227"/>
      <c r="B1341" s="227"/>
      <c r="C1341" s="227"/>
      <c r="D1341" s="227"/>
      <c r="E1341" s="227"/>
      <c r="F1341" s="227"/>
      <c r="G1341" s="227"/>
      <c r="H1341" s="227"/>
      <c r="I1341" s="227"/>
      <c r="J1341" s="227"/>
      <c r="K1341" s="227"/>
      <c r="L1341" s="227"/>
      <c r="M1341" s="227"/>
      <c r="N1341" s="227"/>
      <c r="O1341" s="227"/>
      <c r="P1341" s="227"/>
      <c r="Q1341" s="232"/>
    </row>
    <row r="1342" spans="8:8" ht="43.5" customHeight="1">
      <c r="A1342" s="227"/>
      <c r="B1342" s="227"/>
      <c r="C1342" s="227"/>
      <c r="D1342" s="227"/>
      <c r="E1342" s="227"/>
      <c r="F1342" s="227"/>
      <c r="G1342" s="227"/>
      <c r="H1342" s="227"/>
      <c r="I1342" s="227"/>
      <c r="J1342" s="227"/>
      <c r="K1342" s="227"/>
      <c r="L1342" s="227"/>
      <c r="M1342" s="227"/>
      <c r="N1342" s="227"/>
      <c r="O1342" s="227"/>
      <c r="P1342" s="227"/>
      <c r="Q1342" s="232"/>
    </row>
    <row r="1343" spans="8:8" ht="43.5" customHeight="1">
      <c r="A1343" s="227"/>
      <c r="B1343" s="227"/>
      <c r="C1343" s="227"/>
      <c r="D1343" s="227"/>
      <c r="E1343" s="227"/>
      <c r="F1343" s="227"/>
      <c r="G1343" s="227"/>
      <c r="H1343" s="227"/>
      <c r="I1343" s="227"/>
      <c r="J1343" s="227"/>
      <c r="K1343" s="227"/>
      <c r="L1343" s="227"/>
      <c r="M1343" s="227"/>
      <c r="N1343" s="227"/>
      <c r="O1343" s="227"/>
      <c r="P1343" s="227"/>
      <c r="Q1343" s="232"/>
    </row>
    <row r="1344" spans="8:8" ht="43.5" customHeight="1">
      <c r="A1344" s="227"/>
      <c r="B1344" s="227"/>
      <c r="C1344" s="227"/>
      <c r="D1344" s="227"/>
      <c r="E1344" s="227"/>
      <c r="F1344" s="227"/>
      <c r="G1344" s="227"/>
      <c r="H1344" s="227"/>
      <c r="I1344" s="227"/>
      <c r="J1344" s="227"/>
      <c r="K1344" s="227"/>
      <c r="L1344" s="227"/>
      <c r="M1344" s="227"/>
      <c r="N1344" s="227"/>
      <c r="O1344" s="227"/>
      <c r="P1344" s="227"/>
      <c r="Q1344" s="232"/>
    </row>
    <row r="1345" spans="8:8" ht="43.5" customHeight="1">
      <c r="A1345" s="227"/>
      <c r="B1345" s="227"/>
      <c r="C1345" s="227"/>
      <c r="D1345" s="227"/>
      <c r="E1345" s="227"/>
      <c r="F1345" s="227"/>
      <c r="G1345" s="227"/>
      <c r="H1345" s="227"/>
      <c r="I1345" s="227"/>
      <c r="J1345" s="227"/>
      <c r="K1345" s="227"/>
      <c r="L1345" s="227"/>
      <c r="M1345" s="227"/>
      <c r="N1345" s="227"/>
      <c r="O1345" s="227"/>
      <c r="P1345" s="227"/>
      <c r="Q1345" s="232"/>
    </row>
    <row r="1346" spans="8:8" ht="43.5" customHeight="1">
      <c r="A1346" s="227"/>
      <c r="B1346" s="227"/>
      <c r="C1346" s="227"/>
      <c r="D1346" s="227"/>
      <c r="E1346" s="227"/>
      <c r="F1346" s="227"/>
      <c r="G1346" s="227"/>
      <c r="H1346" s="227"/>
      <c r="I1346" s="227"/>
      <c r="J1346" s="227"/>
      <c r="K1346" s="227"/>
      <c r="L1346" s="227"/>
      <c r="M1346" s="227"/>
      <c r="N1346" s="227"/>
      <c r="O1346" s="227"/>
      <c r="P1346" s="227"/>
      <c r="Q1346" s="232"/>
    </row>
    <row r="1347" spans="8:8" ht="43.5" customHeight="1">
      <c r="A1347" s="227"/>
      <c r="B1347" s="227"/>
      <c r="C1347" s="227"/>
      <c r="D1347" s="227"/>
      <c r="E1347" s="227"/>
      <c r="F1347" s="227"/>
      <c r="G1347" s="227"/>
      <c r="H1347" s="227"/>
      <c r="I1347" s="227"/>
      <c r="J1347" s="227"/>
      <c r="K1347" s="227"/>
      <c r="L1347" s="227"/>
      <c r="M1347" s="227"/>
      <c r="N1347" s="227"/>
      <c r="O1347" s="227"/>
      <c r="P1347" s="227"/>
      <c r="Q1347" s="232"/>
    </row>
    <row r="1348" spans="8:8" ht="43.5" customHeight="1">
      <c r="A1348" s="227"/>
      <c r="B1348" s="227"/>
      <c r="C1348" s="227"/>
      <c r="D1348" s="227"/>
      <c r="E1348" s="227"/>
      <c r="F1348" s="227"/>
      <c r="G1348" s="227"/>
      <c r="H1348" s="227"/>
      <c r="I1348" s="227"/>
      <c r="J1348" s="227"/>
      <c r="K1348" s="227"/>
      <c r="L1348" s="227"/>
      <c r="M1348" s="227"/>
      <c r="N1348" s="227"/>
      <c r="O1348" s="227"/>
      <c r="P1348" s="227"/>
      <c r="Q1348" s="232"/>
    </row>
    <row r="1349" spans="8:8" ht="43.5" customHeight="1">
      <c r="A1349" s="227"/>
      <c r="B1349" s="227"/>
      <c r="C1349" s="227"/>
      <c r="D1349" s="227"/>
      <c r="E1349" s="227"/>
      <c r="F1349" s="227"/>
      <c r="G1349" s="227"/>
      <c r="H1349" s="227"/>
      <c r="I1349" s="227"/>
      <c r="J1349" s="227"/>
      <c r="K1349" s="227"/>
      <c r="L1349" s="227"/>
      <c r="M1349" s="227"/>
      <c r="N1349" s="227"/>
      <c r="O1349" s="227"/>
      <c r="P1349" s="227"/>
      <c r="Q1349" s="232"/>
    </row>
    <row r="1350" spans="8:8" ht="43.5" customHeight="1">
      <c r="A1350" s="227"/>
      <c r="B1350" s="227"/>
      <c r="C1350" s="227"/>
      <c r="D1350" s="227"/>
      <c r="E1350" s="227"/>
      <c r="F1350" s="227"/>
      <c r="G1350" s="227"/>
      <c r="H1350" s="227"/>
      <c r="I1350" s="227"/>
      <c r="J1350" s="227"/>
      <c r="K1350" s="227"/>
      <c r="L1350" s="227"/>
      <c r="M1350" s="227"/>
      <c r="N1350" s="227"/>
      <c r="O1350" s="227"/>
      <c r="P1350" s="227"/>
      <c r="Q1350" s="232"/>
    </row>
    <row r="1351" spans="8:8" ht="43.5" customHeight="1">
      <c r="A1351" s="227"/>
      <c r="B1351" s="227"/>
      <c r="C1351" s="227"/>
      <c r="D1351" s="227"/>
      <c r="E1351" s="227"/>
      <c r="F1351" s="227"/>
      <c r="G1351" s="227"/>
      <c r="H1351" s="227"/>
      <c r="I1351" s="227"/>
      <c r="J1351" s="227"/>
      <c r="K1351" s="227"/>
      <c r="L1351" s="227"/>
      <c r="M1351" s="227"/>
      <c r="N1351" s="227"/>
      <c r="O1351" s="227"/>
      <c r="P1351" s="227"/>
      <c r="Q1351" s="232"/>
    </row>
    <row r="1352" spans="8:8" ht="43.5" customHeight="1">
      <c r="A1352" s="227"/>
      <c r="B1352" s="227"/>
      <c r="C1352" s="227"/>
      <c r="D1352" s="227"/>
      <c r="E1352" s="227"/>
      <c r="F1352" s="227"/>
      <c r="G1352" s="227"/>
      <c r="H1352" s="227"/>
      <c r="I1352" s="227"/>
      <c r="J1352" s="227"/>
      <c r="K1352" s="227"/>
      <c r="L1352" s="227"/>
      <c r="M1352" s="227"/>
      <c r="N1352" s="227"/>
      <c r="O1352" s="227"/>
      <c r="P1352" s="227"/>
      <c r="Q1352" s="232"/>
    </row>
    <row r="1353" spans="8:8" ht="43.5" customHeight="1">
      <c r="A1353" s="227"/>
      <c r="B1353" s="227"/>
      <c r="C1353" s="227"/>
      <c r="D1353" s="227"/>
      <c r="E1353" s="227"/>
      <c r="F1353" s="227"/>
      <c r="G1353" s="227"/>
      <c r="H1353" s="227"/>
      <c r="I1353" s="227"/>
      <c r="J1353" s="227"/>
      <c r="K1353" s="227"/>
      <c r="L1353" s="227"/>
      <c r="M1353" s="227"/>
      <c r="N1353" s="227"/>
      <c r="O1353" s="227"/>
      <c r="P1353" s="227"/>
      <c r="Q1353" s="232"/>
    </row>
    <row r="1354" spans="8:8" ht="43.5" customHeight="1">
      <c r="A1354" s="227"/>
      <c r="B1354" s="227"/>
      <c r="C1354" s="227"/>
      <c r="D1354" s="227"/>
      <c r="E1354" s="227"/>
      <c r="F1354" s="227"/>
      <c r="G1354" s="227"/>
      <c r="H1354" s="227"/>
      <c r="I1354" s="227"/>
      <c r="J1354" s="227"/>
      <c r="K1354" s="227"/>
      <c r="L1354" s="227"/>
      <c r="M1354" s="227"/>
      <c r="N1354" s="227"/>
      <c r="O1354" s="227"/>
      <c r="P1354" s="227"/>
      <c r="Q1354" s="232"/>
    </row>
    <row r="1355" spans="8:8" ht="43.5" customHeight="1">
      <c r="A1355" s="227"/>
      <c r="B1355" s="227"/>
      <c r="C1355" s="227"/>
      <c r="D1355" s="227"/>
      <c r="E1355" s="227"/>
      <c r="F1355" s="227"/>
      <c r="G1355" s="227"/>
      <c r="H1355" s="227"/>
      <c r="I1355" s="227"/>
      <c r="J1355" s="227"/>
      <c r="K1355" s="227"/>
      <c r="L1355" s="227"/>
      <c r="M1355" s="227"/>
      <c r="N1355" s="227"/>
      <c r="O1355" s="227"/>
      <c r="P1355" s="227"/>
      <c r="Q1355" s="232"/>
    </row>
    <row r="1356" spans="8:8" ht="43.5" customHeight="1">
      <c r="A1356" s="227"/>
      <c r="B1356" s="227"/>
      <c r="C1356" s="227"/>
      <c r="D1356" s="227"/>
      <c r="E1356" s="227"/>
      <c r="F1356" s="227"/>
      <c r="G1356" s="227"/>
      <c r="H1356" s="227"/>
      <c r="I1356" s="227"/>
      <c r="J1356" s="227"/>
      <c r="K1356" s="227"/>
      <c r="L1356" s="227"/>
      <c r="M1356" s="227"/>
      <c r="N1356" s="227"/>
      <c r="O1356" s="227"/>
      <c r="P1356" s="227"/>
      <c r="Q1356" s="232"/>
    </row>
    <row r="1357" spans="8:8" ht="43.5" customHeight="1">
      <c r="A1357" s="227"/>
      <c r="B1357" s="227"/>
      <c r="C1357" s="227"/>
      <c r="D1357" s="227"/>
      <c r="E1357" s="227"/>
      <c r="F1357" s="227"/>
      <c r="G1357" s="227"/>
      <c r="H1357" s="227"/>
      <c r="I1357" s="227"/>
      <c r="J1357" s="227"/>
      <c r="K1357" s="227"/>
      <c r="L1357" s="227"/>
      <c r="M1357" s="227"/>
      <c r="N1357" s="227"/>
      <c r="O1357" s="227"/>
      <c r="P1357" s="227"/>
      <c r="Q1357" s="232"/>
    </row>
    <row r="1358" spans="8:8" ht="43.5" customHeight="1">
      <c r="A1358" s="227"/>
      <c r="B1358" s="227"/>
      <c r="C1358" s="227"/>
      <c r="D1358" s="227"/>
      <c r="E1358" s="227"/>
      <c r="F1358" s="227"/>
      <c r="G1358" s="227"/>
      <c r="H1358" s="227"/>
      <c r="I1358" s="227"/>
      <c r="J1358" s="227"/>
      <c r="K1358" s="227"/>
      <c r="L1358" s="227"/>
      <c r="M1358" s="227"/>
      <c r="N1358" s="227"/>
      <c r="O1358" s="227"/>
      <c r="P1358" s="227"/>
      <c r="Q1358" s="232"/>
    </row>
    <row r="1359" spans="8:8" ht="43.5" customHeight="1">
      <c r="A1359" s="227"/>
      <c r="B1359" s="227"/>
      <c r="C1359" s="227"/>
      <c r="D1359" s="227"/>
      <c r="E1359" s="227"/>
      <c r="F1359" s="227"/>
      <c r="G1359" s="227"/>
      <c r="H1359" s="227"/>
      <c r="I1359" s="227"/>
      <c r="J1359" s="227"/>
      <c r="K1359" s="227"/>
      <c r="L1359" s="227"/>
      <c r="M1359" s="227"/>
      <c r="N1359" s="227"/>
      <c r="O1359" s="227"/>
      <c r="P1359" s="227"/>
      <c r="Q1359" s="232"/>
    </row>
    <row r="1360" spans="8:8" ht="43.5" customHeight="1">
      <c r="A1360" s="227"/>
      <c r="B1360" s="227"/>
      <c r="C1360" s="227"/>
      <c r="D1360" s="227"/>
      <c r="E1360" s="227"/>
      <c r="F1360" s="227"/>
      <c r="G1360" s="227"/>
      <c r="H1360" s="227"/>
      <c r="I1360" s="227"/>
      <c r="J1360" s="227"/>
      <c r="K1360" s="227"/>
      <c r="L1360" s="227"/>
      <c r="M1360" s="227"/>
      <c r="N1360" s="227"/>
      <c r="O1360" s="227"/>
      <c r="P1360" s="227"/>
      <c r="Q1360" s="232"/>
    </row>
    <row r="1361" spans="8:8" ht="43.5" customHeight="1">
      <c r="A1361" s="227"/>
      <c r="B1361" s="227"/>
      <c r="C1361" s="227"/>
      <c r="D1361" s="227"/>
      <c r="E1361" s="227"/>
      <c r="F1361" s="227"/>
      <c r="G1361" s="227"/>
      <c r="H1361" s="227"/>
      <c r="I1361" s="227"/>
      <c r="J1361" s="227"/>
      <c r="K1361" s="227"/>
      <c r="L1361" s="227"/>
      <c r="M1361" s="227"/>
      <c r="N1361" s="227"/>
      <c r="O1361" s="227"/>
      <c r="P1361" s="227"/>
      <c r="Q1361" s="232"/>
    </row>
    <row r="1362" spans="8:8" ht="43.5" customHeight="1">
      <c r="A1362" s="227"/>
      <c r="B1362" s="227"/>
      <c r="C1362" s="227"/>
      <c r="D1362" s="227"/>
      <c r="E1362" s="227"/>
      <c r="F1362" s="227"/>
      <c r="G1362" s="227"/>
      <c r="H1362" s="227"/>
      <c r="I1362" s="227"/>
      <c r="J1362" s="227"/>
      <c r="K1362" s="227"/>
      <c r="L1362" s="227"/>
      <c r="M1362" s="227"/>
      <c r="N1362" s="227"/>
      <c r="O1362" s="227"/>
      <c r="P1362" s="227"/>
      <c r="Q1362" s="232"/>
    </row>
    <row r="1363" spans="8:8" ht="43.5" customHeight="1">
      <c r="A1363" s="227"/>
      <c r="B1363" s="227"/>
      <c r="C1363" s="227"/>
      <c r="D1363" s="227"/>
      <c r="E1363" s="227"/>
      <c r="F1363" s="227"/>
      <c r="G1363" s="227"/>
      <c r="H1363" s="227"/>
      <c r="I1363" s="227"/>
      <c r="J1363" s="227"/>
      <c r="K1363" s="227"/>
      <c r="L1363" s="227"/>
      <c r="M1363" s="227"/>
      <c r="N1363" s="227"/>
      <c r="O1363" s="227"/>
      <c r="P1363" s="227"/>
      <c r="Q1363" s="232"/>
    </row>
    <row r="1364" spans="8:8" ht="43.5" customHeight="1">
      <c r="A1364" s="227"/>
      <c r="B1364" s="227"/>
      <c r="C1364" s="227"/>
      <c r="D1364" s="227"/>
      <c r="E1364" s="227"/>
      <c r="F1364" s="227"/>
      <c r="G1364" s="227"/>
      <c r="H1364" s="227"/>
      <c r="I1364" s="227"/>
      <c r="J1364" s="227"/>
      <c r="K1364" s="227"/>
      <c r="L1364" s="227"/>
      <c r="M1364" s="227"/>
      <c r="N1364" s="227"/>
      <c r="O1364" s="227"/>
      <c r="P1364" s="227"/>
      <c r="Q1364" s="232"/>
    </row>
    <row r="1365" spans="8:8" ht="43.5" customHeight="1">
      <c r="A1365" s="227"/>
      <c r="B1365" s="227"/>
      <c r="C1365" s="227"/>
      <c r="D1365" s="227"/>
      <c r="E1365" s="227"/>
      <c r="F1365" s="227"/>
      <c r="G1365" s="227"/>
      <c r="H1365" s="227"/>
      <c r="I1365" s="227"/>
      <c r="J1365" s="227"/>
      <c r="K1365" s="227"/>
      <c r="L1365" s="227"/>
      <c r="M1365" s="227"/>
      <c r="N1365" s="227"/>
      <c r="O1365" s="227"/>
      <c r="P1365" s="227"/>
      <c r="Q1365" s="232"/>
    </row>
    <row r="1366" spans="8:8" ht="43.5" customHeight="1">
      <c r="A1366" s="227"/>
      <c r="B1366" s="227"/>
      <c r="C1366" s="227"/>
      <c r="D1366" s="227"/>
      <c r="E1366" s="227"/>
      <c r="F1366" s="227"/>
      <c r="G1366" s="227"/>
      <c r="H1366" s="227"/>
      <c r="I1366" s="227"/>
      <c r="J1366" s="227"/>
      <c r="K1366" s="227"/>
      <c r="L1366" s="227"/>
      <c r="M1366" s="227"/>
      <c r="N1366" s="227"/>
      <c r="O1366" s="227"/>
      <c r="P1366" s="227"/>
      <c r="Q1366" s="232"/>
    </row>
    <row r="1367" spans="8:8" ht="43.5" customHeight="1">
      <c r="A1367" s="227"/>
      <c r="B1367" s="227"/>
      <c r="C1367" s="227"/>
      <c r="D1367" s="227"/>
      <c r="E1367" s="227"/>
      <c r="F1367" s="227"/>
      <c r="G1367" s="227"/>
      <c r="H1367" s="227"/>
      <c r="I1367" s="227"/>
      <c r="J1367" s="227"/>
      <c r="K1367" s="227"/>
      <c r="L1367" s="227"/>
      <c r="M1367" s="227"/>
      <c r="N1367" s="227"/>
      <c r="O1367" s="227"/>
      <c r="P1367" s="227"/>
      <c r="Q1367" s="232"/>
    </row>
    <row r="1368" spans="8:8" ht="43.5" customHeight="1">
      <c r="A1368" s="227"/>
      <c r="B1368" s="227"/>
      <c r="C1368" s="227"/>
      <c r="D1368" s="227"/>
      <c r="E1368" s="227"/>
      <c r="F1368" s="227"/>
      <c r="G1368" s="227"/>
      <c r="H1368" s="227"/>
      <c r="I1368" s="227"/>
      <c r="J1368" s="227"/>
      <c r="K1368" s="227"/>
      <c r="L1368" s="227"/>
      <c r="M1368" s="227"/>
      <c r="N1368" s="227"/>
      <c r="O1368" s="227"/>
      <c r="P1368" s="227"/>
      <c r="Q1368" s="232"/>
    </row>
    <row r="1369" spans="8:8" ht="43.5" customHeight="1">
      <c r="A1369" s="227"/>
      <c r="B1369" s="227"/>
      <c r="C1369" s="227"/>
      <c r="D1369" s="227"/>
      <c r="E1369" s="227"/>
      <c r="F1369" s="227"/>
      <c r="G1369" s="227"/>
      <c r="H1369" s="227"/>
      <c r="I1369" s="227"/>
      <c r="J1369" s="227"/>
      <c r="K1369" s="227"/>
      <c r="L1369" s="227"/>
      <c r="M1369" s="227"/>
      <c r="N1369" s="227"/>
      <c r="O1369" s="227"/>
      <c r="P1369" s="227"/>
      <c r="Q1369" s="232"/>
    </row>
    <row r="1370" spans="8:8" ht="43.5" customHeight="1">
      <c r="A1370" s="227"/>
      <c r="B1370" s="227"/>
      <c r="C1370" s="227"/>
      <c r="D1370" s="227"/>
      <c r="E1370" s="227"/>
      <c r="F1370" s="227"/>
      <c r="G1370" s="227"/>
      <c r="H1370" s="227"/>
      <c r="I1370" s="227"/>
      <c r="J1370" s="227"/>
      <c r="K1370" s="227"/>
      <c r="L1370" s="227"/>
      <c r="M1370" s="227"/>
      <c r="N1370" s="227"/>
      <c r="O1370" s="227"/>
      <c r="P1370" s="227"/>
      <c r="Q1370" s="232"/>
    </row>
    <row r="1371" spans="8:8" ht="43.5" customHeight="1">
      <c r="A1371" s="227"/>
      <c r="B1371" s="227"/>
      <c r="C1371" s="227"/>
      <c r="D1371" s="227"/>
      <c r="E1371" s="227"/>
      <c r="F1371" s="227"/>
      <c r="G1371" s="227"/>
      <c r="H1371" s="227"/>
      <c r="I1371" s="227"/>
      <c r="J1371" s="227"/>
      <c r="K1371" s="227"/>
      <c r="L1371" s="227"/>
      <c r="M1371" s="227"/>
      <c r="N1371" s="227"/>
      <c r="O1371" s="227"/>
      <c r="P1371" s="227"/>
      <c r="Q1371" s="232"/>
    </row>
    <row r="1372" spans="8:8" ht="43.5" customHeight="1">
      <c r="A1372" s="227"/>
      <c r="B1372" s="227"/>
      <c r="C1372" s="227"/>
      <c r="D1372" s="227"/>
      <c r="E1372" s="227"/>
      <c r="F1372" s="227"/>
      <c r="G1372" s="227"/>
      <c r="H1372" s="227"/>
      <c r="I1372" s="227"/>
      <c r="J1372" s="227"/>
      <c r="K1372" s="227"/>
      <c r="L1372" s="227"/>
      <c r="M1372" s="227"/>
      <c r="N1372" s="227"/>
      <c r="O1372" s="227"/>
      <c r="P1372" s="227"/>
      <c r="Q1372" s="232"/>
    </row>
    <row r="1373" spans="8:8" ht="43.5" customHeight="1">
      <c r="A1373" s="227"/>
      <c r="B1373" s="227"/>
      <c r="C1373" s="227"/>
      <c r="D1373" s="227"/>
      <c r="E1373" s="227"/>
      <c r="F1373" s="227"/>
      <c r="G1373" s="227"/>
      <c r="H1373" s="227"/>
      <c r="I1373" s="227"/>
      <c r="J1373" s="227"/>
      <c r="K1373" s="227"/>
      <c r="L1373" s="227"/>
      <c r="M1373" s="227"/>
      <c r="N1373" s="227"/>
      <c r="O1373" s="227"/>
      <c r="P1373" s="227"/>
      <c r="Q1373" s="232"/>
    </row>
    <row r="1374" spans="8:8" ht="43.5" customHeight="1">
      <c r="A1374" s="227"/>
      <c r="B1374" s="227"/>
      <c r="C1374" s="227"/>
      <c r="D1374" s="227"/>
      <c r="E1374" s="227"/>
      <c r="F1374" s="227"/>
      <c r="G1374" s="227"/>
      <c r="H1374" s="227"/>
      <c r="I1374" s="227"/>
      <c r="J1374" s="227"/>
      <c r="K1374" s="227"/>
      <c r="L1374" s="227"/>
      <c r="M1374" s="227"/>
      <c r="N1374" s="227"/>
      <c r="O1374" s="227"/>
      <c r="P1374" s="227"/>
      <c r="Q1374" s="232"/>
    </row>
    <row r="1375" spans="8:8" ht="43.5" customHeight="1">
      <c r="A1375" s="227"/>
      <c r="B1375" s="227"/>
      <c r="C1375" s="227"/>
      <c r="D1375" s="227"/>
      <c r="E1375" s="227"/>
      <c r="F1375" s="227"/>
      <c r="G1375" s="227"/>
      <c r="H1375" s="227"/>
      <c r="I1375" s="227"/>
      <c r="J1375" s="227"/>
      <c r="K1375" s="227"/>
      <c r="L1375" s="227"/>
      <c r="M1375" s="227"/>
      <c r="N1375" s="227"/>
      <c r="O1375" s="227"/>
      <c r="P1375" s="227"/>
      <c r="Q1375" s="232"/>
    </row>
    <row r="1376" spans="8:8" ht="43.5" customHeight="1">
      <c r="A1376" s="227"/>
      <c r="B1376" s="227"/>
      <c r="C1376" s="227"/>
      <c r="D1376" s="227"/>
      <c r="E1376" s="227"/>
      <c r="F1376" s="227"/>
      <c r="G1376" s="227"/>
      <c r="H1376" s="227"/>
      <c r="I1376" s="227"/>
      <c r="J1376" s="227"/>
      <c r="K1376" s="227"/>
      <c r="L1376" s="227"/>
      <c r="M1376" s="227"/>
      <c r="N1376" s="227"/>
      <c r="O1376" s="227"/>
      <c r="P1376" s="227"/>
      <c r="Q1376" s="232"/>
    </row>
    <row r="1377" spans="8:8" ht="43.5" customHeight="1">
      <c r="A1377" s="227"/>
      <c r="B1377" s="227"/>
      <c r="C1377" s="227"/>
      <c r="D1377" s="227"/>
      <c r="E1377" s="227"/>
      <c r="F1377" s="227"/>
      <c r="G1377" s="227"/>
      <c r="H1377" s="227"/>
      <c r="I1377" s="227"/>
      <c r="J1377" s="227"/>
      <c r="K1377" s="227"/>
      <c r="L1377" s="227"/>
      <c r="M1377" s="227"/>
      <c r="N1377" s="227"/>
      <c r="O1377" s="227"/>
      <c r="P1377" s="227"/>
      <c r="Q1377" s="232"/>
    </row>
    <row r="1378" spans="8:8" ht="43.5" customHeight="1">
      <c r="A1378" s="227"/>
      <c r="B1378" s="227"/>
      <c r="C1378" s="227"/>
      <c r="D1378" s="227"/>
      <c r="E1378" s="227"/>
      <c r="F1378" s="227"/>
      <c r="G1378" s="227"/>
      <c r="H1378" s="227"/>
      <c r="I1378" s="227"/>
      <c r="J1378" s="227"/>
      <c r="K1378" s="227"/>
      <c r="L1378" s="227"/>
      <c r="M1378" s="227"/>
      <c r="N1378" s="227"/>
      <c r="O1378" s="227"/>
      <c r="P1378" s="227"/>
      <c r="Q1378" s="232"/>
    </row>
    <row r="1379" spans="8:8" ht="43.5" customHeight="1">
      <c r="A1379" s="227"/>
      <c r="B1379" s="227"/>
      <c r="C1379" s="227"/>
      <c r="D1379" s="227"/>
      <c r="E1379" s="227"/>
      <c r="F1379" s="227"/>
      <c r="G1379" s="227"/>
      <c r="H1379" s="227"/>
      <c r="I1379" s="227"/>
      <c r="J1379" s="227"/>
      <c r="K1379" s="227"/>
      <c r="L1379" s="227"/>
      <c r="M1379" s="227"/>
      <c r="N1379" s="227"/>
      <c r="O1379" s="227"/>
      <c r="P1379" s="227"/>
      <c r="Q1379" s="232"/>
    </row>
    <row r="1380" spans="8:8" ht="43.5" customHeight="1">
      <c r="A1380" s="227"/>
      <c r="B1380" s="227"/>
      <c r="C1380" s="227"/>
      <c r="D1380" s="227"/>
      <c r="E1380" s="227"/>
      <c r="F1380" s="227"/>
      <c r="G1380" s="227"/>
      <c r="H1380" s="227"/>
      <c r="I1380" s="227"/>
      <c r="J1380" s="227"/>
      <c r="K1380" s="227"/>
      <c r="L1380" s="227"/>
      <c r="M1380" s="227"/>
      <c r="N1380" s="227"/>
      <c r="O1380" s="227"/>
      <c r="P1380" s="227"/>
      <c r="Q1380" s="232"/>
    </row>
    <row r="1381" spans="8:8" ht="43.5" customHeight="1">
      <c r="A1381" s="227"/>
      <c r="B1381" s="227"/>
      <c r="C1381" s="227"/>
      <c r="D1381" s="227"/>
      <c r="E1381" s="227"/>
      <c r="F1381" s="227"/>
      <c r="G1381" s="227"/>
      <c r="H1381" s="227"/>
      <c r="I1381" s="227"/>
      <c r="J1381" s="227"/>
      <c r="K1381" s="227"/>
      <c r="L1381" s="227"/>
      <c r="M1381" s="227"/>
      <c r="N1381" s="227"/>
      <c r="O1381" s="227"/>
      <c r="P1381" s="227"/>
      <c r="Q1381" s="232"/>
    </row>
    <row r="1382" spans="8:8" ht="43.5" customHeight="1">
      <c r="A1382" s="227"/>
      <c r="B1382" s="227"/>
      <c r="C1382" s="227"/>
      <c r="D1382" s="227"/>
      <c r="E1382" s="227"/>
      <c r="F1382" s="227"/>
      <c r="G1382" s="227"/>
      <c r="H1382" s="227"/>
      <c r="I1382" s="227"/>
      <c r="J1382" s="227"/>
      <c r="K1382" s="227"/>
      <c r="L1382" s="227"/>
      <c r="M1382" s="227"/>
      <c r="N1382" s="227"/>
      <c r="O1382" s="227"/>
      <c r="P1382" s="227"/>
      <c r="Q1382" s="232"/>
    </row>
    <row r="1383" spans="8:8" ht="43.5" customHeight="1">
      <c r="A1383" s="227"/>
      <c r="B1383" s="227"/>
      <c r="C1383" s="227"/>
      <c r="D1383" s="227"/>
      <c r="E1383" s="227"/>
      <c r="F1383" s="227"/>
      <c r="G1383" s="227"/>
      <c r="H1383" s="227"/>
      <c r="I1383" s="227"/>
      <c r="J1383" s="227"/>
      <c r="K1383" s="227"/>
      <c r="L1383" s="227"/>
      <c r="M1383" s="227"/>
      <c r="N1383" s="227"/>
      <c r="O1383" s="227"/>
      <c r="P1383" s="227"/>
      <c r="Q1383" s="232"/>
    </row>
    <row r="1384" spans="8:8" ht="43.5" customHeight="1">
      <c r="A1384" s="227"/>
      <c r="B1384" s="227"/>
      <c r="C1384" s="227"/>
      <c r="D1384" s="227"/>
      <c r="E1384" s="227"/>
      <c r="F1384" s="227"/>
      <c r="G1384" s="227"/>
      <c r="H1384" s="227"/>
      <c r="I1384" s="227"/>
      <c r="J1384" s="227"/>
      <c r="K1384" s="227"/>
      <c r="L1384" s="227"/>
      <c r="M1384" s="227"/>
      <c r="N1384" s="227"/>
      <c r="O1384" s="227"/>
      <c r="P1384" s="227"/>
      <c r="Q1384" s="232"/>
    </row>
    <row r="1385" spans="8:8" ht="43.5" customHeight="1">
      <c r="A1385" s="227"/>
      <c r="B1385" s="227"/>
      <c r="C1385" s="227"/>
      <c r="D1385" s="227"/>
      <c r="E1385" s="227"/>
      <c r="F1385" s="227"/>
      <c r="G1385" s="227"/>
      <c r="H1385" s="227"/>
      <c r="I1385" s="227"/>
      <c r="J1385" s="227"/>
      <c r="K1385" s="227"/>
      <c r="L1385" s="227"/>
      <c r="M1385" s="227"/>
      <c r="N1385" s="227"/>
      <c r="O1385" s="227"/>
      <c r="P1385" s="227"/>
      <c r="Q1385" s="232"/>
    </row>
    <row r="1386" spans="8:8" ht="43.5" customHeight="1">
      <c r="A1386" s="227"/>
      <c r="B1386" s="227"/>
      <c r="C1386" s="227"/>
      <c r="D1386" s="227"/>
      <c r="E1386" s="227"/>
      <c r="F1386" s="227"/>
      <c r="G1386" s="227"/>
      <c r="H1386" s="227"/>
      <c r="I1386" s="227"/>
      <c r="J1386" s="227"/>
      <c r="K1386" s="227"/>
      <c r="L1386" s="227"/>
      <c r="M1386" s="227"/>
      <c r="N1386" s="227"/>
      <c r="O1386" s="227"/>
      <c r="P1386" s="227"/>
      <c r="Q1386" s="232"/>
    </row>
    <row r="1387" spans="8:8" ht="43.5" customHeight="1">
      <c r="A1387" s="227"/>
      <c r="B1387" s="227"/>
      <c r="C1387" s="227"/>
      <c r="D1387" s="227"/>
      <c r="E1387" s="227"/>
      <c r="F1387" s="227"/>
      <c r="G1387" s="227"/>
      <c r="H1387" s="227"/>
      <c r="I1387" s="227"/>
      <c r="J1387" s="227"/>
      <c r="K1387" s="227"/>
      <c r="L1387" s="227"/>
      <c r="M1387" s="227"/>
      <c r="N1387" s="227"/>
      <c r="O1387" s="227"/>
      <c r="P1387" s="227"/>
      <c r="Q1387" s="232"/>
    </row>
    <row r="1388" spans="8:8" ht="43.5" customHeight="1">
      <c r="A1388" s="227"/>
      <c r="B1388" s="227"/>
      <c r="C1388" s="227"/>
      <c r="D1388" s="227"/>
      <c r="E1388" s="227"/>
      <c r="F1388" s="227"/>
      <c r="G1388" s="227"/>
      <c r="H1388" s="227"/>
      <c r="I1388" s="227"/>
      <c r="J1388" s="227"/>
      <c r="K1388" s="227"/>
      <c r="L1388" s="227"/>
      <c r="M1388" s="227"/>
      <c r="N1388" s="227"/>
      <c r="O1388" s="227"/>
      <c r="P1388" s="227"/>
      <c r="Q1388" s="232"/>
    </row>
    <row r="1389" spans="8:8" ht="43.5" customHeight="1">
      <c r="A1389" s="227"/>
      <c r="B1389" s="227"/>
      <c r="C1389" s="227"/>
      <c r="D1389" s="227"/>
      <c r="E1389" s="227"/>
      <c r="F1389" s="227"/>
      <c r="G1389" s="227"/>
      <c r="H1389" s="227"/>
      <c r="I1389" s="227"/>
      <c r="J1389" s="227"/>
      <c r="K1389" s="227"/>
      <c r="L1389" s="227"/>
      <c r="M1389" s="227"/>
      <c r="N1389" s="227"/>
      <c r="O1389" s="227"/>
      <c r="P1389" s="227"/>
      <c r="Q1389" s="232"/>
    </row>
    <row r="1390" spans="8:8" ht="43.5" customHeight="1">
      <c r="A1390" s="227"/>
      <c r="B1390" s="227"/>
      <c r="C1390" s="227"/>
      <c r="D1390" s="227"/>
      <c r="E1390" s="227"/>
      <c r="F1390" s="227"/>
      <c r="G1390" s="227"/>
      <c r="H1390" s="227"/>
      <c r="I1390" s="227"/>
      <c r="J1390" s="227"/>
      <c r="K1390" s="227"/>
      <c r="L1390" s="227"/>
      <c r="M1390" s="227"/>
      <c r="N1390" s="227"/>
      <c r="O1390" s="227"/>
      <c r="P1390" s="227"/>
      <c r="Q1390" s="232"/>
    </row>
    <row r="1391" spans="8:8" ht="43.5" customHeight="1">
      <c r="A1391" s="227"/>
      <c r="B1391" s="227"/>
      <c r="C1391" s="227"/>
      <c r="D1391" s="227"/>
      <c r="E1391" s="227"/>
      <c r="F1391" s="227"/>
      <c r="G1391" s="227"/>
      <c r="H1391" s="227"/>
      <c r="I1391" s="227"/>
      <c r="J1391" s="227"/>
      <c r="K1391" s="227"/>
      <c r="L1391" s="227"/>
      <c r="M1391" s="227"/>
      <c r="N1391" s="227"/>
      <c r="O1391" s="227"/>
      <c r="P1391" s="227"/>
      <c r="Q1391" s="232"/>
    </row>
    <row r="1392" spans="8:8" ht="43.5" customHeight="1">
      <c r="A1392" s="227"/>
      <c r="B1392" s="227"/>
      <c r="C1392" s="227"/>
      <c r="D1392" s="227"/>
      <c r="E1392" s="227"/>
      <c r="F1392" s="227"/>
      <c r="G1392" s="227"/>
      <c r="H1392" s="227"/>
      <c r="I1392" s="227"/>
      <c r="J1392" s="227"/>
      <c r="K1392" s="227"/>
      <c r="L1392" s="227"/>
      <c r="M1392" s="227"/>
      <c r="N1392" s="227"/>
      <c r="O1392" s="227"/>
      <c r="P1392" s="227"/>
      <c r="Q1392" s="232"/>
    </row>
    <row r="1393" spans="8:8" ht="43.5" customHeight="1">
      <c r="A1393" s="227"/>
      <c r="B1393" s="227"/>
      <c r="C1393" s="227"/>
      <c r="D1393" s="227"/>
      <c r="E1393" s="227"/>
      <c r="F1393" s="227"/>
      <c r="G1393" s="227"/>
      <c r="H1393" s="227"/>
      <c r="I1393" s="227"/>
      <c r="J1393" s="227"/>
      <c r="K1393" s="227"/>
      <c r="L1393" s="227"/>
      <c r="M1393" s="227"/>
      <c r="N1393" s="227"/>
      <c r="O1393" s="227"/>
      <c r="P1393" s="227"/>
      <c r="Q1393" s="232"/>
    </row>
    <row r="1394" spans="8:8" ht="43.5" customHeight="1">
      <c r="A1394" s="227"/>
      <c r="B1394" s="227"/>
      <c r="C1394" s="227"/>
      <c r="D1394" s="227"/>
      <c r="E1394" s="227"/>
      <c r="F1394" s="227"/>
      <c r="G1394" s="227"/>
      <c r="H1394" s="227"/>
      <c r="I1394" s="227"/>
      <c r="J1394" s="227"/>
      <c r="K1394" s="227"/>
      <c r="L1394" s="227"/>
      <c r="M1394" s="227"/>
      <c r="N1394" s="227"/>
      <c r="O1394" s="227"/>
      <c r="P1394" s="227"/>
      <c r="Q1394" s="232"/>
    </row>
    <row r="1395" spans="8:8" ht="43.5" customHeight="1">
      <c r="A1395" s="227"/>
      <c r="B1395" s="227"/>
      <c r="C1395" s="227"/>
      <c r="D1395" s="227"/>
      <c r="E1395" s="227"/>
      <c r="F1395" s="227"/>
      <c r="G1395" s="227"/>
      <c r="H1395" s="227"/>
      <c r="I1395" s="227"/>
      <c r="J1395" s="227"/>
      <c r="K1395" s="227"/>
      <c r="L1395" s="227"/>
      <c r="M1395" s="227"/>
      <c r="N1395" s="227"/>
      <c r="O1395" s="227"/>
      <c r="P1395" s="227"/>
      <c r="Q1395" s="232"/>
    </row>
    <row r="1396" spans="8:8" ht="43.5" customHeight="1">
      <c r="A1396" s="227"/>
      <c r="B1396" s="227"/>
      <c r="C1396" s="227"/>
      <c r="D1396" s="227"/>
      <c r="E1396" s="227"/>
      <c r="F1396" s="227"/>
      <c r="G1396" s="227"/>
      <c r="H1396" s="227"/>
      <c r="I1396" s="227"/>
      <c r="J1396" s="227"/>
      <c r="K1396" s="227"/>
      <c r="L1396" s="227"/>
      <c r="M1396" s="227"/>
      <c r="N1396" s="227"/>
      <c r="O1396" s="227"/>
      <c r="P1396" s="227"/>
      <c r="Q1396" s="232"/>
    </row>
    <row r="1397" spans="8:8" ht="43.5" customHeight="1">
      <c r="A1397" s="227"/>
      <c r="B1397" s="227"/>
      <c r="C1397" s="227"/>
      <c r="D1397" s="227"/>
      <c r="E1397" s="227"/>
      <c r="F1397" s="227"/>
      <c r="G1397" s="227"/>
      <c r="H1397" s="227"/>
      <c r="I1397" s="227"/>
      <c r="J1397" s="227"/>
      <c r="K1397" s="227"/>
      <c r="L1397" s="227"/>
      <c r="M1397" s="227"/>
      <c r="N1397" s="227"/>
      <c r="O1397" s="227"/>
      <c r="P1397" s="227"/>
      <c r="Q1397" s="232"/>
    </row>
    <row r="1398" spans="8:8" ht="43.5" customHeight="1">
      <c r="A1398" s="227"/>
      <c r="B1398" s="227"/>
      <c r="C1398" s="227"/>
      <c r="D1398" s="227"/>
      <c r="E1398" s="227"/>
      <c r="F1398" s="227"/>
      <c r="G1398" s="227"/>
      <c r="H1398" s="227"/>
      <c r="I1398" s="227"/>
      <c r="J1398" s="227"/>
      <c r="K1398" s="227"/>
      <c r="L1398" s="227"/>
      <c r="M1398" s="227"/>
      <c r="N1398" s="227"/>
      <c r="O1398" s="227"/>
      <c r="P1398" s="227"/>
      <c r="Q1398" s="232"/>
    </row>
    <row r="1399" spans="8:8" ht="43.5" customHeight="1">
      <c r="A1399" s="227"/>
      <c r="B1399" s="227"/>
      <c r="C1399" s="227"/>
      <c r="D1399" s="227"/>
      <c r="E1399" s="227"/>
      <c r="F1399" s="227"/>
      <c r="G1399" s="227"/>
      <c r="H1399" s="227"/>
      <c r="I1399" s="227"/>
      <c r="J1399" s="227"/>
      <c r="K1399" s="227"/>
      <c r="L1399" s="227"/>
      <c r="M1399" s="227"/>
      <c r="N1399" s="227"/>
      <c r="O1399" s="227"/>
      <c r="P1399" s="227"/>
      <c r="Q1399" s="232"/>
    </row>
    <row r="1400" spans="8:8" ht="43.5" customHeight="1">
      <c r="A1400" s="227"/>
      <c r="B1400" s="227"/>
      <c r="C1400" s="227"/>
      <c r="D1400" s="227"/>
      <c r="E1400" s="227"/>
      <c r="F1400" s="227"/>
      <c r="G1400" s="227"/>
      <c r="H1400" s="227"/>
      <c r="I1400" s="227"/>
      <c r="J1400" s="227"/>
      <c r="K1400" s="227"/>
      <c r="L1400" s="227"/>
      <c r="M1400" s="227"/>
      <c r="N1400" s="227"/>
      <c r="O1400" s="227"/>
      <c r="P1400" s="227"/>
      <c r="Q1400" s="232"/>
    </row>
    <row r="1401" spans="8:8" ht="43.5" customHeight="1">
      <c r="A1401" s="227"/>
      <c r="B1401" s="227"/>
      <c r="C1401" s="227"/>
      <c r="D1401" s="227"/>
      <c r="E1401" s="227"/>
      <c r="F1401" s="227"/>
      <c r="G1401" s="227"/>
      <c r="H1401" s="227"/>
      <c r="I1401" s="227"/>
      <c r="J1401" s="227"/>
      <c r="K1401" s="227"/>
      <c r="L1401" s="227"/>
      <c r="M1401" s="227"/>
      <c r="N1401" s="227"/>
      <c r="O1401" s="227"/>
      <c r="P1401" s="227"/>
      <c r="Q1401" s="232"/>
    </row>
    <row r="1402" spans="8:8" ht="43.5" customHeight="1">
      <c r="A1402" s="227"/>
      <c r="B1402" s="227"/>
      <c r="C1402" s="227"/>
      <c r="D1402" s="227"/>
      <c r="E1402" s="227"/>
      <c r="F1402" s="227"/>
      <c r="G1402" s="227"/>
      <c r="H1402" s="227"/>
      <c r="I1402" s="227"/>
      <c r="J1402" s="227"/>
      <c r="K1402" s="227"/>
      <c r="L1402" s="227"/>
      <c r="M1402" s="227"/>
      <c r="N1402" s="227"/>
      <c r="O1402" s="227"/>
      <c r="P1402" s="227"/>
      <c r="Q1402" s="232"/>
    </row>
    <row r="1403" spans="8:8" ht="43.5" customHeight="1">
      <c r="A1403" s="227"/>
      <c r="B1403" s="227"/>
      <c r="C1403" s="227"/>
      <c r="D1403" s="227"/>
      <c r="E1403" s="227"/>
      <c r="F1403" s="227"/>
      <c r="G1403" s="227"/>
      <c r="H1403" s="227"/>
      <c r="I1403" s="227"/>
      <c r="J1403" s="227"/>
      <c r="K1403" s="227"/>
      <c r="L1403" s="227"/>
      <c r="M1403" s="227"/>
      <c r="N1403" s="227"/>
      <c r="O1403" s="227"/>
      <c r="P1403" s="227"/>
      <c r="Q1403" s="232"/>
    </row>
    <row r="1404" spans="8:8" ht="43.5" customHeight="1">
      <c r="A1404" s="227"/>
      <c r="B1404" s="227"/>
      <c r="C1404" s="227"/>
      <c r="D1404" s="227"/>
      <c r="E1404" s="227"/>
      <c r="F1404" s="227"/>
      <c r="G1404" s="227"/>
      <c r="H1404" s="227"/>
      <c r="I1404" s="227"/>
      <c r="J1404" s="227"/>
      <c r="K1404" s="227"/>
      <c r="L1404" s="227"/>
      <c r="M1404" s="227"/>
      <c r="N1404" s="227"/>
      <c r="O1404" s="227"/>
      <c r="P1404" s="227"/>
      <c r="Q1404" s="232"/>
    </row>
    <row r="1405" spans="8:8" ht="43.5" customHeight="1">
      <c r="A1405" s="227"/>
      <c r="B1405" s="227"/>
      <c r="C1405" s="227"/>
      <c r="D1405" s="227"/>
      <c r="E1405" s="227"/>
      <c r="F1405" s="227"/>
      <c r="G1405" s="227"/>
      <c r="H1405" s="227"/>
      <c r="I1405" s="227"/>
      <c r="J1405" s="227"/>
      <c r="K1405" s="227"/>
      <c r="L1405" s="227"/>
      <c r="M1405" s="227"/>
      <c r="N1405" s="227"/>
      <c r="O1405" s="227"/>
      <c r="P1405" s="227"/>
      <c r="Q1405" s="232"/>
    </row>
    <row r="1406" spans="8:8" ht="43.5" customHeight="1">
      <c r="A1406" s="227"/>
      <c r="B1406" s="227"/>
      <c r="C1406" s="227"/>
      <c r="D1406" s="227"/>
      <c r="E1406" s="227"/>
      <c r="F1406" s="227"/>
      <c r="G1406" s="227"/>
      <c r="H1406" s="227"/>
      <c r="I1406" s="227"/>
      <c r="J1406" s="227"/>
      <c r="K1406" s="227"/>
      <c r="L1406" s="227"/>
      <c r="M1406" s="227"/>
      <c r="N1406" s="227"/>
      <c r="O1406" s="227"/>
      <c r="P1406" s="227"/>
      <c r="Q1406" s="232"/>
    </row>
    <row r="1407" spans="8:8" ht="43.5" customHeight="1">
      <c r="A1407" s="227"/>
      <c r="B1407" s="227"/>
      <c r="C1407" s="227"/>
      <c r="D1407" s="227"/>
      <c r="E1407" s="227"/>
      <c r="F1407" s="227"/>
      <c r="G1407" s="227"/>
      <c r="H1407" s="227"/>
      <c r="I1407" s="227"/>
      <c r="J1407" s="227"/>
      <c r="K1407" s="227"/>
      <c r="L1407" s="227"/>
      <c r="M1407" s="227"/>
      <c r="N1407" s="227"/>
      <c r="O1407" s="227"/>
      <c r="P1407" s="227"/>
      <c r="Q1407" s="232"/>
    </row>
    <row r="1408" spans="8:8" ht="43.5" customHeight="1">
      <c r="A1408" s="227"/>
      <c r="B1408" s="227"/>
      <c r="C1408" s="227"/>
      <c r="D1408" s="227"/>
      <c r="E1408" s="227"/>
      <c r="F1408" s="227"/>
      <c r="G1408" s="227"/>
      <c r="H1408" s="227"/>
      <c r="I1408" s="227"/>
      <c r="J1408" s="227"/>
      <c r="K1408" s="227"/>
      <c r="L1408" s="227"/>
      <c r="M1408" s="227"/>
      <c r="N1408" s="227"/>
      <c r="O1408" s="227"/>
      <c r="P1408" s="227"/>
      <c r="Q1408" s="232"/>
    </row>
    <row r="1409" spans="8:8" ht="43.5" customHeight="1">
      <c r="A1409" s="227"/>
      <c r="B1409" s="227"/>
      <c r="C1409" s="227"/>
      <c r="D1409" s="227"/>
      <c r="E1409" s="227"/>
      <c r="F1409" s="227"/>
      <c r="G1409" s="227"/>
      <c r="H1409" s="227"/>
      <c r="I1409" s="227"/>
      <c r="J1409" s="227"/>
      <c r="K1409" s="227"/>
      <c r="L1409" s="227"/>
      <c r="M1409" s="227"/>
      <c r="N1409" s="227"/>
      <c r="O1409" s="227"/>
      <c r="P1409" s="227"/>
      <c r="Q1409" s="232"/>
    </row>
    <row r="1410" spans="8:8" ht="43.5" customHeight="1">
      <c r="A1410" s="227"/>
      <c r="B1410" s="227"/>
      <c r="C1410" s="227"/>
      <c r="D1410" s="227"/>
      <c r="E1410" s="227"/>
      <c r="F1410" s="227"/>
      <c r="G1410" s="227"/>
      <c r="H1410" s="227"/>
      <c r="I1410" s="227"/>
      <c r="J1410" s="227"/>
      <c r="K1410" s="227"/>
      <c r="L1410" s="227"/>
      <c r="M1410" s="227"/>
      <c r="N1410" s="227"/>
      <c r="O1410" s="227"/>
      <c r="P1410" s="227"/>
      <c r="Q1410" s="232"/>
    </row>
    <row r="1411" spans="8:8" ht="43.5" customHeight="1">
      <c r="A1411" s="227"/>
      <c r="B1411" s="227"/>
      <c r="C1411" s="227"/>
      <c r="D1411" s="227"/>
      <c r="E1411" s="227"/>
      <c r="F1411" s="227"/>
      <c r="G1411" s="227"/>
      <c r="H1411" s="227"/>
      <c r="I1411" s="227"/>
      <c r="J1411" s="227"/>
      <c r="K1411" s="227"/>
      <c r="L1411" s="227"/>
      <c r="M1411" s="227"/>
      <c r="N1411" s="227"/>
      <c r="O1411" s="227"/>
      <c r="P1411" s="227"/>
      <c r="Q1411" s="232"/>
    </row>
    <row r="1412" spans="8:8" ht="43.5" customHeight="1">
      <c r="A1412" s="227"/>
      <c r="B1412" s="227"/>
      <c r="C1412" s="227"/>
      <c r="D1412" s="227"/>
      <c r="E1412" s="227"/>
      <c r="F1412" s="227"/>
      <c r="G1412" s="227"/>
      <c r="H1412" s="227"/>
      <c r="I1412" s="227"/>
      <c r="J1412" s="227"/>
      <c r="K1412" s="227"/>
      <c r="L1412" s="227"/>
      <c r="M1412" s="227"/>
      <c r="N1412" s="227"/>
      <c r="O1412" s="227"/>
      <c r="P1412" s="227"/>
      <c r="Q1412" s="232"/>
    </row>
    <row r="1413" spans="8:8" ht="43.5" customHeight="1">
      <c r="A1413" s="227"/>
      <c r="B1413" s="227"/>
      <c r="C1413" s="227"/>
      <c r="D1413" s="227"/>
      <c r="E1413" s="227"/>
      <c r="F1413" s="227"/>
      <c r="G1413" s="227"/>
      <c r="H1413" s="227"/>
      <c r="I1413" s="227"/>
      <c r="J1413" s="227"/>
      <c r="K1413" s="227"/>
      <c r="L1413" s="227"/>
      <c r="M1413" s="227"/>
      <c r="N1413" s="227"/>
      <c r="O1413" s="227"/>
      <c r="P1413" s="227"/>
      <c r="Q1413" s="232"/>
    </row>
    <row r="1414" spans="8:8" ht="43.5" customHeight="1">
      <c r="A1414" s="227"/>
      <c r="B1414" s="227"/>
      <c r="C1414" s="227"/>
      <c r="D1414" s="227"/>
      <c r="E1414" s="227"/>
      <c r="F1414" s="227"/>
      <c r="G1414" s="227"/>
      <c r="H1414" s="227"/>
      <c r="I1414" s="227"/>
      <c r="J1414" s="227"/>
      <c r="K1414" s="227"/>
      <c r="L1414" s="227"/>
      <c r="M1414" s="227"/>
      <c r="N1414" s="227"/>
      <c r="O1414" s="227"/>
      <c r="P1414" s="227"/>
      <c r="Q1414" s="232"/>
    </row>
    <row r="1415" spans="8:8" ht="43.5" customHeight="1">
      <c r="A1415" s="227"/>
      <c r="B1415" s="227"/>
      <c r="C1415" s="227"/>
      <c r="D1415" s="227"/>
      <c r="E1415" s="227"/>
      <c r="F1415" s="227"/>
      <c r="G1415" s="227"/>
      <c r="H1415" s="227"/>
      <c r="I1415" s="227"/>
      <c r="J1415" s="227"/>
      <c r="K1415" s="227"/>
      <c r="L1415" s="227"/>
      <c r="M1415" s="227"/>
      <c r="N1415" s="227"/>
      <c r="O1415" s="227"/>
      <c r="P1415" s="227"/>
      <c r="Q1415" s="232"/>
    </row>
    <row r="1416" spans="8:8" ht="43.5" customHeight="1">
      <c r="A1416" s="227"/>
      <c r="B1416" s="227"/>
      <c r="C1416" s="227"/>
      <c r="D1416" s="227"/>
      <c r="E1416" s="227"/>
      <c r="F1416" s="227"/>
      <c r="G1416" s="227"/>
      <c r="H1416" s="227"/>
      <c r="I1416" s="227"/>
      <c r="J1416" s="227"/>
      <c r="K1416" s="227"/>
      <c r="L1416" s="227"/>
      <c r="M1416" s="227"/>
      <c r="N1416" s="227"/>
      <c r="O1416" s="227"/>
      <c r="P1416" s="227"/>
      <c r="Q1416" s="232"/>
    </row>
    <row r="1417" spans="8:8" ht="43.5" customHeight="1">
      <c r="A1417" s="227"/>
      <c r="B1417" s="227"/>
      <c r="C1417" s="227"/>
      <c r="D1417" s="227"/>
      <c r="E1417" s="227"/>
      <c r="F1417" s="227"/>
      <c r="G1417" s="227"/>
      <c r="H1417" s="227"/>
      <c r="I1417" s="227"/>
      <c r="J1417" s="227"/>
      <c r="K1417" s="227"/>
      <c r="L1417" s="227"/>
      <c r="M1417" s="227"/>
      <c r="N1417" s="227"/>
      <c r="O1417" s="227"/>
      <c r="P1417" s="227"/>
      <c r="Q1417" s="232"/>
    </row>
    <row r="1418" spans="8:8" ht="43.5" customHeight="1">
      <c r="A1418" s="227"/>
      <c r="B1418" s="227"/>
      <c r="C1418" s="227"/>
      <c r="D1418" s="227"/>
      <c r="E1418" s="227"/>
      <c r="F1418" s="227"/>
      <c r="G1418" s="227"/>
      <c r="H1418" s="227"/>
      <c r="I1418" s="227"/>
      <c r="J1418" s="227"/>
      <c r="K1418" s="227"/>
      <c r="L1418" s="227"/>
      <c r="M1418" s="227"/>
      <c r="N1418" s="227"/>
      <c r="O1418" s="227"/>
      <c r="P1418" s="227"/>
      <c r="Q1418" s="232"/>
    </row>
    <row r="1419" spans="8:8" ht="43.5" customHeight="1">
      <c r="A1419" s="227"/>
      <c r="B1419" s="227"/>
      <c r="C1419" s="227"/>
      <c r="D1419" s="227"/>
      <c r="E1419" s="227"/>
      <c r="F1419" s="227"/>
      <c r="G1419" s="227"/>
      <c r="H1419" s="227"/>
      <c r="I1419" s="227"/>
      <c r="J1419" s="227"/>
      <c r="K1419" s="227"/>
      <c r="L1419" s="227"/>
      <c r="M1419" s="227"/>
      <c r="N1419" s="227"/>
      <c r="O1419" s="227"/>
      <c r="P1419" s="227"/>
      <c r="Q1419" s="232"/>
    </row>
    <row r="1420" spans="8:8" ht="43.5" customHeight="1">
      <c r="A1420" s="227"/>
      <c r="B1420" s="227"/>
      <c r="C1420" s="227"/>
      <c r="D1420" s="227"/>
      <c r="E1420" s="227"/>
      <c r="F1420" s="227"/>
      <c r="G1420" s="227"/>
      <c r="H1420" s="227"/>
      <c r="I1420" s="227"/>
      <c r="J1420" s="227"/>
      <c r="K1420" s="227"/>
      <c r="L1420" s="227"/>
      <c r="M1420" s="227"/>
      <c r="N1420" s="227"/>
      <c r="O1420" s="227"/>
      <c r="P1420" s="227"/>
      <c r="Q1420" s="232"/>
    </row>
    <row r="1421" spans="8:8" ht="43.5" customHeight="1">
      <c r="A1421" s="227"/>
      <c r="B1421" s="227"/>
      <c r="C1421" s="227"/>
      <c r="D1421" s="227"/>
      <c r="E1421" s="227"/>
      <c r="F1421" s="227"/>
      <c r="G1421" s="227"/>
      <c r="H1421" s="227"/>
      <c r="I1421" s="227"/>
      <c r="J1421" s="227"/>
      <c r="K1421" s="227"/>
      <c r="L1421" s="227"/>
      <c r="M1421" s="227"/>
      <c r="N1421" s="227"/>
      <c r="O1421" s="227"/>
      <c r="P1421" s="227"/>
      <c r="Q1421" s="232"/>
    </row>
    <row r="1422" spans="8:8" ht="43.5" customHeight="1">
      <c r="A1422" s="227"/>
      <c r="B1422" s="227"/>
      <c r="C1422" s="227"/>
      <c r="D1422" s="227"/>
      <c r="E1422" s="227"/>
      <c r="F1422" s="227"/>
      <c r="G1422" s="227"/>
      <c r="H1422" s="227"/>
      <c r="I1422" s="227"/>
      <c r="J1422" s="227"/>
      <c r="K1422" s="227"/>
      <c r="L1422" s="227"/>
      <c r="M1422" s="227"/>
      <c r="N1422" s="227"/>
      <c r="O1422" s="227"/>
      <c r="P1422" s="227"/>
      <c r="Q1422" s="232"/>
    </row>
    <row r="1423" spans="8:8" ht="43.5" customHeight="1">
      <c r="A1423" s="227"/>
      <c r="B1423" s="227"/>
      <c r="C1423" s="227"/>
      <c r="D1423" s="227"/>
      <c r="E1423" s="227"/>
      <c r="F1423" s="227"/>
      <c r="G1423" s="227"/>
      <c r="H1423" s="227"/>
      <c r="I1423" s="227"/>
      <c r="J1423" s="227"/>
      <c r="K1423" s="227"/>
      <c r="L1423" s="227"/>
      <c r="M1423" s="227"/>
      <c r="N1423" s="227"/>
      <c r="O1423" s="227"/>
      <c r="P1423" s="227"/>
      <c r="Q1423" s="232"/>
    </row>
    <row r="1424" spans="8:8" ht="43.5" customHeight="1">
      <c r="A1424" s="227"/>
      <c r="B1424" s="227"/>
      <c r="C1424" s="227"/>
      <c r="D1424" s="227"/>
      <c r="E1424" s="227"/>
      <c r="F1424" s="227"/>
      <c r="G1424" s="227"/>
      <c r="H1424" s="227"/>
      <c r="I1424" s="227"/>
      <c r="J1424" s="227"/>
      <c r="K1424" s="227"/>
      <c r="L1424" s="227"/>
      <c r="M1424" s="227"/>
      <c r="N1424" s="227"/>
      <c r="O1424" s="227"/>
      <c r="P1424" s="227"/>
      <c r="Q1424" s="232"/>
    </row>
    <row r="1425" spans="8:8" ht="43.5" customHeight="1">
      <c r="A1425" s="227"/>
      <c r="B1425" s="227"/>
      <c r="C1425" s="227"/>
      <c r="D1425" s="227"/>
      <c r="E1425" s="227"/>
      <c r="F1425" s="227"/>
      <c r="G1425" s="227"/>
      <c r="H1425" s="227"/>
      <c r="I1425" s="227"/>
      <c r="J1425" s="227"/>
      <c r="K1425" s="227"/>
      <c r="L1425" s="227"/>
      <c r="M1425" s="227"/>
      <c r="N1425" s="227"/>
      <c r="O1425" s="227"/>
      <c r="P1425" s="227"/>
      <c r="Q1425" s="232"/>
    </row>
    <row r="1426" spans="8:8" ht="43.5" customHeight="1">
      <c r="A1426" s="227"/>
      <c r="B1426" s="227"/>
      <c r="C1426" s="227"/>
      <c r="D1426" s="227"/>
      <c r="E1426" s="227"/>
      <c r="F1426" s="227"/>
      <c r="G1426" s="227"/>
      <c r="H1426" s="227"/>
      <c r="I1426" s="227"/>
      <c r="J1426" s="227"/>
      <c r="K1426" s="227"/>
      <c r="L1426" s="227"/>
      <c r="M1426" s="227"/>
      <c r="N1426" s="227"/>
      <c r="O1426" s="227"/>
      <c r="P1426" s="227"/>
      <c r="Q1426" s="232"/>
    </row>
    <row r="1427" spans="8:8" ht="43.5" customHeight="1">
      <c r="A1427" s="227"/>
      <c r="B1427" s="227"/>
      <c r="C1427" s="227"/>
      <c r="D1427" s="227"/>
      <c r="E1427" s="227"/>
      <c r="F1427" s="227"/>
      <c r="G1427" s="227"/>
      <c r="H1427" s="227"/>
      <c r="I1427" s="227"/>
      <c r="J1427" s="227"/>
      <c r="K1427" s="227"/>
      <c r="L1427" s="227"/>
      <c r="M1427" s="227"/>
      <c r="N1427" s="227"/>
      <c r="O1427" s="227"/>
      <c r="P1427" s="227"/>
      <c r="Q1427" s="232"/>
    </row>
    <row r="1428" spans="8:8" ht="43.5" customHeight="1">
      <c r="A1428" s="227"/>
      <c r="B1428" s="227"/>
      <c r="C1428" s="227"/>
      <c r="D1428" s="227"/>
      <c r="E1428" s="227"/>
      <c r="F1428" s="227"/>
      <c r="G1428" s="227"/>
      <c r="H1428" s="227"/>
      <c r="I1428" s="227"/>
      <c r="J1428" s="227"/>
      <c r="K1428" s="227"/>
      <c r="L1428" s="227"/>
      <c r="M1428" s="227"/>
      <c r="N1428" s="227"/>
      <c r="O1428" s="227"/>
      <c r="P1428" s="227"/>
      <c r="Q1428" s="232"/>
    </row>
    <row r="1429" spans="8:8" ht="43.5" customHeight="1">
      <c r="A1429" s="227"/>
      <c r="B1429" s="227"/>
      <c r="C1429" s="227"/>
      <c r="D1429" s="227"/>
      <c r="E1429" s="227"/>
      <c r="F1429" s="227"/>
      <c r="G1429" s="227"/>
      <c r="H1429" s="227"/>
      <c r="I1429" s="227"/>
      <c r="J1429" s="227"/>
      <c r="K1429" s="227"/>
      <c r="L1429" s="227"/>
      <c r="M1429" s="227"/>
      <c r="N1429" s="227"/>
      <c r="O1429" s="227"/>
      <c r="P1429" s="227"/>
      <c r="Q1429" s="232"/>
    </row>
    <row r="1430" spans="8:8" ht="43.5" customHeight="1">
      <c r="A1430" s="227"/>
      <c r="B1430" s="227"/>
      <c r="C1430" s="227"/>
      <c r="D1430" s="227"/>
      <c r="E1430" s="227"/>
      <c r="F1430" s="227"/>
      <c r="G1430" s="227"/>
      <c r="H1430" s="227"/>
      <c r="I1430" s="227"/>
      <c r="J1430" s="227"/>
      <c r="K1430" s="227"/>
      <c r="L1430" s="227"/>
      <c r="M1430" s="227"/>
      <c r="N1430" s="227"/>
      <c r="O1430" s="227"/>
      <c r="P1430" s="227"/>
      <c r="Q1430" s="232"/>
    </row>
    <row r="1431" spans="8:8" ht="43.5" customHeight="1">
      <c r="A1431" s="227"/>
      <c r="B1431" s="227"/>
      <c r="C1431" s="227"/>
      <c r="D1431" s="227"/>
      <c r="E1431" s="227"/>
      <c r="F1431" s="227"/>
      <c r="G1431" s="227"/>
      <c r="H1431" s="227"/>
      <c r="I1431" s="227"/>
      <c r="J1431" s="227"/>
      <c r="K1431" s="227"/>
      <c r="L1431" s="227"/>
      <c r="M1431" s="227"/>
      <c r="N1431" s="227"/>
      <c r="O1431" s="227"/>
      <c r="P1431" s="227"/>
      <c r="Q1431" s="232"/>
    </row>
    <row r="1432" spans="8:8" ht="43.5" customHeight="1">
      <c r="A1432" s="227"/>
      <c r="B1432" s="227"/>
      <c r="C1432" s="227"/>
      <c r="D1432" s="227"/>
      <c r="E1432" s="227"/>
      <c r="F1432" s="227"/>
      <c r="G1432" s="227"/>
      <c r="H1432" s="227"/>
      <c r="I1432" s="227"/>
      <c r="J1432" s="227"/>
      <c r="K1432" s="227"/>
      <c r="L1432" s="227"/>
      <c r="M1432" s="227"/>
      <c r="N1432" s="227"/>
      <c r="O1432" s="227"/>
      <c r="P1432" s="227"/>
      <c r="Q1432" s="232"/>
    </row>
    <row r="1433" spans="8:8" ht="43.5" customHeight="1">
      <c r="A1433" s="227"/>
      <c r="B1433" s="227"/>
      <c r="C1433" s="227"/>
      <c r="D1433" s="227"/>
      <c r="E1433" s="227"/>
      <c r="F1433" s="227"/>
      <c r="G1433" s="227"/>
      <c r="H1433" s="227"/>
      <c r="I1433" s="227"/>
      <c r="J1433" s="227"/>
      <c r="K1433" s="227"/>
      <c r="L1433" s="227"/>
      <c r="M1433" s="227"/>
      <c r="N1433" s="227"/>
      <c r="O1433" s="227"/>
      <c r="P1433" s="227"/>
      <c r="Q1433" s="232"/>
    </row>
    <row r="1434" spans="8:8" ht="43.5" customHeight="1">
      <c r="A1434" s="227"/>
      <c r="B1434" s="227"/>
      <c r="C1434" s="227"/>
      <c r="D1434" s="227"/>
      <c r="E1434" s="227"/>
      <c r="F1434" s="227"/>
      <c r="G1434" s="227"/>
      <c r="H1434" s="227"/>
      <c r="I1434" s="227"/>
      <c r="J1434" s="227"/>
      <c r="K1434" s="227"/>
      <c r="L1434" s="227"/>
      <c r="M1434" s="227"/>
      <c r="N1434" s="227"/>
      <c r="O1434" s="227"/>
      <c r="P1434" s="227"/>
      <c r="Q1434" s="232"/>
    </row>
    <row r="1435" spans="8:8" ht="43.5" customHeight="1">
      <c r="A1435" s="227"/>
      <c r="B1435" s="227"/>
      <c r="C1435" s="227"/>
      <c r="D1435" s="227"/>
      <c r="E1435" s="227"/>
      <c r="F1435" s="227"/>
      <c r="G1435" s="227"/>
      <c r="H1435" s="227"/>
      <c r="I1435" s="227"/>
      <c r="J1435" s="227"/>
      <c r="K1435" s="227"/>
      <c r="L1435" s="227"/>
      <c r="M1435" s="227"/>
      <c r="N1435" s="227"/>
      <c r="O1435" s="227"/>
      <c r="P1435" s="227"/>
      <c r="Q1435" s="232"/>
    </row>
    <row r="1436" spans="8:8" ht="43.5" customHeight="1">
      <c r="A1436" s="227"/>
      <c r="B1436" s="227"/>
      <c r="C1436" s="227"/>
      <c r="D1436" s="227"/>
      <c r="E1436" s="227"/>
      <c r="F1436" s="227"/>
      <c r="G1436" s="227"/>
      <c r="H1436" s="227"/>
      <c r="I1436" s="227"/>
      <c r="J1436" s="227"/>
      <c r="K1436" s="227"/>
      <c r="L1436" s="227"/>
      <c r="M1436" s="227"/>
      <c r="N1436" s="227"/>
      <c r="O1436" s="227"/>
      <c r="P1436" s="227"/>
      <c r="Q1436" s="232"/>
    </row>
    <row r="1437" spans="8:8" ht="43.5" customHeight="1">
      <c r="A1437" s="227"/>
      <c r="B1437" s="227"/>
      <c r="C1437" s="227"/>
      <c r="D1437" s="227"/>
      <c r="E1437" s="227"/>
      <c r="F1437" s="227"/>
      <c r="G1437" s="227"/>
      <c r="H1437" s="227"/>
      <c r="I1437" s="227"/>
      <c r="J1437" s="227"/>
      <c r="K1437" s="227"/>
      <c r="L1437" s="227"/>
      <c r="M1437" s="227"/>
      <c r="N1437" s="227"/>
      <c r="O1437" s="227"/>
      <c r="P1437" s="227"/>
      <c r="Q1437" s="232"/>
    </row>
    <row r="1438" spans="8:8" ht="43.5" customHeight="1">
      <c r="A1438" s="227"/>
      <c r="B1438" s="227"/>
      <c r="C1438" s="227"/>
      <c r="D1438" s="227"/>
      <c r="E1438" s="227"/>
      <c r="F1438" s="227"/>
      <c r="G1438" s="227"/>
      <c r="H1438" s="227"/>
      <c r="I1438" s="227"/>
      <c r="J1438" s="227"/>
      <c r="K1438" s="227"/>
      <c r="L1438" s="227"/>
      <c r="M1438" s="227"/>
      <c r="N1438" s="227"/>
      <c r="O1438" s="227"/>
      <c r="P1438" s="227"/>
      <c r="Q1438" s="232"/>
    </row>
    <row r="1439" spans="8:8" ht="43.5" customHeight="1">
      <c r="A1439" s="227"/>
      <c r="B1439" s="227"/>
      <c r="C1439" s="227"/>
      <c r="D1439" s="227"/>
      <c r="E1439" s="227"/>
      <c r="F1439" s="227"/>
      <c r="G1439" s="227"/>
      <c r="H1439" s="227"/>
      <c r="I1439" s="227"/>
      <c r="J1439" s="227"/>
      <c r="K1439" s="227"/>
      <c r="L1439" s="227"/>
      <c r="M1439" s="227"/>
      <c r="N1439" s="227"/>
      <c r="O1439" s="227"/>
      <c r="P1439" s="227"/>
      <c r="Q1439" s="232"/>
    </row>
    <row r="1440" spans="8:8" ht="43.5" customHeight="1">
      <c r="A1440" s="227"/>
      <c r="B1440" s="227"/>
      <c r="C1440" s="227"/>
      <c r="D1440" s="227"/>
      <c r="E1440" s="227"/>
      <c r="F1440" s="227"/>
      <c r="G1440" s="227"/>
      <c r="H1440" s="227"/>
      <c r="I1440" s="227"/>
      <c r="J1440" s="227"/>
      <c r="K1440" s="227"/>
      <c r="L1440" s="227"/>
      <c r="M1440" s="227"/>
      <c r="N1440" s="227"/>
      <c r="O1440" s="227"/>
      <c r="P1440" s="227"/>
      <c r="Q1440" s="232"/>
    </row>
    <row r="1441" spans="8:8" ht="43.5" customHeight="1">
      <c r="A1441" s="227"/>
      <c r="B1441" s="227"/>
      <c r="C1441" s="227"/>
      <c r="D1441" s="227"/>
      <c r="E1441" s="227"/>
      <c r="F1441" s="227"/>
      <c r="G1441" s="227"/>
      <c r="H1441" s="227"/>
      <c r="I1441" s="227"/>
      <c r="J1441" s="227"/>
      <c r="K1441" s="227"/>
      <c r="L1441" s="227"/>
      <c r="M1441" s="227"/>
      <c r="N1441" s="227"/>
      <c r="O1441" s="227"/>
      <c r="P1441" s="227"/>
      <c r="Q1441" s="232"/>
    </row>
    <row r="1442" spans="8:8" ht="43.5" customHeight="1">
      <c r="A1442" s="227"/>
      <c r="B1442" s="227"/>
      <c r="C1442" s="227"/>
      <c r="D1442" s="227"/>
      <c r="E1442" s="227"/>
      <c r="F1442" s="227"/>
      <c r="G1442" s="227"/>
      <c r="H1442" s="227"/>
      <c r="I1442" s="227"/>
      <c r="J1442" s="227"/>
      <c r="K1442" s="227"/>
      <c r="L1442" s="227"/>
      <c r="M1442" s="227"/>
      <c r="N1442" s="227"/>
      <c r="O1442" s="227"/>
      <c r="P1442" s="227"/>
      <c r="Q1442" s="232"/>
    </row>
    <row r="1443" spans="8:8" ht="43.5" customHeight="1">
      <c r="A1443" s="227"/>
      <c r="B1443" s="227"/>
      <c r="C1443" s="227"/>
      <c r="D1443" s="227"/>
      <c r="E1443" s="227"/>
      <c r="F1443" s="227"/>
      <c r="G1443" s="227"/>
      <c r="H1443" s="227"/>
      <c r="I1443" s="227"/>
      <c r="J1443" s="227"/>
      <c r="K1443" s="227"/>
      <c r="L1443" s="227"/>
      <c r="M1443" s="227"/>
      <c r="N1443" s="227"/>
      <c r="O1443" s="227"/>
      <c r="P1443" s="227"/>
      <c r="Q1443" s="232"/>
    </row>
    <row r="1444" spans="8:8" ht="43.5" customHeight="1">
      <c r="A1444" s="227"/>
      <c r="B1444" s="227"/>
      <c r="C1444" s="227"/>
      <c r="D1444" s="227"/>
      <c r="E1444" s="227"/>
      <c r="F1444" s="227"/>
      <c r="G1444" s="227"/>
      <c r="H1444" s="227"/>
      <c r="I1444" s="227"/>
      <c r="J1444" s="227"/>
      <c r="K1444" s="227"/>
      <c r="L1444" s="227"/>
      <c r="M1444" s="227"/>
      <c r="N1444" s="227"/>
      <c r="O1444" s="227"/>
      <c r="P1444" s="227"/>
      <c r="Q1444" s="232"/>
    </row>
    <row r="1445" spans="8:8" ht="43.5" customHeight="1">
      <c r="A1445" s="227"/>
      <c r="B1445" s="227"/>
      <c r="C1445" s="227"/>
      <c r="D1445" s="227"/>
      <c r="E1445" s="227"/>
      <c r="F1445" s="227"/>
      <c r="G1445" s="227"/>
      <c r="H1445" s="227"/>
      <c r="I1445" s="227"/>
      <c r="J1445" s="227"/>
      <c r="K1445" s="227"/>
      <c r="L1445" s="227"/>
      <c r="M1445" s="227"/>
      <c r="N1445" s="227"/>
      <c r="O1445" s="227"/>
      <c r="P1445" s="227"/>
      <c r="Q1445" s="232"/>
    </row>
    <row r="1446" spans="8:8" ht="43.5" customHeight="1">
      <c r="A1446" s="227"/>
      <c r="B1446" s="227"/>
      <c r="C1446" s="227"/>
      <c r="D1446" s="227"/>
      <c r="E1446" s="227"/>
      <c r="F1446" s="227"/>
      <c r="G1446" s="227"/>
      <c r="H1446" s="227"/>
      <c r="I1446" s="227"/>
      <c r="J1446" s="227"/>
      <c r="K1446" s="227"/>
      <c r="L1446" s="227"/>
      <c r="M1446" s="227"/>
      <c r="N1446" s="227"/>
      <c r="O1446" s="227"/>
      <c r="P1446" s="227"/>
      <c r="Q1446" s="232"/>
    </row>
    <row r="1447" spans="8:8" ht="43.5" customHeight="1">
      <c r="A1447" s="227"/>
      <c r="B1447" s="227"/>
      <c r="C1447" s="227"/>
      <c r="D1447" s="227"/>
      <c r="E1447" s="227"/>
      <c r="F1447" s="227"/>
      <c r="G1447" s="227"/>
      <c r="H1447" s="227"/>
      <c r="I1447" s="227"/>
      <c r="J1447" s="227"/>
      <c r="K1447" s="227"/>
      <c r="L1447" s="227"/>
      <c r="M1447" s="227"/>
      <c r="N1447" s="227"/>
      <c r="O1447" s="227"/>
      <c r="P1447" s="227"/>
      <c r="Q1447" s="232"/>
    </row>
    <row r="1448" spans="8:8" ht="43.5" customHeight="1">
      <c r="A1448" s="227"/>
      <c r="B1448" s="227"/>
      <c r="C1448" s="227"/>
      <c r="D1448" s="227"/>
      <c r="E1448" s="227"/>
      <c r="F1448" s="227"/>
      <c r="G1448" s="227"/>
      <c r="H1448" s="227"/>
      <c r="I1448" s="227"/>
      <c r="J1448" s="227"/>
      <c r="K1448" s="227"/>
      <c r="L1448" s="227"/>
      <c r="M1448" s="227"/>
      <c r="N1448" s="227"/>
      <c r="O1448" s="227"/>
      <c r="P1448" s="227"/>
      <c r="Q1448" s="232"/>
    </row>
    <row r="1449" spans="8:8" ht="43.5" customHeight="1">
      <c r="A1449" s="227"/>
      <c r="B1449" s="227"/>
      <c r="C1449" s="227"/>
      <c r="D1449" s="227"/>
      <c r="E1449" s="227"/>
      <c r="F1449" s="227"/>
      <c r="G1449" s="227"/>
      <c r="H1449" s="227"/>
      <c r="I1449" s="227"/>
      <c r="J1449" s="227"/>
      <c r="K1449" s="227"/>
      <c r="L1449" s="227"/>
      <c r="M1449" s="227"/>
      <c r="N1449" s="227"/>
      <c r="O1449" s="227"/>
      <c r="P1449" s="227"/>
      <c r="Q1449" s="232"/>
    </row>
    <row r="1450" spans="8:8" ht="43.5" customHeight="1">
      <c r="A1450" s="227"/>
      <c r="B1450" s="227"/>
      <c r="C1450" s="227"/>
      <c r="D1450" s="227"/>
      <c r="E1450" s="227"/>
      <c r="F1450" s="227"/>
      <c r="G1450" s="227"/>
      <c r="H1450" s="227"/>
      <c r="I1450" s="227"/>
      <c r="J1450" s="227"/>
      <c r="K1450" s="227"/>
      <c r="L1450" s="227"/>
      <c r="M1450" s="227"/>
      <c r="N1450" s="227"/>
      <c r="O1450" s="227"/>
      <c r="P1450" s="227"/>
      <c r="Q1450" s="232"/>
    </row>
    <row r="1451" spans="8:8" ht="43.5" customHeight="1">
      <c r="A1451" s="227"/>
      <c r="B1451" s="227"/>
      <c r="C1451" s="227"/>
      <c r="D1451" s="227"/>
      <c r="E1451" s="227"/>
      <c r="F1451" s="227"/>
      <c r="G1451" s="227"/>
      <c r="H1451" s="227"/>
      <c r="I1451" s="227"/>
      <c r="J1451" s="227"/>
      <c r="K1451" s="227"/>
      <c r="L1451" s="227"/>
      <c r="M1451" s="227"/>
      <c r="N1451" s="227"/>
      <c r="O1451" s="227"/>
      <c r="P1451" s="227"/>
      <c r="Q1451" s="232"/>
    </row>
    <row r="1452" spans="8:8" ht="43.5" customHeight="1">
      <c r="A1452" s="227"/>
      <c r="B1452" s="227"/>
      <c r="C1452" s="227"/>
      <c r="D1452" s="227"/>
      <c r="E1452" s="227"/>
      <c r="F1452" s="227"/>
      <c r="G1452" s="227"/>
      <c r="H1452" s="227"/>
      <c r="I1452" s="227"/>
      <c r="J1452" s="227"/>
      <c r="K1452" s="227"/>
      <c r="L1452" s="227"/>
      <c r="M1452" s="227"/>
      <c r="N1452" s="227"/>
      <c r="O1452" s="227"/>
      <c r="P1452" s="227"/>
      <c r="Q1452" s="232"/>
    </row>
    <row r="1453" spans="8:8" ht="43.5" customHeight="1">
      <c r="A1453" s="227"/>
      <c r="B1453" s="227"/>
      <c r="C1453" s="227"/>
      <c r="D1453" s="227"/>
      <c r="E1453" s="227"/>
      <c r="F1453" s="227"/>
      <c r="G1453" s="227"/>
      <c r="H1453" s="227"/>
      <c r="I1453" s="227"/>
      <c r="J1453" s="227"/>
      <c r="K1453" s="227"/>
      <c r="L1453" s="227"/>
      <c r="M1453" s="227"/>
      <c r="N1453" s="227"/>
      <c r="O1453" s="227"/>
      <c r="P1453" s="227"/>
      <c r="Q1453" s="232"/>
    </row>
    <row r="1454" spans="8:8" ht="43.5" customHeight="1">
      <c r="A1454" s="227"/>
      <c r="B1454" s="227"/>
      <c r="C1454" s="227"/>
      <c r="D1454" s="227"/>
      <c r="E1454" s="227"/>
      <c r="F1454" s="227"/>
      <c r="G1454" s="227"/>
      <c r="H1454" s="227"/>
      <c r="I1454" s="227"/>
      <c r="J1454" s="227"/>
      <c r="K1454" s="227"/>
      <c r="L1454" s="227"/>
      <c r="M1454" s="227"/>
      <c r="N1454" s="227"/>
      <c r="O1454" s="227"/>
      <c r="P1454" s="227"/>
      <c r="Q1454" s="232"/>
    </row>
    <row r="1455" spans="8:8" ht="43.5" customHeight="1">
      <c r="A1455" s="227"/>
      <c r="B1455" s="227"/>
      <c r="C1455" s="227"/>
      <c r="D1455" s="227"/>
      <c r="E1455" s="227"/>
      <c r="F1455" s="227"/>
      <c r="G1455" s="227"/>
      <c r="H1455" s="227"/>
      <c r="I1455" s="227"/>
      <c r="J1455" s="227"/>
      <c r="K1455" s="227"/>
      <c r="L1455" s="227"/>
      <c r="M1455" s="227"/>
      <c r="N1455" s="227"/>
      <c r="O1455" s="227"/>
      <c r="P1455" s="227"/>
      <c r="Q1455" s="232"/>
    </row>
    <row r="1456" spans="8:8" ht="43.5" customHeight="1">
      <c r="A1456" s="227"/>
      <c r="B1456" s="227"/>
      <c r="C1456" s="227"/>
      <c r="D1456" s="227"/>
      <c r="E1456" s="227"/>
      <c r="F1456" s="227"/>
      <c r="G1456" s="227"/>
      <c r="H1456" s="227"/>
      <c r="I1456" s="227"/>
      <c r="J1456" s="227"/>
      <c r="K1456" s="227"/>
      <c r="L1456" s="227"/>
      <c r="M1456" s="227"/>
      <c r="N1456" s="227"/>
      <c r="O1456" s="227"/>
      <c r="P1456" s="227"/>
      <c r="Q1456" s="232"/>
    </row>
    <row r="1457" spans="8:8" ht="43.5" customHeight="1">
      <c r="A1457" s="227"/>
      <c r="B1457" s="227"/>
      <c r="C1457" s="227"/>
      <c r="D1457" s="227"/>
      <c r="E1457" s="227"/>
      <c r="F1457" s="227"/>
      <c r="G1457" s="227"/>
      <c r="H1457" s="227"/>
      <c r="I1457" s="227"/>
      <c r="J1457" s="227"/>
      <c r="K1457" s="227"/>
      <c r="L1457" s="227"/>
      <c r="M1457" s="227"/>
      <c r="N1457" s="227"/>
      <c r="O1457" s="227"/>
      <c r="P1457" s="227"/>
      <c r="Q1457" s="232"/>
    </row>
    <row r="1458" spans="8:8" ht="43.5" customHeight="1">
      <c r="A1458" s="227"/>
      <c r="B1458" s="227"/>
      <c r="C1458" s="227"/>
      <c r="D1458" s="227"/>
      <c r="E1458" s="227"/>
      <c r="F1458" s="227"/>
      <c r="G1458" s="227"/>
      <c r="H1458" s="227"/>
      <c r="I1458" s="227"/>
      <c r="J1458" s="227"/>
      <c r="K1458" s="227"/>
      <c r="L1458" s="227"/>
      <c r="M1458" s="227"/>
      <c r="N1458" s="227"/>
      <c r="O1458" s="227"/>
      <c r="P1458" s="227"/>
      <c r="Q1458" s="232"/>
    </row>
    <row r="1459" spans="8:8" ht="43.5" customHeight="1">
      <c r="A1459" s="227"/>
      <c r="B1459" s="227"/>
      <c r="C1459" s="227"/>
      <c r="D1459" s="227"/>
      <c r="E1459" s="227"/>
      <c r="F1459" s="227"/>
      <c r="G1459" s="227"/>
      <c r="H1459" s="227"/>
      <c r="I1459" s="227"/>
      <c r="J1459" s="227"/>
      <c r="K1459" s="227"/>
      <c r="L1459" s="227"/>
      <c r="M1459" s="227"/>
      <c r="N1459" s="227"/>
      <c r="O1459" s="227"/>
      <c r="P1459" s="227"/>
      <c r="Q1459" s="232"/>
    </row>
    <row r="1460" spans="8:8" ht="43.5" customHeight="1">
      <c r="A1460" s="227"/>
      <c r="B1460" s="227"/>
      <c r="C1460" s="227"/>
      <c r="D1460" s="227"/>
      <c r="E1460" s="227"/>
      <c r="F1460" s="227"/>
      <c r="G1460" s="227"/>
      <c r="H1460" s="227"/>
      <c r="I1460" s="227"/>
      <c r="J1460" s="227"/>
      <c r="K1460" s="227"/>
      <c r="L1460" s="227"/>
      <c r="M1460" s="227"/>
      <c r="N1460" s="227"/>
      <c r="O1460" s="227"/>
      <c r="P1460" s="227"/>
      <c r="Q1460" s="232"/>
    </row>
    <row r="1461" spans="8:8" ht="43.5" customHeight="1">
      <c r="A1461" s="227"/>
      <c r="B1461" s="227"/>
      <c r="C1461" s="227"/>
      <c r="D1461" s="227"/>
      <c r="E1461" s="227"/>
      <c r="F1461" s="227"/>
      <c r="G1461" s="227"/>
      <c r="H1461" s="227"/>
      <c r="I1461" s="227"/>
      <c r="J1461" s="227"/>
      <c r="K1461" s="227"/>
      <c r="L1461" s="227"/>
      <c r="M1461" s="227"/>
      <c r="N1461" s="227"/>
      <c r="O1461" s="227"/>
      <c r="P1461" s="227"/>
      <c r="Q1461" s="232"/>
    </row>
    <row r="1462" spans="8:8" ht="43.5" customHeight="1">
      <c r="A1462" s="227"/>
      <c r="B1462" s="227"/>
      <c r="C1462" s="227"/>
      <c r="D1462" s="227"/>
      <c r="E1462" s="227"/>
      <c r="F1462" s="227"/>
      <c r="G1462" s="227"/>
      <c r="H1462" s="227"/>
      <c r="I1462" s="227"/>
      <c r="J1462" s="227"/>
      <c r="K1462" s="227"/>
      <c r="L1462" s="227"/>
      <c r="M1462" s="227"/>
      <c r="N1462" s="227"/>
      <c r="O1462" s="227"/>
      <c r="P1462" s="227"/>
      <c r="Q1462" s="232"/>
    </row>
    <row r="1463" spans="8:8" ht="43.5" customHeight="1">
      <c r="A1463" s="227"/>
      <c r="B1463" s="227"/>
      <c r="C1463" s="227"/>
      <c r="D1463" s="227"/>
      <c r="E1463" s="227"/>
      <c r="F1463" s="227"/>
      <c r="G1463" s="227"/>
      <c r="H1463" s="227"/>
      <c r="I1463" s="227"/>
      <c r="J1463" s="227"/>
      <c r="K1463" s="227"/>
      <c r="L1463" s="227"/>
      <c r="M1463" s="227"/>
      <c r="N1463" s="227"/>
      <c r="O1463" s="227"/>
      <c r="P1463" s="227"/>
      <c r="Q1463" s="232"/>
    </row>
    <row r="1464" spans="8:8" ht="43.5" customHeight="1">
      <c r="A1464" s="227"/>
      <c r="B1464" s="227"/>
      <c r="C1464" s="227"/>
      <c r="D1464" s="227"/>
      <c r="E1464" s="227"/>
      <c r="F1464" s="227"/>
      <c r="G1464" s="227"/>
      <c r="H1464" s="227"/>
      <c r="I1464" s="227"/>
      <c r="J1464" s="227"/>
      <c r="K1464" s="227"/>
      <c r="L1464" s="227"/>
      <c r="M1464" s="227"/>
      <c r="N1464" s="227"/>
      <c r="O1464" s="227"/>
      <c r="P1464" s="227"/>
      <c r="Q1464" s="232"/>
    </row>
    <row r="1465" spans="8:8" ht="43.5" customHeight="1">
      <c r="A1465" s="227"/>
      <c r="B1465" s="227"/>
      <c r="C1465" s="227"/>
      <c r="D1465" s="227"/>
      <c r="E1465" s="227"/>
      <c r="F1465" s="227"/>
      <c r="G1465" s="227"/>
      <c r="H1465" s="227"/>
      <c r="I1465" s="227"/>
      <c r="J1465" s="227"/>
      <c r="K1465" s="227"/>
      <c r="L1465" s="227"/>
      <c r="M1465" s="227"/>
      <c r="N1465" s="227"/>
      <c r="O1465" s="227"/>
      <c r="P1465" s="227"/>
      <c r="Q1465" s="232"/>
    </row>
    <row r="1466" spans="8:8" ht="43.5" customHeight="1">
      <c r="A1466" s="227"/>
      <c r="B1466" s="227"/>
      <c r="C1466" s="227"/>
      <c r="D1466" s="227"/>
      <c r="E1466" s="227"/>
      <c r="F1466" s="227"/>
      <c r="G1466" s="227"/>
      <c r="H1466" s="227"/>
      <c r="I1466" s="227"/>
      <c r="J1466" s="227"/>
      <c r="K1466" s="227"/>
      <c r="L1466" s="227"/>
      <c r="M1466" s="227"/>
      <c r="N1466" s="227"/>
      <c r="O1466" s="227"/>
      <c r="P1466" s="227"/>
      <c r="Q1466" s="232"/>
    </row>
    <row r="1467" spans="8:8" ht="43.5" customHeight="1">
      <c r="A1467" s="227"/>
      <c r="B1467" s="227"/>
      <c r="C1467" s="227"/>
      <c r="D1467" s="227"/>
      <c r="E1467" s="227"/>
      <c r="F1467" s="227"/>
      <c r="G1467" s="227"/>
      <c r="H1467" s="227"/>
      <c r="I1467" s="227"/>
      <c r="J1467" s="227"/>
      <c r="K1467" s="227"/>
      <c r="L1467" s="227"/>
      <c r="M1467" s="227"/>
      <c r="N1467" s="227"/>
      <c r="O1467" s="227"/>
      <c r="P1467" s="227"/>
      <c r="Q1467" s="232"/>
    </row>
    <row r="1468" spans="8:8" ht="43.5" customHeight="1">
      <c r="A1468" s="227"/>
      <c r="B1468" s="227"/>
      <c r="C1468" s="227"/>
      <c r="D1468" s="227"/>
      <c r="E1468" s="227"/>
      <c r="F1468" s="227"/>
      <c r="G1468" s="227"/>
      <c r="H1468" s="227"/>
      <c r="I1468" s="227"/>
      <c r="J1468" s="227"/>
      <c r="K1468" s="227"/>
      <c r="L1468" s="227"/>
      <c r="M1468" s="227"/>
      <c r="N1468" s="227"/>
      <c r="O1468" s="227"/>
      <c r="P1468" s="227"/>
      <c r="Q1468" s="232"/>
    </row>
    <row r="1469" spans="8:8" ht="43.5" customHeight="1">
      <c r="A1469" s="227"/>
      <c r="B1469" s="227"/>
      <c r="C1469" s="227"/>
      <c r="D1469" s="227"/>
      <c r="E1469" s="227"/>
      <c r="F1469" s="227"/>
      <c r="G1469" s="227"/>
      <c r="H1469" s="227"/>
      <c r="I1469" s="227"/>
      <c r="J1469" s="227"/>
      <c r="K1469" s="227"/>
      <c r="L1469" s="227"/>
      <c r="M1469" s="227"/>
      <c r="N1469" s="227"/>
      <c r="O1469" s="227"/>
      <c r="P1469" s="227"/>
      <c r="Q1469" s="232"/>
    </row>
    <row r="1470" spans="8:8" ht="43.5" customHeight="1">
      <c r="A1470" s="227"/>
      <c r="B1470" s="227"/>
      <c r="C1470" s="227"/>
      <c r="D1470" s="227"/>
      <c r="E1470" s="227"/>
      <c r="F1470" s="227"/>
      <c r="G1470" s="227"/>
      <c r="H1470" s="227"/>
      <c r="I1470" s="227"/>
      <c r="J1470" s="227"/>
      <c r="K1470" s="227"/>
      <c r="L1470" s="227"/>
      <c r="M1470" s="227"/>
      <c r="N1470" s="227"/>
      <c r="O1470" s="227"/>
      <c r="P1470" s="227"/>
      <c r="Q1470" s="232"/>
    </row>
    <row r="1471" spans="8:8" ht="43.5" customHeight="1">
      <c r="A1471" s="227"/>
      <c r="B1471" s="227"/>
      <c r="C1471" s="227"/>
      <c r="D1471" s="227"/>
      <c r="E1471" s="227"/>
      <c r="F1471" s="227"/>
      <c r="G1471" s="227"/>
      <c r="H1471" s="227"/>
      <c r="I1471" s="227"/>
      <c r="J1471" s="227"/>
      <c r="K1471" s="227"/>
      <c r="L1471" s="227"/>
      <c r="M1471" s="227"/>
      <c r="N1471" s="227"/>
      <c r="O1471" s="227"/>
      <c r="P1471" s="227"/>
      <c r="Q1471" s="232"/>
    </row>
    <row r="1472" spans="8:8" ht="43.5" customHeight="1">
      <c r="A1472" s="227"/>
      <c r="B1472" s="227"/>
      <c r="C1472" s="227"/>
      <c r="D1472" s="227"/>
      <c r="E1472" s="227"/>
      <c r="F1472" s="227"/>
      <c r="G1472" s="227"/>
      <c r="H1472" s="227"/>
      <c r="I1472" s="227"/>
      <c r="J1472" s="227"/>
      <c r="K1472" s="227"/>
      <c r="L1472" s="227"/>
      <c r="M1472" s="227"/>
      <c r="N1472" s="227"/>
      <c r="O1472" s="227"/>
      <c r="P1472" s="227"/>
      <c r="Q1472" s="232"/>
    </row>
    <row r="1473" spans="8:8" ht="43.5" customHeight="1">
      <c r="A1473" s="227"/>
      <c r="B1473" s="227"/>
      <c r="C1473" s="227"/>
      <c r="D1473" s="227"/>
      <c r="E1473" s="227"/>
      <c r="F1473" s="227"/>
      <c r="G1473" s="227"/>
      <c r="H1473" s="227"/>
      <c r="I1473" s="227"/>
      <c r="J1473" s="227"/>
      <c r="K1473" s="227"/>
      <c r="L1473" s="227"/>
      <c r="M1473" s="227"/>
      <c r="N1473" s="227"/>
      <c r="O1473" s="227"/>
      <c r="P1473" s="227"/>
      <c r="Q1473" s="232"/>
    </row>
    <row r="1474" spans="8:8" ht="43.5" customHeight="1">
      <c r="A1474" s="227"/>
      <c r="B1474" s="227"/>
      <c r="C1474" s="227"/>
      <c r="D1474" s="227"/>
      <c r="E1474" s="227"/>
      <c r="F1474" s="227"/>
      <c r="G1474" s="227"/>
      <c r="H1474" s="227"/>
      <c r="I1474" s="227"/>
      <c r="J1474" s="227"/>
      <c r="K1474" s="227"/>
      <c r="L1474" s="227"/>
      <c r="M1474" s="227"/>
      <c r="N1474" s="227"/>
      <c r="O1474" s="227"/>
      <c r="P1474" s="227"/>
      <c r="Q1474" s="232"/>
    </row>
    <row r="1475" spans="8:8" ht="43.5" customHeight="1">
      <c r="A1475" s="227"/>
      <c r="B1475" s="227"/>
      <c r="C1475" s="227"/>
      <c r="D1475" s="227"/>
      <c r="E1475" s="227"/>
      <c r="F1475" s="227"/>
      <c r="G1475" s="227"/>
      <c r="H1475" s="227"/>
      <c r="I1475" s="227"/>
      <c r="J1475" s="227"/>
      <c r="K1475" s="227"/>
      <c r="L1475" s="227"/>
      <c r="M1475" s="227"/>
      <c r="N1475" s="227"/>
      <c r="O1475" s="227"/>
      <c r="P1475" s="227"/>
      <c r="Q1475" s="232"/>
    </row>
    <row r="1476" spans="8:8" ht="43.5" customHeight="1">
      <c r="A1476" s="227"/>
      <c r="B1476" s="227"/>
      <c r="C1476" s="227"/>
      <c r="D1476" s="227"/>
      <c r="E1476" s="227"/>
      <c r="F1476" s="227"/>
      <c r="G1476" s="227"/>
      <c r="H1476" s="227"/>
      <c r="I1476" s="227"/>
      <c r="J1476" s="227"/>
      <c r="K1476" s="227"/>
      <c r="L1476" s="227"/>
      <c r="M1476" s="227"/>
      <c r="N1476" s="227"/>
      <c r="O1476" s="227"/>
      <c r="P1476" s="227"/>
      <c r="Q1476" s="232"/>
    </row>
    <row r="1477" spans="8:8" ht="43.5" customHeight="1">
      <c r="A1477" s="227"/>
      <c r="B1477" s="227"/>
      <c r="C1477" s="227"/>
      <c r="D1477" s="227"/>
      <c r="E1477" s="227"/>
      <c r="F1477" s="227"/>
      <c r="G1477" s="227"/>
      <c r="H1477" s="227"/>
      <c r="I1477" s="227"/>
      <c r="J1477" s="227"/>
      <c r="K1477" s="227"/>
      <c r="L1477" s="227"/>
      <c r="M1477" s="227"/>
      <c r="N1477" s="227"/>
      <c r="O1477" s="227"/>
      <c r="P1477" s="227"/>
      <c r="Q1477" s="232"/>
    </row>
    <row r="1478" spans="8:8" ht="43.5" customHeight="1">
      <c r="A1478" s="227"/>
      <c r="B1478" s="227"/>
      <c r="C1478" s="227"/>
      <c r="D1478" s="227"/>
      <c r="E1478" s="227"/>
      <c r="F1478" s="227"/>
      <c r="G1478" s="227"/>
      <c r="H1478" s="227"/>
      <c r="I1478" s="227"/>
      <c r="J1478" s="227"/>
      <c r="K1478" s="227"/>
      <c r="L1478" s="227"/>
      <c r="M1478" s="227"/>
      <c r="N1478" s="227"/>
      <c r="O1478" s="227"/>
      <c r="P1478" s="227"/>
      <c r="Q1478" s="232"/>
    </row>
    <row r="1479" spans="8:8" ht="43.5" customHeight="1">
      <c r="A1479" s="227"/>
      <c r="B1479" s="227"/>
      <c r="C1479" s="227"/>
      <c r="D1479" s="227"/>
      <c r="E1479" s="227"/>
      <c r="F1479" s="227"/>
      <c r="G1479" s="227"/>
      <c r="H1479" s="227"/>
      <c r="I1479" s="227"/>
      <c r="J1479" s="227"/>
      <c r="K1479" s="227"/>
      <c r="L1479" s="227"/>
      <c r="M1479" s="227"/>
      <c r="N1479" s="227"/>
      <c r="O1479" s="227"/>
      <c r="P1479" s="227"/>
      <c r="Q1479" s="232"/>
    </row>
    <row r="1480" spans="8:8" ht="43.5" customHeight="1">
      <c r="A1480" s="227"/>
      <c r="B1480" s="227"/>
      <c r="C1480" s="227"/>
      <c r="D1480" s="227"/>
      <c r="E1480" s="227"/>
      <c r="F1480" s="227"/>
      <c r="G1480" s="227"/>
      <c r="H1480" s="227"/>
      <c r="I1480" s="227"/>
      <c r="J1480" s="227"/>
      <c r="K1480" s="227"/>
      <c r="L1480" s="227"/>
      <c r="M1480" s="227"/>
      <c r="N1480" s="227"/>
      <c r="O1480" s="227"/>
      <c r="P1480" s="227"/>
      <c r="Q1480" s="232"/>
    </row>
    <row r="1481" spans="8:8" ht="43.5" customHeight="1">
      <c r="A1481" s="227"/>
      <c r="B1481" s="227"/>
      <c r="C1481" s="227"/>
      <c r="D1481" s="227"/>
      <c r="E1481" s="227"/>
      <c r="F1481" s="227"/>
      <c r="G1481" s="227"/>
      <c r="H1481" s="227"/>
      <c r="I1481" s="227"/>
      <c r="J1481" s="227"/>
      <c r="K1481" s="227"/>
      <c r="L1481" s="227"/>
      <c r="M1481" s="227"/>
      <c r="N1481" s="227"/>
      <c r="O1481" s="227"/>
      <c r="P1481" s="227"/>
      <c r="Q1481" s="232"/>
    </row>
    <row r="1482" spans="8:8" ht="43.5" customHeight="1">
      <c r="A1482" s="227"/>
      <c r="B1482" s="227"/>
      <c r="C1482" s="227"/>
      <c r="D1482" s="227"/>
      <c r="E1482" s="227"/>
      <c r="F1482" s="227"/>
      <c r="G1482" s="227"/>
      <c r="H1482" s="227"/>
      <c r="I1482" s="227"/>
      <c r="J1482" s="227"/>
      <c r="K1482" s="227"/>
      <c r="L1482" s="227"/>
      <c r="M1482" s="227"/>
      <c r="N1482" s="227"/>
      <c r="O1482" s="227"/>
      <c r="P1482" s="227"/>
      <c r="Q1482" s="232"/>
    </row>
    <row r="1483" spans="8:8" ht="43.5" customHeight="1">
      <c r="A1483" s="227"/>
      <c r="B1483" s="227"/>
      <c r="C1483" s="227"/>
      <c r="D1483" s="227"/>
      <c r="E1483" s="227"/>
      <c r="F1483" s="227"/>
      <c r="G1483" s="227"/>
      <c r="H1483" s="227"/>
      <c r="I1483" s="227"/>
      <c r="J1483" s="227"/>
      <c r="K1483" s="227"/>
      <c r="L1483" s="227"/>
      <c r="M1483" s="227"/>
      <c r="N1483" s="227"/>
      <c r="O1483" s="227"/>
      <c r="P1483" s="227"/>
      <c r="Q1483" s="232"/>
    </row>
    <row r="1484" spans="8:8" ht="43.5" customHeight="1">
      <c r="A1484" s="227"/>
      <c r="B1484" s="227"/>
      <c r="C1484" s="227"/>
      <c r="D1484" s="227"/>
      <c r="E1484" s="227"/>
      <c r="F1484" s="227"/>
      <c r="G1484" s="227"/>
      <c r="H1484" s="227"/>
      <c r="I1484" s="227"/>
      <c r="J1484" s="227"/>
      <c r="K1484" s="227"/>
      <c r="L1484" s="227"/>
      <c r="M1484" s="227"/>
      <c r="N1484" s="227"/>
      <c r="O1484" s="227"/>
      <c r="P1484" s="227"/>
      <c r="Q1484" s="232"/>
    </row>
    <row r="1485" spans="8:8" ht="43.5" customHeight="1">
      <c r="A1485" s="227"/>
      <c r="B1485" s="227"/>
      <c r="C1485" s="227"/>
      <c r="D1485" s="227"/>
      <c r="E1485" s="227"/>
      <c r="F1485" s="227"/>
      <c r="G1485" s="227"/>
      <c r="H1485" s="227"/>
      <c r="I1485" s="227"/>
      <c r="J1485" s="227"/>
      <c r="K1485" s="227"/>
      <c r="L1485" s="227"/>
      <c r="M1485" s="227"/>
      <c r="N1485" s="227"/>
      <c r="O1485" s="227"/>
      <c r="P1485" s="227"/>
      <c r="Q1485" s="232"/>
    </row>
    <row r="1486" spans="8:8" ht="43.5" customHeight="1">
      <c r="A1486" s="227"/>
      <c r="B1486" s="227"/>
      <c r="C1486" s="227"/>
      <c r="D1486" s="227"/>
      <c r="E1486" s="227"/>
      <c r="F1486" s="227"/>
      <c r="G1486" s="227"/>
      <c r="H1486" s="227"/>
      <c r="I1486" s="227"/>
      <c r="J1486" s="227"/>
      <c r="K1486" s="227"/>
      <c r="L1486" s="227"/>
      <c r="M1486" s="227"/>
      <c r="N1486" s="227"/>
      <c r="O1486" s="227"/>
      <c r="P1486" s="227"/>
      <c r="Q1486" s="232"/>
    </row>
    <row r="1487" spans="8:8" ht="43.5" customHeight="1">
      <c r="A1487" s="227"/>
      <c r="B1487" s="227"/>
      <c r="C1487" s="227"/>
      <c r="D1487" s="227"/>
      <c r="E1487" s="227"/>
      <c r="F1487" s="227"/>
      <c r="G1487" s="227"/>
      <c r="H1487" s="227"/>
      <c r="I1487" s="227"/>
      <c r="J1487" s="227"/>
      <c r="K1487" s="227"/>
      <c r="L1487" s="227"/>
      <c r="M1487" s="227"/>
      <c r="N1487" s="227"/>
      <c r="O1487" s="227"/>
      <c r="P1487" s="227"/>
      <c r="Q1487" s="232"/>
    </row>
    <row r="1488" spans="8:8" ht="43.5" customHeight="1">
      <c r="A1488" s="227"/>
      <c r="B1488" s="227"/>
      <c r="C1488" s="227"/>
      <c r="D1488" s="227"/>
      <c r="E1488" s="227"/>
      <c r="F1488" s="227"/>
      <c r="G1488" s="227"/>
      <c r="H1488" s="227"/>
      <c r="I1488" s="227"/>
      <c r="J1488" s="227"/>
      <c r="K1488" s="227"/>
      <c r="L1488" s="227"/>
      <c r="M1488" s="227"/>
      <c r="N1488" s="227"/>
      <c r="O1488" s="227"/>
      <c r="P1488" s="227"/>
      <c r="Q1488" s="232"/>
    </row>
    <row r="1489" spans="8:8" ht="43.5" customHeight="1">
      <c r="A1489" s="227"/>
      <c r="B1489" s="227"/>
      <c r="C1489" s="227"/>
      <c r="D1489" s="227"/>
      <c r="E1489" s="227"/>
      <c r="F1489" s="227"/>
      <c r="G1489" s="227"/>
      <c r="H1489" s="227"/>
      <c r="I1489" s="227"/>
      <c r="J1489" s="227"/>
      <c r="K1489" s="227"/>
      <c r="L1489" s="227"/>
      <c r="M1489" s="227"/>
      <c r="N1489" s="227"/>
      <c r="O1489" s="227"/>
      <c r="P1489" s="227"/>
      <c r="Q1489" s="232"/>
    </row>
    <row r="1490" spans="8:8" ht="43.5" customHeight="1">
      <c r="A1490" s="227"/>
      <c r="B1490" s="227"/>
      <c r="C1490" s="227"/>
      <c r="D1490" s="227"/>
      <c r="E1490" s="227"/>
      <c r="F1490" s="227"/>
      <c r="G1490" s="227"/>
      <c r="H1490" s="227"/>
      <c r="I1490" s="227"/>
      <c r="J1490" s="227"/>
      <c r="K1490" s="227"/>
      <c r="L1490" s="227"/>
      <c r="M1490" s="227"/>
      <c r="N1490" s="227"/>
      <c r="O1490" s="227"/>
      <c r="P1490" s="227"/>
      <c r="Q1490" s="232"/>
    </row>
    <row r="1491" spans="8:8" ht="43.5" customHeight="1">
      <c r="A1491" s="227"/>
      <c r="B1491" s="227"/>
      <c r="C1491" s="227"/>
      <c r="D1491" s="227"/>
      <c r="E1491" s="227"/>
      <c r="F1491" s="227"/>
      <c r="G1491" s="227"/>
      <c r="H1491" s="227"/>
      <c r="I1491" s="227"/>
      <c r="J1491" s="227"/>
      <c r="K1491" s="227"/>
      <c r="L1491" s="227"/>
      <c r="M1491" s="227"/>
      <c r="N1491" s="227"/>
      <c r="O1491" s="227"/>
      <c r="P1491" s="227"/>
      <c r="Q1491" s="232"/>
    </row>
    <row r="1492" spans="8:8" ht="43.5" customHeight="1">
      <c r="A1492" s="227"/>
      <c r="B1492" s="227"/>
      <c r="C1492" s="227"/>
      <c r="D1492" s="227"/>
      <c r="E1492" s="227"/>
      <c r="F1492" s="227"/>
      <c r="G1492" s="227"/>
      <c r="H1492" s="227"/>
      <c r="I1492" s="227"/>
      <c r="J1492" s="227"/>
      <c r="K1492" s="227"/>
      <c r="L1492" s="227"/>
      <c r="M1492" s="227"/>
      <c r="N1492" s="227"/>
      <c r="O1492" s="227"/>
      <c r="P1492" s="227"/>
      <c r="Q1492" s="232"/>
    </row>
    <row r="1493" spans="8:8" ht="43.5" customHeight="1">
      <c r="A1493" s="227"/>
      <c r="B1493" s="227"/>
      <c r="C1493" s="227"/>
      <c r="D1493" s="227"/>
      <c r="E1493" s="227"/>
      <c r="F1493" s="227"/>
      <c r="G1493" s="227"/>
      <c r="H1493" s="227"/>
      <c r="I1493" s="227"/>
      <c r="J1493" s="227"/>
      <c r="K1493" s="227"/>
      <c r="L1493" s="227"/>
      <c r="M1493" s="227"/>
      <c r="N1493" s="227"/>
      <c r="O1493" s="227"/>
      <c r="P1493" s="227"/>
      <c r="Q1493" s="232"/>
    </row>
    <row r="1494" spans="8:8" ht="43.5" customHeight="1">
      <c r="A1494" s="227"/>
      <c r="B1494" s="227"/>
      <c r="C1494" s="227"/>
      <c r="D1494" s="227"/>
      <c r="E1494" s="227"/>
      <c r="F1494" s="227"/>
      <c r="G1494" s="227"/>
      <c r="H1494" s="227"/>
      <c r="I1494" s="227"/>
      <c r="J1494" s="227"/>
      <c r="K1494" s="227"/>
      <c r="L1494" s="227"/>
      <c r="M1494" s="227"/>
      <c r="N1494" s="227"/>
      <c r="O1494" s="227"/>
      <c r="P1494" s="227"/>
      <c r="Q1494" s="232"/>
    </row>
    <row r="1495" spans="8:8" ht="43.5" customHeight="1">
      <c r="A1495" s="227"/>
      <c r="B1495" s="97"/>
      <c r="C1495" s="97"/>
      <c r="D1495" s="97"/>
      <c r="E1495" s="97"/>
      <c r="F1495" s="97"/>
      <c r="G1495" s="97"/>
      <c r="H1495" s="97"/>
      <c r="I1495" s="97"/>
      <c r="J1495" s="97"/>
      <c r="K1495" s="97"/>
      <c r="L1495" s="97"/>
      <c r="M1495" s="172"/>
      <c r="N1495" s="227"/>
      <c r="O1495" s="227"/>
      <c r="P1495" s="227"/>
      <c r="Q1495" s="232"/>
    </row>
    <row r="1496" spans="8:8" ht="43.5" customHeight="1">
      <c r="A1496" s="227"/>
      <c r="B1496" s="97"/>
      <c r="C1496" s="97"/>
      <c r="D1496" s="97"/>
      <c r="E1496" s="97"/>
      <c r="F1496" s="97"/>
      <c r="G1496" s="97"/>
      <c r="H1496" s="97"/>
      <c r="I1496" s="97"/>
      <c r="J1496" s="97"/>
      <c r="K1496" s="97"/>
      <c r="L1496" s="97"/>
      <c r="M1496" s="172"/>
      <c r="N1496" s="227"/>
      <c r="O1496" s="227"/>
      <c r="P1496" s="227"/>
      <c r="Q1496" s="232"/>
    </row>
    <row r="1497" spans="8:8" ht="43.5" customHeight="1">
      <c r="A1497" s="227"/>
      <c r="B1497" s="97"/>
      <c r="C1497" s="97"/>
      <c r="D1497" s="97"/>
      <c r="E1497" s="97"/>
      <c r="F1497" s="97"/>
      <c r="G1497" s="97"/>
      <c r="H1497" s="97"/>
      <c r="I1497" s="97"/>
      <c r="J1497" s="97"/>
      <c r="K1497" s="97"/>
      <c r="L1497" s="97"/>
      <c r="M1497" s="172"/>
      <c r="N1497" s="227"/>
      <c r="O1497" s="227"/>
      <c r="P1497" s="227"/>
      <c r="Q1497" s="232"/>
    </row>
    <row r="1498" spans="8:8" ht="43.5" customHeight="1">
      <c r="A1498" s="227"/>
      <c r="B1498" s="97"/>
      <c r="C1498" s="97"/>
      <c r="D1498" s="97"/>
      <c r="E1498" s="97"/>
      <c r="F1498" s="97"/>
      <c r="G1498" s="97"/>
      <c r="H1498" s="97"/>
      <c r="I1498" s="97"/>
      <c r="J1498" s="97"/>
      <c r="K1498" s="97"/>
      <c r="L1498" s="97"/>
      <c r="M1498" s="172"/>
      <c r="N1498" s="97"/>
      <c r="O1498" s="97"/>
      <c r="P1498" s="97"/>
      <c r="Q1498" s="174"/>
    </row>
    <row r="1499" spans="8:8" ht="43.5" customHeight="1">
      <c r="A1499" s="227"/>
      <c r="B1499" s="97"/>
      <c r="C1499" s="97"/>
      <c r="D1499" s="97"/>
      <c r="E1499" s="97"/>
      <c r="F1499" s="97"/>
      <c r="G1499" s="97"/>
      <c r="H1499" s="97"/>
      <c r="I1499" s="97"/>
      <c r="J1499" s="97"/>
      <c r="K1499" s="97"/>
      <c r="L1499" s="97"/>
      <c r="M1499" s="172"/>
      <c r="N1499" s="97"/>
      <c r="O1499" s="97"/>
      <c r="P1499" s="97"/>
      <c r="Q1499" s="174"/>
    </row>
    <row r="1500" spans="8:8" ht="43.5" customHeight="1">
      <c r="A1500" s="227"/>
      <c r="B1500" s="97"/>
      <c r="C1500" s="97"/>
      <c r="D1500" s="97"/>
      <c r="E1500" s="97"/>
      <c r="F1500" s="97"/>
      <c r="G1500" s="97"/>
      <c r="H1500" s="97"/>
      <c r="I1500" s="97"/>
      <c r="J1500" s="97"/>
      <c r="K1500" s="97"/>
      <c r="L1500" s="97"/>
      <c r="M1500" s="172"/>
      <c r="N1500" s="97"/>
      <c r="O1500" s="97"/>
      <c r="P1500" s="97"/>
      <c r="Q1500" s="174"/>
    </row>
    <row r="1501" spans="8:8" ht="43.5" customHeight="1">
      <c r="A1501" s="227"/>
      <c r="B1501" s="97"/>
      <c r="C1501" s="97"/>
      <c r="D1501" s="97"/>
      <c r="E1501" s="97"/>
      <c r="F1501" s="97"/>
      <c r="G1501" s="97"/>
      <c r="H1501" s="97"/>
      <c r="I1501" s="97"/>
      <c r="J1501" s="97"/>
      <c r="K1501" s="97"/>
      <c r="L1501" s="97"/>
      <c r="M1501" s="172"/>
      <c r="N1501" s="97"/>
      <c r="O1501" s="97"/>
      <c r="P1501" s="97"/>
      <c r="Q1501" s="174"/>
    </row>
    <row r="1502" spans="8:8" ht="43.5" customHeight="1">
      <c r="A1502" s="227"/>
      <c r="B1502" s="97"/>
      <c r="C1502" s="97"/>
      <c r="D1502" s="97"/>
      <c r="E1502" s="97"/>
      <c r="F1502" s="97"/>
      <c r="G1502" s="97"/>
      <c r="H1502" s="97"/>
      <c r="I1502" s="97"/>
      <c r="J1502" s="97"/>
      <c r="K1502" s="97"/>
      <c r="L1502" s="97"/>
      <c r="M1502" s="172"/>
      <c r="N1502" s="97"/>
      <c r="O1502" s="97"/>
      <c r="P1502" s="97"/>
      <c r="Q1502" s="174"/>
    </row>
    <row r="1503" spans="8:8" ht="43.5" customHeight="1">
      <c r="A1503" s="227"/>
      <c r="B1503" s="97"/>
      <c r="C1503" s="97"/>
      <c r="D1503" s="97"/>
      <c r="E1503" s="97"/>
      <c r="F1503" s="97"/>
      <c r="G1503" s="97"/>
      <c r="H1503" s="97"/>
      <c r="I1503" s="97"/>
      <c r="J1503" s="97"/>
      <c r="K1503" s="97"/>
      <c r="L1503" s="97"/>
      <c r="M1503" s="172"/>
      <c r="N1503" s="97"/>
      <c r="O1503" s="97"/>
      <c r="P1503" s="97"/>
      <c r="Q1503" s="174"/>
    </row>
    <row r="1504" spans="8:8" ht="43.5" customHeight="1">
      <c r="A1504" s="227"/>
      <c r="B1504" s="97"/>
      <c r="C1504" s="97"/>
      <c r="D1504" s="97"/>
      <c r="E1504" s="97"/>
      <c r="F1504" s="97"/>
      <c r="G1504" s="97"/>
      <c r="H1504" s="97"/>
      <c r="I1504" s="97"/>
      <c r="J1504" s="97"/>
      <c r="K1504" s="97"/>
      <c r="L1504" s="97"/>
      <c r="M1504" s="172"/>
      <c r="N1504" s="97"/>
      <c r="O1504" s="97"/>
      <c r="P1504" s="97"/>
      <c r="Q1504" s="174"/>
    </row>
    <row r="1505" spans="8:8" ht="43.5" customHeight="1">
      <c r="A1505" s="227"/>
      <c r="B1505" s="97"/>
      <c r="C1505" s="97"/>
      <c r="D1505" s="97"/>
      <c r="E1505" s="97"/>
      <c r="F1505" s="97"/>
      <c r="G1505" s="97"/>
      <c r="H1505" s="97"/>
      <c r="I1505" s="97"/>
      <c r="J1505" s="97"/>
      <c r="K1505" s="97"/>
      <c r="L1505" s="97"/>
      <c r="M1505" s="172"/>
      <c r="N1505" s="97"/>
      <c r="O1505" s="97"/>
      <c r="P1505" s="97"/>
      <c r="Q1505" s="174"/>
    </row>
    <row r="1506" spans="8:8" ht="43.5" customHeight="1">
      <c r="A1506" s="227"/>
      <c r="B1506" s="189"/>
      <c r="C1506" s="189"/>
      <c r="D1506" s="189"/>
      <c r="E1506" s="189"/>
      <c r="F1506" s="189"/>
      <c r="G1506" s="189"/>
      <c r="H1506" s="189"/>
      <c r="I1506" s="189"/>
      <c r="J1506" s="189"/>
      <c r="K1506" s="189"/>
      <c r="L1506" s="189"/>
      <c r="M1506" s="189"/>
      <c r="N1506" s="97"/>
      <c r="O1506" s="97"/>
      <c r="P1506" s="97"/>
      <c r="Q1506" s="174"/>
    </row>
    <row r="1507" spans="8:8" ht="43.5" customHeight="1">
      <c r="A1507" s="227"/>
      <c r="B1507" s="189"/>
      <c r="C1507" s="189"/>
      <c r="D1507" s="189"/>
      <c r="E1507" s="189"/>
      <c r="F1507" s="189"/>
      <c r="G1507" s="189"/>
      <c r="H1507" s="189"/>
      <c r="I1507" s="189"/>
      <c r="J1507" s="189"/>
      <c r="K1507" s="189"/>
      <c r="L1507" s="189"/>
      <c r="M1507" s="189"/>
      <c r="N1507" s="97"/>
      <c r="O1507" s="97"/>
      <c r="P1507" s="97"/>
      <c r="Q1507" s="174"/>
    </row>
    <row r="1508" spans="8:8" ht="43.5" customHeight="1">
      <c r="A1508" s="227"/>
      <c r="B1508" s="189"/>
      <c r="C1508" s="189"/>
      <c r="D1508" s="189"/>
      <c r="E1508" s="189"/>
      <c r="F1508" s="189"/>
      <c r="G1508" s="189"/>
      <c r="H1508" s="189"/>
      <c r="I1508" s="189"/>
      <c r="J1508" s="189"/>
      <c r="K1508" s="189"/>
      <c r="L1508" s="189"/>
      <c r="M1508" s="189"/>
      <c r="N1508" s="97"/>
      <c r="O1508" s="97"/>
      <c r="P1508" s="97"/>
      <c r="Q1508" s="174"/>
    </row>
    <row r="1509" spans="8:8" ht="43.5" customHeight="1">
      <c r="A1509" s="227"/>
      <c r="B1509" s="189"/>
      <c r="C1509" s="189"/>
      <c r="D1509" s="189"/>
      <c r="E1509" s="189"/>
      <c r="F1509" s="189"/>
      <c r="G1509" s="189"/>
      <c r="H1509" s="189"/>
      <c r="I1509" s="189"/>
      <c r="J1509" s="189"/>
      <c r="K1509" s="189"/>
      <c r="L1509" s="189"/>
      <c r="M1509" s="189"/>
      <c r="N1509" s="189"/>
      <c r="O1509" s="189"/>
      <c r="P1509" s="189"/>
    </row>
    <row r="1510" spans="8:8" ht="43.5" customHeight="1">
      <c r="A1510" s="227"/>
      <c r="B1510" s="189"/>
      <c r="C1510" s="189"/>
      <c r="D1510" s="189"/>
      <c r="E1510" s="189"/>
      <c r="F1510" s="189"/>
      <c r="G1510" s="189"/>
      <c r="H1510" s="189"/>
      <c r="I1510" s="189"/>
      <c r="J1510" s="189"/>
      <c r="K1510" s="189"/>
      <c r="L1510" s="189"/>
      <c r="M1510" s="189"/>
      <c r="N1510" s="189"/>
      <c r="O1510" s="189"/>
      <c r="P1510" s="189"/>
    </row>
    <row r="1511" spans="8:8" ht="43.5" customHeight="1">
      <c r="A1511" s="227"/>
      <c r="B1511" s="189"/>
      <c r="C1511" s="189"/>
      <c r="D1511" s="189"/>
      <c r="E1511" s="189"/>
      <c r="F1511" s="189"/>
      <c r="G1511" s="189"/>
      <c r="H1511" s="189"/>
      <c r="I1511" s="189"/>
      <c r="J1511" s="189"/>
      <c r="K1511" s="189"/>
      <c r="L1511" s="189"/>
      <c r="M1511" s="189"/>
      <c r="N1511" s="189"/>
      <c r="O1511" s="189"/>
      <c r="P1511" s="189"/>
    </row>
    <row r="1512" spans="8:8" ht="43.5" customHeight="1">
      <c r="A1512" s="227"/>
      <c r="B1512" s="189"/>
      <c r="C1512" s="189"/>
      <c r="D1512" s="189"/>
      <c r="E1512" s="189"/>
      <c r="F1512" s="189"/>
      <c r="G1512" s="189"/>
      <c r="H1512" s="189"/>
      <c r="I1512" s="189"/>
      <c r="J1512" s="189"/>
      <c r="K1512" s="189"/>
      <c r="L1512" s="189"/>
      <c r="M1512" s="189"/>
      <c r="N1512" s="189"/>
      <c r="O1512" s="189"/>
      <c r="P1512" s="189"/>
    </row>
    <row r="1513" spans="8:8" ht="43.5" customHeight="1">
      <c r="A1513" s="227"/>
      <c r="B1513" s="189"/>
      <c r="C1513" s="189"/>
      <c r="D1513" s="189"/>
      <c r="E1513" s="189"/>
      <c r="F1513" s="189"/>
      <c r="G1513" s="189"/>
      <c r="H1513" s="189"/>
      <c r="I1513" s="189"/>
      <c r="J1513" s="189"/>
      <c r="K1513" s="189"/>
      <c r="L1513" s="189"/>
      <c r="M1513" s="189"/>
      <c r="N1513" s="189"/>
      <c r="O1513" s="189"/>
      <c r="P1513" s="189"/>
    </row>
    <row r="1514" spans="8:8" ht="43.5" customHeight="1">
      <c r="A1514" s="227"/>
      <c r="B1514" s="189"/>
      <c r="C1514" s="189"/>
      <c r="D1514" s="189"/>
      <c r="E1514" s="189"/>
      <c r="F1514" s="189"/>
      <c r="G1514" s="189"/>
      <c r="H1514" s="189"/>
      <c r="I1514" s="189"/>
      <c r="J1514" s="189"/>
      <c r="K1514" s="189"/>
      <c r="L1514" s="189"/>
      <c r="M1514" s="189"/>
      <c r="N1514" s="189"/>
      <c r="O1514" s="189"/>
      <c r="P1514" s="189"/>
    </row>
    <row r="1515" spans="8:8" ht="43.5" customHeight="1">
      <c r="A1515" s="227"/>
      <c r="B1515" s="189"/>
      <c r="C1515" s="189"/>
      <c r="D1515" s="189"/>
      <c r="E1515" s="189"/>
      <c r="F1515" s="189"/>
      <c r="G1515" s="189"/>
      <c r="H1515" s="189"/>
      <c r="I1515" s="189"/>
      <c r="J1515" s="189"/>
      <c r="K1515" s="189"/>
      <c r="L1515" s="189"/>
      <c r="M1515" s="189"/>
      <c r="N1515" s="189"/>
      <c r="O1515" s="189"/>
      <c r="P1515" s="189"/>
    </row>
    <row r="1516" spans="8:8" ht="43.5" customHeight="1">
      <c r="A1516" s="227"/>
      <c r="B1516" s="189"/>
      <c r="C1516" s="189"/>
      <c r="D1516" s="189"/>
      <c r="E1516" s="189"/>
      <c r="F1516" s="189"/>
      <c r="G1516" s="189"/>
      <c r="H1516" s="189"/>
      <c r="I1516" s="189"/>
      <c r="J1516" s="189"/>
      <c r="K1516" s="189"/>
      <c r="L1516" s="189"/>
      <c r="M1516" s="189"/>
      <c r="N1516" s="189"/>
      <c r="O1516" s="189"/>
      <c r="P1516" s="189"/>
    </row>
    <row r="1517" spans="8:8" ht="43.5" customHeight="1">
      <c r="A1517" s="227"/>
      <c r="B1517" s="189"/>
      <c r="C1517" s="189"/>
      <c r="D1517" s="189"/>
      <c r="E1517" s="189"/>
      <c r="F1517" s="189"/>
      <c r="G1517" s="189"/>
      <c r="H1517" s="189"/>
      <c r="I1517" s="189"/>
      <c r="J1517" s="189"/>
      <c r="K1517" s="189"/>
      <c r="L1517" s="189"/>
      <c r="M1517" s="189"/>
      <c r="N1517" s="189"/>
      <c r="O1517" s="189"/>
      <c r="P1517" s="189"/>
    </row>
    <row r="1518" spans="8:8" ht="43.5" customHeight="1">
      <c r="A1518" s="227"/>
      <c r="B1518" s="189"/>
      <c r="C1518" s="189"/>
      <c r="D1518" s="189"/>
      <c r="E1518" s="189"/>
      <c r="F1518" s="189"/>
      <c r="G1518" s="189"/>
      <c r="H1518" s="189"/>
      <c r="I1518" s="189"/>
      <c r="J1518" s="189"/>
      <c r="K1518" s="189"/>
      <c r="L1518" s="189"/>
      <c r="M1518" s="189"/>
      <c r="N1518" s="189"/>
      <c r="O1518" s="189"/>
      <c r="P1518" s="189"/>
    </row>
    <row r="1519" spans="8:8" ht="43.5" customHeight="1">
      <c r="A1519" s="227"/>
      <c r="B1519" s="189"/>
      <c r="C1519" s="189"/>
      <c r="D1519" s="189"/>
      <c r="E1519" s="189"/>
      <c r="F1519" s="189"/>
      <c r="G1519" s="189"/>
      <c r="H1519" s="189"/>
      <c r="I1519" s="189"/>
      <c r="J1519" s="189"/>
      <c r="K1519" s="189"/>
      <c r="L1519" s="189"/>
      <c r="M1519" s="189"/>
      <c r="N1519" s="189"/>
      <c r="O1519" s="189"/>
      <c r="P1519" s="189"/>
    </row>
    <row r="1520" spans="8:8" ht="43.5" customHeight="1">
      <c r="A1520" s="97"/>
      <c r="B1520" s="189"/>
      <c r="C1520" s="189"/>
      <c r="D1520" s="189"/>
      <c r="E1520" s="189"/>
      <c r="F1520" s="189"/>
      <c r="G1520" s="189"/>
      <c r="H1520" s="189"/>
      <c r="I1520" s="189"/>
      <c r="J1520" s="189"/>
      <c r="K1520" s="189"/>
      <c r="L1520" s="189"/>
      <c r="M1520" s="189"/>
      <c r="N1520" s="189"/>
      <c r="O1520" s="189"/>
      <c r="P1520" s="189"/>
    </row>
    <row r="1521" spans="8:8" ht="43.5" customHeight="1">
      <c r="A1521" s="97"/>
      <c r="B1521" s="189"/>
      <c r="C1521" s="189"/>
      <c r="D1521" s="189"/>
      <c r="E1521" s="189"/>
      <c r="F1521" s="189"/>
      <c r="G1521" s="189"/>
      <c r="H1521" s="189"/>
      <c r="I1521" s="189"/>
      <c r="J1521" s="189"/>
      <c r="K1521" s="189"/>
      <c r="L1521" s="189"/>
      <c r="M1521" s="189"/>
      <c r="N1521" s="189"/>
      <c r="O1521" s="189"/>
      <c r="P1521" s="189"/>
    </row>
    <row r="1522" spans="8:8" ht="43.5" customHeight="1">
      <c r="A1522" s="97"/>
      <c r="B1522" s="189"/>
      <c r="C1522" s="189"/>
      <c r="D1522" s="189"/>
      <c r="E1522" s="189"/>
      <c r="F1522" s="189"/>
      <c r="G1522" s="189"/>
      <c r="H1522" s="189"/>
      <c r="I1522" s="189"/>
      <c r="J1522" s="189"/>
      <c r="K1522" s="189"/>
      <c r="L1522" s="189"/>
      <c r="M1522" s="189"/>
      <c r="N1522" s="189"/>
      <c r="O1522" s="189"/>
      <c r="P1522" s="189"/>
    </row>
    <row r="1523" spans="8:8" ht="43.5" customHeight="1">
      <c r="A1523" s="97"/>
      <c r="B1523" s="189"/>
      <c r="C1523" s="189"/>
      <c r="D1523" s="189"/>
      <c r="E1523" s="189"/>
      <c r="F1523" s="189"/>
      <c r="G1523" s="189"/>
      <c r="H1523" s="189"/>
      <c r="I1523" s="189"/>
      <c r="J1523" s="189"/>
      <c r="K1523" s="189"/>
      <c r="L1523" s="189"/>
      <c r="M1523" s="189"/>
      <c r="N1523" s="189"/>
      <c r="O1523" s="189"/>
      <c r="P1523" s="189"/>
    </row>
  </sheetData>
  <mergeCells count="96">
    <mergeCell ref="N326:P326"/>
    <mergeCell ref="N61:P61"/>
    <mergeCell ref="N127:P127"/>
    <mergeCell ref="N128:P128"/>
    <mergeCell ref="N988:P988"/>
    <mergeCell ref="N856:P856"/>
    <mergeCell ref="N1167:P1167"/>
    <mergeCell ref="N1256:P1256"/>
    <mergeCell ref="N1133:P1133"/>
    <mergeCell ref="N796:P796"/>
    <mergeCell ref="N1109:P1109"/>
    <mergeCell ref="N954:P954"/>
    <mergeCell ref="N904:P904"/>
    <mergeCell ref="N815:P815"/>
    <mergeCell ref="N814:P814"/>
    <mergeCell ref="N1298:P1298"/>
    <mergeCell ref="N38:P38"/>
    <mergeCell ref="N292:P292"/>
    <mergeCell ref="N94:P94"/>
    <mergeCell ref="N93:P93"/>
    <mergeCell ref="N266:P266"/>
    <mergeCell ref="N233:P233"/>
    <mergeCell ref="N158:P158"/>
    <mergeCell ref="N1182:P1182"/>
    <mergeCell ref="N774:P774"/>
    <mergeCell ref="N1297:P1297"/>
    <mergeCell ref="N2:P2"/>
    <mergeCell ref="N293:P293"/>
    <mergeCell ref="N1257:P1257"/>
    <mergeCell ref="N795:P795"/>
    <mergeCell ref="N1235:P1235"/>
    <mergeCell ref="N1023:P1023"/>
    <mergeCell ref="N773:P773"/>
    <mergeCell ref="N1108:P1108"/>
    <mergeCell ref="N1285:P1285"/>
    <mergeCell ref="N1183:P1183"/>
    <mergeCell ref="N878:P878"/>
    <mergeCell ref="N327:P327"/>
    <mergeCell ref="N37:P37"/>
    <mergeCell ref="N497:P497"/>
    <mergeCell ref="N3:P3"/>
    <mergeCell ref="N364:P364"/>
    <mergeCell ref="N987:P987"/>
    <mergeCell ref="N857:P857"/>
    <mergeCell ref="N953:P953"/>
    <mergeCell ref="N937:P937"/>
    <mergeCell ref="N1166:P1166"/>
    <mergeCell ref="N1236:P1236"/>
    <mergeCell ref="N60:P60"/>
    <mergeCell ref="N402:P402"/>
    <mergeCell ref="N1070:P1070"/>
    <mergeCell ref="N748:P748"/>
    <mergeCell ref="N1286:P1286"/>
    <mergeCell ref="N903:P903"/>
    <mergeCell ref="N157:P157"/>
    <mergeCell ref="N430:P430"/>
    <mergeCell ref="N1132:P1132"/>
    <mergeCell ref="N835:P835"/>
    <mergeCell ref="N1049:P1049"/>
    <mergeCell ref="N496:P496"/>
    <mergeCell ref="N182:P182"/>
    <mergeCell ref="N563:P563"/>
    <mergeCell ref="N595:P595"/>
    <mergeCell ref="N1050:P1050"/>
    <mergeCell ref="N729:P729"/>
    <mergeCell ref="N200:P200"/>
    <mergeCell ref="N461:P461"/>
    <mergeCell ref="N401:P401"/>
    <mergeCell ref="N234:P234"/>
    <mergeCell ref="N429:P429"/>
    <mergeCell ref="N181:P181"/>
    <mergeCell ref="N518:P518"/>
    <mergeCell ref="N535:P535"/>
    <mergeCell ref="N836:P836"/>
    <mergeCell ref="N1024:P1024"/>
    <mergeCell ref="N661:P661"/>
    <mergeCell ref="N662:P662"/>
    <mergeCell ref="N747:P747"/>
    <mergeCell ref="N967:P967"/>
    <mergeCell ref="N689:P689"/>
    <mergeCell ref="N715:P715"/>
    <mergeCell ref="N534:P534"/>
    <mergeCell ref="N462:P462"/>
    <mergeCell ref="N201:P201"/>
    <mergeCell ref="N365:P365"/>
    <mergeCell ref="N267:P267"/>
    <mergeCell ref="N517:P517"/>
    <mergeCell ref="N564:P564"/>
    <mergeCell ref="N596:P596"/>
    <mergeCell ref="N690:P690"/>
    <mergeCell ref="N966:P966"/>
    <mergeCell ref="N730:P730"/>
    <mergeCell ref="N877:P877"/>
    <mergeCell ref="N938:P938"/>
    <mergeCell ref="N922:P922"/>
    <mergeCell ref="N921:P921"/>
  </mergeCells>
  <conditionalFormatting sqref="C512">
    <cfRule type="expression" priority="35" dxfId="84">
      <formula>COUNTIF(#REF!,C512)&gt;0</formula>
    </cfRule>
  </conditionalFormatting>
  <conditionalFormatting sqref="C1095">
    <cfRule type="expression" priority="38" dxfId="85">
      <formula>COUNTIF(#REF!,C1095)&gt;0</formula>
    </cfRule>
  </conditionalFormatting>
  <conditionalFormatting sqref="C53">
    <cfRule type="expression" priority="33" dxfId="86">
      <formula>COUNTIF(#REF!,C53)&gt;0</formula>
    </cfRule>
  </conditionalFormatting>
  <conditionalFormatting sqref="C672:C707">
    <cfRule type="expression" priority="41" dxfId="87">
      <formula>COUNTIF(#REF!,C672)&gt;0</formula>
    </cfRule>
  </conditionalFormatting>
  <conditionalFormatting sqref="C1229:C1336">
    <cfRule type="expression" priority="23" dxfId="88">
      <formula>COUNTIF(#REF!,C1229)&gt;0</formula>
    </cfRule>
    <cfRule type="expression" priority="24" dxfId="89">
      <formula>COUNTIF(#REF!,C1229)&gt;0</formula>
    </cfRule>
  </conditionalFormatting>
  <conditionalFormatting sqref="C636:C674">
    <cfRule type="expression" priority="52" dxfId="90">
      <formula>COUNTIF(#REF!,C636)&gt;0</formula>
    </cfRule>
  </conditionalFormatting>
  <conditionalFormatting sqref="C712">
    <cfRule type="expression" priority="8" dxfId="91">
      <formula>COUNTIF(#REF!,C712)&gt;0</formula>
    </cfRule>
    <cfRule type="notContainsBlanks" priority="10" dxfId="92">
      <formula>LEN(TRIM(C712))&gt;0</formula>
    </cfRule>
    <cfRule type="expression" priority="7" dxfId="93">
      <formula>COUNTIF(#REF!,C712)&gt;0</formula>
    </cfRule>
    <cfRule type="expression" priority="9" dxfId="94">
      <formula>COUNTIF(#REF!,C712)&gt;0</formula>
    </cfRule>
  </conditionalFormatting>
  <conditionalFormatting sqref="C426">
    <cfRule type="expression" priority="12" dxfId="95">
      <formula>COUNTIF(#REF!,C426)&gt;0</formula>
    </cfRule>
    <cfRule type="expression" priority="11" dxfId="96">
      <formula>COUNTIF(#REF!,C426)&gt;0</formula>
    </cfRule>
  </conditionalFormatting>
  <conditionalFormatting sqref="C511">
    <cfRule type="expression" priority="36" dxfId="97">
      <formula>COUNTIF(#REF!,C511)&gt;0</formula>
    </cfRule>
  </conditionalFormatting>
  <conditionalFormatting sqref="C1281:C1389">
    <cfRule type="notContainsBlanks" priority="25" dxfId="98">
      <formula>LEN(TRIM(C1281))&gt;0</formula>
    </cfRule>
  </conditionalFormatting>
  <conditionalFormatting sqref="C1283">
    <cfRule type="expression" priority="19" dxfId="99">
      <formula>COUNTIF(#REF!,C1283)&gt;0</formula>
    </cfRule>
  </conditionalFormatting>
  <conditionalFormatting sqref="C792">
    <cfRule type="expression" priority="32" dxfId="100">
      <formula>COUNTIF(#REF!,C792)&gt;0</formula>
    </cfRule>
  </conditionalFormatting>
  <conditionalFormatting sqref="C650:C685 C1196:C1308">
    <cfRule type="expression" priority="49" dxfId="101">
      <formula>COUNTIF(#REF!,C650)&gt;0</formula>
    </cfRule>
  </conditionalFormatting>
  <conditionalFormatting sqref="C793">
    <cfRule type="expression" priority="3" dxfId="102">
      <formula>COUNTIF(#REF!,C793)&gt;0</formula>
    </cfRule>
    <cfRule type="expression" priority="4" dxfId="103">
      <formula>COUNTIF(#REF!,C793)&gt;0</formula>
    </cfRule>
  </conditionalFormatting>
  <conditionalFormatting sqref="C678:C718">
    <cfRule type="expression" priority="40" dxfId="104">
      <formula>COUNTIF(#REF!,C678)&gt;0</formula>
    </cfRule>
  </conditionalFormatting>
  <conditionalFormatting sqref="C811">
    <cfRule type="expression" priority="28" dxfId="105">
      <formula>COUNTIF(#REF!,C811)&gt;0</formula>
    </cfRule>
  </conditionalFormatting>
  <conditionalFormatting sqref="C643">
    <cfRule type="expression" priority="50" dxfId="106">
      <formula>COUNTIF(#REF!,C643)&gt;0</formula>
    </cfRule>
  </conditionalFormatting>
  <conditionalFormatting sqref="C657:C662">
    <cfRule type="expression" priority="21" dxfId="107">
      <formula>COUNTIF(#REF!,C657)&gt;0</formula>
    </cfRule>
    <cfRule type="expression" priority="20" dxfId="108">
      <formula>COUNTIF(#REF!,C657)&gt;0</formula>
    </cfRule>
  </conditionalFormatting>
  <conditionalFormatting sqref="C713">
    <cfRule type="notContainsBlanks" priority="6" dxfId="109">
      <formula>LEN(TRIM(C713))&gt;0</formula>
    </cfRule>
    <cfRule type="expression" priority="5" dxfId="110">
      <formula>COUNTIF(#REF!,C713)&gt;0</formula>
    </cfRule>
  </conditionalFormatting>
  <conditionalFormatting sqref="C420">
    <cfRule type="expression" priority="26" dxfId="111">
      <formula>COUNTIF(#REF!,C420)&gt;0</formula>
    </cfRule>
    <cfRule type="expression" priority="27" dxfId="112">
      <formula>COUNTIF(#REF!,C420)&gt;0</formula>
    </cfRule>
  </conditionalFormatting>
  <conditionalFormatting sqref="C659">
    <cfRule type="expression" priority="1" dxfId="113">
      <formula>COUNTIF(#REF!,C659)&gt;0</formula>
    </cfRule>
    <cfRule type="expression" priority="2" dxfId="114">
      <formula>COUNTIF(#REF!,C659)&gt;0</formula>
    </cfRule>
  </conditionalFormatting>
  <conditionalFormatting sqref="C650:C685 C1196:C1316">
    <cfRule type="expression" priority="44" dxfId="115">
      <formula>COUNTIF(#REF!,C650)&gt;0</formula>
    </cfRule>
  </conditionalFormatting>
  <conditionalFormatting sqref="C619">
    <cfRule type="expression" priority="46" dxfId="116">
      <formula>COUNTIF(#REF!,C619)&gt;0</formula>
    </cfRule>
  </conditionalFormatting>
  <conditionalFormatting sqref="C57:C59">
    <cfRule type="expression" priority="17" dxfId="117">
      <formula>COUNTIF(#REF!,C57)&gt;0</formula>
    </cfRule>
  </conditionalFormatting>
  <conditionalFormatting sqref="C513">
    <cfRule type="expression" priority="30" dxfId="118">
      <formula>COUNTIF(#REF!,C513)&gt;0</formula>
    </cfRule>
  </conditionalFormatting>
  <conditionalFormatting sqref="C710">
    <cfRule type="expression" priority="39" dxfId="119">
      <formula>COUNTIF(#REF!,C710)&gt;0</formula>
    </cfRule>
  </conditionalFormatting>
  <conditionalFormatting sqref="C1233">
    <cfRule type="expression" priority="16" dxfId="120">
      <formula>COUNTIF(#REF!,C1233)&gt;0</formula>
    </cfRule>
    <cfRule type="expression" priority="15" dxfId="121">
      <formula>COUNTIF(#REF!,C1233)&gt;0</formula>
    </cfRule>
  </conditionalFormatting>
  <conditionalFormatting sqref="C1097">
    <cfRule type="expression" priority="34" dxfId="122">
      <formula>COUNTIF(#REF!,C1097)&gt;0</formula>
    </cfRule>
  </conditionalFormatting>
  <conditionalFormatting sqref="C620">
    <cfRule type="expression" priority="42" dxfId="123">
      <formula>COUNTIF(#REF!,C620)&gt;0</formula>
    </cfRule>
  </conditionalFormatting>
  <conditionalFormatting sqref="C1218">
    <cfRule type="expression" priority="48" dxfId="124">
      <formula>COUNTIF(#REF!,C1218)&gt;0</formula>
    </cfRule>
  </conditionalFormatting>
  <conditionalFormatting sqref="C618:C646">
    <cfRule type="expression" priority="51" dxfId="125">
      <formula>COUNTIF(#REF!,C618)&gt;0</formula>
    </cfRule>
  </conditionalFormatting>
  <conditionalFormatting sqref="C493">
    <cfRule type="expression" priority="22" dxfId="126">
      <formula>COUNTIF(#REF!,C493)&gt;0</formula>
    </cfRule>
  </conditionalFormatting>
  <conditionalFormatting sqref="C651:C686 C1219:C1341">
    <cfRule type="expression" priority="47" dxfId="127">
      <formula>COUNTIF(#REF!,C651)&gt;0</formula>
    </cfRule>
  </conditionalFormatting>
  <conditionalFormatting sqref="C1164">
    <cfRule type="expression" priority="18" dxfId="128">
      <formula>COUNTIF(#REF!,C1164)&gt;0</formula>
    </cfRule>
  </conditionalFormatting>
  <conditionalFormatting sqref="C1225:C1345">
    <cfRule type="expression" priority="43" dxfId="129">
      <formula>COUNTIF(#REF!,C1225)&gt;0</formula>
    </cfRule>
  </conditionalFormatting>
  <conditionalFormatting sqref="C853">
    <cfRule type="expression" priority="13" dxfId="130">
      <formula>COUNTIF(#REF!,C853)&gt;0</formula>
    </cfRule>
  </conditionalFormatting>
  <conditionalFormatting sqref="C1096">
    <cfRule type="expression" priority="37" dxfId="131">
      <formula>COUNTIF(#REF!,C1096)&gt;0</formula>
    </cfRule>
  </conditionalFormatting>
  <conditionalFormatting sqref="C392">
    <cfRule type="expression" priority="29" dxfId="132">
      <formula>COUNTIF(#REF!,C392)&gt;0</formula>
    </cfRule>
  </conditionalFormatting>
  <conditionalFormatting sqref="C644">
    <cfRule type="expression" priority="45" dxfId="133">
      <formula>COUNTIF(#REF!,C644)&gt;0</formula>
    </cfRule>
  </conditionalFormatting>
  <conditionalFormatting sqref="C1045">
    <cfRule type="expression" priority="31" dxfId="134">
      <formula>COUNTIF(#REF!,C1045)&gt;0</formula>
    </cfRule>
  </conditionalFormatting>
  <conditionalFormatting sqref="C1104">
    <cfRule type="expression" priority="14" dxfId="135">
      <formula>COUNTIF(#REF!,C1104)&gt;0</formula>
    </cfRule>
  </conditionalFormatting>
  <conditionalFormatting sqref="C611:C644">
    <cfRule type="expression" priority="53" dxfId="136">
      <formula>COUNTIF(#REF!,C611)&gt;0</formula>
    </cfRule>
  </conditionalFormatting>
  <printOptions horizontalCentered="1" gridLines="1"/>
  <pageMargins left="0.7" right="0.7" top="0.75" bottom="0.75" header="0.0" footer="0.0"/>
  <pageSetup paperSize="9" fitToHeight="0" pageOrder="overThenDown" orientation="landscape" cellComments="atEnd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A1440"/>
  <sheetViews>
    <sheetView workbookViewId="0">
      <selection activeCell="A1" sqref="A1"/>
    </sheetView>
  </sheetViews>
  <sheetFormatPr defaultRowHeight="15.0" customHeight="1" defaultColWidth="12"/>
  <cols>
    <col min="1" max="2" customWidth="1" width="24.25" style="0"/>
    <col min="3" max="3" customWidth="1" width="23.5" style="0"/>
    <col min="4" max="4" customWidth="1" width="30.25" style="0"/>
    <col min="8" max="8" customWidth="1" width="9.0" style="0"/>
    <col min="9" max="9" customWidth="1" width="30.378906" style="0"/>
    <col min="11" max="11" customWidth="1" width="23.378906" style="0"/>
    <col min="12" max="12" customWidth="1" width="19.75" style="0"/>
    <col min="17" max="17" customWidth="1" width="23.878906" style="0"/>
  </cols>
  <sheetData>
    <row r="1" spans="8:8" ht="27.0" customHeight="1">
      <c r="A1" s="233"/>
      <c r="B1" s="233"/>
      <c r="C1" s="233"/>
      <c r="D1" s="233"/>
      <c r="E1" s="233"/>
      <c r="I1" s="234" t="s">
        <v>1622</v>
      </c>
      <c r="J1" s="235">
        <v>250080.0</v>
      </c>
      <c r="K1" s="236" t="s">
        <v>4982</v>
      </c>
      <c r="L1" s="235" t="s">
        <v>28</v>
      </c>
      <c r="M1" s="237"/>
      <c r="O1" s="237"/>
      <c r="P1" s="237"/>
      <c r="Q1" s="237"/>
      <c r="R1" s="237"/>
    </row>
    <row r="2" spans="8:8" ht="21.0" customHeight="1">
      <c r="A2" s="238">
        <v>1.0</v>
      </c>
      <c r="B2" s="239" t="s">
        <v>1622</v>
      </c>
      <c r="C2" s="240">
        <v>250080.0</v>
      </c>
      <c r="D2" s="239" t="s">
        <v>4982</v>
      </c>
      <c r="E2" s="240" t="s">
        <v>28</v>
      </c>
      <c r="G2" s="241" t="b">
        <v>1</v>
      </c>
      <c r="I2" s="236" t="s">
        <v>1623</v>
      </c>
      <c r="J2" s="235">
        <v>250084.0</v>
      </c>
      <c r="K2" s="236" t="s">
        <v>4982</v>
      </c>
      <c r="L2" s="235" t="s">
        <v>28</v>
      </c>
      <c r="M2" s="242"/>
      <c r="O2" s="237"/>
      <c r="P2" s="237"/>
      <c r="Q2" s="237"/>
      <c r="R2" s="237"/>
      <c r="S2" s="237"/>
    </row>
    <row r="3" spans="8:8" ht="15.75" customHeight="1">
      <c r="A3" s="238">
        <v>2.0</v>
      </c>
      <c r="B3" s="239" t="s">
        <v>1623</v>
      </c>
      <c r="C3" s="240">
        <v>250084.0</v>
      </c>
      <c r="D3" s="239" t="s">
        <v>4982</v>
      </c>
      <c r="E3" s="240" t="s">
        <v>28</v>
      </c>
      <c r="G3" s="241" t="b">
        <v>1</v>
      </c>
      <c r="I3" s="236" t="s">
        <v>4983</v>
      </c>
      <c r="J3" s="235">
        <v>251016.0</v>
      </c>
      <c r="K3" s="236" t="s">
        <v>4984</v>
      </c>
      <c r="L3" s="235" t="s">
        <v>28</v>
      </c>
      <c r="M3" s="243"/>
      <c r="O3" s="244"/>
      <c r="P3" s="244"/>
      <c r="Q3" s="244"/>
      <c r="R3" s="244"/>
      <c r="S3" s="237"/>
    </row>
    <row r="4" spans="8:8" ht="15.75" customHeight="1">
      <c r="A4" s="238">
        <v>3.0</v>
      </c>
      <c r="B4" s="239" t="s">
        <v>4983</v>
      </c>
      <c r="C4" s="240">
        <v>251016.0</v>
      </c>
      <c r="D4" s="239" t="s">
        <v>4984</v>
      </c>
      <c r="E4" s="240" t="s">
        <v>28</v>
      </c>
      <c r="G4" s="241" t="b">
        <v>1</v>
      </c>
      <c r="I4" s="236" t="s">
        <v>4985</v>
      </c>
      <c r="J4" s="235">
        <v>250183.0</v>
      </c>
      <c r="K4" s="236" t="s">
        <v>4982</v>
      </c>
      <c r="L4" s="235" t="s">
        <v>111</v>
      </c>
      <c r="M4" s="242"/>
      <c r="O4" s="244"/>
      <c r="P4" s="244"/>
      <c r="Q4" s="244"/>
      <c r="R4" s="244"/>
      <c r="S4" s="237"/>
    </row>
    <row r="5" spans="8:8" ht="15.75" customHeight="1">
      <c r="A5" s="245">
        <v>4.0</v>
      </c>
      <c r="B5" s="246" t="s">
        <v>4985</v>
      </c>
      <c r="C5" s="247">
        <v>250183.0</v>
      </c>
      <c r="D5" s="246" t="s">
        <v>4982</v>
      </c>
      <c r="E5" s="247" t="s">
        <v>111</v>
      </c>
      <c r="F5" s="248"/>
      <c r="G5" s="248" t="b">
        <v>1</v>
      </c>
      <c r="H5" s="248"/>
      <c r="I5" s="236" t="s">
        <v>1626</v>
      </c>
      <c r="J5" s="235">
        <v>250204.0</v>
      </c>
      <c r="K5" s="236" t="s">
        <v>4982</v>
      </c>
      <c r="L5" s="235" t="s">
        <v>28</v>
      </c>
      <c r="M5" s="242"/>
      <c r="O5" s="244"/>
      <c r="P5" s="244"/>
      <c r="Q5" s="244"/>
      <c r="R5" s="244"/>
      <c r="S5" s="237"/>
      <c r="T5" s="248"/>
      <c r="U5" s="248"/>
      <c r="V5" s="248"/>
      <c r="W5" s="248"/>
      <c r="X5" s="248"/>
      <c r="Y5" s="248"/>
    </row>
    <row r="6" spans="8:8" ht="15.75" customHeight="1">
      <c r="A6" s="238">
        <v>5.0</v>
      </c>
      <c r="B6" s="239" t="s">
        <v>1626</v>
      </c>
      <c r="C6" s="240">
        <v>250204.0</v>
      </c>
      <c r="D6" s="239" t="s">
        <v>4982</v>
      </c>
      <c r="E6" s="240" t="s">
        <v>28</v>
      </c>
      <c r="G6" s="241" t="b">
        <v>1</v>
      </c>
      <c r="I6" s="236" t="s">
        <v>4986</v>
      </c>
      <c r="J6" s="235">
        <v>252818.0</v>
      </c>
      <c r="K6" s="236" t="s">
        <v>4982</v>
      </c>
      <c r="L6" s="235" t="s">
        <v>28</v>
      </c>
      <c r="M6" s="242"/>
      <c r="O6" s="244"/>
      <c r="P6" s="244"/>
      <c r="Q6" s="244"/>
      <c r="R6" s="244"/>
      <c r="S6" s="237"/>
    </row>
    <row r="7" spans="8:8" ht="15.75" customHeight="1">
      <c r="A7" s="238">
        <v>6.0</v>
      </c>
      <c r="B7" s="239" t="s">
        <v>4986</v>
      </c>
      <c r="C7" s="240">
        <v>252818.0</v>
      </c>
      <c r="D7" s="239" t="s">
        <v>4982</v>
      </c>
      <c r="E7" s="240" t="s">
        <v>28</v>
      </c>
      <c r="G7" s="241" t="b">
        <v>1</v>
      </c>
      <c r="I7" s="236" t="s">
        <v>1627</v>
      </c>
      <c r="J7" s="235">
        <v>250224.0</v>
      </c>
      <c r="K7" s="236" t="s">
        <v>4982</v>
      </c>
      <c r="L7" s="235" t="s">
        <v>28</v>
      </c>
      <c r="M7" s="242"/>
      <c r="O7" s="244"/>
      <c r="P7" s="244"/>
      <c r="Q7" s="244"/>
      <c r="R7" s="244"/>
      <c r="S7" s="237"/>
    </row>
    <row r="8" spans="8:8" ht="15.75" customHeight="1">
      <c r="A8" s="238">
        <v>7.0</v>
      </c>
      <c r="B8" s="239" t="s">
        <v>1627</v>
      </c>
      <c r="C8" s="240">
        <v>250224.0</v>
      </c>
      <c r="D8" s="239" t="s">
        <v>4982</v>
      </c>
      <c r="E8" s="240" t="s">
        <v>28</v>
      </c>
      <c r="G8" s="241" t="b">
        <v>1</v>
      </c>
      <c r="I8" s="236" t="s">
        <v>1628</v>
      </c>
      <c r="J8" s="235">
        <v>250220.0</v>
      </c>
      <c r="K8" s="236" t="s">
        <v>4982</v>
      </c>
      <c r="L8" s="235" t="s">
        <v>28</v>
      </c>
      <c r="M8" s="243"/>
      <c r="O8" s="244"/>
      <c r="P8" s="244"/>
      <c r="Q8" s="244"/>
      <c r="R8" s="244"/>
      <c r="S8" s="237"/>
    </row>
    <row r="9" spans="8:8" ht="15.75" customHeight="1">
      <c r="A9" s="238">
        <v>8.0</v>
      </c>
      <c r="B9" s="239" t="s">
        <v>1628</v>
      </c>
      <c r="C9" s="240">
        <v>250220.0</v>
      </c>
      <c r="D9" s="239" t="s">
        <v>4982</v>
      </c>
      <c r="E9" s="240" t="s">
        <v>28</v>
      </c>
      <c r="G9" s="241" t="b">
        <v>1</v>
      </c>
      <c r="I9" s="236" t="s">
        <v>1629</v>
      </c>
      <c r="J9" s="235">
        <v>250219.0</v>
      </c>
      <c r="K9" s="236" t="s">
        <v>4982</v>
      </c>
      <c r="L9" s="235" t="s">
        <v>28</v>
      </c>
      <c r="M9" s="242"/>
      <c r="O9" s="244"/>
      <c r="P9" s="244"/>
      <c r="Q9" s="244"/>
      <c r="R9" s="244"/>
      <c r="S9" s="237"/>
    </row>
    <row r="10" spans="8:8" ht="15.75" customHeight="1">
      <c r="A10" s="238">
        <v>9.0</v>
      </c>
      <c r="B10" s="239" t="s">
        <v>1629</v>
      </c>
      <c r="C10" s="240">
        <v>250219.0</v>
      </c>
      <c r="D10" s="239" t="s">
        <v>4982</v>
      </c>
      <c r="E10" s="240" t="s">
        <v>28</v>
      </c>
      <c r="G10" s="241" t="b">
        <v>1</v>
      </c>
      <c r="I10" s="236" t="s">
        <v>4549</v>
      </c>
      <c r="J10" s="235">
        <v>253074.0</v>
      </c>
      <c r="K10" s="239" t="s">
        <v>4858</v>
      </c>
      <c r="L10" s="235" t="s">
        <v>28</v>
      </c>
      <c r="M10" s="242"/>
      <c r="O10" s="244"/>
      <c r="P10" s="244"/>
      <c r="Q10" s="244"/>
      <c r="R10" s="244"/>
      <c r="S10" s="237"/>
    </row>
    <row r="11" spans="8:8" ht="15.75" customHeight="1">
      <c r="A11" s="238">
        <v>10.0</v>
      </c>
      <c r="B11" s="239" t="s">
        <v>4549</v>
      </c>
      <c r="C11" s="240">
        <v>253074.0</v>
      </c>
      <c r="D11" s="239" t="s">
        <v>4858</v>
      </c>
      <c r="E11" s="240" t="s">
        <v>28</v>
      </c>
      <c r="G11" s="241" t="b">
        <v>1</v>
      </c>
      <c r="I11" s="236" t="s">
        <v>4550</v>
      </c>
      <c r="J11" s="235">
        <v>250218.0</v>
      </c>
      <c r="K11" s="236" t="s">
        <v>4982</v>
      </c>
      <c r="L11" s="235" t="s">
        <v>28</v>
      </c>
      <c r="M11" s="243"/>
      <c r="O11" s="244"/>
      <c r="P11" s="244"/>
      <c r="Q11" s="244"/>
      <c r="R11" s="244"/>
      <c r="S11" s="237"/>
    </row>
    <row r="12" spans="8:8" ht="15.75" customHeight="1">
      <c r="A12" s="238">
        <v>11.0</v>
      </c>
      <c r="B12" s="239" t="s">
        <v>4550</v>
      </c>
      <c r="C12" s="240">
        <v>250218.0</v>
      </c>
      <c r="D12" s="239" t="s">
        <v>4982</v>
      </c>
      <c r="E12" s="240" t="s">
        <v>28</v>
      </c>
      <c r="G12" s="241" t="b">
        <v>1</v>
      </c>
      <c r="I12" s="236" t="s">
        <v>4551</v>
      </c>
      <c r="J12" s="235">
        <v>250223.0</v>
      </c>
      <c r="K12" s="236" t="s">
        <v>4982</v>
      </c>
      <c r="L12" s="235" t="s">
        <v>28</v>
      </c>
      <c r="M12" s="242"/>
      <c r="O12" s="244"/>
      <c r="P12" s="244"/>
      <c r="Q12" s="244"/>
      <c r="R12" s="244"/>
      <c r="S12" s="237"/>
    </row>
    <row r="13" spans="8:8" ht="15.75" customHeight="1">
      <c r="A13" s="238">
        <v>12.0</v>
      </c>
      <c r="B13" s="239" t="s">
        <v>4551</v>
      </c>
      <c r="C13" s="240">
        <v>250223.0</v>
      </c>
      <c r="D13" s="239" t="s">
        <v>4982</v>
      </c>
      <c r="E13" s="240" t="s">
        <v>28</v>
      </c>
      <c r="G13" s="241" t="b">
        <v>1</v>
      </c>
      <c r="I13" s="236" t="s">
        <v>1630</v>
      </c>
      <c r="J13" s="235">
        <v>250247.0</v>
      </c>
      <c r="K13" s="236" t="s">
        <v>4982</v>
      </c>
      <c r="L13" s="235" t="s">
        <v>28</v>
      </c>
      <c r="M13" s="242"/>
      <c r="O13" s="244"/>
      <c r="P13" s="244"/>
      <c r="Q13" s="244"/>
      <c r="R13" s="244"/>
      <c r="S13" s="237"/>
    </row>
    <row r="14" spans="8:8" ht="15.75" customHeight="1">
      <c r="A14" s="238">
        <v>13.0</v>
      </c>
      <c r="B14" s="239" t="s">
        <v>1630</v>
      </c>
      <c r="C14" s="240">
        <v>250247.0</v>
      </c>
      <c r="D14" s="239" t="s">
        <v>4982</v>
      </c>
      <c r="E14" s="240" t="s">
        <v>28</v>
      </c>
      <c r="G14" s="241" t="b">
        <v>1</v>
      </c>
      <c r="I14" s="236" t="s">
        <v>4987</v>
      </c>
      <c r="J14" s="235">
        <v>250261.0</v>
      </c>
      <c r="K14" s="236" t="s">
        <v>4982</v>
      </c>
      <c r="L14" s="235" t="s">
        <v>28</v>
      </c>
      <c r="M14" s="242"/>
      <c r="O14" s="244"/>
      <c r="P14" s="244"/>
      <c r="Q14" s="244"/>
      <c r="R14" s="244"/>
      <c r="S14" s="237"/>
    </row>
    <row r="15" spans="8:8" ht="15.75" customHeight="1">
      <c r="A15" s="238">
        <v>14.0</v>
      </c>
      <c r="B15" s="239" t="s">
        <v>4987</v>
      </c>
      <c r="C15" s="240">
        <v>250261.0</v>
      </c>
      <c r="D15" s="239" t="s">
        <v>4982</v>
      </c>
      <c r="E15" s="240" t="s">
        <v>28</v>
      </c>
      <c r="G15" s="241" t="b">
        <v>1</v>
      </c>
      <c r="I15" s="236" t="s">
        <v>1631</v>
      </c>
      <c r="J15" s="235">
        <v>250708.0</v>
      </c>
      <c r="K15" s="236" t="s">
        <v>4988</v>
      </c>
      <c r="L15" s="235" t="s">
        <v>28</v>
      </c>
      <c r="M15" s="242"/>
      <c r="O15" s="244"/>
      <c r="P15" s="244"/>
      <c r="Q15" s="244"/>
      <c r="R15" s="244"/>
      <c r="S15" s="237"/>
    </row>
    <row r="16" spans="8:8" ht="15.75" customHeight="1">
      <c r="A16" s="238">
        <v>15.0</v>
      </c>
      <c r="B16" s="239" t="s">
        <v>1631</v>
      </c>
      <c r="C16" s="240">
        <v>250708.0</v>
      </c>
      <c r="D16" s="239" t="s">
        <v>4988</v>
      </c>
      <c r="E16" s="240" t="s">
        <v>28</v>
      </c>
      <c r="G16" s="241" t="b">
        <v>1</v>
      </c>
      <c r="I16" s="236" t="s">
        <v>1632</v>
      </c>
      <c r="J16" s="235">
        <v>252817.0</v>
      </c>
      <c r="K16" s="236" t="s">
        <v>4989</v>
      </c>
      <c r="L16" s="235" t="s">
        <v>28</v>
      </c>
      <c r="M16" s="242"/>
      <c r="O16" s="244"/>
      <c r="P16" s="244"/>
      <c r="Q16" s="244"/>
      <c r="R16" s="244"/>
      <c r="S16" s="237"/>
    </row>
    <row r="17" spans="8:8" ht="15.75" customHeight="1">
      <c r="A17" s="238">
        <v>16.0</v>
      </c>
      <c r="B17" s="239" t="s">
        <v>1632</v>
      </c>
      <c r="C17" s="240">
        <v>252817.0</v>
      </c>
      <c r="D17" s="239" t="s">
        <v>4989</v>
      </c>
      <c r="E17" s="240" t="s">
        <v>28</v>
      </c>
      <c r="G17" s="241" t="b">
        <v>1</v>
      </c>
      <c r="I17" s="236" t="s">
        <v>4990</v>
      </c>
      <c r="J17" s="235">
        <v>250679.0</v>
      </c>
      <c r="K17" s="236" t="s">
        <v>4861</v>
      </c>
      <c r="L17" s="235" t="s">
        <v>28</v>
      </c>
      <c r="M17" s="242"/>
      <c r="O17" s="244"/>
      <c r="P17" s="244"/>
      <c r="Q17" s="244"/>
      <c r="R17" s="244"/>
      <c r="S17" s="237"/>
    </row>
    <row r="18" spans="8:8" ht="15.75" customHeight="1">
      <c r="A18" s="238">
        <v>17.0</v>
      </c>
      <c r="B18" s="239" t="s">
        <v>4990</v>
      </c>
      <c r="C18" s="240">
        <v>250679.0</v>
      </c>
      <c r="D18" s="239" t="s">
        <v>4861</v>
      </c>
      <c r="E18" s="240" t="s">
        <v>28</v>
      </c>
      <c r="G18" s="241" t="b">
        <v>1</v>
      </c>
      <c r="I18" s="236" t="s">
        <v>1550</v>
      </c>
      <c r="J18" s="235">
        <v>250683.0</v>
      </c>
      <c r="K18" s="236" t="s">
        <v>4861</v>
      </c>
      <c r="L18" s="235" t="s">
        <v>28</v>
      </c>
      <c r="M18" s="242"/>
      <c r="O18" s="244"/>
      <c r="P18" s="244"/>
      <c r="Q18" s="244"/>
      <c r="R18" s="244"/>
      <c r="S18" s="237"/>
    </row>
    <row r="19" spans="8:8" ht="15.75" customHeight="1">
      <c r="A19" s="238">
        <v>18.0</v>
      </c>
      <c r="B19" s="239" t="s">
        <v>1550</v>
      </c>
      <c r="C19" s="240">
        <v>250683.0</v>
      </c>
      <c r="D19" s="239" t="s">
        <v>4861</v>
      </c>
      <c r="E19" s="240" t="s">
        <v>28</v>
      </c>
      <c r="G19" s="241" t="b">
        <v>1</v>
      </c>
      <c r="I19" s="236" t="s">
        <v>1531</v>
      </c>
      <c r="J19" s="235">
        <v>250693.0</v>
      </c>
      <c r="K19" s="236" t="s">
        <v>4861</v>
      </c>
      <c r="L19" s="235" t="s">
        <v>28</v>
      </c>
      <c r="M19" s="243"/>
      <c r="O19" s="244"/>
      <c r="P19" s="244"/>
      <c r="Q19" s="244"/>
      <c r="R19" s="244"/>
      <c r="S19" s="237"/>
    </row>
    <row r="20" spans="8:8" ht="15.75" customHeight="1">
      <c r="A20" s="238">
        <v>19.0</v>
      </c>
      <c r="B20" s="239" t="s">
        <v>1531</v>
      </c>
      <c r="C20" s="240">
        <v>250693.0</v>
      </c>
      <c r="D20" s="239" t="s">
        <v>4861</v>
      </c>
      <c r="E20" s="240" t="s">
        <v>28</v>
      </c>
      <c r="G20" s="241" t="b">
        <v>1</v>
      </c>
      <c r="I20" s="236" t="s">
        <v>1633</v>
      </c>
      <c r="J20" s="235">
        <v>250707.0</v>
      </c>
      <c r="K20" s="236" t="s">
        <v>4861</v>
      </c>
      <c r="L20" s="235" t="s">
        <v>28</v>
      </c>
      <c r="M20" s="242"/>
      <c r="O20" s="244"/>
      <c r="P20" s="244"/>
      <c r="Q20" s="244"/>
      <c r="R20" s="244"/>
      <c r="S20" s="237"/>
    </row>
    <row r="21" spans="8:8" ht="15.75" customHeight="1">
      <c r="A21" s="238">
        <v>20.0</v>
      </c>
      <c r="B21" s="239" t="s">
        <v>1633</v>
      </c>
      <c r="C21" s="240">
        <v>250707.0</v>
      </c>
      <c r="D21" s="239" t="s">
        <v>4861</v>
      </c>
      <c r="E21" s="240" t="s">
        <v>28</v>
      </c>
      <c r="G21" s="241" t="b">
        <v>1</v>
      </c>
      <c r="I21" s="236" t="s">
        <v>1539</v>
      </c>
      <c r="J21" s="235">
        <v>250713.0</v>
      </c>
      <c r="K21" s="236" t="s">
        <v>4861</v>
      </c>
      <c r="L21" s="235" t="s">
        <v>28</v>
      </c>
      <c r="M21" s="242"/>
      <c r="O21" s="244"/>
      <c r="P21" s="244"/>
      <c r="Q21" s="244"/>
      <c r="R21" s="244"/>
      <c r="S21" s="237"/>
    </row>
    <row r="22" spans="8:8" ht="15.75" customHeight="1">
      <c r="A22" s="238">
        <v>21.0</v>
      </c>
      <c r="B22" s="239" t="s">
        <v>1539</v>
      </c>
      <c r="C22" s="240">
        <v>250713.0</v>
      </c>
      <c r="D22" s="239" t="s">
        <v>4861</v>
      </c>
      <c r="E22" s="240" t="s">
        <v>28</v>
      </c>
      <c r="G22" s="241" t="b">
        <v>1</v>
      </c>
      <c r="I22" s="236" t="s">
        <v>4553</v>
      </c>
      <c r="J22" s="235">
        <v>250697.0</v>
      </c>
      <c r="K22" s="236" t="s">
        <v>4861</v>
      </c>
      <c r="L22" s="235" t="s">
        <v>28</v>
      </c>
      <c r="M22" s="242"/>
      <c r="O22" s="244"/>
      <c r="P22" s="244"/>
      <c r="Q22" s="244"/>
      <c r="R22" s="244"/>
      <c r="S22" s="237"/>
    </row>
    <row r="23" spans="8:8" ht="15.75" customHeight="1">
      <c r="A23" s="238">
        <v>22.0</v>
      </c>
      <c r="B23" s="239" t="s">
        <v>4553</v>
      </c>
      <c r="C23" s="240">
        <v>250697.0</v>
      </c>
      <c r="D23" s="239" t="s">
        <v>4861</v>
      </c>
      <c r="E23" s="240" t="s">
        <v>28</v>
      </c>
      <c r="G23" s="241" t="b">
        <v>1</v>
      </c>
      <c r="I23" s="236" t="s">
        <v>4554</v>
      </c>
      <c r="J23" s="235">
        <v>250703.0</v>
      </c>
      <c r="K23" s="236" t="s">
        <v>4861</v>
      </c>
      <c r="L23" s="235" t="s">
        <v>28</v>
      </c>
      <c r="M23" s="242"/>
      <c r="O23" s="244"/>
      <c r="P23" s="244"/>
      <c r="Q23" s="244"/>
      <c r="R23" s="244"/>
      <c r="S23" s="237"/>
    </row>
    <row r="24" spans="8:8" ht="15.75" customHeight="1">
      <c r="A24" s="238">
        <v>23.0</v>
      </c>
      <c r="B24" s="239" t="s">
        <v>4554</v>
      </c>
      <c r="C24" s="240">
        <v>250703.0</v>
      </c>
      <c r="D24" s="239" t="s">
        <v>4861</v>
      </c>
      <c r="E24" s="240" t="s">
        <v>28</v>
      </c>
      <c r="G24" s="241" t="b">
        <v>1</v>
      </c>
      <c r="I24" s="236" t="s">
        <v>4991</v>
      </c>
      <c r="J24" s="235">
        <v>250716.0</v>
      </c>
      <c r="K24" s="236" t="s">
        <v>4861</v>
      </c>
      <c r="L24" s="235" t="s">
        <v>28</v>
      </c>
      <c r="M24" s="242"/>
      <c r="O24" s="244"/>
      <c r="P24" s="244"/>
      <c r="Q24" s="244"/>
      <c r="R24" s="244"/>
      <c r="S24" s="237"/>
    </row>
    <row r="25" spans="8:8" ht="15.75" customHeight="1">
      <c r="A25" s="238">
        <v>24.0</v>
      </c>
      <c r="B25" s="239" t="s">
        <v>4991</v>
      </c>
      <c r="C25" s="240">
        <v>250716.0</v>
      </c>
      <c r="D25" s="239" t="s">
        <v>4861</v>
      </c>
      <c r="E25" s="240" t="s">
        <v>28</v>
      </c>
      <c r="G25" s="241" t="b">
        <v>1</v>
      </c>
      <c r="I25" s="236" t="s">
        <v>1634</v>
      </c>
      <c r="J25" s="235">
        <v>250709.0</v>
      </c>
      <c r="K25" s="236" t="s">
        <v>4861</v>
      </c>
      <c r="L25" s="235" t="s">
        <v>28</v>
      </c>
      <c r="M25" s="243"/>
      <c r="O25" s="244"/>
      <c r="P25" s="244"/>
      <c r="Q25" s="244"/>
      <c r="R25" s="244"/>
      <c r="S25" s="237"/>
    </row>
    <row r="26" spans="8:8" ht="15.75" customHeight="1">
      <c r="A26" s="238">
        <v>25.0</v>
      </c>
      <c r="B26" s="239" t="s">
        <v>1634</v>
      </c>
      <c r="C26" s="240">
        <v>250709.0</v>
      </c>
      <c r="D26" s="239" t="s">
        <v>4861</v>
      </c>
      <c r="E26" s="240" t="s">
        <v>28</v>
      </c>
      <c r="G26" s="241" t="b">
        <v>1</v>
      </c>
      <c r="I26" s="236" t="s">
        <v>1635</v>
      </c>
      <c r="J26" s="249">
        <v>253070.0</v>
      </c>
      <c r="K26" s="236" t="s">
        <v>4992</v>
      </c>
      <c r="L26" s="235" t="s">
        <v>28</v>
      </c>
      <c r="M26" s="242"/>
      <c r="O26" s="244"/>
      <c r="P26" s="244"/>
      <c r="Q26" s="244"/>
      <c r="R26" s="244"/>
      <c r="S26" s="237"/>
    </row>
    <row r="27" spans="8:8" ht="15.75" customHeight="1">
      <c r="A27" s="250">
        <v>26.0</v>
      </c>
      <c r="B27" s="251" t="s">
        <v>1635</v>
      </c>
      <c r="C27" s="252">
        <v>253070.0</v>
      </c>
      <c r="D27" s="251" t="s">
        <v>4992</v>
      </c>
      <c r="E27" s="253" t="s">
        <v>28</v>
      </c>
      <c r="F27" s="254"/>
      <c r="G27" s="254" t="b">
        <v>1</v>
      </c>
      <c r="H27" s="254"/>
      <c r="I27" s="236" t="s">
        <v>4537</v>
      </c>
      <c r="J27" s="235">
        <v>250668.0</v>
      </c>
      <c r="K27" s="236" t="s">
        <v>4861</v>
      </c>
      <c r="L27" s="235" t="s">
        <v>28</v>
      </c>
      <c r="M27" s="242"/>
      <c r="O27" s="244"/>
      <c r="P27" s="244"/>
      <c r="Q27" s="244"/>
      <c r="R27" s="244"/>
      <c r="S27" s="237"/>
      <c r="T27" s="254"/>
      <c r="U27" s="254"/>
      <c r="V27" s="254"/>
      <c r="W27" s="254"/>
      <c r="X27" s="254"/>
      <c r="Y27" s="254"/>
    </row>
    <row r="28" spans="8:8" ht="15.75" customHeight="1">
      <c r="A28" s="238">
        <v>27.0</v>
      </c>
      <c r="B28" s="239" t="s">
        <v>4537</v>
      </c>
      <c r="C28" s="240">
        <v>250668.0</v>
      </c>
      <c r="D28" s="239" t="s">
        <v>4861</v>
      </c>
      <c r="E28" s="240" t="s">
        <v>28</v>
      </c>
      <c r="G28" s="241" t="b">
        <v>1</v>
      </c>
      <c r="I28" s="239" t="s">
        <v>1543</v>
      </c>
      <c r="J28" s="235">
        <v>250749.0</v>
      </c>
      <c r="K28" s="236" t="s">
        <v>4861</v>
      </c>
      <c r="L28" s="235" t="s">
        <v>28</v>
      </c>
      <c r="M28" s="243"/>
      <c r="O28" s="244"/>
      <c r="P28" s="255"/>
      <c r="Q28" s="244"/>
      <c r="R28" s="244"/>
      <c r="S28" s="237"/>
    </row>
    <row r="29" spans="8:8" ht="15.75" customHeight="1">
      <c r="A29" s="238">
        <v>28.0</v>
      </c>
      <c r="B29" s="239" t="s">
        <v>1543</v>
      </c>
      <c r="C29" s="240">
        <v>250749.0</v>
      </c>
      <c r="D29" s="239" t="s">
        <v>4861</v>
      </c>
      <c r="E29" s="240" t="s">
        <v>28</v>
      </c>
      <c r="G29" s="241" t="b">
        <v>1</v>
      </c>
      <c r="I29" s="236" t="s">
        <v>1557</v>
      </c>
      <c r="J29" s="235">
        <v>252812.0</v>
      </c>
      <c r="K29" s="236" t="s">
        <v>4989</v>
      </c>
      <c r="L29" s="235" t="s">
        <v>28</v>
      </c>
      <c r="M29" s="242"/>
      <c r="O29" s="244"/>
      <c r="P29" s="244"/>
      <c r="Q29" s="244"/>
      <c r="R29" s="244"/>
      <c r="S29" s="237"/>
    </row>
    <row r="30" spans="8:8" ht="15.75" customHeight="1">
      <c r="A30" s="238">
        <v>29.0</v>
      </c>
      <c r="B30" s="239" t="s">
        <v>1557</v>
      </c>
      <c r="C30" s="240">
        <v>252812.0</v>
      </c>
      <c r="D30" s="239" t="s">
        <v>4989</v>
      </c>
      <c r="E30" s="240" t="s">
        <v>28</v>
      </c>
      <c r="G30" s="241" t="b">
        <v>1</v>
      </c>
      <c r="I30" s="236" t="s">
        <v>1544</v>
      </c>
      <c r="J30" s="235">
        <v>250767.0</v>
      </c>
      <c r="K30" s="236" t="s">
        <v>4861</v>
      </c>
      <c r="L30" s="235" t="s">
        <v>28</v>
      </c>
      <c r="M30" s="242"/>
      <c r="O30" s="244"/>
      <c r="P30" s="244"/>
      <c r="Q30" s="244"/>
      <c r="R30" s="244"/>
      <c r="S30" s="237"/>
    </row>
    <row r="31" spans="8:8" ht="15.75" customHeight="1">
      <c r="A31" s="238">
        <v>30.0</v>
      </c>
      <c r="B31" s="239" t="s">
        <v>1544</v>
      </c>
      <c r="C31" s="240">
        <v>250767.0</v>
      </c>
      <c r="D31" s="239" t="s">
        <v>4861</v>
      </c>
      <c r="E31" s="240" t="s">
        <v>28</v>
      </c>
      <c r="G31" s="241" t="b">
        <v>1</v>
      </c>
      <c r="I31" s="236" t="s">
        <v>1535</v>
      </c>
      <c r="J31" s="235">
        <v>250784.0</v>
      </c>
      <c r="K31" s="236" t="s">
        <v>4861</v>
      </c>
      <c r="L31" s="235" t="s">
        <v>28</v>
      </c>
      <c r="M31" s="243"/>
      <c r="O31" s="244"/>
      <c r="P31" s="244"/>
      <c r="Q31" s="244"/>
      <c r="R31" s="244"/>
      <c r="S31" s="237"/>
    </row>
    <row r="32" spans="8:8" ht="15.75" customHeight="1">
      <c r="A32" s="238">
        <v>31.0</v>
      </c>
      <c r="B32" s="239" t="s">
        <v>1535</v>
      </c>
      <c r="C32" s="240">
        <v>250784.0</v>
      </c>
      <c r="D32" s="239" t="s">
        <v>4861</v>
      </c>
      <c r="E32" s="240" t="s">
        <v>28</v>
      </c>
      <c r="G32" s="241" t="b">
        <v>1</v>
      </c>
      <c r="I32" s="236" t="s">
        <v>1558</v>
      </c>
      <c r="J32" s="235">
        <v>250808.0</v>
      </c>
      <c r="K32" s="236" t="s">
        <v>4861</v>
      </c>
      <c r="L32" s="235" t="s">
        <v>28</v>
      </c>
      <c r="M32" s="242"/>
      <c r="O32" s="244"/>
      <c r="P32" s="244"/>
      <c r="Q32" s="244"/>
      <c r="R32" s="244"/>
      <c r="S32" s="237"/>
    </row>
    <row r="33" spans="8:8" ht="15.75" customHeight="1">
      <c r="A33" s="238">
        <v>32.0</v>
      </c>
      <c r="B33" s="239" t="s">
        <v>1558</v>
      </c>
      <c r="C33" s="240">
        <v>250808.0</v>
      </c>
      <c r="D33" s="239" t="s">
        <v>4861</v>
      </c>
      <c r="E33" s="240" t="s">
        <v>28</v>
      </c>
      <c r="G33" s="241" t="b">
        <v>1</v>
      </c>
      <c r="I33" s="236" t="s">
        <v>1559</v>
      </c>
      <c r="J33" s="235">
        <v>250809.0</v>
      </c>
      <c r="K33" s="236" t="s">
        <v>4861</v>
      </c>
      <c r="L33" s="235" t="s">
        <v>28</v>
      </c>
      <c r="M33" s="242"/>
      <c r="O33" s="244"/>
      <c r="P33" s="244"/>
      <c r="Q33" s="244"/>
      <c r="R33" s="244"/>
      <c r="S33" s="237"/>
    </row>
    <row r="34" spans="8:8" ht="15.75" customHeight="1">
      <c r="A34" s="238">
        <v>33.0</v>
      </c>
      <c r="B34" s="239" t="s">
        <v>1559</v>
      </c>
      <c r="C34" s="240">
        <v>250809.0</v>
      </c>
      <c r="D34" s="239" t="s">
        <v>4861</v>
      </c>
      <c r="E34" s="240" t="s">
        <v>28</v>
      </c>
      <c r="G34" s="241" t="b">
        <v>1</v>
      </c>
      <c r="I34" s="236" t="s">
        <v>1536</v>
      </c>
      <c r="J34" s="235">
        <v>250810.0</v>
      </c>
      <c r="K34" s="236" t="s">
        <v>4861</v>
      </c>
      <c r="L34" s="235" t="s">
        <v>28</v>
      </c>
      <c r="M34" s="242"/>
      <c r="O34" s="244"/>
      <c r="P34" s="244"/>
      <c r="Q34" s="244"/>
      <c r="R34" s="244"/>
      <c r="S34" s="237"/>
    </row>
    <row r="35" spans="8:8" ht="15.75" customHeight="1">
      <c r="A35" s="238">
        <v>34.0</v>
      </c>
      <c r="B35" s="239" t="s">
        <v>1536</v>
      </c>
      <c r="C35" s="240">
        <v>250810.0</v>
      </c>
      <c r="D35" s="239" t="s">
        <v>4861</v>
      </c>
      <c r="E35" s="240" t="s">
        <v>28</v>
      </c>
      <c r="G35" s="241" t="b">
        <v>1</v>
      </c>
      <c r="I35" s="236" t="s">
        <v>4538</v>
      </c>
      <c r="J35" s="235">
        <v>250818.0</v>
      </c>
      <c r="K35" s="236" t="s">
        <v>4861</v>
      </c>
      <c r="L35" s="235" t="s">
        <v>28</v>
      </c>
      <c r="M35" s="242"/>
      <c r="O35" s="244"/>
      <c r="P35" s="244"/>
      <c r="Q35" s="244"/>
      <c r="R35" s="244"/>
      <c r="S35" s="237"/>
    </row>
    <row r="36" spans="8:8" ht="15.75" customHeight="1">
      <c r="A36" s="238">
        <v>35.0</v>
      </c>
      <c r="B36" s="239" t="s">
        <v>4538</v>
      </c>
      <c r="C36" s="240">
        <v>250818.0</v>
      </c>
      <c r="D36" s="239" t="s">
        <v>4861</v>
      </c>
      <c r="E36" s="240" t="s">
        <v>28</v>
      </c>
      <c r="G36" s="241" t="b">
        <v>1</v>
      </c>
      <c r="I36" s="239" t="s">
        <v>1560</v>
      </c>
      <c r="J36" s="235">
        <v>250824.0</v>
      </c>
      <c r="K36" s="236" t="s">
        <v>4861</v>
      </c>
      <c r="L36" s="235" t="s">
        <v>28</v>
      </c>
      <c r="M36" s="256"/>
      <c r="O36" s="244"/>
      <c r="P36" s="244"/>
      <c r="Q36" s="244"/>
      <c r="R36" s="244"/>
      <c r="S36" s="237"/>
    </row>
    <row r="37" spans="8:8" ht="15.75" customHeight="1">
      <c r="A37" s="238">
        <v>36.0</v>
      </c>
      <c r="B37" s="239" t="s">
        <v>1560</v>
      </c>
      <c r="C37" s="240">
        <v>250824.0</v>
      </c>
      <c r="D37" s="239" t="s">
        <v>4861</v>
      </c>
      <c r="E37" s="240" t="s">
        <v>28</v>
      </c>
      <c r="G37" s="241" t="b">
        <v>1</v>
      </c>
      <c r="I37" s="236" t="s">
        <v>1561</v>
      </c>
      <c r="J37" s="235">
        <v>250834.0</v>
      </c>
      <c r="K37" s="257"/>
      <c r="L37" s="235" t="s">
        <v>28</v>
      </c>
      <c r="M37" s="242"/>
      <c r="O37" s="244"/>
      <c r="P37" s="244"/>
      <c r="Q37" s="244"/>
      <c r="R37" s="244"/>
      <c r="S37" s="237"/>
    </row>
    <row r="38" spans="8:8" ht="15.75" customHeight="1">
      <c r="A38" s="238">
        <v>37.0</v>
      </c>
      <c r="B38" s="239" t="s">
        <v>1561</v>
      </c>
      <c r="C38" s="240">
        <v>250834.0</v>
      </c>
      <c r="D38" s="257"/>
      <c r="E38" s="240" t="s">
        <v>28</v>
      </c>
      <c r="G38" s="241" t="b">
        <v>1</v>
      </c>
      <c r="I38" s="236" t="s">
        <v>449</v>
      </c>
      <c r="J38" s="235">
        <v>252872.0</v>
      </c>
      <c r="K38" s="236" t="s">
        <v>4861</v>
      </c>
      <c r="L38" s="235" t="s">
        <v>28</v>
      </c>
      <c r="M38" s="242"/>
      <c r="O38" s="244"/>
      <c r="P38" s="244"/>
      <c r="Q38" s="244"/>
      <c r="R38" s="244"/>
      <c r="S38" s="237"/>
    </row>
    <row r="39" spans="8:8" ht="15.75" customHeight="1">
      <c r="A39" s="238">
        <v>38.0</v>
      </c>
      <c r="B39" s="239" t="s">
        <v>449</v>
      </c>
      <c r="C39" s="240">
        <v>252872.0</v>
      </c>
      <c r="D39" s="239" t="s">
        <v>4861</v>
      </c>
      <c r="E39" s="240" t="s">
        <v>28</v>
      </c>
      <c r="G39" s="241" t="b">
        <v>1</v>
      </c>
      <c r="I39" s="239" t="s">
        <v>4539</v>
      </c>
      <c r="J39" s="235">
        <v>250680.0</v>
      </c>
      <c r="K39" s="236" t="s">
        <v>4948</v>
      </c>
      <c r="L39" s="235" t="s">
        <v>28</v>
      </c>
      <c r="M39" s="242"/>
      <c r="O39" s="244"/>
      <c r="P39" s="244"/>
      <c r="Q39" s="244"/>
      <c r="R39" s="244"/>
      <c r="S39" s="237"/>
    </row>
    <row r="40" spans="8:8" ht="15.75" customHeight="1">
      <c r="A40" s="238">
        <v>39.0</v>
      </c>
      <c r="B40" s="239" t="s">
        <v>4539</v>
      </c>
      <c r="C40" s="240">
        <v>250680.0</v>
      </c>
      <c r="D40" s="239" t="s">
        <v>4948</v>
      </c>
      <c r="E40" s="240" t="s">
        <v>28</v>
      </c>
      <c r="G40" s="241" t="b">
        <v>1</v>
      </c>
      <c r="I40" s="236" t="s">
        <v>4993</v>
      </c>
      <c r="J40" s="235">
        <v>250863.0</v>
      </c>
      <c r="K40" s="236" t="s">
        <v>4861</v>
      </c>
      <c r="L40" s="235" t="s">
        <v>111</v>
      </c>
      <c r="M40" s="242"/>
      <c r="O40" s="244"/>
      <c r="P40" s="244"/>
      <c r="Q40" s="244"/>
      <c r="R40" s="244"/>
      <c r="S40" s="237"/>
    </row>
    <row r="41" spans="8:8" ht="15.75" customHeight="1">
      <c r="A41" s="238">
        <v>40.0</v>
      </c>
      <c r="B41" s="239" t="s">
        <v>4993</v>
      </c>
      <c r="C41" s="240">
        <v>250863.0</v>
      </c>
      <c r="D41" s="239" t="s">
        <v>4861</v>
      </c>
      <c r="E41" s="240" t="s">
        <v>111</v>
      </c>
      <c r="G41" s="241" t="b">
        <v>1</v>
      </c>
      <c r="I41" s="236" t="s">
        <v>4645</v>
      </c>
      <c r="J41" s="235">
        <v>250807.0</v>
      </c>
      <c r="K41" s="236" t="s">
        <v>4984</v>
      </c>
      <c r="L41" s="235" t="s">
        <v>111</v>
      </c>
      <c r="M41" s="242"/>
      <c r="O41" s="244"/>
      <c r="P41" s="244"/>
      <c r="Q41" s="244"/>
      <c r="R41" s="244"/>
      <c r="S41" s="237"/>
    </row>
    <row r="42" spans="8:8" ht="15.75" customHeight="1">
      <c r="A42" s="245">
        <v>41.0</v>
      </c>
      <c r="B42" s="246" t="s">
        <v>4645</v>
      </c>
      <c r="C42" s="247">
        <v>250807.0</v>
      </c>
      <c r="D42" s="246" t="s">
        <v>4984</v>
      </c>
      <c r="E42" s="247" t="s">
        <v>111</v>
      </c>
      <c r="F42" s="248"/>
      <c r="G42" s="248" t="b">
        <v>1</v>
      </c>
      <c r="H42" s="248"/>
      <c r="I42" s="236" t="s">
        <v>1552</v>
      </c>
      <c r="J42" s="235">
        <v>250887.0</v>
      </c>
      <c r="K42" s="236" t="s">
        <v>4861</v>
      </c>
      <c r="L42" s="235" t="s">
        <v>28</v>
      </c>
      <c r="M42" s="242"/>
      <c r="O42" s="244"/>
      <c r="P42" s="244"/>
      <c r="Q42" s="244"/>
      <c r="R42" s="244"/>
      <c r="S42" s="237"/>
      <c r="T42" s="248"/>
      <c r="U42" s="248"/>
      <c r="V42" s="248"/>
      <c r="W42" s="248"/>
      <c r="X42" s="248"/>
      <c r="Y42" s="248"/>
    </row>
    <row r="43" spans="8:8" ht="15.75" customHeight="1">
      <c r="A43" s="238">
        <v>42.0</v>
      </c>
      <c r="B43" s="239" t="s">
        <v>1552</v>
      </c>
      <c r="C43" s="240">
        <v>250887.0</v>
      </c>
      <c r="D43" s="239" t="s">
        <v>4861</v>
      </c>
      <c r="E43" s="240" t="s">
        <v>28</v>
      </c>
      <c r="G43" s="241" t="b">
        <v>1</v>
      </c>
      <c r="I43" s="236" t="s">
        <v>4540</v>
      </c>
      <c r="J43" s="235">
        <v>250911.0</v>
      </c>
      <c r="K43" s="236" t="s">
        <v>4861</v>
      </c>
      <c r="L43" s="235" t="s">
        <v>28</v>
      </c>
      <c r="M43" s="243"/>
      <c r="O43" s="244"/>
      <c r="P43" s="255"/>
      <c r="Q43" s="244"/>
      <c r="R43" s="244"/>
      <c r="S43" s="237"/>
    </row>
    <row r="44" spans="8:8" ht="15.75" customHeight="1">
      <c r="A44" s="238">
        <v>43.0</v>
      </c>
      <c r="B44" s="239" t="s">
        <v>4540</v>
      </c>
      <c r="C44" s="240">
        <v>250911.0</v>
      </c>
      <c r="D44" s="239" t="s">
        <v>4861</v>
      </c>
      <c r="E44" s="240" t="s">
        <v>28</v>
      </c>
      <c r="G44" s="241" t="b">
        <v>1</v>
      </c>
      <c r="I44" s="236" t="s">
        <v>1643</v>
      </c>
      <c r="J44" s="235">
        <v>250917.0</v>
      </c>
      <c r="K44" s="236" t="s">
        <v>4861</v>
      </c>
      <c r="L44" s="235" t="s">
        <v>28</v>
      </c>
      <c r="M44" s="242"/>
      <c r="O44" s="244"/>
      <c r="P44" s="244"/>
      <c r="Q44" s="244"/>
      <c r="R44" s="244"/>
      <c r="S44" s="237"/>
    </row>
    <row r="45" spans="8:8" ht="15.75" customHeight="1">
      <c r="A45" s="238">
        <v>44.0</v>
      </c>
      <c r="B45" s="239" t="s">
        <v>1643</v>
      </c>
      <c r="C45" s="240">
        <v>250917.0</v>
      </c>
      <c r="D45" s="239" t="s">
        <v>4861</v>
      </c>
      <c r="E45" s="240" t="s">
        <v>28</v>
      </c>
      <c r="G45" s="241" t="b">
        <v>1</v>
      </c>
      <c r="I45" s="236" t="s">
        <v>4541</v>
      </c>
      <c r="J45" s="235">
        <v>250940.0</v>
      </c>
      <c r="K45" s="236" t="s">
        <v>4861</v>
      </c>
      <c r="L45" s="235" t="s">
        <v>28</v>
      </c>
      <c r="M45" s="242"/>
      <c r="O45" s="244"/>
      <c r="P45" s="244"/>
      <c r="Q45" s="244"/>
      <c r="R45" s="244"/>
      <c r="S45" s="237"/>
    </row>
    <row r="46" spans="8:8" ht="15.75" customHeight="1">
      <c r="A46" s="238">
        <v>45.0</v>
      </c>
      <c r="B46" s="239" t="s">
        <v>4541</v>
      </c>
      <c r="C46" s="240">
        <v>250940.0</v>
      </c>
      <c r="D46" s="239" t="s">
        <v>4861</v>
      </c>
      <c r="E46" s="240" t="s">
        <v>28</v>
      </c>
      <c r="G46" s="241" t="b">
        <v>1</v>
      </c>
      <c r="I46" s="236" t="s">
        <v>1562</v>
      </c>
      <c r="J46" s="235">
        <v>250927.0</v>
      </c>
      <c r="K46" s="236" t="s">
        <v>4861</v>
      </c>
      <c r="L46" s="235" t="s">
        <v>28</v>
      </c>
      <c r="M46" s="242"/>
      <c r="O46" s="244"/>
      <c r="P46" s="244"/>
      <c r="Q46" s="244"/>
      <c r="R46" s="244"/>
      <c r="S46" s="237"/>
    </row>
    <row r="47" spans="8:8" ht="15.75" customHeight="1">
      <c r="A47" s="238">
        <v>46.0</v>
      </c>
      <c r="B47" s="239" t="s">
        <v>1562</v>
      </c>
      <c r="C47" s="240">
        <v>250927.0</v>
      </c>
      <c r="D47" s="239" t="s">
        <v>4861</v>
      </c>
      <c r="E47" s="240" t="s">
        <v>28</v>
      </c>
      <c r="G47" s="241" t="b">
        <v>1</v>
      </c>
      <c r="I47" s="236" t="s">
        <v>4994</v>
      </c>
      <c r="J47" s="235">
        <v>250942.0</v>
      </c>
      <c r="K47" s="236" t="s">
        <v>4861</v>
      </c>
      <c r="L47" s="235" t="s">
        <v>28</v>
      </c>
      <c r="M47" s="243"/>
      <c r="O47" s="244"/>
      <c r="P47" s="244"/>
      <c r="Q47" s="244"/>
      <c r="R47" s="244"/>
      <c r="S47" s="237"/>
    </row>
    <row r="48" spans="8:8" ht="15.75" customHeight="1">
      <c r="A48" s="238">
        <v>47.0</v>
      </c>
      <c r="B48" s="239" t="s">
        <v>4994</v>
      </c>
      <c r="C48" s="240">
        <v>250942.0</v>
      </c>
      <c r="D48" s="239" t="s">
        <v>4861</v>
      </c>
      <c r="E48" s="240" t="s">
        <v>28</v>
      </c>
      <c r="G48" s="241" t="b">
        <v>1</v>
      </c>
      <c r="I48" s="236" t="s">
        <v>1534</v>
      </c>
      <c r="J48" s="235">
        <v>250957.0</v>
      </c>
      <c r="K48" s="236" t="s">
        <v>4861</v>
      </c>
      <c r="L48" s="235" t="s">
        <v>28</v>
      </c>
      <c r="M48" s="242"/>
      <c r="O48" s="244"/>
      <c r="P48" s="244"/>
      <c r="Q48" s="244"/>
      <c r="R48" s="244"/>
      <c r="S48" s="237"/>
    </row>
    <row r="49" spans="8:8" ht="15.75" customHeight="1">
      <c r="A49" s="238">
        <v>48.0</v>
      </c>
      <c r="B49" s="239" t="s">
        <v>1534</v>
      </c>
      <c r="C49" s="240">
        <v>250957.0</v>
      </c>
      <c r="D49" s="239" t="s">
        <v>4861</v>
      </c>
      <c r="E49" s="240" t="s">
        <v>28</v>
      </c>
      <c r="G49" s="241" t="b">
        <v>1</v>
      </c>
      <c r="I49" s="236" t="s">
        <v>4995</v>
      </c>
      <c r="J49" s="235">
        <v>250954.0</v>
      </c>
      <c r="K49" s="236" t="s">
        <v>4861</v>
      </c>
      <c r="L49" s="235" t="s">
        <v>28</v>
      </c>
      <c r="M49" s="242"/>
      <c r="O49" s="244"/>
      <c r="P49" s="244"/>
      <c r="Q49" s="244"/>
      <c r="R49" s="244"/>
      <c r="S49" s="237"/>
    </row>
    <row r="50" spans="8:8" ht="15.75" customHeight="1">
      <c r="A50" s="238">
        <v>49.0</v>
      </c>
      <c r="B50" s="239" t="s">
        <v>4995</v>
      </c>
      <c r="C50" s="240">
        <v>250954.0</v>
      </c>
      <c r="D50" s="239" t="s">
        <v>4861</v>
      </c>
      <c r="E50" s="240" t="s">
        <v>28</v>
      </c>
      <c r="G50" s="241" t="b">
        <v>1</v>
      </c>
      <c r="I50" s="236" t="s">
        <v>4996</v>
      </c>
      <c r="J50" s="235">
        <v>250962.0</v>
      </c>
      <c r="K50" s="236" t="s">
        <v>4861</v>
      </c>
      <c r="L50" s="235" t="s">
        <v>28</v>
      </c>
      <c r="M50" s="242"/>
      <c r="O50" s="244"/>
      <c r="P50" s="244"/>
      <c r="Q50" s="244"/>
      <c r="R50" s="244"/>
      <c r="S50" s="237"/>
    </row>
    <row r="51" spans="8:8" ht="15.75" customHeight="1">
      <c r="A51" s="238">
        <v>50.0</v>
      </c>
      <c r="B51" s="239" t="s">
        <v>4996</v>
      </c>
      <c r="C51" s="240">
        <v>250962.0</v>
      </c>
      <c r="D51" s="239" t="s">
        <v>4861</v>
      </c>
      <c r="E51" s="240" t="s">
        <v>28</v>
      </c>
      <c r="G51" s="241" t="b">
        <v>1</v>
      </c>
      <c r="I51" s="236" t="s">
        <v>4542</v>
      </c>
      <c r="J51" s="235">
        <v>250963.0</v>
      </c>
      <c r="K51" s="236" t="s">
        <v>4861</v>
      </c>
      <c r="L51" s="235" t="s">
        <v>28</v>
      </c>
      <c r="M51" s="243"/>
      <c r="O51" s="244"/>
      <c r="P51" s="244"/>
      <c r="Q51" s="244"/>
      <c r="R51" s="244"/>
      <c r="S51" s="237"/>
    </row>
    <row r="52" spans="8:8" ht="15.75" customHeight="1">
      <c r="A52" s="238">
        <v>51.0</v>
      </c>
      <c r="B52" s="239" t="s">
        <v>4542</v>
      </c>
      <c r="C52" s="240">
        <v>250963.0</v>
      </c>
      <c r="D52" s="239" t="s">
        <v>4861</v>
      </c>
      <c r="E52" s="240" t="s">
        <v>28</v>
      </c>
      <c r="G52" s="241" t="b">
        <v>1</v>
      </c>
      <c r="I52" s="236" t="s">
        <v>4543</v>
      </c>
      <c r="J52" s="235">
        <v>250978.0</v>
      </c>
      <c r="K52" s="236" t="s">
        <v>4861</v>
      </c>
      <c r="L52" s="235" t="s">
        <v>28</v>
      </c>
      <c r="M52" s="242"/>
      <c r="O52" s="244"/>
      <c r="P52" s="244"/>
      <c r="Q52" s="244"/>
      <c r="R52" s="244"/>
      <c r="S52" s="237"/>
    </row>
    <row r="53" spans="8:8" ht="15.75" customHeight="1">
      <c r="A53" s="238">
        <v>52.0</v>
      </c>
      <c r="B53" s="239" t="s">
        <v>4543</v>
      </c>
      <c r="C53" s="240">
        <v>250978.0</v>
      </c>
      <c r="D53" s="239" t="s">
        <v>4861</v>
      </c>
      <c r="E53" s="240" t="s">
        <v>28</v>
      </c>
      <c r="G53" s="241" t="b">
        <v>1</v>
      </c>
      <c r="I53" s="236" t="s">
        <v>1556</v>
      </c>
      <c r="J53" s="235">
        <v>250985.0</v>
      </c>
      <c r="K53" s="236" t="s">
        <v>4861</v>
      </c>
      <c r="L53" s="235" t="s">
        <v>28</v>
      </c>
      <c r="M53" s="242"/>
      <c r="O53" s="244"/>
      <c r="P53" s="244"/>
      <c r="Q53" s="244"/>
      <c r="R53" s="244"/>
      <c r="S53" s="237"/>
    </row>
    <row r="54" spans="8:8" ht="15.75" customHeight="1">
      <c r="A54" s="238">
        <v>53.0</v>
      </c>
      <c r="B54" s="239" t="s">
        <v>1556</v>
      </c>
      <c r="C54" s="240">
        <v>250985.0</v>
      </c>
      <c r="D54" s="239" t="s">
        <v>4861</v>
      </c>
      <c r="E54" s="240" t="s">
        <v>28</v>
      </c>
      <c r="G54" s="241" t="b">
        <v>1</v>
      </c>
      <c r="I54" s="236" t="s">
        <v>1636</v>
      </c>
      <c r="J54" s="235">
        <v>253161.0</v>
      </c>
      <c r="K54" s="236" t="s">
        <v>4989</v>
      </c>
      <c r="L54" s="235" t="s">
        <v>28</v>
      </c>
      <c r="M54" s="242"/>
      <c r="O54" s="244"/>
      <c r="P54" s="244"/>
      <c r="Q54" s="244"/>
      <c r="R54" s="244"/>
      <c r="S54" s="237"/>
    </row>
    <row r="55" spans="8:8" ht="15.75" customHeight="1">
      <c r="A55" s="238">
        <v>54.0</v>
      </c>
      <c r="B55" s="239" t="s">
        <v>1636</v>
      </c>
      <c r="C55" s="240">
        <v>253161.0</v>
      </c>
      <c r="D55" s="239" t="s">
        <v>4989</v>
      </c>
      <c r="E55" s="240" t="s">
        <v>28</v>
      </c>
      <c r="G55" s="241" t="b">
        <v>1</v>
      </c>
      <c r="I55" s="236" t="s">
        <v>4633</v>
      </c>
      <c r="J55" s="235">
        <v>250995.0</v>
      </c>
      <c r="K55" s="236" t="s">
        <v>4861</v>
      </c>
      <c r="L55" s="235" t="s">
        <v>28</v>
      </c>
      <c r="M55" s="242"/>
      <c r="O55" s="244"/>
      <c r="P55" s="244"/>
      <c r="Q55" s="244"/>
      <c r="R55" s="244"/>
      <c r="S55" s="237"/>
    </row>
    <row r="56" spans="8:8" ht="15.75" customHeight="1">
      <c r="A56" s="238">
        <v>55.0</v>
      </c>
      <c r="B56" s="239" t="s">
        <v>4633</v>
      </c>
      <c r="C56" s="240">
        <v>250995.0</v>
      </c>
      <c r="D56" s="239" t="s">
        <v>4861</v>
      </c>
      <c r="E56" s="240" t="s">
        <v>28</v>
      </c>
      <c r="G56" s="241" t="b">
        <v>1</v>
      </c>
      <c r="I56" s="236" t="s">
        <v>1533</v>
      </c>
      <c r="J56" s="235">
        <v>251026.0</v>
      </c>
      <c r="K56" s="236" t="s">
        <v>4861</v>
      </c>
      <c r="L56" s="235" t="s">
        <v>28</v>
      </c>
      <c r="M56" s="242"/>
      <c r="O56" s="244"/>
      <c r="P56" s="244"/>
      <c r="Q56" s="244"/>
      <c r="R56" s="244"/>
      <c r="S56" s="237"/>
    </row>
    <row r="57" spans="8:8" ht="15.75" customHeight="1">
      <c r="A57" s="238">
        <v>56.0</v>
      </c>
      <c r="B57" s="239" t="s">
        <v>1533</v>
      </c>
      <c r="C57" s="240">
        <v>251026.0</v>
      </c>
      <c r="D57" s="239" t="s">
        <v>4861</v>
      </c>
      <c r="E57" s="240" t="s">
        <v>28</v>
      </c>
      <c r="G57" s="241" t="b">
        <v>1</v>
      </c>
      <c r="I57" s="236" t="s">
        <v>4997</v>
      </c>
      <c r="J57" s="235">
        <v>251018.0</v>
      </c>
      <c r="K57" s="236" t="s">
        <v>4861</v>
      </c>
      <c r="L57" s="235" t="s">
        <v>28</v>
      </c>
      <c r="M57" s="242"/>
      <c r="O57" s="244"/>
      <c r="P57" s="244"/>
      <c r="Q57" s="244"/>
      <c r="R57" s="244"/>
      <c r="S57" s="237"/>
    </row>
    <row r="58" spans="8:8" ht="15.75" customHeight="1">
      <c r="A58" s="238">
        <v>57.0</v>
      </c>
      <c r="B58" s="239" t="s">
        <v>4997</v>
      </c>
      <c r="C58" s="240">
        <v>251018.0</v>
      </c>
      <c r="D58" s="239" t="s">
        <v>4861</v>
      </c>
      <c r="E58" s="240" t="s">
        <v>28</v>
      </c>
      <c r="G58" s="241" t="b">
        <v>1</v>
      </c>
      <c r="I58" s="236" t="s">
        <v>4552</v>
      </c>
      <c r="J58" s="235">
        <v>240520.0</v>
      </c>
      <c r="K58" s="236" t="s">
        <v>4883</v>
      </c>
      <c r="L58" s="235" t="s">
        <v>28</v>
      </c>
      <c r="M58" s="242"/>
      <c r="O58" s="244"/>
      <c r="P58" s="244"/>
      <c r="Q58" s="244"/>
      <c r="R58" s="244"/>
      <c r="S58" s="237"/>
    </row>
    <row r="59" spans="8:8" ht="15.75" customHeight="1">
      <c r="A59" s="238">
        <v>58.0</v>
      </c>
      <c r="B59" s="239" t="s">
        <v>4552</v>
      </c>
      <c r="C59" s="240">
        <v>240520.0</v>
      </c>
      <c r="D59" s="239" t="s">
        <v>4883</v>
      </c>
      <c r="E59" s="240" t="s">
        <v>28</v>
      </c>
      <c r="G59" s="241" t="b">
        <v>1</v>
      </c>
      <c r="I59" s="236" t="s">
        <v>423</v>
      </c>
      <c r="J59" s="235">
        <v>253123.0</v>
      </c>
      <c r="K59" s="236" t="s">
        <v>4998</v>
      </c>
      <c r="L59" s="235" t="s">
        <v>28</v>
      </c>
      <c r="M59" s="242"/>
      <c r="O59" s="244"/>
      <c r="P59" s="244"/>
      <c r="Q59" s="244"/>
      <c r="R59" s="244"/>
      <c r="S59" s="237"/>
    </row>
    <row r="60" spans="8:8" ht="15.75" customHeight="1">
      <c r="A60" s="238">
        <v>59.0</v>
      </c>
      <c r="B60" s="239" t="s">
        <v>423</v>
      </c>
      <c r="C60" s="240">
        <v>253123.0</v>
      </c>
      <c r="D60" s="239" t="s">
        <v>4998</v>
      </c>
      <c r="E60" s="240" t="s">
        <v>28</v>
      </c>
      <c r="F60" s="241">
        <v>9.0</v>
      </c>
      <c r="G60" s="241" t="b">
        <v>1</v>
      </c>
      <c r="I60" s="236" t="s">
        <v>4646</v>
      </c>
      <c r="J60" s="235">
        <v>250705.0</v>
      </c>
      <c r="K60" s="236" t="s">
        <v>4861</v>
      </c>
      <c r="L60" s="235" t="s">
        <v>111</v>
      </c>
      <c r="M60" s="243"/>
      <c r="O60" s="244"/>
      <c r="P60" s="244"/>
      <c r="Q60" s="244"/>
      <c r="R60" s="244"/>
      <c r="S60" s="237"/>
    </row>
    <row r="61" spans="8:8" ht="15.75" customHeight="1">
      <c r="A61" s="238">
        <v>60.0</v>
      </c>
      <c r="B61" s="239" t="s">
        <v>4646</v>
      </c>
      <c r="C61" s="240">
        <v>250705.0</v>
      </c>
      <c r="D61" s="239" t="s">
        <v>4861</v>
      </c>
      <c r="E61" s="240" t="s">
        <v>111</v>
      </c>
      <c r="G61" s="241" t="b">
        <v>1</v>
      </c>
      <c r="I61" s="236" t="s">
        <v>4647</v>
      </c>
      <c r="J61" s="235">
        <v>250970.0</v>
      </c>
      <c r="K61" s="236" t="s">
        <v>4861</v>
      </c>
      <c r="L61" s="235" t="s">
        <v>111</v>
      </c>
      <c r="M61" s="242"/>
      <c r="O61" s="244"/>
      <c r="P61" s="244"/>
      <c r="Q61" s="244"/>
      <c r="R61" s="244"/>
      <c r="S61" s="237"/>
    </row>
    <row r="62" spans="8:8" ht="15.75" customHeight="1">
      <c r="A62" s="238">
        <v>61.0</v>
      </c>
      <c r="B62" s="239" t="s">
        <v>4647</v>
      </c>
      <c r="C62" s="240">
        <v>250970.0</v>
      </c>
      <c r="D62" s="239" t="s">
        <v>4861</v>
      </c>
      <c r="E62" s="240" t="s">
        <v>111</v>
      </c>
      <c r="G62" s="241" t="b">
        <v>1</v>
      </c>
      <c r="I62" s="236" t="s">
        <v>4648</v>
      </c>
      <c r="J62" s="235">
        <v>250966.0</v>
      </c>
      <c r="K62" s="236" t="s">
        <v>4861</v>
      </c>
      <c r="L62" s="235" t="s">
        <v>111</v>
      </c>
      <c r="M62" s="242"/>
      <c r="O62" s="244"/>
      <c r="P62" s="244"/>
      <c r="Q62" s="244"/>
      <c r="R62" s="244"/>
      <c r="S62" s="237"/>
    </row>
    <row r="63" spans="8:8" ht="15.75" customHeight="1">
      <c r="A63" s="238">
        <v>62.0</v>
      </c>
      <c r="B63" s="239" t="s">
        <v>4648</v>
      </c>
      <c r="C63" s="240">
        <v>250966.0</v>
      </c>
      <c r="D63" s="239" t="s">
        <v>4861</v>
      </c>
      <c r="E63" s="240" t="s">
        <v>111</v>
      </c>
      <c r="G63" s="241" t="b">
        <v>1</v>
      </c>
      <c r="I63" s="236" t="s">
        <v>4649</v>
      </c>
      <c r="J63" s="235">
        <v>240661.0</v>
      </c>
      <c r="K63" s="236" t="s">
        <v>4948</v>
      </c>
      <c r="L63" s="235" t="s">
        <v>111</v>
      </c>
      <c r="M63" s="242"/>
      <c r="O63" s="244"/>
      <c r="P63" s="244"/>
      <c r="Q63" s="244"/>
      <c r="R63" s="244"/>
      <c r="S63" s="237"/>
    </row>
    <row r="64" spans="8:8" ht="15.75" customHeight="1">
      <c r="A64" s="238">
        <v>63.0</v>
      </c>
      <c r="B64" s="239" t="s">
        <v>4649</v>
      </c>
      <c r="C64" s="240">
        <v>240661.0</v>
      </c>
      <c r="D64" s="239" t="s">
        <v>4948</v>
      </c>
      <c r="E64" s="240" t="s">
        <v>111</v>
      </c>
      <c r="G64" s="241" t="b">
        <v>1</v>
      </c>
      <c r="I64" s="236" t="s">
        <v>4650</v>
      </c>
      <c r="J64" s="235">
        <v>240868.0</v>
      </c>
      <c r="K64" s="236" t="s">
        <v>4948</v>
      </c>
      <c r="L64" s="235" t="s">
        <v>111</v>
      </c>
      <c r="M64" s="243"/>
      <c r="O64" s="244"/>
      <c r="P64" s="244"/>
      <c r="Q64" s="244"/>
      <c r="R64" s="244"/>
      <c r="S64" s="237"/>
    </row>
    <row r="65" spans="8:8" ht="15.75" customHeight="1">
      <c r="A65" s="238">
        <v>64.0</v>
      </c>
      <c r="B65" s="239" t="s">
        <v>4650</v>
      </c>
      <c r="C65" s="240">
        <v>240868.0</v>
      </c>
      <c r="D65" s="239" t="s">
        <v>4948</v>
      </c>
      <c r="E65" s="240" t="s">
        <v>111</v>
      </c>
      <c r="G65" s="241" t="b">
        <v>1</v>
      </c>
      <c r="I65" s="239" t="s">
        <v>987</v>
      </c>
      <c r="J65" s="235">
        <v>253096.0</v>
      </c>
      <c r="K65" s="236" t="s">
        <v>4948</v>
      </c>
      <c r="L65" s="235" t="s">
        <v>111</v>
      </c>
      <c r="M65" s="242"/>
      <c r="O65" s="244"/>
      <c r="P65" s="244"/>
      <c r="Q65" s="244"/>
      <c r="R65" s="244"/>
      <c r="S65" s="237"/>
    </row>
    <row r="66" spans="8:8" ht="15.75" customHeight="1">
      <c r="A66" s="238">
        <v>65.0</v>
      </c>
      <c r="B66" s="239" t="s">
        <v>987</v>
      </c>
      <c r="C66" s="240">
        <v>253096.0</v>
      </c>
      <c r="D66" s="239" t="s">
        <v>4948</v>
      </c>
      <c r="E66" s="240" t="s">
        <v>111</v>
      </c>
      <c r="G66" s="241" t="b">
        <v>1</v>
      </c>
      <c r="I66" s="236" t="s">
        <v>988</v>
      </c>
      <c r="J66" s="235">
        <v>251024.0</v>
      </c>
      <c r="K66" s="236" t="s">
        <v>4861</v>
      </c>
      <c r="L66" s="235" t="s">
        <v>111</v>
      </c>
      <c r="M66" s="242"/>
      <c r="O66" s="244"/>
      <c r="P66" s="244"/>
      <c r="Q66" s="244"/>
      <c r="R66" s="244"/>
      <c r="S66" s="237"/>
    </row>
    <row r="67" spans="8:8" ht="15.75" customHeight="1">
      <c r="A67" s="238">
        <v>66.0</v>
      </c>
      <c r="B67" s="239" t="s">
        <v>988</v>
      </c>
      <c r="C67" s="240">
        <v>251024.0</v>
      </c>
      <c r="D67" s="239" t="s">
        <v>4861</v>
      </c>
      <c r="E67" s="240" t="s">
        <v>111</v>
      </c>
      <c r="G67" s="241" t="b">
        <v>1</v>
      </c>
      <c r="I67" s="236" t="s">
        <v>1459</v>
      </c>
      <c r="J67" s="249">
        <v>253114.0</v>
      </c>
      <c r="K67" s="236" t="s">
        <v>4982</v>
      </c>
      <c r="L67" s="235" t="s">
        <v>111</v>
      </c>
      <c r="M67" s="242"/>
      <c r="O67" s="244"/>
      <c r="P67" s="244"/>
      <c r="Q67" s="244"/>
      <c r="R67" s="244"/>
      <c r="S67" s="237"/>
    </row>
    <row r="68" spans="8:8" ht="15.75" customHeight="1">
      <c r="A68" s="238">
        <v>67.0</v>
      </c>
      <c r="B68" s="239" t="s">
        <v>4651</v>
      </c>
      <c r="C68" s="257">
        <v>240746.0</v>
      </c>
      <c r="D68" s="239" t="s">
        <v>4948</v>
      </c>
      <c r="E68" s="240" t="s">
        <v>111</v>
      </c>
      <c r="G68" s="241" t="b">
        <v>1</v>
      </c>
      <c r="I68" s="239" t="s">
        <v>4651</v>
      </c>
      <c r="J68" s="249">
        <v>240746.0</v>
      </c>
      <c r="K68" s="236" t="s">
        <v>4948</v>
      </c>
      <c r="L68" s="235" t="s">
        <v>111</v>
      </c>
      <c r="M68" s="242"/>
      <c r="O68" s="244"/>
      <c r="P68" s="244"/>
      <c r="Q68" s="244"/>
      <c r="R68" s="244"/>
      <c r="S68" s="237"/>
    </row>
    <row r="69" spans="8:8" ht="15.75" customHeight="1">
      <c r="A69" s="238">
        <v>68.0</v>
      </c>
      <c r="B69" s="239" t="s">
        <v>4736</v>
      </c>
      <c r="C69" s="240">
        <v>240900.0</v>
      </c>
      <c r="D69" s="239" t="s">
        <v>4948</v>
      </c>
      <c r="E69" s="240" t="s">
        <v>111</v>
      </c>
      <c r="G69" s="241" t="b">
        <v>1</v>
      </c>
      <c r="I69" s="236" t="s">
        <v>4736</v>
      </c>
      <c r="J69" s="235">
        <v>240900.0</v>
      </c>
      <c r="K69" s="236" t="s">
        <v>4948</v>
      </c>
      <c r="L69" s="235" t="s">
        <v>111</v>
      </c>
      <c r="M69" s="243"/>
      <c r="O69" s="244"/>
      <c r="P69" s="255"/>
      <c r="Q69" s="244"/>
      <c r="R69" s="244"/>
      <c r="S69" s="237"/>
    </row>
    <row r="70" spans="8:8" ht="15.75" customHeight="1">
      <c r="A70" s="238">
        <v>69.0</v>
      </c>
      <c r="B70" s="239" t="s">
        <v>4737</v>
      </c>
      <c r="C70" s="240">
        <v>251007.0</v>
      </c>
      <c r="D70" s="239" t="s">
        <v>4971</v>
      </c>
      <c r="E70" s="240" t="s">
        <v>111</v>
      </c>
      <c r="G70" s="241" t="b">
        <v>1</v>
      </c>
      <c r="I70" s="239" t="s">
        <v>4737</v>
      </c>
      <c r="J70" s="235">
        <v>251007.0</v>
      </c>
      <c r="K70" s="236" t="s">
        <v>4971</v>
      </c>
      <c r="L70" s="235" t="s">
        <v>111</v>
      </c>
      <c r="M70" s="242"/>
      <c r="O70" s="244"/>
      <c r="P70" s="244"/>
      <c r="Q70" s="244"/>
      <c r="R70" s="244"/>
      <c r="S70" s="237"/>
    </row>
    <row r="71" spans="8:8" ht="15.75" customHeight="1">
      <c r="A71" s="238">
        <v>70.0</v>
      </c>
      <c r="B71" s="239" t="s">
        <v>1059</v>
      </c>
      <c r="C71" s="240">
        <v>250172.0</v>
      </c>
      <c r="D71" s="239" t="s">
        <v>4982</v>
      </c>
      <c r="E71" s="240" t="s">
        <v>111</v>
      </c>
      <c r="G71" s="241" t="b">
        <v>1</v>
      </c>
      <c r="I71" s="236" t="s">
        <v>1059</v>
      </c>
      <c r="J71" s="235">
        <v>250172.0</v>
      </c>
      <c r="K71" s="236" t="s">
        <v>4982</v>
      </c>
      <c r="L71" s="235" t="s">
        <v>111</v>
      </c>
      <c r="M71" s="256"/>
      <c r="O71" s="244"/>
      <c r="P71" s="244"/>
      <c r="Q71" s="244"/>
      <c r="R71" s="244"/>
      <c r="S71" s="237"/>
    </row>
    <row r="72" spans="8:8" ht="15.75" customHeight="1">
      <c r="A72" s="238">
        <v>71.0</v>
      </c>
      <c r="B72" s="239" t="s">
        <v>4572</v>
      </c>
      <c r="C72" s="240">
        <v>250904.0</v>
      </c>
      <c r="D72" s="239" t="s">
        <v>4948</v>
      </c>
      <c r="E72" s="240" t="s">
        <v>580</v>
      </c>
      <c r="G72" s="241" t="b">
        <v>1</v>
      </c>
      <c r="I72" s="236" t="s">
        <v>4572</v>
      </c>
      <c r="J72" s="235">
        <v>250904.0</v>
      </c>
      <c r="K72" s="236" t="s">
        <v>4948</v>
      </c>
      <c r="L72" s="235" t="s">
        <v>580</v>
      </c>
      <c r="M72" s="242"/>
      <c r="O72" s="244"/>
      <c r="P72" s="244"/>
      <c r="Q72" s="244"/>
      <c r="R72" s="244"/>
      <c r="S72" s="237"/>
    </row>
    <row r="73" spans="8:8" ht="15.75" customHeight="1">
      <c r="A73" s="238">
        <v>72.0</v>
      </c>
      <c r="B73" s="239" t="s">
        <v>4573</v>
      </c>
      <c r="C73" s="240">
        <v>250114.0</v>
      </c>
      <c r="D73" s="239" t="s">
        <v>4982</v>
      </c>
      <c r="E73" s="240" t="s">
        <v>580</v>
      </c>
      <c r="G73" s="241" t="b">
        <v>1</v>
      </c>
      <c r="I73" s="236" t="s">
        <v>4573</v>
      </c>
      <c r="J73" s="235">
        <v>250114.0</v>
      </c>
      <c r="K73" s="236" t="s">
        <v>4982</v>
      </c>
      <c r="L73" s="235" t="s">
        <v>580</v>
      </c>
      <c r="M73" s="242"/>
      <c r="O73" s="244"/>
      <c r="P73" s="244"/>
      <c r="Q73" s="244"/>
      <c r="R73" s="244"/>
      <c r="S73" s="237"/>
    </row>
    <row r="74" spans="8:8" ht="15.75" customHeight="1">
      <c r="A74" s="238">
        <v>73.0</v>
      </c>
      <c r="B74" s="239" t="s">
        <v>1492</v>
      </c>
      <c r="C74" s="240">
        <v>250996.0</v>
      </c>
      <c r="D74" s="239" t="s">
        <v>4984</v>
      </c>
      <c r="E74" s="240" t="s">
        <v>580</v>
      </c>
      <c r="G74" s="241" t="b">
        <v>1</v>
      </c>
      <c r="I74" s="236" t="s">
        <v>1492</v>
      </c>
      <c r="J74" s="235">
        <v>250996.0</v>
      </c>
      <c r="K74" s="236" t="s">
        <v>4984</v>
      </c>
      <c r="L74" s="235" t="s">
        <v>580</v>
      </c>
      <c r="M74" s="243"/>
      <c r="O74" s="244"/>
      <c r="P74" s="244"/>
      <c r="Q74" s="244"/>
      <c r="R74" s="244"/>
      <c r="S74" s="237"/>
    </row>
    <row r="75" spans="8:8" ht="15.75" customHeight="1">
      <c r="A75" s="238">
        <v>74.0</v>
      </c>
      <c r="B75" s="239" t="s">
        <v>3246</v>
      </c>
      <c r="C75" s="240">
        <v>250775.0</v>
      </c>
      <c r="D75" s="239" t="s">
        <v>4861</v>
      </c>
      <c r="E75" s="240" t="s">
        <v>580</v>
      </c>
      <c r="F75" s="241">
        <v>9.0</v>
      </c>
      <c r="G75" s="241" t="b">
        <v>1</v>
      </c>
      <c r="I75" s="236" t="s">
        <v>3246</v>
      </c>
      <c r="J75" s="235">
        <v>250775.0</v>
      </c>
      <c r="K75" s="236" t="s">
        <v>4861</v>
      </c>
      <c r="L75" s="235" t="s">
        <v>580</v>
      </c>
      <c r="M75" s="242"/>
      <c r="O75" s="244"/>
      <c r="P75" s="244"/>
      <c r="Q75" s="244"/>
      <c r="R75" s="244"/>
      <c r="S75" s="237"/>
    </row>
    <row r="76" spans="8:8" ht="15.75" customHeight="1">
      <c r="A76" s="238">
        <v>75.0</v>
      </c>
      <c r="B76" s="239" t="s">
        <v>1507</v>
      </c>
      <c r="C76" s="240">
        <v>250896.0</v>
      </c>
      <c r="D76" s="239" t="s">
        <v>4861</v>
      </c>
      <c r="E76" s="240" t="s">
        <v>580</v>
      </c>
      <c r="G76" s="241" t="b">
        <v>1</v>
      </c>
      <c r="I76" s="236" t="s">
        <v>1507</v>
      </c>
      <c r="J76" s="235">
        <v>250896.0</v>
      </c>
      <c r="K76" s="236" t="s">
        <v>4861</v>
      </c>
      <c r="L76" s="235" t="s">
        <v>580</v>
      </c>
      <c r="M76" s="242"/>
      <c r="O76" s="244"/>
      <c r="P76" s="244"/>
      <c r="Q76" s="244"/>
      <c r="R76" s="244"/>
      <c r="S76" s="237"/>
    </row>
    <row r="77" spans="8:8" ht="15.75" customHeight="1">
      <c r="A77" s="238">
        <v>76.0</v>
      </c>
      <c r="B77" s="239" t="s">
        <v>4574</v>
      </c>
      <c r="C77" s="240">
        <v>250866.0</v>
      </c>
      <c r="D77" s="239" t="s">
        <v>4984</v>
      </c>
      <c r="E77" s="240" t="s">
        <v>580</v>
      </c>
      <c r="G77" s="241" t="b">
        <v>1</v>
      </c>
      <c r="I77" s="236" t="s">
        <v>4574</v>
      </c>
      <c r="J77" s="235">
        <v>250866.0</v>
      </c>
      <c r="K77" s="236" t="s">
        <v>4984</v>
      </c>
      <c r="L77" s="235" t="s">
        <v>580</v>
      </c>
      <c r="M77" s="242"/>
      <c r="O77" s="244"/>
      <c r="P77" s="244"/>
      <c r="Q77" s="244"/>
      <c r="R77" s="244"/>
      <c r="S77" s="237"/>
    </row>
    <row r="78" spans="8:8" ht="15.75" customHeight="1">
      <c r="A78" s="238">
        <v>77.0</v>
      </c>
      <c r="B78" s="239" t="s">
        <v>4999</v>
      </c>
      <c r="C78" s="240">
        <v>253058.0</v>
      </c>
      <c r="D78" s="239" t="s">
        <v>5000</v>
      </c>
      <c r="E78" s="240" t="s">
        <v>580</v>
      </c>
      <c r="G78" s="241" t="b">
        <v>1</v>
      </c>
      <c r="I78" s="258" t="s">
        <v>4999</v>
      </c>
      <c r="J78" s="259">
        <v>253058.0</v>
      </c>
      <c r="K78" s="260" t="s">
        <v>5000</v>
      </c>
      <c r="L78" s="261" t="s">
        <v>580</v>
      </c>
      <c r="M78" s="242"/>
      <c r="O78" s="244"/>
      <c r="P78" s="244"/>
      <c r="Q78" s="244"/>
      <c r="R78" s="244"/>
      <c r="S78" s="237"/>
    </row>
    <row r="79" spans="8:8" ht="15.75" customHeight="1">
      <c r="A79" s="238">
        <v>78.0</v>
      </c>
      <c r="B79" s="239" t="s">
        <v>4575</v>
      </c>
      <c r="C79" s="240">
        <v>240666.0</v>
      </c>
      <c r="D79" s="239" t="s">
        <v>4948</v>
      </c>
      <c r="E79" s="240" t="s">
        <v>580</v>
      </c>
      <c r="F79" s="241">
        <v>9.0</v>
      </c>
      <c r="G79" s="241" t="b">
        <v>1</v>
      </c>
      <c r="I79" s="236" t="s">
        <v>4575</v>
      </c>
      <c r="J79" s="235">
        <v>240666.0</v>
      </c>
      <c r="K79" s="236" t="s">
        <v>4948</v>
      </c>
      <c r="L79" s="235" t="s">
        <v>580</v>
      </c>
      <c r="M79" s="242"/>
      <c r="O79" s="244"/>
      <c r="P79" s="244"/>
      <c r="Q79" s="244"/>
      <c r="R79" s="244"/>
      <c r="S79" s="237"/>
    </row>
    <row r="80" spans="8:8" ht="15.75" customHeight="1">
      <c r="A80" s="238">
        <v>79.0</v>
      </c>
      <c r="B80" s="239" t="s">
        <v>1480</v>
      </c>
      <c r="C80" s="240">
        <v>250174.0</v>
      </c>
      <c r="D80" s="239" t="s">
        <v>4982</v>
      </c>
      <c r="E80" s="240" t="s">
        <v>781</v>
      </c>
      <c r="F80" s="241">
        <v>9.0</v>
      </c>
      <c r="G80" s="241" t="b">
        <v>1</v>
      </c>
      <c r="I80" s="236" t="s">
        <v>1480</v>
      </c>
      <c r="J80" s="235">
        <v>250174.0</v>
      </c>
      <c r="K80" s="236" t="s">
        <v>4982</v>
      </c>
      <c r="L80" s="235" t="s">
        <v>781</v>
      </c>
      <c r="M80" s="242"/>
      <c r="O80" s="244"/>
      <c r="P80" s="244"/>
      <c r="Q80" s="244"/>
      <c r="R80" s="244"/>
      <c r="S80" s="237"/>
    </row>
    <row r="81" spans="8:8" ht="15.75" customHeight="1">
      <c r="A81" s="238">
        <v>80.0</v>
      </c>
      <c r="B81" s="239" t="s">
        <v>4568</v>
      </c>
      <c r="C81" s="240">
        <v>240611.0</v>
      </c>
      <c r="D81" s="239" t="s">
        <v>4948</v>
      </c>
      <c r="E81" s="240" t="s">
        <v>781</v>
      </c>
      <c r="F81" s="241">
        <v>9.0</v>
      </c>
      <c r="G81" s="241" t="b">
        <v>1</v>
      </c>
      <c r="I81" s="236" t="s">
        <v>4568</v>
      </c>
      <c r="J81" s="235">
        <v>240611.0</v>
      </c>
      <c r="K81" s="236" t="s">
        <v>4948</v>
      </c>
      <c r="L81" s="235" t="s">
        <v>781</v>
      </c>
      <c r="M81" s="242"/>
      <c r="O81" s="244"/>
      <c r="P81" s="244"/>
      <c r="Q81" s="244"/>
      <c r="R81" s="244"/>
      <c r="S81" s="237"/>
    </row>
    <row r="82" spans="8:8" ht="15.75" customHeight="1">
      <c r="A82" s="238">
        <v>81.0</v>
      </c>
      <c r="B82" s="239" t="s">
        <v>4577</v>
      </c>
      <c r="C82" s="240">
        <v>250380.0</v>
      </c>
      <c r="D82" s="239" t="s">
        <v>5001</v>
      </c>
      <c r="E82" s="240" t="s">
        <v>28</v>
      </c>
      <c r="F82" s="241">
        <v>12.0</v>
      </c>
      <c r="G82" s="241" t="b">
        <v>1</v>
      </c>
      <c r="I82" s="236" t="s">
        <v>4577</v>
      </c>
      <c r="J82" s="235">
        <v>250380.0</v>
      </c>
      <c r="K82" s="236" t="s">
        <v>5001</v>
      </c>
      <c r="L82" s="235" t="s">
        <v>28</v>
      </c>
      <c r="M82" s="242"/>
      <c r="O82" s="244"/>
      <c r="P82" s="244"/>
      <c r="Q82" s="244"/>
      <c r="R82" s="244"/>
      <c r="S82" s="237"/>
    </row>
    <row r="83" spans="8:8" ht="15.75" customHeight="1">
      <c r="A83" s="238">
        <v>82.0</v>
      </c>
      <c r="B83" s="239" t="s">
        <v>1511</v>
      </c>
      <c r="C83" s="240">
        <v>250386.0</v>
      </c>
      <c r="D83" s="239" t="s">
        <v>5001</v>
      </c>
      <c r="E83" s="240" t="s">
        <v>28</v>
      </c>
      <c r="F83" s="241">
        <v>12.0</v>
      </c>
      <c r="G83" s="241" t="b">
        <v>1</v>
      </c>
      <c r="I83" s="236" t="s">
        <v>1511</v>
      </c>
      <c r="J83" s="235">
        <v>250386.0</v>
      </c>
      <c r="K83" s="236" t="s">
        <v>5001</v>
      </c>
      <c r="L83" s="235" t="s">
        <v>28</v>
      </c>
      <c r="M83" s="243"/>
      <c r="O83" s="244"/>
      <c r="P83" s="244"/>
      <c r="Q83" s="244"/>
      <c r="R83" s="244"/>
      <c r="S83" s="237"/>
    </row>
    <row r="84" spans="8:8" ht="15.75" customHeight="1">
      <c r="A84" s="238">
        <v>83.0</v>
      </c>
      <c r="B84" s="239" t="s">
        <v>1513</v>
      </c>
      <c r="C84" s="240">
        <v>250389.0</v>
      </c>
      <c r="D84" s="239" t="s">
        <v>5001</v>
      </c>
      <c r="E84" s="240" t="s">
        <v>28</v>
      </c>
      <c r="G84" s="241" t="b">
        <v>1</v>
      </c>
      <c r="I84" s="236" t="s">
        <v>1513</v>
      </c>
      <c r="J84" s="235">
        <v>250389.0</v>
      </c>
      <c r="K84" s="236" t="s">
        <v>5001</v>
      </c>
      <c r="L84" s="235" t="s">
        <v>28</v>
      </c>
      <c r="M84" s="242"/>
      <c r="O84" s="244"/>
      <c r="P84" s="244"/>
      <c r="Q84" s="244"/>
      <c r="R84" s="244"/>
      <c r="S84" s="237"/>
    </row>
    <row r="85" spans="8:8" ht="15.75" customHeight="1">
      <c r="A85" s="238">
        <v>84.0</v>
      </c>
      <c r="B85" s="239" t="s">
        <v>4738</v>
      </c>
      <c r="C85" s="240">
        <v>250997.0</v>
      </c>
      <c r="D85" s="239" t="s">
        <v>4984</v>
      </c>
      <c r="E85" s="240" t="s">
        <v>111</v>
      </c>
      <c r="G85" s="241" t="b">
        <v>1</v>
      </c>
      <c r="I85" s="236" t="s">
        <v>4738</v>
      </c>
      <c r="J85" s="235">
        <v>250997.0</v>
      </c>
      <c r="K85" s="236" t="s">
        <v>4984</v>
      </c>
      <c r="L85" s="235" t="s">
        <v>111</v>
      </c>
      <c r="M85" s="242"/>
      <c r="O85" s="244"/>
      <c r="P85" s="244"/>
      <c r="Q85" s="244"/>
      <c r="R85" s="244"/>
      <c r="S85" s="237"/>
    </row>
    <row r="86" spans="8:8" ht="15.75" customHeight="1">
      <c r="A86" s="238">
        <v>85.0</v>
      </c>
      <c r="B86" s="239" t="s">
        <v>1514</v>
      </c>
      <c r="C86" s="240">
        <v>240511.0</v>
      </c>
      <c r="D86" s="239" t="s">
        <v>4883</v>
      </c>
      <c r="E86" s="240" t="s">
        <v>28</v>
      </c>
      <c r="G86" s="241" t="b">
        <v>1</v>
      </c>
      <c r="I86" s="236" t="s">
        <v>1514</v>
      </c>
      <c r="J86" s="235">
        <v>240511.0</v>
      </c>
      <c r="K86" s="236" t="s">
        <v>4883</v>
      </c>
      <c r="L86" s="235" t="s">
        <v>28</v>
      </c>
      <c r="M86" s="242"/>
      <c r="O86" s="244"/>
      <c r="P86" s="244"/>
      <c r="Q86" s="244"/>
      <c r="R86" s="244"/>
      <c r="S86" s="237"/>
    </row>
    <row r="87" spans="8:8" ht="15.75" customHeight="1">
      <c r="A87" s="238">
        <v>86.0</v>
      </c>
      <c r="B87" s="239" t="s">
        <v>5002</v>
      </c>
      <c r="C87" s="240">
        <v>250467.0</v>
      </c>
      <c r="D87" s="239" t="s">
        <v>5001</v>
      </c>
      <c r="E87" s="240" t="s">
        <v>28</v>
      </c>
      <c r="F87" s="241">
        <v>12.0</v>
      </c>
      <c r="G87" s="241" t="b">
        <v>1</v>
      </c>
      <c r="I87" s="236" t="s">
        <v>5002</v>
      </c>
      <c r="J87" s="235">
        <v>250467.0</v>
      </c>
      <c r="K87" s="236" t="s">
        <v>5001</v>
      </c>
      <c r="L87" s="235" t="s">
        <v>28</v>
      </c>
      <c r="M87" s="242"/>
      <c r="O87" s="244"/>
      <c r="P87" s="244"/>
      <c r="Q87" s="244"/>
      <c r="R87" s="244"/>
      <c r="S87" s="237"/>
    </row>
    <row r="88" spans="8:8" ht="15.75" customHeight="1">
      <c r="A88" s="238">
        <v>87.0</v>
      </c>
      <c r="B88" s="239" t="s">
        <v>4578</v>
      </c>
      <c r="C88" s="240">
        <v>250533.0</v>
      </c>
      <c r="D88" s="239" t="s">
        <v>5001</v>
      </c>
      <c r="E88" s="240" t="s">
        <v>28</v>
      </c>
      <c r="G88" s="241" t="b">
        <v>1</v>
      </c>
      <c r="I88" s="236" t="s">
        <v>4578</v>
      </c>
      <c r="J88" s="235">
        <v>250533.0</v>
      </c>
      <c r="K88" s="236" t="s">
        <v>5001</v>
      </c>
      <c r="L88" s="235" t="s">
        <v>28</v>
      </c>
      <c r="M88" s="242"/>
      <c r="O88" s="244"/>
      <c r="P88" s="244"/>
      <c r="Q88" s="244"/>
      <c r="R88" s="244"/>
      <c r="S88" s="237"/>
    </row>
    <row r="89" spans="8:8" ht="15.75" customHeight="1">
      <c r="A89" s="238">
        <v>88.0</v>
      </c>
      <c r="B89" s="239" t="s">
        <v>5003</v>
      </c>
      <c r="C89" s="240">
        <v>250535.0</v>
      </c>
      <c r="D89" s="239" t="s">
        <v>5001</v>
      </c>
      <c r="E89" s="240" t="s">
        <v>28</v>
      </c>
      <c r="G89" s="241" t="b">
        <v>1</v>
      </c>
      <c r="I89" s="236" t="s">
        <v>5003</v>
      </c>
      <c r="J89" s="235">
        <v>250535.0</v>
      </c>
      <c r="K89" s="236" t="s">
        <v>5001</v>
      </c>
      <c r="L89" s="235" t="s">
        <v>28</v>
      </c>
      <c r="M89" s="242"/>
      <c r="O89" s="244"/>
      <c r="P89" s="244"/>
      <c r="Q89" s="244"/>
      <c r="R89" s="244"/>
      <c r="S89" s="237"/>
    </row>
    <row r="90" spans="8:8" ht="15.75" customHeight="1">
      <c r="A90" s="238">
        <v>89.0</v>
      </c>
      <c r="B90" s="239" t="s">
        <v>1515</v>
      </c>
      <c r="C90" s="240">
        <v>250548.0</v>
      </c>
      <c r="D90" s="239" t="s">
        <v>5001</v>
      </c>
      <c r="E90" s="240" t="s">
        <v>28</v>
      </c>
      <c r="G90" s="241" t="b">
        <v>1</v>
      </c>
      <c r="I90" s="236" t="s">
        <v>1515</v>
      </c>
      <c r="J90" s="235">
        <v>250548.0</v>
      </c>
      <c r="K90" s="236" t="s">
        <v>5001</v>
      </c>
      <c r="L90" s="235" t="s">
        <v>28</v>
      </c>
      <c r="M90" s="243"/>
      <c r="O90" s="244"/>
      <c r="P90" s="244"/>
      <c r="Q90" s="244"/>
      <c r="R90" s="244"/>
      <c r="S90" s="237"/>
    </row>
    <row r="91" spans="8:8" ht="15.75" customHeight="1">
      <c r="A91" s="238">
        <v>90.0</v>
      </c>
      <c r="B91" s="239" t="s">
        <v>1516</v>
      </c>
      <c r="C91" s="240">
        <v>251044.0</v>
      </c>
      <c r="D91" s="239" t="s">
        <v>5004</v>
      </c>
      <c r="E91" s="240" t="s">
        <v>28</v>
      </c>
      <c r="G91" s="241" t="b">
        <v>1</v>
      </c>
      <c r="I91" s="236" t="s">
        <v>1516</v>
      </c>
      <c r="J91" s="235">
        <v>251044.0</v>
      </c>
      <c r="K91" s="236" t="s">
        <v>5004</v>
      </c>
      <c r="L91" s="235" t="s">
        <v>28</v>
      </c>
      <c r="M91" s="242"/>
      <c r="O91" s="244"/>
      <c r="P91" s="244"/>
      <c r="Q91" s="244"/>
      <c r="R91" s="244"/>
      <c r="S91" s="237"/>
    </row>
    <row r="92" spans="8:8" ht="15.75" customHeight="1">
      <c r="A92" s="238">
        <v>91.0</v>
      </c>
      <c r="B92" s="239" t="s">
        <v>4632</v>
      </c>
      <c r="C92" s="240">
        <v>251061.0</v>
      </c>
      <c r="D92" s="239" t="s">
        <v>5004</v>
      </c>
      <c r="E92" s="240" t="s">
        <v>28</v>
      </c>
      <c r="G92" s="241" t="b">
        <v>1</v>
      </c>
      <c r="I92" s="236" t="s">
        <v>4632</v>
      </c>
      <c r="J92" s="235">
        <v>251061.0</v>
      </c>
      <c r="K92" s="236" t="s">
        <v>5004</v>
      </c>
      <c r="L92" s="235" t="s">
        <v>28</v>
      </c>
      <c r="M92" s="242"/>
      <c r="O92" s="244"/>
      <c r="P92" s="244"/>
      <c r="Q92" s="244"/>
      <c r="R92" s="244"/>
      <c r="S92" s="237"/>
    </row>
    <row r="93" spans="8:8" ht="15.75" customHeight="1">
      <c r="A93" s="238">
        <v>92.0</v>
      </c>
      <c r="B93" s="239" t="s">
        <v>1517</v>
      </c>
      <c r="C93" s="240">
        <v>251036.0</v>
      </c>
      <c r="D93" s="239" t="s">
        <v>5004</v>
      </c>
      <c r="E93" s="240" t="s">
        <v>28</v>
      </c>
      <c r="G93" s="241" t="b">
        <v>1</v>
      </c>
      <c r="I93" s="236" t="s">
        <v>1517</v>
      </c>
      <c r="J93" s="235">
        <v>251036.0</v>
      </c>
      <c r="K93" s="236" t="s">
        <v>5004</v>
      </c>
      <c r="L93" s="235" t="s">
        <v>28</v>
      </c>
      <c r="M93" s="242"/>
      <c r="O93" s="244"/>
      <c r="P93" s="244"/>
      <c r="Q93" s="244"/>
      <c r="R93" s="244"/>
      <c r="S93" s="237"/>
    </row>
    <row r="94" spans="8:8" ht="15.75" customHeight="1">
      <c r="A94" s="238">
        <v>93.0</v>
      </c>
      <c r="B94" s="239" t="s">
        <v>1642</v>
      </c>
      <c r="C94" s="240">
        <v>251065.0</v>
      </c>
      <c r="D94" s="239" t="s">
        <v>5004</v>
      </c>
      <c r="E94" s="240" t="s">
        <v>28</v>
      </c>
      <c r="F94" s="241">
        <v>12.0</v>
      </c>
      <c r="G94" s="241" t="b">
        <v>1</v>
      </c>
      <c r="I94" s="236" t="s">
        <v>1642</v>
      </c>
      <c r="J94" s="235">
        <v>251065.0</v>
      </c>
      <c r="K94" s="236" t="s">
        <v>5004</v>
      </c>
      <c r="L94" s="235" t="s">
        <v>28</v>
      </c>
      <c r="M94" s="242"/>
      <c r="O94" s="244"/>
      <c r="P94" s="244"/>
      <c r="Q94" s="244"/>
      <c r="R94" s="244"/>
      <c r="S94" s="237"/>
    </row>
    <row r="95" spans="8:8" ht="15.75" customHeight="1">
      <c r="A95" s="238">
        <v>94.0</v>
      </c>
      <c r="B95" s="239" t="s">
        <v>1518</v>
      </c>
      <c r="C95" s="240">
        <v>251068.0</v>
      </c>
      <c r="D95" s="239" t="s">
        <v>5004</v>
      </c>
      <c r="E95" s="240" t="s">
        <v>28</v>
      </c>
      <c r="G95" s="241" t="b">
        <v>1</v>
      </c>
      <c r="I95" s="236" t="s">
        <v>1518</v>
      </c>
      <c r="J95" s="235">
        <v>251068.0</v>
      </c>
      <c r="K95" s="236" t="s">
        <v>5004</v>
      </c>
      <c r="L95" s="235" t="s">
        <v>28</v>
      </c>
      <c r="M95" s="242"/>
      <c r="O95" s="244"/>
      <c r="P95" s="244"/>
      <c r="Q95" s="244"/>
      <c r="R95" s="244"/>
      <c r="S95" s="237"/>
    </row>
    <row r="96" spans="8:8" ht="15.75" customHeight="1">
      <c r="A96" s="238">
        <v>95.0</v>
      </c>
      <c r="B96" s="239" t="s">
        <v>1519</v>
      </c>
      <c r="C96" s="240">
        <v>251033.0</v>
      </c>
      <c r="D96" s="239" t="s">
        <v>5004</v>
      </c>
      <c r="E96" s="240" t="s">
        <v>28</v>
      </c>
      <c r="G96" s="241" t="b">
        <v>1</v>
      </c>
      <c r="I96" s="236" t="s">
        <v>1519</v>
      </c>
      <c r="J96" s="235">
        <v>251033.0</v>
      </c>
      <c r="K96" s="236" t="s">
        <v>5004</v>
      </c>
      <c r="L96" s="235" t="s">
        <v>28</v>
      </c>
      <c r="M96" s="242"/>
      <c r="O96" s="244"/>
      <c r="P96" s="244"/>
      <c r="Q96" s="244"/>
      <c r="R96" s="244"/>
      <c r="S96" s="237"/>
    </row>
    <row r="97" spans="8:8" ht="15.75" customHeight="1">
      <c r="A97" s="238">
        <v>96.0</v>
      </c>
      <c r="B97" s="239" t="s">
        <v>4579</v>
      </c>
      <c r="C97" s="240">
        <v>251070.0</v>
      </c>
      <c r="D97" s="239" t="s">
        <v>5004</v>
      </c>
      <c r="E97" s="240" t="s">
        <v>28</v>
      </c>
      <c r="G97" s="241" t="b">
        <v>1</v>
      </c>
      <c r="I97" s="262" t="s">
        <v>4579</v>
      </c>
      <c r="J97" s="259">
        <v>251070.0</v>
      </c>
      <c r="K97" s="260" t="s">
        <v>5004</v>
      </c>
      <c r="L97" s="261" t="s">
        <v>28</v>
      </c>
      <c r="M97" s="243"/>
      <c r="O97" s="244"/>
      <c r="P97" s="244"/>
      <c r="Q97" s="244"/>
      <c r="R97" s="244"/>
      <c r="S97" s="237"/>
    </row>
    <row r="98" spans="8:8" ht="15.75" customHeight="1">
      <c r="A98" s="238">
        <v>97.0</v>
      </c>
      <c r="B98" s="239" t="s">
        <v>4580</v>
      </c>
      <c r="C98" s="240">
        <v>251051.0</v>
      </c>
      <c r="D98" s="239" t="s">
        <v>5004</v>
      </c>
      <c r="E98" s="240" t="s">
        <v>28</v>
      </c>
      <c r="G98" s="241" t="b">
        <v>1</v>
      </c>
      <c r="I98" s="236" t="s">
        <v>4580</v>
      </c>
      <c r="J98" s="235">
        <v>251051.0</v>
      </c>
      <c r="K98" s="236" t="s">
        <v>5004</v>
      </c>
      <c r="L98" s="235" t="s">
        <v>28</v>
      </c>
      <c r="M98" s="242"/>
      <c r="O98" s="244"/>
      <c r="P98" s="244"/>
      <c r="Q98" s="244"/>
      <c r="R98" s="244"/>
      <c r="S98" s="237"/>
    </row>
    <row r="99" spans="8:8" ht="15.75" customHeight="1">
      <c r="A99" s="238">
        <v>98.0</v>
      </c>
      <c r="B99" s="239" t="s">
        <v>5005</v>
      </c>
      <c r="C99" s="240">
        <v>251082.0</v>
      </c>
      <c r="D99" s="239" t="s">
        <v>5004</v>
      </c>
      <c r="E99" s="240" t="s">
        <v>28</v>
      </c>
      <c r="G99" s="241" t="b">
        <v>1</v>
      </c>
      <c r="I99" s="236" t="s">
        <v>5005</v>
      </c>
      <c r="J99" s="235">
        <v>251082.0</v>
      </c>
      <c r="K99" s="236" t="s">
        <v>5004</v>
      </c>
      <c r="L99" s="235" t="s">
        <v>28</v>
      </c>
      <c r="M99" s="242"/>
      <c r="O99" s="244"/>
      <c r="P99" s="244"/>
      <c r="Q99" s="244"/>
      <c r="R99" s="244"/>
      <c r="S99" s="237"/>
    </row>
    <row r="100" spans="8:8" ht="15.75" customHeight="1">
      <c r="A100" s="238">
        <v>99.0</v>
      </c>
      <c r="B100" s="239" t="s">
        <v>4581</v>
      </c>
      <c r="C100" s="240">
        <v>251072.0</v>
      </c>
      <c r="D100" s="239" t="s">
        <v>5004</v>
      </c>
      <c r="E100" s="240" t="s">
        <v>28</v>
      </c>
      <c r="G100" s="241" t="b">
        <v>1</v>
      </c>
      <c r="I100" s="236" t="s">
        <v>4581</v>
      </c>
      <c r="J100" s="235">
        <v>251072.0</v>
      </c>
      <c r="K100" s="236" t="s">
        <v>5004</v>
      </c>
      <c r="L100" s="235" t="s">
        <v>28</v>
      </c>
      <c r="M100" s="242"/>
      <c r="O100" s="244"/>
      <c r="P100" s="244"/>
      <c r="Q100" s="244"/>
      <c r="R100" s="244"/>
      <c r="S100" s="237"/>
    </row>
    <row r="101" spans="8:8" ht="15.75" customHeight="1">
      <c r="A101" s="238">
        <v>100.0</v>
      </c>
      <c r="B101" s="239" t="s">
        <v>1520</v>
      </c>
      <c r="C101" s="240">
        <v>251110.0</v>
      </c>
      <c r="D101" s="239" t="s">
        <v>5004</v>
      </c>
      <c r="E101" s="240" t="s">
        <v>28</v>
      </c>
      <c r="G101" s="241" t="b">
        <v>1</v>
      </c>
      <c r="I101" s="236" t="s">
        <v>1520</v>
      </c>
      <c r="J101" s="235">
        <v>251110.0</v>
      </c>
      <c r="K101" s="236" t="s">
        <v>5004</v>
      </c>
      <c r="L101" s="235" t="s">
        <v>28</v>
      </c>
      <c r="M101" s="242"/>
      <c r="O101" s="244"/>
      <c r="P101" s="244"/>
      <c r="Q101" s="244"/>
      <c r="R101" s="244"/>
      <c r="S101" s="237"/>
    </row>
    <row r="102" spans="8:8" ht="15.75" customHeight="1">
      <c r="A102" s="238">
        <v>101.0</v>
      </c>
      <c r="B102" s="239" t="s">
        <v>1521</v>
      </c>
      <c r="C102" s="240">
        <v>251125.0</v>
      </c>
      <c r="D102" s="239" t="s">
        <v>5004</v>
      </c>
      <c r="E102" s="240" t="s">
        <v>28</v>
      </c>
      <c r="G102" s="241" t="b">
        <v>1</v>
      </c>
      <c r="I102" s="236" t="s">
        <v>1521</v>
      </c>
      <c r="J102" s="235">
        <v>251125.0</v>
      </c>
      <c r="K102" s="236" t="s">
        <v>5004</v>
      </c>
      <c r="L102" s="235" t="s">
        <v>28</v>
      </c>
      <c r="M102" s="243"/>
      <c r="O102" s="244"/>
      <c r="P102" s="244"/>
      <c r="Q102" s="244"/>
      <c r="R102" s="244"/>
      <c r="S102" s="237"/>
    </row>
    <row r="103" spans="8:8" ht="15.75" customHeight="1">
      <c r="A103" s="238">
        <v>102.0</v>
      </c>
      <c r="B103" s="263" t="s">
        <v>4582</v>
      </c>
      <c r="C103" s="257">
        <v>251216.0</v>
      </c>
      <c r="D103" s="263" t="s">
        <v>4988</v>
      </c>
      <c r="E103" s="240" t="s">
        <v>28</v>
      </c>
      <c r="G103" s="241" t="b">
        <v>1</v>
      </c>
      <c r="I103" s="264" t="s">
        <v>4582</v>
      </c>
      <c r="J103" s="249">
        <v>251216.0</v>
      </c>
      <c r="K103" s="264" t="s">
        <v>4988</v>
      </c>
      <c r="L103" s="235" t="s">
        <v>28</v>
      </c>
      <c r="M103" s="256"/>
      <c r="O103" s="244"/>
      <c r="P103" s="244"/>
      <c r="Q103" s="244"/>
      <c r="R103" s="244"/>
      <c r="S103" s="237"/>
    </row>
    <row r="104" spans="8:8" ht="15.75" customHeight="1">
      <c r="A104" s="238">
        <v>103.0</v>
      </c>
      <c r="B104" s="239" t="s">
        <v>1522</v>
      </c>
      <c r="C104" s="240">
        <v>251167.0</v>
      </c>
      <c r="D104" s="239" t="s">
        <v>5004</v>
      </c>
      <c r="E104" s="240" t="s">
        <v>28</v>
      </c>
      <c r="G104" s="241" t="b">
        <v>1</v>
      </c>
      <c r="I104" s="236" t="s">
        <v>1522</v>
      </c>
      <c r="J104" s="235">
        <v>251167.0</v>
      </c>
      <c r="K104" s="236" t="s">
        <v>5004</v>
      </c>
      <c r="L104" s="235" t="s">
        <v>28</v>
      </c>
      <c r="M104" s="242"/>
      <c r="O104" s="244"/>
      <c r="P104" s="244"/>
      <c r="Q104" s="244"/>
      <c r="R104" s="244"/>
      <c r="S104" s="237"/>
    </row>
    <row r="105" spans="8:8" ht="15.75" customHeight="1">
      <c r="A105" s="238">
        <v>104.0</v>
      </c>
      <c r="B105" s="239" t="s">
        <v>1523</v>
      </c>
      <c r="C105" s="240">
        <v>251199.0</v>
      </c>
      <c r="D105" s="239" t="s">
        <v>5004</v>
      </c>
      <c r="E105" s="240" t="s">
        <v>28</v>
      </c>
      <c r="G105" s="241" t="b">
        <v>1</v>
      </c>
      <c r="I105" s="236" t="s">
        <v>1523</v>
      </c>
      <c r="J105" s="235">
        <v>251199.0</v>
      </c>
      <c r="K105" s="236" t="s">
        <v>5004</v>
      </c>
      <c r="L105" s="235" t="s">
        <v>28</v>
      </c>
      <c r="M105" s="243"/>
      <c r="O105" s="244"/>
      <c r="P105" s="244"/>
      <c r="Q105" s="244"/>
      <c r="R105" s="244"/>
      <c r="S105" s="237"/>
    </row>
    <row r="106" spans="8:8" ht="15.75" customHeight="1">
      <c r="A106" s="238">
        <v>105.0</v>
      </c>
      <c r="B106" s="239" t="s">
        <v>1524</v>
      </c>
      <c r="C106" s="240">
        <v>251206.0</v>
      </c>
      <c r="D106" s="239" t="s">
        <v>5004</v>
      </c>
      <c r="E106" s="240" t="s">
        <v>28</v>
      </c>
      <c r="G106" s="241" t="b">
        <v>1</v>
      </c>
      <c r="I106" s="236" t="s">
        <v>1524</v>
      </c>
      <c r="J106" s="235">
        <v>251206.0</v>
      </c>
      <c r="K106" s="236" t="s">
        <v>5004</v>
      </c>
      <c r="L106" s="235" t="s">
        <v>28</v>
      </c>
      <c r="M106" s="242"/>
      <c r="O106" s="244"/>
      <c r="P106" s="244"/>
      <c r="Q106" s="244"/>
      <c r="R106" s="244"/>
      <c r="S106" s="237"/>
    </row>
    <row r="107" spans="8:8" ht="15.75" customHeight="1">
      <c r="A107" s="238">
        <v>106.0</v>
      </c>
      <c r="B107" s="239" t="s">
        <v>1525</v>
      </c>
      <c r="C107" s="240">
        <v>251234.0</v>
      </c>
      <c r="D107" s="239" t="s">
        <v>5004</v>
      </c>
      <c r="E107" s="240" t="s">
        <v>28</v>
      </c>
      <c r="G107" s="241" t="b">
        <v>1</v>
      </c>
      <c r="I107" s="236" t="s">
        <v>1525</v>
      </c>
      <c r="J107" s="235">
        <v>251234.0</v>
      </c>
      <c r="K107" s="236" t="s">
        <v>5004</v>
      </c>
      <c r="L107" s="235" t="s">
        <v>28</v>
      </c>
      <c r="M107" s="242"/>
      <c r="O107" s="244"/>
      <c r="P107" s="244"/>
      <c r="Q107" s="244"/>
      <c r="R107" s="244"/>
      <c r="S107" s="237"/>
    </row>
    <row r="108" spans="8:8" ht="15.75" customHeight="1">
      <c r="A108" s="238">
        <v>107.0</v>
      </c>
      <c r="B108" s="239" t="s">
        <v>1526</v>
      </c>
      <c r="C108" s="240">
        <v>251228.0</v>
      </c>
      <c r="D108" s="239" t="s">
        <v>5004</v>
      </c>
      <c r="E108" s="240" t="s">
        <v>28</v>
      </c>
      <c r="G108" s="241" t="b">
        <v>1</v>
      </c>
      <c r="I108" s="236" t="s">
        <v>1526</v>
      </c>
      <c r="J108" s="235">
        <v>251228.0</v>
      </c>
      <c r="K108" s="236" t="s">
        <v>5004</v>
      </c>
      <c r="L108" s="235" t="s">
        <v>28</v>
      </c>
      <c r="M108" s="243"/>
      <c r="O108" s="244"/>
      <c r="P108" s="244"/>
      <c r="Q108" s="244"/>
      <c r="R108" s="244"/>
      <c r="S108" s="237"/>
    </row>
    <row r="109" spans="8:8" ht="15.75" customHeight="1">
      <c r="A109" s="238">
        <v>108.0</v>
      </c>
      <c r="B109" s="239" t="s">
        <v>1527</v>
      </c>
      <c r="C109" s="240">
        <v>251226.0</v>
      </c>
      <c r="D109" s="239" t="s">
        <v>5004</v>
      </c>
      <c r="E109" s="240" t="s">
        <v>28</v>
      </c>
      <c r="G109" s="241" t="b">
        <v>1</v>
      </c>
      <c r="I109" s="236" t="s">
        <v>1527</v>
      </c>
      <c r="J109" s="235">
        <v>251226.0</v>
      </c>
      <c r="K109" s="236" t="s">
        <v>5004</v>
      </c>
      <c r="L109" s="235" t="s">
        <v>28</v>
      </c>
      <c r="M109" s="242"/>
      <c r="O109" s="244"/>
      <c r="P109" s="244"/>
      <c r="Q109" s="244"/>
      <c r="R109" s="244"/>
      <c r="S109" s="237"/>
    </row>
    <row r="110" spans="8:8" ht="15.75" customHeight="1">
      <c r="A110" s="238">
        <v>109.0</v>
      </c>
      <c r="B110" s="239" t="s">
        <v>1528</v>
      </c>
      <c r="C110" s="240">
        <v>250625.0</v>
      </c>
      <c r="D110" s="239" t="s">
        <v>5001</v>
      </c>
      <c r="E110" s="240" t="s">
        <v>28</v>
      </c>
      <c r="G110" s="241" t="b">
        <v>1</v>
      </c>
      <c r="I110" s="236" t="s">
        <v>1528</v>
      </c>
      <c r="J110" s="235">
        <v>250625.0</v>
      </c>
      <c r="K110" s="236" t="s">
        <v>5001</v>
      </c>
      <c r="L110" s="235" t="s">
        <v>28</v>
      </c>
      <c r="M110" s="242"/>
      <c r="O110" s="244"/>
      <c r="P110" s="244"/>
      <c r="Q110" s="244"/>
      <c r="R110" s="244"/>
      <c r="S110" s="237"/>
    </row>
    <row r="111" spans="8:8" ht="15.75" customHeight="1">
      <c r="A111" s="238">
        <v>110.0</v>
      </c>
      <c r="B111" s="239" t="s">
        <v>1529</v>
      </c>
      <c r="C111" s="240">
        <v>250629.0</v>
      </c>
      <c r="D111" s="239" t="s">
        <v>5001</v>
      </c>
      <c r="E111" s="240" t="s">
        <v>28</v>
      </c>
      <c r="G111" s="241" t="b">
        <v>1</v>
      </c>
      <c r="I111" s="236" t="s">
        <v>1529</v>
      </c>
      <c r="J111" s="235">
        <v>250629.0</v>
      </c>
      <c r="K111" s="236" t="s">
        <v>5001</v>
      </c>
      <c r="L111" s="235" t="s">
        <v>28</v>
      </c>
      <c r="M111" s="243"/>
      <c r="O111" s="244"/>
      <c r="P111" s="244"/>
      <c r="Q111" s="244"/>
      <c r="R111" s="244"/>
      <c r="S111" s="237"/>
    </row>
    <row r="112" spans="8:8" ht="15.75" customHeight="1">
      <c r="A112" s="238">
        <v>111.0</v>
      </c>
      <c r="B112" s="239" t="s">
        <v>1530</v>
      </c>
      <c r="C112" s="240">
        <v>250417.0</v>
      </c>
      <c r="D112" s="239" t="s">
        <v>5006</v>
      </c>
      <c r="E112" s="240" t="s">
        <v>28</v>
      </c>
      <c r="G112" s="241" t="b">
        <v>1</v>
      </c>
      <c r="I112" s="236" t="s">
        <v>1530</v>
      </c>
      <c r="J112" s="235">
        <v>250417.0</v>
      </c>
      <c r="K112" s="236" t="s">
        <v>5006</v>
      </c>
      <c r="L112" s="235" t="s">
        <v>28</v>
      </c>
      <c r="M112" s="242"/>
      <c r="O112" s="244"/>
      <c r="P112" s="244"/>
      <c r="Q112" s="244"/>
      <c r="R112" s="244"/>
      <c r="S112" s="237"/>
    </row>
    <row r="113" spans="8:8" ht="15.75" customHeight="1">
      <c r="A113" s="238">
        <v>112.0</v>
      </c>
      <c r="B113" s="239" t="s">
        <v>4583</v>
      </c>
      <c r="C113" s="240">
        <v>252987.0</v>
      </c>
      <c r="D113" s="239" t="s">
        <v>4948</v>
      </c>
      <c r="E113" s="240" t="s">
        <v>28</v>
      </c>
      <c r="G113" s="241" t="b">
        <v>1</v>
      </c>
      <c r="I113" s="236" t="s">
        <v>4583</v>
      </c>
      <c r="J113" s="235">
        <v>252987.0</v>
      </c>
      <c r="K113" s="236" t="s">
        <v>4948</v>
      </c>
      <c r="L113" s="235" t="s">
        <v>28</v>
      </c>
      <c r="M113" s="242"/>
      <c r="O113" s="244"/>
      <c r="P113" s="244"/>
      <c r="Q113" s="244"/>
      <c r="R113" s="244"/>
      <c r="S113" s="237"/>
    </row>
    <row r="114" spans="8:8" ht="15.75" customHeight="1">
      <c r="A114" s="238">
        <v>113.0</v>
      </c>
      <c r="B114" s="239" t="s">
        <v>4512</v>
      </c>
      <c r="C114" s="240">
        <v>253079.0</v>
      </c>
      <c r="D114" s="239" t="s">
        <v>5007</v>
      </c>
      <c r="E114" s="240" t="s">
        <v>28</v>
      </c>
      <c r="G114" s="241" t="b">
        <v>1</v>
      </c>
      <c r="I114" s="236" t="s">
        <v>4512</v>
      </c>
      <c r="J114" s="235">
        <v>253079.0</v>
      </c>
      <c r="K114" s="236" t="s">
        <v>5007</v>
      </c>
      <c r="L114" s="235" t="s">
        <v>28</v>
      </c>
      <c r="M114" s="243"/>
      <c r="O114" s="244"/>
      <c r="P114" s="244"/>
      <c r="Q114" s="244"/>
      <c r="R114" s="244"/>
      <c r="S114" s="237"/>
    </row>
    <row r="115" spans="8:8" ht="15.75" customHeight="1">
      <c r="A115" s="238">
        <v>114.0</v>
      </c>
      <c r="B115" s="239" t="s">
        <v>3241</v>
      </c>
      <c r="C115" s="240">
        <v>240339.0</v>
      </c>
      <c r="D115" s="239" t="s">
        <v>5008</v>
      </c>
      <c r="E115" s="240" t="s">
        <v>580</v>
      </c>
      <c r="G115" s="241" t="b">
        <v>1</v>
      </c>
      <c r="I115" s="236" t="s">
        <v>3241</v>
      </c>
      <c r="J115" s="235">
        <v>240339.0</v>
      </c>
      <c r="K115" s="239" t="s">
        <v>5008</v>
      </c>
      <c r="L115" s="235" t="s">
        <v>580</v>
      </c>
      <c r="M115" s="242"/>
      <c r="O115" s="244"/>
      <c r="P115" s="244"/>
      <c r="Q115" s="244"/>
      <c r="R115" s="244"/>
      <c r="S115" s="237"/>
    </row>
    <row r="116" spans="8:8" ht="15.75" customHeight="1">
      <c r="A116" s="238">
        <v>115.0</v>
      </c>
      <c r="B116" s="239" t="s">
        <v>5009</v>
      </c>
      <c r="C116" s="240">
        <v>252986.0</v>
      </c>
      <c r="D116" s="239" t="s">
        <v>4984</v>
      </c>
      <c r="E116" s="240" t="s">
        <v>580</v>
      </c>
      <c r="G116" s="241" t="b">
        <v>1</v>
      </c>
      <c r="I116" s="236" t="s">
        <v>5009</v>
      </c>
      <c r="J116" s="235">
        <v>252986.0</v>
      </c>
      <c r="K116" s="236" t="s">
        <v>4984</v>
      </c>
      <c r="L116" s="235" t="s">
        <v>580</v>
      </c>
      <c r="M116" s="242"/>
      <c r="O116" s="244"/>
      <c r="P116" s="244"/>
      <c r="Q116" s="244"/>
      <c r="R116" s="244"/>
      <c r="S116" s="237"/>
    </row>
    <row r="117" spans="8:8" ht="15.75" customHeight="1">
      <c r="A117" s="238">
        <v>116.0</v>
      </c>
      <c r="B117" s="239" t="s">
        <v>1489</v>
      </c>
      <c r="C117" s="240">
        <v>240488.0</v>
      </c>
      <c r="D117" s="239" t="s">
        <v>4988</v>
      </c>
      <c r="E117" s="240" t="s">
        <v>580</v>
      </c>
      <c r="G117" s="241" t="b">
        <v>1</v>
      </c>
      <c r="I117" s="239" t="s">
        <v>1489</v>
      </c>
      <c r="J117" s="235">
        <v>240488.0</v>
      </c>
      <c r="K117" s="236" t="s">
        <v>4988</v>
      </c>
      <c r="L117" s="235" t="s">
        <v>580</v>
      </c>
      <c r="M117" s="242"/>
      <c r="O117" s="244"/>
      <c r="P117" s="244"/>
      <c r="Q117" s="244"/>
      <c r="R117" s="244"/>
      <c r="S117" s="237"/>
    </row>
    <row r="118" spans="8:8" ht="15.75" customHeight="1">
      <c r="A118" s="238">
        <v>117.0</v>
      </c>
      <c r="B118" s="239" t="s">
        <v>1491</v>
      </c>
      <c r="C118" s="240">
        <v>240625.0</v>
      </c>
      <c r="D118" s="239" t="s">
        <v>4988</v>
      </c>
      <c r="E118" s="240" t="s">
        <v>580</v>
      </c>
      <c r="G118" s="241" t="b">
        <v>1</v>
      </c>
      <c r="I118" s="239" t="s">
        <v>1491</v>
      </c>
      <c r="J118" s="235">
        <v>240625.0</v>
      </c>
      <c r="K118" s="236" t="s">
        <v>4988</v>
      </c>
      <c r="L118" s="235" t="s">
        <v>580</v>
      </c>
      <c r="M118" s="243"/>
      <c r="O118" s="244"/>
      <c r="P118" s="244"/>
      <c r="Q118" s="244"/>
      <c r="R118" s="244"/>
      <c r="S118" s="237"/>
    </row>
    <row r="119" spans="8:8" ht="15.75" customHeight="1">
      <c r="A119" s="238">
        <v>118.0</v>
      </c>
      <c r="B119" s="239" t="s">
        <v>4570</v>
      </c>
      <c r="C119" s="240">
        <v>240950.0</v>
      </c>
      <c r="D119" s="239" t="s">
        <v>4948</v>
      </c>
      <c r="E119" s="240" t="s">
        <v>580</v>
      </c>
      <c r="G119" s="241" t="b">
        <v>1</v>
      </c>
      <c r="I119" s="239" t="s">
        <v>4570</v>
      </c>
      <c r="J119" s="235">
        <v>240950.0</v>
      </c>
      <c r="K119" s="236" t="s">
        <v>4948</v>
      </c>
      <c r="L119" s="235" t="s">
        <v>580</v>
      </c>
      <c r="M119" s="242"/>
      <c r="O119" s="244"/>
      <c r="P119" s="244"/>
      <c r="Q119" s="244"/>
      <c r="R119" s="244"/>
      <c r="S119" s="237"/>
    </row>
    <row r="120" spans="8:8" ht="15.75" customHeight="1">
      <c r="A120" s="238">
        <v>119.0</v>
      </c>
      <c r="B120" s="239" t="s">
        <v>1504</v>
      </c>
      <c r="C120" s="240">
        <v>240903.0</v>
      </c>
      <c r="D120" s="239" t="s">
        <v>4866</v>
      </c>
      <c r="E120" s="240" t="s">
        <v>580</v>
      </c>
      <c r="G120" s="241" t="b">
        <v>1</v>
      </c>
      <c r="I120" s="262" t="s">
        <v>1504</v>
      </c>
      <c r="J120" s="259">
        <v>240903.0</v>
      </c>
      <c r="K120" s="265" t="s">
        <v>4866</v>
      </c>
      <c r="L120" s="261" t="s">
        <v>580</v>
      </c>
      <c r="M120" s="242"/>
      <c r="O120" s="244"/>
      <c r="P120" s="244"/>
      <c r="Q120" s="244"/>
      <c r="R120" s="244"/>
      <c r="S120" s="237"/>
    </row>
    <row r="121" spans="8:8" ht="15.75" customHeight="1">
      <c r="A121" s="238">
        <v>120.0</v>
      </c>
      <c r="B121" s="266" t="s">
        <v>1501</v>
      </c>
      <c r="C121" s="267">
        <v>253069.0</v>
      </c>
      <c r="D121" s="266" t="s">
        <v>4988</v>
      </c>
      <c r="E121" s="267" t="s">
        <v>580</v>
      </c>
      <c r="G121" s="241" t="b">
        <v>1</v>
      </c>
      <c r="I121" s="268" t="s">
        <v>1501</v>
      </c>
      <c r="J121" s="269">
        <v>253069.0</v>
      </c>
      <c r="K121" s="268" t="s">
        <v>4988</v>
      </c>
      <c r="L121" s="269" t="s">
        <v>580</v>
      </c>
      <c r="M121" s="242"/>
      <c r="O121" s="244"/>
      <c r="P121" s="244"/>
      <c r="Q121" s="244"/>
      <c r="R121" s="244"/>
      <c r="S121" s="237"/>
    </row>
    <row r="122" spans="8:8" ht="15.75" customHeight="1">
      <c r="A122" s="238">
        <v>121.0</v>
      </c>
      <c r="B122" s="239" t="s">
        <v>1363</v>
      </c>
      <c r="C122" s="240">
        <v>240521.0</v>
      </c>
      <c r="D122" s="239" t="s">
        <v>4883</v>
      </c>
      <c r="E122" s="240" t="s">
        <v>580</v>
      </c>
      <c r="G122" s="241" t="b">
        <v>1</v>
      </c>
      <c r="I122" s="236" t="s">
        <v>1363</v>
      </c>
      <c r="J122" s="235">
        <v>240521.0</v>
      </c>
      <c r="K122" s="236" t="s">
        <v>4883</v>
      </c>
      <c r="L122" s="235" t="s">
        <v>580</v>
      </c>
      <c r="M122" s="242"/>
      <c r="O122" s="244"/>
      <c r="P122" s="244"/>
      <c r="Q122" s="244"/>
      <c r="R122" s="244"/>
      <c r="S122" s="237"/>
    </row>
    <row r="123" spans="8:8" ht="15.75" customHeight="1">
      <c r="A123" s="238">
        <v>122.0</v>
      </c>
      <c r="B123" s="239" t="s">
        <v>4571</v>
      </c>
      <c r="C123" s="240">
        <v>240908.0</v>
      </c>
      <c r="D123" s="239" t="s">
        <v>4883</v>
      </c>
      <c r="E123" s="240" t="s">
        <v>580</v>
      </c>
      <c r="G123" s="241" t="b">
        <v>1</v>
      </c>
      <c r="I123" s="239" t="s">
        <v>4571</v>
      </c>
      <c r="J123" s="235">
        <v>240908.0</v>
      </c>
      <c r="K123" s="236" t="s">
        <v>4883</v>
      </c>
      <c r="L123" s="235" t="s">
        <v>580</v>
      </c>
      <c r="M123" s="242"/>
      <c r="O123" s="244"/>
      <c r="P123" s="244"/>
      <c r="Q123" s="244"/>
      <c r="R123" s="244"/>
      <c r="S123" s="237"/>
    </row>
    <row r="124" spans="8:8" ht="15.75" customHeight="1">
      <c r="A124" s="238">
        <v>123.0</v>
      </c>
      <c r="B124" s="239" t="s">
        <v>1503</v>
      </c>
      <c r="C124" s="240">
        <v>251217.0</v>
      </c>
      <c r="D124" s="239" t="s">
        <v>5004</v>
      </c>
      <c r="E124" s="240" t="s">
        <v>580</v>
      </c>
      <c r="G124" s="241" t="b">
        <v>1</v>
      </c>
      <c r="I124" s="236" t="s">
        <v>1503</v>
      </c>
      <c r="J124" s="235">
        <v>251217.0</v>
      </c>
      <c r="K124" s="236" t="s">
        <v>5004</v>
      </c>
      <c r="L124" s="235" t="s">
        <v>580</v>
      </c>
      <c r="M124" s="243"/>
      <c r="O124" s="244"/>
      <c r="P124" s="244"/>
      <c r="Q124" s="244"/>
      <c r="R124" s="244"/>
      <c r="S124" s="237"/>
    </row>
    <row r="125" spans="8:8" ht="15.75" customHeight="1">
      <c r="A125" s="238">
        <v>124.0</v>
      </c>
      <c r="B125" s="239" t="s">
        <v>1476</v>
      </c>
      <c r="C125" s="240">
        <v>250558.0</v>
      </c>
      <c r="D125" s="239" t="s">
        <v>5001</v>
      </c>
      <c r="E125" s="240" t="s">
        <v>781</v>
      </c>
      <c r="G125" s="241" t="b">
        <v>1</v>
      </c>
      <c r="I125" s="236" t="s">
        <v>1476</v>
      </c>
      <c r="J125" s="235">
        <v>250558.0</v>
      </c>
      <c r="K125" s="236" t="s">
        <v>5001</v>
      </c>
      <c r="L125" s="235" t="s">
        <v>781</v>
      </c>
      <c r="M125" s="242"/>
      <c r="O125" s="244"/>
      <c r="P125" s="244"/>
      <c r="Q125" s="244"/>
      <c r="R125" s="244"/>
      <c r="S125" s="237"/>
    </row>
    <row r="126" spans="8:8" ht="15.75" customHeight="1">
      <c r="A126" s="238">
        <v>125.0</v>
      </c>
      <c r="B126" s="239" t="s">
        <v>4567</v>
      </c>
      <c r="C126" s="240">
        <v>240574.0</v>
      </c>
      <c r="D126" s="239" t="s">
        <v>4948</v>
      </c>
      <c r="E126" s="240" t="s">
        <v>781</v>
      </c>
      <c r="G126" s="241" t="b">
        <v>1</v>
      </c>
      <c r="I126" s="239" t="s">
        <v>4567</v>
      </c>
      <c r="J126" s="235">
        <v>240574.0</v>
      </c>
      <c r="K126" s="236" t="s">
        <v>4948</v>
      </c>
      <c r="L126" s="235" t="s">
        <v>781</v>
      </c>
      <c r="M126" s="243"/>
      <c r="O126" s="244"/>
      <c r="P126" s="244"/>
      <c r="Q126" s="244"/>
      <c r="R126" s="244"/>
      <c r="S126" s="237"/>
    </row>
    <row r="127" spans="8:8" ht="15.75" customHeight="1">
      <c r="A127" s="238">
        <v>126.0</v>
      </c>
      <c r="B127" s="239" t="s">
        <v>1478</v>
      </c>
      <c r="C127" s="240">
        <v>240659.0</v>
      </c>
      <c r="D127" s="239" t="s">
        <v>4883</v>
      </c>
      <c r="E127" s="240" t="s">
        <v>781</v>
      </c>
      <c r="G127" s="241" t="b">
        <v>1</v>
      </c>
      <c r="I127" s="236" t="s">
        <v>1478</v>
      </c>
      <c r="J127" s="235">
        <v>240659.0</v>
      </c>
      <c r="K127" s="236" t="s">
        <v>4883</v>
      </c>
      <c r="L127" s="235" t="s">
        <v>781</v>
      </c>
      <c r="M127" s="242"/>
      <c r="O127" s="244"/>
      <c r="P127" s="244"/>
      <c r="Q127" s="244"/>
      <c r="R127" s="244"/>
      <c r="S127" s="237"/>
    </row>
    <row r="128" spans="8:8" ht="15.75" customHeight="1">
      <c r="A128" s="238">
        <v>127.0</v>
      </c>
      <c r="B128" s="239" t="s">
        <v>1479</v>
      </c>
      <c r="C128" s="240">
        <v>240807.0</v>
      </c>
      <c r="D128" s="239" t="s">
        <v>4948</v>
      </c>
      <c r="E128" s="240" t="s">
        <v>781</v>
      </c>
      <c r="G128" s="241" t="b">
        <v>1</v>
      </c>
      <c r="I128" s="236" t="s">
        <v>1479</v>
      </c>
      <c r="J128" s="235">
        <v>240807.0</v>
      </c>
      <c r="K128" s="236" t="s">
        <v>4948</v>
      </c>
      <c r="L128" s="235" t="s">
        <v>781</v>
      </c>
      <c r="M128" s="242"/>
      <c r="O128" s="244"/>
      <c r="P128" s="244"/>
      <c r="Q128" s="244"/>
      <c r="R128" s="244"/>
      <c r="S128" s="237"/>
    </row>
    <row r="129" spans="8:8" ht="15.75" customHeight="1">
      <c r="G129" s="241" t="b">
        <v>0</v>
      </c>
      <c r="I129" s="242"/>
      <c r="J129" s="242"/>
      <c r="K129" s="242"/>
      <c r="L129" s="242"/>
      <c r="M129" s="242"/>
      <c r="O129" s="244"/>
      <c r="P129" s="244"/>
      <c r="Q129" s="244"/>
      <c r="R129" s="244"/>
      <c r="S129" s="237"/>
    </row>
    <row r="130" spans="8:8" ht="15.75" customHeight="1">
      <c r="G130" s="241" t="b">
        <v>0</v>
      </c>
      <c r="I130" s="242"/>
      <c r="J130" s="242"/>
      <c r="K130" s="242"/>
      <c r="L130" s="242"/>
      <c r="M130" s="242"/>
      <c r="O130" s="242"/>
      <c r="P130" s="242"/>
      <c r="Q130" s="242"/>
      <c r="R130" s="242"/>
    </row>
    <row r="131" spans="8:8" ht="15.75" customHeight="1">
      <c r="G131" s="241" t="b">
        <v>0</v>
      </c>
      <c r="I131" s="257"/>
      <c r="J131" s="270"/>
      <c r="K131" s="243"/>
      <c r="L131" s="243"/>
      <c r="M131" s="243"/>
      <c r="O131" s="270"/>
      <c r="P131" s="243"/>
      <c r="Q131" s="243"/>
      <c r="R131" s="243"/>
    </row>
    <row r="132" spans="8:8" ht="15.75" customHeight="1">
      <c r="G132" s="241" t="b">
        <v>0</v>
      </c>
      <c r="I132" s="242"/>
      <c r="J132" s="242"/>
      <c r="K132" s="242"/>
      <c r="L132" s="242"/>
      <c r="M132" s="242"/>
      <c r="O132" s="242"/>
      <c r="P132" s="242"/>
      <c r="Q132" s="242"/>
      <c r="R132" s="242"/>
    </row>
    <row r="133" spans="8:8" ht="15.75" customHeight="1">
      <c r="G133" s="241" t="b">
        <v>0</v>
      </c>
      <c r="I133" s="242"/>
      <c r="J133" s="242"/>
      <c r="K133" s="242"/>
      <c r="L133" s="242"/>
      <c r="M133" s="242"/>
      <c r="O133" s="242"/>
      <c r="P133" s="242"/>
      <c r="Q133" s="242"/>
      <c r="R133" s="242"/>
    </row>
    <row r="134" spans="8:8" ht="15.75" customHeight="1">
      <c r="G134" s="241" t="b">
        <v>0</v>
      </c>
      <c r="I134" s="257"/>
      <c r="J134" s="270"/>
      <c r="K134" s="243"/>
      <c r="L134" s="243"/>
      <c r="M134" s="243"/>
      <c r="O134" s="270"/>
      <c r="P134" s="243"/>
      <c r="Q134" s="243"/>
      <c r="R134" s="243"/>
    </row>
    <row r="135" spans="8:8" ht="15.75" customHeight="1">
      <c r="G135" s="241" t="b">
        <v>0</v>
      </c>
      <c r="I135" s="242"/>
      <c r="J135" s="271"/>
      <c r="K135" s="272"/>
      <c r="L135" s="272"/>
      <c r="M135" s="256"/>
      <c r="O135" s="271"/>
      <c r="P135" s="272"/>
      <c r="Q135" s="272"/>
      <c r="R135" s="256"/>
    </row>
    <row r="136" spans="8:8" ht="15.75" customHeight="1">
      <c r="G136" s="241" t="b">
        <v>0</v>
      </c>
      <c r="I136" s="242"/>
      <c r="J136" s="242"/>
      <c r="K136" s="242"/>
      <c r="L136" s="242"/>
      <c r="M136" s="242"/>
      <c r="O136" s="242"/>
      <c r="P136" s="242"/>
      <c r="Q136" s="242"/>
      <c r="R136" s="242"/>
    </row>
    <row r="137" spans="8:8" ht="15.75" customHeight="1">
      <c r="G137" s="241" t="b">
        <v>0</v>
      </c>
      <c r="I137" s="257"/>
      <c r="J137" s="270"/>
      <c r="K137" s="243"/>
      <c r="L137" s="243"/>
      <c r="M137" s="243"/>
      <c r="O137" s="270"/>
      <c r="P137" s="243"/>
      <c r="Q137" s="243"/>
      <c r="R137" s="243"/>
    </row>
    <row r="138" spans="8:8" ht="15.75" customHeight="1">
      <c r="G138" s="241" t="b">
        <v>0</v>
      </c>
      <c r="I138" s="242"/>
      <c r="J138" s="242"/>
      <c r="K138" s="242"/>
      <c r="L138" s="242"/>
      <c r="M138" s="242"/>
      <c r="O138" s="242"/>
      <c r="P138" s="242"/>
      <c r="Q138" s="242"/>
      <c r="R138" s="242"/>
    </row>
    <row r="139" spans="8:8" ht="15.75" customHeight="1">
      <c r="G139" s="241" t="b">
        <v>0</v>
      </c>
      <c r="I139" s="242"/>
      <c r="J139" s="242"/>
      <c r="K139" s="242"/>
      <c r="L139" s="242"/>
      <c r="M139" s="242"/>
      <c r="O139" s="242"/>
      <c r="P139" s="242"/>
      <c r="Q139" s="242"/>
      <c r="R139" s="242"/>
    </row>
    <row r="140" spans="8:8" ht="15.75" customHeight="1">
      <c r="G140" s="241" t="b">
        <v>0</v>
      </c>
      <c r="I140" s="257"/>
      <c r="J140" s="270"/>
      <c r="K140" s="243"/>
      <c r="L140" s="243"/>
      <c r="M140" s="243"/>
      <c r="O140" s="270"/>
      <c r="P140" s="243"/>
      <c r="Q140" s="243"/>
      <c r="R140" s="243"/>
    </row>
    <row r="141" spans="8:8" ht="15.75" customHeight="1">
      <c r="G141" s="241" t="b">
        <v>0</v>
      </c>
      <c r="I141" s="242"/>
      <c r="J141" s="242"/>
      <c r="K141" s="242"/>
      <c r="L141" s="242"/>
      <c r="M141" s="242"/>
      <c r="O141" s="242"/>
      <c r="P141" s="242"/>
      <c r="Q141" s="242"/>
      <c r="R141" s="242"/>
    </row>
    <row r="142" spans="8:8" ht="15.75" customHeight="1">
      <c r="G142" s="241" t="b">
        <v>0</v>
      </c>
      <c r="I142" s="257"/>
      <c r="J142" s="270"/>
      <c r="K142" s="243"/>
      <c r="L142" s="243"/>
      <c r="M142" s="243"/>
      <c r="O142" s="270"/>
      <c r="P142" s="243"/>
      <c r="Q142" s="243"/>
      <c r="R142" s="243"/>
    </row>
    <row r="143" spans="8:8" ht="15.75" customHeight="1">
      <c r="G143" s="241" t="b">
        <v>0</v>
      </c>
      <c r="I143" s="242"/>
      <c r="J143" s="242"/>
      <c r="K143" s="242"/>
      <c r="L143" s="242"/>
      <c r="M143" s="242"/>
      <c r="O143" s="242"/>
      <c r="P143" s="242"/>
      <c r="Q143" s="242"/>
      <c r="R143" s="242"/>
    </row>
    <row r="144" spans="8:8" ht="15.75" customHeight="1">
      <c r="G144" s="241" t="b">
        <v>0</v>
      </c>
      <c r="I144" s="257"/>
      <c r="J144" s="270"/>
      <c r="K144" s="243"/>
      <c r="L144" s="243"/>
      <c r="M144" s="243"/>
      <c r="O144" s="270"/>
      <c r="P144" s="243"/>
      <c r="Q144" s="243"/>
      <c r="R144" s="243"/>
    </row>
    <row r="145" spans="8:8" ht="15.75" customHeight="1">
      <c r="G145" s="241" t="b">
        <v>0</v>
      </c>
      <c r="I145" s="242"/>
      <c r="J145" s="242"/>
      <c r="K145" s="242"/>
      <c r="L145" s="242"/>
      <c r="M145" s="242"/>
      <c r="O145" s="242"/>
      <c r="P145" s="242"/>
      <c r="Q145" s="242"/>
      <c r="R145" s="242"/>
    </row>
    <row r="146" spans="8:8" ht="15.75" customHeight="1">
      <c r="G146" s="241" t="b">
        <v>0</v>
      </c>
      <c r="I146" s="242"/>
      <c r="J146" s="242"/>
      <c r="K146" s="242"/>
      <c r="L146" s="242"/>
      <c r="M146" s="242"/>
      <c r="O146" s="242"/>
      <c r="P146" s="242"/>
      <c r="Q146" s="242"/>
      <c r="R146" s="242"/>
    </row>
    <row r="147" spans="8:8" ht="15.75" customHeight="1">
      <c r="G147" s="241" t="b">
        <v>0</v>
      </c>
      <c r="I147" s="242"/>
      <c r="J147" s="242"/>
      <c r="K147" s="242"/>
      <c r="L147" s="242"/>
      <c r="M147" s="242"/>
      <c r="O147" s="242"/>
      <c r="P147" s="242"/>
      <c r="Q147" s="242"/>
      <c r="R147" s="242"/>
    </row>
    <row r="148" spans="8:8" ht="15.75" customHeight="1">
      <c r="G148" s="241" t="b">
        <v>0</v>
      </c>
      <c r="I148" s="257"/>
      <c r="J148" s="270"/>
      <c r="K148" s="243"/>
      <c r="L148" s="243"/>
      <c r="M148" s="243"/>
      <c r="O148" s="270"/>
      <c r="P148" s="243"/>
      <c r="Q148" s="243"/>
      <c r="R148" s="243"/>
    </row>
    <row r="149" spans="8:8" ht="15.75" customHeight="1">
      <c r="G149" s="241" t="b">
        <v>0</v>
      </c>
      <c r="I149" s="242"/>
      <c r="J149" s="242"/>
      <c r="K149" s="242"/>
      <c r="L149" s="242"/>
      <c r="M149" s="242"/>
      <c r="O149" s="242"/>
      <c r="P149" s="242"/>
      <c r="Q149" s="242"/>
      <c r="R149" s="242"/>
    </row>
    <row r="150" spans="8:8" ht="15.75" customHeight="1">
      <c r="G150" s="241" t="b">
        <v>0</v>
      </c>
      <c r="I150" s="242"/>
      <c r="J150" s="242"/>
      <c r="K150" s="242"/>
      <c r="L150" s="242"/>
      <c r="M150" s="242"/>
      <c r="O150" s="242"/>
      <c r="P150" s="242"/>
      <c r="Q150" s="242"/>
      <c r="R150" s="242"/>
    </row>
    <row r="151" spans="8:8" ht="15.75" customHeight="1">
      <c r="G151" s="241" t="b">
        <v>0</v>
      </c>
      <c r="I151" s="257"/>
      <c r="J151" s="270"/>
      <c r="K151" s="243"/>
      <c r="L151" s="243"/>
      <c r="M151" s="243"/>
      <c r="O151" s="270"/>
      <c r="P151" s="243"/>
      <c r="Q151" s="243"/>
      <c r="R151" s="243"/>
    </row>
    <row r="152" spans="8:8" ht="15.75" customHeight="1">
      <c r="G152" s="241" t="b">
        <v>0</v>
      </c>
      <c r="I152" s="242"/>
      <c r="J152" s="242"/>
      <c r="K152" s="242"/>
      <c r="L152" s="242"/>
      <c r="M152" s="242"/>
      <c r="O152" s="242"/>
      <c r="P152" s="242"/>
      <c r="Q152" s="242"/>
      <c r="R152" s="242"/>
    </row>
    <row r="153" spans="8:8" ht="15.75" customHeight="1">
      <c r="G153" s="241" t="b">
        <v>0</v>
      </c>
      <c r="I153" s="257"/>
      <c r="J153" s="270"/>
      <c r="K153" s="243"/>
      <c r="L153" s="243"/>
      <c r="M153" s="243"/>
      <c r="O153" s="270"/>
      <c r="P153" s="243"/>
      <c r="Q153" s="243"/>
      <c r="R153" s="243"/>
    </row>
    <row r="154" spans="8:8" ht="15.75" customHeight="1">
      <c r="G154" s="241" t="b">
        <v>0</v>
      </c>
      <c r="I154" s="242"/>
      <c r="J154" s="242"/>
      <c r="K154" s="242"/>
      <c r="L154" s="242"/>
      <c r="M154" s="242"/>
      <c r="O154" s="242"/>
      <c r="P154" s="242"/>
      <c r="Q154" s="242"/>
      <c r="R154" s="242"/>
    </row>
    <row r="155" spans="8:8" ht="15.75" customHeight="1">
      <c r="G155" s="241" t="b">
        <v>0</v>
      </c>
      <c r="I155" s="242"/>
      <c r="J155" s="242"/>
      <c r="K155" s="242"/>
      <c r="L155" s="242"/>
      <c r="M155" s="242"/>
      <c r="O155" s="242"/>
      <c r="P155" s="242"/>
      <c r="Q155" s="242"/>
      <c r="R155" s="242"/>
    </row>
    <row r="156" spans="8:8" ht="15.75" customHeight="1">
      <c r="G156" s="241" t="b">
        <v>0</v>
      </c>
      <c r="I156" s="242"/>
      <c r="J156" s="242"/>
      <c r="K156" s="242"/>
      <c r="L156" s="242"/>
      <c r="M156" s="242"/>
      <c r="O156" s="242"/>
      <c r="P156" s="242"/>
      <c r="Q156" s="242"/>
      <c r="R156" s="242"/>
    </row>
    <row r="157" spans="8:8" ht="15.75" customHeight="1">
      <c r="G157" s="241" t="b">
        <v>0</v>
      </c>
      <c r="I157" s="242"/>
      <c r="J157" s="242"/>
      <c r="K157" s="242"/>
      <c r="L157" s="242"/>
      <c r="M157" s="242"/>
      <c r="O157" s="242"/>
      <c r="P157" s="242"/>
      <c r="Q157" s="242"/>
      <c r="R157" s="242"/>
    </row>
    <row r="158" spans="8:8" ht="15.75" customHeight="1">
      <c r="G158" s="241" t="b">
        <v>0</v>
      </c>
      <c r="I158" s="242"/>
      <c r="J158" s="242"/>
      <c r="K158" s="242"/>
      <c r="L158" s="242"/>
      <c r="M158" s="242"/>
      <c r="O158" s="242"/>
      <c r="P158" s="242"/>
      <c r="Q158" s="242"/>
      <c r="R158" s="242"/>
    </row>
    <row r="159" spans="8:8" ht="15.75" customHeight="1">
      <c r="G159" s="241" t="b">
        <v>0</v>
      </c>
      <c r="I159" s="257"/>
      <c r="J159" s="270"/>
      <c r="K159" s="243"/>
      <c r="L159" s="243"/>
      <c r="M159" s="243"/>
      <c r="O159" s="270"/>
      <c r="P159" s="243"/>
      <c r="Q159" s="243"/>
      <c r="R159" s="243"/>
    </row>
    <row r="160" spans="8:8" ht="15.75" customHeight="1">
      <c r="G160" s="241" t="b">
        <v>0</v>
      </c>
      <c r="I160" s="242"/>
      <c r="J160" s="242"/>
      <c r="K160" s="242"/>
      <c r="L160" s="242"/>
      <c r="M160" s="242"/>
      <c r="O160" s="242"/>
      <c r="P160" s="242"/>
      <c r="Q160" s="242"/>
      <c r="R160" s="242"/>
    </row>
    <row r="161" spans="8:8" ht="15.75" customHeight="1">
      <c r="G161" s="241" t="b">
        <v>0</v>
      </c>
      <c r="I161" s="242"/>
      <c r="J161" s="242"/>
      <c r="K161" s="242"/>
      <c r="L161" s="242"/>
      <c r="M161" s="242"/>
      <c r="O161" s="242"/>
      <c r="P161" s="242"/>
      <c r="Q161" s="242"/>
      <c r="R161" s="242"/>
    </row>
    <row r="162" spans="8:8" ht="15.75" customHeight="1">
      <c r="G162" s="241" t="b">
        <v>0</v>
      </c>
      <c r="I162" s="242"/>
      <c r="J162" s="242"/>
      <c r="K162" s="242"/>
      <c r="L162" s="242"/>
      <c r="M162" s="242"/>
      <c r="O162" s="242"/>
      <c r="P162" s="242"/>
      <c r="Q162" s="242"/>
      <c r="R162" s="242"/>
    </row>
    <row r="163" spans="8:8" ht="15.75" customHeight="1">
      <c r="G163" s="241" t="b">
        <v>0</v>
      </c>
      <c r="I163" s="242"/>
      <c r="J163" s="242"/>
      <c r="K163" s="242"/>
      <c r="L163" s="242"/>
      <c r="M163" s="242"/>
      <c r="O163" s="242"/>
      <c r="P163" s="242"/>
      <c r="Q163" s="242"/>
      <c r="R163" s="242"/>
    </row>
    <row r="164" spans="8:8" ht="15.75" customHeight="1">
      <c r="G164" s="241" t="b">
        <v>0</v>
      </c>
      <c r="I164" s="257"/>
      <c r="J164" s="270"/>
      <c r="K164" s="243"/>
      <c r="L164" s="243"/>
      <c r="M164" s="243"/>
      <c r="O164" s="270"/>
      <c r="P164" s="243"/>
      <c r="Q164" s="243"/>
      <c r="R164" s="243"/>
    </row>
    <row r="165" spans="8:8" ht="15.75" customHeight="1">
      <c r="G165" s="241" t="b">
        <v>0</v>
      </c>
      <c r="I165" s="242"/>
      <c r="J165" s="242"/>
      <c r="K165" s="242"/>
      <c r="L165" s="242"/>
      <c r="M165" s="242"/>
      <c r="O165" s="242"/>
      <c r="P165" s="242"/>
      <c r="Q165" s="242"/>
      <c r="R165" s="242"/>
    </row>
    <row r="166" spans="8:8" ht="15.75" customHeight="1">
      <c r="G166" s="241" t="b">
        <v>0</v>
      </c>
      <c r="I166" s="242"/>
      <c r="J166" s="242"/>
      <c r="K166" s="242"/>
      <c r="L166" s="242"/>
      <c r="M166" s="242"/>
      <c r="O166" s="242"/>
      <c r="P166" s="242"/>
      <c r="Q166" s="242"/>
      <c r="R166" s="242"/>
    </row>
    <row r="167" spans="8:8" ht="15.75" customHeight="1">
      <c r="G167" s="241" t="b">
        <v>0</v>
      </c>
      <c r="I167" s="242"/>
      <c r="J167" s="271"/>
      <c r="K167" s="272"/>
      <c r="L167" s="272"/>
      <c r="M167" s="256"/>
      <c r="O167" s="271"/>
      <c r="P167" s="272"/>
      <c r="Q167" s="272"/>
      <c r="R167" s="256"/>
    </row>
    <row r="168" spans="8:8" ht="15.75" customHeight="1">
      <c r="G168" s="241" t="b">
        <v>0</v>
      </c>
      <c r="I168" s="242"/>
      <c r="J168" s="242"/>
      <c r="K168" s="242"/>
      <c r="L168" s="242"/>
      <c r="M168" s="242"/>
      <c r="O168" s="242"/>
      <c r="P168" s="242"/>
      <c r="Q168" s="242"/>
      <c r="R168" s="242"/>
    </row>
    <row r="169" spans="8:8" ht="15.75" customHeight="1">
      <c r="G169" s="241" t="b">
        <v>0</v>
      </c>
      <c r="I169" s="242"/>
      <c r="J169" s="242"/>
      <c r="K169" s="242"/>
      <c r="L169" s="242"/>
      <c r="M169" s="242"/>
      <c r="O169" s="242"/>
      <c r="P169" s="242"/>
      <c r="Q169" s="242"/>
      <c r="R169" s="242"/>
    </row>
    <row r="170" spans="8:8" ht="15.75" customHeight="1">
      <c r="G170" s="241" t="b">
        <v>0</v>
      </c>
      <c r="I170" s="257"/>
      <c r="J170" s="270"/>
      <c r="K170" s="243"/>
      <c r="L170" s="243"/>
      <c r="M170" s="243"/>
      <c r="O170" s="270"/>
      <c r="P170" s="243"/>
      <c r="Q170" s="243"/>
      <c r="R170" s="243"/>
    </row>
    <row r="171" spans="8:8" ht="15.75" customHeight="1">
      <c r="G171" s="241" t="b">
        <v>0</v>
      </c>
      <c r="I171" s="242"/>
      <c r="J171" s="242"/>
      <c r="K171" s="242"/>
      <c r="L171" s="242"/>
      <c r="M171" s="242"/>
      <c r="O171" s="242"/>
      <c r="P171" s="242"/>
      <c r="Q171" s="242"/>
      <c r="R171" s="242"/>
    </row>
    <row r="172" spans="8:8" ht="15.75" customHeight="1">
      <c r="G172" s="241" t="b">
        <v>0</v>
      </c>
      <c r="I172" s="242"/>
      <c r="J172" s="242"/>
      <c r="K172" s="242"/>
      <c r="L172" s="242"/>
      <c r="M172" s="242"/>
      <c r="O172" s="242"/>
      <c r="P172" s="242"/>
      <c r="Q172" s="242"/>
      <c r="R172" s="242"/>
    </row>
    <row r="173" spans="8:8" ht="15.75" customHeight="1">
      <c r="G173" s="241" t="b">
        <v>0</v>
      </c>
      <c r="I173" s="240"/>
      <c r="J173" s="273"/>
      <c r="K173" s="273"/>
      <c r="L173" s="273"/>
      <c r="M173" s="242"/>
      <c r="O173" s="273"/>
      <c r="P173" s="273"/>
      <c r="Q173" s="273"/>
      <c r="R173" s="242"/>
    </row>
    <row r="174" spans="8:8" ht="15.75" customHeight="1">
      <c r="G174" s="241" t="b">
        <v>0</v>
      </c>
      <c r="I174" s="257"/>
      <c r="J174" s="270"/>
      <c r="K174" s="243"/>
      <c r="L174" s="243"/>
      <c r="M174" s="243"/>
      <c r="O174" s="270"/>
      <c r="P174" s="243"/>
      <c r="Q174" s="243"/>
      <c r="R174" s="243"/>
    </row>
    <row r="175" spans="8:8" ht="15.75" customHeight="1">
      <c r="G175" s="241" t="b">
        <v>0</v>
      </c>
      <c r="I175" s="242"/>
      <c r="J175" s="242"/>
      <c r="K175" s="242"/>
      <c r="L175" s="242"/>
      <c r="M175" s="242"/>
      <c r="O175" s="242"/>
      <c r="P175" s="242"/>
      <c r="Q175" s="242"/>
      <c r="R175" s="242"/>
    </row>
    <row r="176" spans="8:8" ht="15.75" customHeight="1">
      <c r="G176" s="241" t="b">
        <v>0</v>
      </c>
      <c r="I176" s="257"/>
      <c r="J176" s="270"/>
      <c r="K176" s="243"/>
      <c r="L176" s="243"/>
      <c r="M176" s="243"/>
      <c r="O176" s="270"/>
      <c r="P176" s="243"/>
      <c r="Q176" s="243"/>
      <c r="R176" s="243"/>
    </row>
    <row r="177" spans="8:8" ht="15.75" customHeight="1">
      <c r="G177" s="241" t="b">
        <v>0</v>
      </c>
      <c r="I177" s="242"/>
      <c r="J177" s="242"/>
      <c r="K177" s="242"/>
      <c r="L177" s="242"/>
      <c r="M177" s="242"/>
      <c r="O177" s="242"/>
      <c r="P177" s="242"/>
      <c r="Q177" s="242"/>
      <c r="R177" s="242"/>
    </row>
    <row r="178" spans="8:8" ht="15.75" customHeight="1">
      <c r="G178" s="241" t="b">
        <v>0</v>
      </c>
      <c r="I178" s="242"/>
      <c r="J178" s="242"/>
      <c r="K178" s="242"/>
      <c r="L178" s="242"/>
      <c r="M178" s="242"/>
      <c r="O178" s="242"/>
      <c r="P178" s="242"/>
      <c r="Q178" s="242"/>
      <c r="R178" s="242"/>
    </row>
    <row r="179" spans="8:8" ht="15.75" customHeight="1">
      <c r="G179" s="241" t="b">
        <v>0</v>
      </c>
      <c r="I179" s="257"/>
      <c r="J179" s="270"/>
      <c r="K179" s="243"/>
      <c r="L179" s="243"/>
      <c r="M179" s="243"/>
      <c r="O179" s="270"/>
      <c r="P179" s="243"/>
      <c r="Q179" s="243"/>
      <c r="R179" s="243"/>
    </row>
    <row r="180" spans="8:8" ht="15.75" customHeight="1">
      <c r="G180" s="241" t="b">
        <v>0</v>
      </c>
      <c r="I180" s="242"/>
      <c r="J180" s="242"/>
      <c r="K180" s="242"/>
      <c r="L180" s="242"/>
      <c r="M180" s="242"/>
      <c r="O180" s="242"/>
      <c r="P180" s="242"/>
      <c r="Q180" s="242"/>
      <c r="R180" s="242"/>
    </row>
    <row r="181" spans="8:8" ht="15.75" customHeight="1">
      <c r="G181" s="241" t="b">
        <v>0</v>
      </c>
      <c r="I181" s="242"/>
      <c r="J181" s="242"/>
      <c r="K181" s="242"/>
      <c r="L181" s="242"/>
      <c r="M181" s="242"/>
      <c r="O181" s="242"/>
      <c r="P181" s="242"/>
      <c r="Q181" s="242"/>
      <c r="R181" s="242"/>
    </row>
    <row r="182" spans="8:8" ht="15.75" customHeight="1">
      <c r="G182" s="241" t="b">
        <v>0</v>
      </c>
      <c r="I182" s="257"/>
      <c r="J182" s="270"/>
      <c r="K182" s="243"/>
      <c r="L182" s="243"/>
      <c r="M182" s="243"/>
      <c r="O182" s="270"/>
      <c r="P182" s="243"/>
      <c r="Q182" s="243"/>
      <c r="R182" s="243"/>
    </row>
    <row r="183" spans="8:8" ht="15.75" customHeight="1">
      <c r="G183" s="241" t="b">
        <v>0</v>
      </c>
      <c r="I183" s="242"/>
      <c r="J183" s="242"/>
      <c r="K183" s="242"/>
      <c r="L183" s="242"/>
      <c r="M183" s="242"/>
      <c r="O183" s="242"/>
      <c r="P183" s="242"/>
      <c r="Q183" s="242"/>
      <c r="R183" s="242"/>
    </row>
    <row r="184" spans="8:8" ht="15.75" customHeight="1">
      <c r="G184" s="241" t="b">
        <v>0</v>
      </c>
      <c r="I184" s="242"/>
      <c r="J184" s="242"/>
      <c r="K184" s="242"/>
      <c r="L184" s="242"/>
      <c r="M184" s="242"/>
      <c r="O184" s="242"/>
      <c r="P184" s="242"/>
      <c r="Q184" s="242"/>
      <c r="R184" s="242"/>
    </row>
    <row r="185" spans="8:8" ht="15.75" customHeight="1">
      <c r="G185" s="241" t="b">
        <v>0</v>
      </c>
      <c r="I185" s="242"/>
      <c r="J185" s="242"/>
      <c r="K185" s="242"/>
      <c r="L185" s="242"/>
      <c r="M185" s="242"/>
      <c r="O185" s="242"/>
      <c r="P185" s="242"/>
      <c r="Q185" s="242"/>
      <c r="R185" s="242"/>
    </row>
    <row r="186" spans="8:8" ht="15.75" customHeight="1">
      <c r="G186" s="241" t="b">
        <v>0</v>
      </c>
      <c r="I186" s="242"/>
      <c r="J186" s="242"/>
      <c r="K186" s="242"/>
      <c r="L186" s="242"/>
      <c r="M186" s="242"/>
      <c r="O186" s="242"/>
      <c r="P186" s="242"/>
      <c r="Q186" s="242"/>
      <c r="R186" s="242"/>
    </row>
    <row r="187" spans="8:8" ht="15.75" customHeight="1">
      <c r="G187" s="241" t="b">
        <v>0</v>
      </c>
      <c r="I187" s="242"/>
      <c r="J187" s="242"/>
      <c r="K187" s="242"/>
      <c r="L187" s="242"/>
      <c r="M187" s="242"/>
      <c r="O187" s="242"/>
      <c r="P187" s="242"/>
      <c r="Q187" s="242"/>
      <c r="R187" s="242"/>
    </row>
    <row r="188" spans="8:8" ht="15.75" customHeight="1">
      <c r="G188" s="241" t="b">
        <v>0</v>
      </c>
      <c r="I188" s="242"/>
      <c r="J188" s="242"/>
      <c r="K188" s="242"/>
      <c r="L188" s="242"/>
      <c r="M188" s="242"/>
      <c r="O188" s="242"/>
      <c r="P188" s="242"/>
      <c r="Q188" s="242"/>
      <c r="R188" s="242"/>
    </row>
    <row r="189" spans="8:8" ht="15.75" customHeight="1">
      <c r="G189" s="241" t="b">
        <v>0</v>
      </c>
      <c r="I189" s="242"/>
      <c r="J189" s="242"/>
      <c r="K189" s="242"/>
      <c r="L189" s="242"/>
      <c r="M189" s="242"/>
      <c r="O189" s="242"/>
      <c r="P189" s="242"/>
      <c r="Q189" s="242"/>
      <c r="R189" s="242"/>
    </row>
    <row r="190" spans="8:8" ht="15.75" customHeight="1">
      <c r="G190" s="241" t="b">
        <v>0</v>
      </c>
      <c r="I190" s="242"/>
      <c r="J190" s="242"/>
      <c r="K190" s="242"/>
      <c r="L190" s="242"/>
      <c r="M190" s="242"/>
      <c r="O190" s="242"/>
      <c r="P190" s="242"/>
      <c r="Q190" s="242"/>
      <c r="R190" s="242"/>
    </row>
    <row r="191" spans="8:8" ht="15.75" customHeight="1">
      <c r="G191" s="241" t="b">
        <v>0</v>
      </c>
      <c r="I191" s="242"/>
      <c r="J191" s="242"/>
      <c r="K191" s="242"/>
      <c r="L191" s="242"/>
      <c r="M191" s="242"/>
      <c r="O191" s="242"/>
      <c r="P191" s="242"/>
      <c r="Q191" s="242"/>
      <c r="R191" s="242"/>
    </row>
    <row r="192" spans="8:8" ht="15.75" customHeight="1">
      <c r="G192" s="241" t="b">
        <v>0</v>
      </c>
      <c r="I192" s="257"/>
      <c r="J192" s="270"/>
      <c r="K192" s="243"/>
      <c r="L192" s="243"/>
      <c r="M192" s="243"/>
      <c r="O192" s="270"/>
      <c r="P192" s="243"/>
      <c r="Q192" s="243"/>
      <c r="R192" s="243"/>
    </row>
    <row r="193" spans="8:8" ht="15.75" customHeight="1">
      <c r="G193" s="241" t="b">
        <v>0</v>
      </c>
      <c r="I193" s="242"/>
      <c r="J193" s="242"/>
      <c r="K193" s="242"/>
      <c r="L193" s="242"/>
      <c r="M193" s="242"/>
      <c r="O193" s="242"/>
      <c r="P193" s="242"/>
      <c r="Q193" s="242"/>
      <c r="R193" s="242"/>
    </row>
    <row r="194" spans="8:8" ht="15.75" customHeight="1">
      <c r="G194" s="241" t="b">
        <v>0</v>
      </c>
      <c r="I194" s="242"/>
      <c r="J194" s="242"/>
      <c r="K194" s="242"/>
      <c r="L194" s="242"/>
      <c r="M194" s="242"/>
      <c r="O194" s="242"/>
      <c r="P194" s="242"/>
      <c r="Q194" s="242"/>
      <c r="R194" s="242"/>
    </row>
    <row r="195" spans="8:8" ht="15.75" customHeight="1">
      <c r="G195" s="241" t="b">
        <v>0</v>
      </c>
      <c r="I195" s="257"/>
      <c r="J195" s="270"/>
      <c r="K195" s="243"/>
      <c r="L195" s="243"/>
      <c r="M195" s="243"/>
      <c r="O195" s="270"/>
      <c r="P195" s="243"/>
      <c r="Q195" s="243"/>
      <c r="R195" s="243"/>
    </row>
    <row r="196" spans="8:8" ht="15.75" customHeight="1">
      <c r="G196" s="241" t="b">
        <v>0</v>
      </c>
      <c r="I196" s="242"/>
      <c r="J196" s="242"/>
      <c r="K196" s="242"/>
      <c r="L196" s="242"/>
      <c r="M196" s="242"/>
      <c r="O196" s="242"/>
      <c r="P196" s="242"/>
      <c r="Q196" s="242"/>
      <c r="R196" s="242"/>
    </row>
    <row r="197" spans="8:8" ht="15.75" customHeight="1">
      <c r="G197" s="241" t="b">
        <v>0</v>
      </c>
      <c r="I197" s="242"/>
      <c r="J197" s="242"/>
      <c r="K197" s="242"/>
      <c r="L197" s="242"/>
      <c r="M197" s="242"/>
      <c r="O197" s="242"/>
      <c r="P197" s="242"/>
      <c r="Q197" s="240"/>
      <c r="R197" s="242"/>
    </row>
    <row r="198" spans="8:8" ht="15.75" customHeight="1">
      <c r="G198" s="241" t="b">
        <v>0</v>
      </c>
      <c r="I198" s="257"/>
      <c r="J198" s="270"/>
      <c r="K198" s="243"/>
      <c r="L198" s="243"/>
      <c r="M198" s="243"/>
      <c r="O198" s="270"/>
      <c r="P198" s="243"/>
      <c r="Q198" s="243"/>
      <c r="R198" s="243"/>
    </row>
    <row r="199" spans="8:8" ht="15.75" customHeight="1">
      <c r="G199" s="241" t="b">
        <v>0</v>
      </c>
      <c r="I199" s="242"/>
      <c r="J199" s="271"/>
      <c r="K199" s="272"/>
      <c r="L199" s="272"/>
      <c r="M199" s="256"/>
      <c r="O199" s="271"/>
      <c r="P199" s="272"/>
      <c r="Q199" s="272"/>
      <c r="R199" s="256"/>
    </row>
    <row r="200" spans="8:8" ht="15.75" customHeight="1">
      <c r="G200" s="241" t="b">
        <v>0</v>
      </c>
      <c r="I200" s="242"/>
      <c r="J200" s="242"/>
      <c r="K200" s="242"/>
      <c r="L200" s="242"/>
      <c r="M200" s="242"/>
      <c r="O200" s="242"/>
      <c r="P200" s="242"/>
      <c r="Q200" s="242"/>
      <c r="R200" s="242"/>
    </row>
    <row r="201" spans="8:8" ht="15.75" customHeight="1">
      <c r="G201" s="241" t="b">
        <v>0</v>
      </c>
      <c r="I201" s="242"/>
      <c r="J201" s="242"/>
      <c r="K201" s="242"/>
      <c r="L201" s="242"/>
      <c r="M201" s="242"/>
      <c r="O201" s="242"/>
      <c r="P201" s="242"/>
      <c r="Q201" s="240"/>
      <c r="R201" s="242"/>
    </row>
    <row r="202" spans="8:8" ht="15.75" customHeight="1">
      <c r="G202" s="241" t="b">
        <v>0</v>
      </c>
      <c r="I202" s="274"/>
      <c r="J202" s="274"/>
      <c r="K202" s="274"/>
      <c r="L202" s="274"/>
      <c r="M202" s="274"/>
      <c r="O202" s="274"/>
      <c r="P202" s="274"/>
      <c r="Q202" s="274"/>
      <c r="R202" s="274"/>
    </row>
    <row r="203" spans="8:8" ht="15.75" customHeight="1">
      <c r="G203" s="241" t="b">
        <v>0</v>
      </c>
      <c r="I203" s="257"/>
      <c r="J203" s="270"/>
      <c r="K203" s="243"/>
      <c r="L203" s="243"/>
      <c r="M203" s="243"/>
      <c r="O203" s="270"/>
      <c r="P203" s="243"/>
      <c r="Q203" s="243"/>
      <c r="R203" s="243"/>
    </row>
    <row r="204" spans="8:8" ht="15.75" customHeight="1">
      <c r="G204" s="241" t="b">
        <v>0</v>
      </c>
      <c r="I204" s="242"/>
      <c r="J204" s="242"/>
      <c r="K204" s="242"/>
      <c r="L204" s="242"/>
      <c r="M204" s="242"/>
      <c r="O204" s="242"/>
      <c r="P204" s="242"/>
      <c r="Q204" s="242"/>
      <c r="R204" s="242"/>
    </row>
    <row r="205" spans="8:8" ht="15.75" customHeight="1">
      <c r="G205" s="241" t="b">
        <v>0</v>
      </c>
      <c r="I205" s="242"/>
      <c r="J205" s="242"/>
      <c r="K205" s="242"/>
      <c r="L205" s="242"/>
      <c r="M205" s="242"/>
      <c r="O205" s="242"/>
      <c r="P205" s="242"/>
      <c r="Q205" s="242"/>
      <c r="R205" s="242"/>
    </row>
    <row r="206" spans="8:8" ht="15.75" customHeight="1">
      <c r="G206" s="241" t="b">
        <v>0</v>
      </c>
      <c r="I206" s="242"/>
      <c r="J206" s="242"/>
      <c r="K206" s="242"/>
      <c r="L206" s="242"/>
      <c r="M206" s="242"/>
      <c r="O206" s="242"/>
      <c r="P206" s="242"/>
      <c r="Q206" s="242"/>
      <c r="R206" s="242"/>
    </row>
    <row r="207" spans="8:8" ht="15.75" customHeight="1">
      <c r="G207" s="241" t="b">
        <v>0</v>
      </c>
      <c r="I207" s="257"/>
      <c r="J207" s="270"/>
      <c r="K207" s="243"/>
      <c r="L207" s="243"/>
      <c r="M207" s="243"/>
      <c r="O207" s="270"/>
      <c r="P207" s="243"/>
      <c r="Q207" s="243"/>
      <c r="R207" s="243"/>
    </row>
    <row r="208" spans="8:8" ht="15.75" customHeight="1">
      <c r="G208" s="241" t="b">
        <v>0</v>
      </c>
      <c r="I208" s="242"/>
      <c r="J208" s="242"/>
      <c r="K208" s="242"/>
      <c r="L208" s="242"/>
      <c r="M208" s="242"/>
      <c r="O208" s="242"/>
      <c r="P208" s="242"/>
      <c r="Q208" s="242"/>
      <c r="R208" s="242"/>
    </row>
    <row r="209" spans="8:8" ht="15.75" customHeight="1">
      <c r="G209" s="241" t="b">
        <v>0</v>
      </c>
      <c r="I209" s="242"/>
      <c r="J209" s="242"/>
      <c r="K209" s="242"/>
      <c r="L209" s="242"/>
      <c r="M209" s="242"/>
      <c r="O209" s="242"/>
      <c r="P209" s="242"/>
      <c r="Q209" s="242"/>
      <c r="R209" s="242"/>
    </row>
    <row r="210" spans="8:8" ht="15.75" customHeight="1">
      <c r="G210" s="241" t="b">
        <v>0</v>
      </c>
      <c r="I210" s="257"/>
      <c r="J210" s="270"/>
      <c r="K210" s="243"/>
      <c r="L210" s="243"/>
      <c r="M210" s="243"/>
      <c r="O210" s="270"/>
      <c r="P210" s="243"/>
      <c r="Q210" s="243"/>
      <c r="R210" s="243"/>
    </row>
    <row r="211" spans="8:8" ht="15.75" customHeight="1">
      <c r="G211" s="241" t="b">
        <v>0</v>
      </c>
      <c r="I211" s="242"/>
      <c r="J211" s="242"/>
      <c r="K211" s="242"/>
      <c r="L211" s="242"/>
      <c r="M211" s="242"/>
      <c r="O211" s="242"/>
      <c r="P211" s="242"/>
      <c r="Q211" s="242"/>
      <c r="R211" s="242"/>
    </row>
    <row r="212" spans="8:8" ht="15.75" customHeight="1">
      <c r="G212" s="241" t="b">
        <v>0</v>
      </c>
      <c r="I212" s="242"/>
      <c r="J212" s="242"/>
      <c r="K212" s="242"/>
      <c r="L212" s="242"/>
      <c r="M212" s="242"/>
      <c r="O212" s="242"/>
      <c r="P212" s="242"/>
      <c r="Q212" s="242"/>
      <c r="R212" s="242"/>
    </row>
    <row r="213" spans="8:8" ht="15.75" customHeight="1">
      <c r="G213" s="241" t="b">
        <v>0</v>
      </c>
      <c r="I213" s="257"/>
      <c r="J213" s="270"/>
      <c r="K213" s="243"/>
      <c r="L213" s="243"/>
      <c r="M213" s="243"/>
      <c r="O213" s="270"/>
      <c r="P213" s="243"/>
      <c r="Q213" s="243"/>
      <c r="R213" s="243"/>
    </row>
    <row r="214" spans="8:8" ht="15.75" customHeight="1">
      <c r="G214" s="241" t="b">
        <v>0</v>
      </c>
      <c r="I214" s="242"/>
      <c r="J214" s="242"/>
      <c r="K214" s="242"/>
      <c r="L214" s="242"/>
      <c r="M214" s="242"/>
      <c r="O214" s="242"/>
      <c r="P214" s="242"/>
      <c r="Q214" s="242"/>
      <c r="R214" s="242"/>
    </row>
    <row r="215" spans="8:8" ht="15.75" customHeight="1">
      <c r="G215" s="241" t="b">
        <v>0</v>
      </c>
      <c r="I215" s="242"/>
      <c r="J215" s="242"/>
      <c r="K215" s="242"/>
      <c r="L215" s="242"/>
      <c r="M215" s="242"/>
      <c r="O215" s="242"/>
      <c r="P215" s="242"/>
      <c r="Q215" s="242"/>
      <c r="R215" s="242"/>
    </row>
    <row r="216" spans="8:8" ht="15.75" customHeight="1">
      <c r="G216" s="241" t="b">
        <v>0</v>
      </c>
      <c r="I216" s="242"/>
      <c r="J216" s="242"/>
      <c r="K216" s="242"/>
      <c r="L216" s="242"/>
      <c r="M216" s="242"/>
      <c r="O216" s="242"/>
      <c r="P216" s="242"/>
      <c r="Q216" s="242"/>
      <c r="R216" s="242"/>
    </row>
    <row r="217" spans="8:8" ht="15.75" customHeight="1">
      <c r="G217" s="241" t="b">
        <v>0</v>
      </c>
      <c r="I217" s="257"/>
      <c r="J217" s="270"/>
      <c r="K217" s="243"/>
      <c r="L217" s="243"/>
      <c r="M217" s="243"/>
      <c r="O217" s="270"/>
      <c r="P217" s="243"/>
      <c r="Q217" s="243"/>
      <c r="R217" s="243"/>
    </row>
    <row r="218" spans="8:8" ht="15.75" customHeight="1">
      <c r="G218" s="241" t="b">
        <v>0</v>
      </c>
      <c r="I218" s="275"/>
      <c r="J218" s="275"/>
      <c r="K218" s="275"/>
      <c r="L218" s="240"/>
      <c r="M218" s="237"/>
      <c r="O218" s="237"/>
      <c r="P218" s="237"/>
      <c r="Q218" s="237"/>
      <c r="R218" s="237"/>
    </row>
    <row r="219" spans="8:8" ht="15.75" customHeight="1">
      <c r="G219" s="241" t="b">
        <v>0</v>
      </c>
      <c r="I219" s="275"/>
      <c r="J219" s="275"/>
      <c r="K219" s="275"/>
      <c r="L219" s="240"/>
      <c r="M219" s="237"/>
      <c r="O219" s="237"/>
      <c r="P219" s="237"/>
      <c r="Q219" s="237"/>
      <c r="R219" s="237"/>
    </row>
    <row r="220" spans="8:8" ht="15.75" customHeight="1">
      <c r="G220" s="241" t="b">
        <v>0</v>
      </c>
      <c r="I220" s="275"/>
      <c r="J220" s="275"/>
      <c r="K220" s="275"/>
      <c r="L220" s="240"/>
      <c r="M220" s="237"/>
      <c r="O220" s="237"/>
      <c r="P220" s="237"/>
      <c r="Q220" s="237"/>
      <c r="R220" s="237"/>
    </row>
    <row r="221" spans="8:8" ht="15.75" customHeight="1">
      <c r="G221" s="241" t="b">
        <v>0</v>
      </c>
      <c r="I221" s="275"/>
      <c r="J221" s="275"/>
      <c r="K221" s="275"/>
      <c r="L221" s="240"/>
      <c r="M221" s="237"/>
      <c r="O221" s="237"/>
      <c r="P221" s="237"/>
      <c r="Q221" s="237"/>
      <c r="R221" s="237"/>
    </row>
    <row r="222" spans="8:8" ht="15.75" customHeight="1">
      <c r="G222" s="241" t="b">
        <v>0</v>
      </c>
      <c r="I222" s="275"/>
      <c r="J222" s="275"/>
      <c r="K222" s="275"/>
      <c r="L222" s="240"/>
      <c r="M222" s="237"/>
      <c r="O222" s="237"/>
      <c r="P222" s="237"/>
      <c r="Q222" s="237"/>
      <c r="R222" s="237"/>
    </row>
    <row r="223" spans="8:8" ht="15.75" customHeight="1">
      <c r="G223" s="241" t="b">
        <v>0</v>
      </c>
      <c r="I223" s="275"/>
      <c r="J223" s="275"/>
      <c r="K223" s="275"/>
      <c r="L223" s="240"/>
      <c r="M223" s="237"/>
      <c r="O223" s="237"/>
      <c r="P223" s="237"/>
      <c r="Q223" s="237"/>
      <c r="R223" s="237"/>
    </row>
    <row r="224" spans="8:8" ht="15.75" customHeight="1">
      <c r="G224" s="241" t="b">
        <v>0</v>
      </c>
      <c r="I224" s="275"/>
      <c r="J224" s="275"/>
      <c r="K224" s="275"/>
      <c r="L224" s="240"/>
      <c r="M224" s="237"/>
      <c r="O224" s="237"/>
      <c r="P224" s="237"/>
      <c r="Q224" s="237"/>
      <c r="R224" s="237"/>
    </row>
    <row r="225" spans="8:8" ht="15.75" customHeight="1">
      <c r="G225" s="241" t="b">
        <v>0</v>
      </c>
      <c r="I225" s="275"/>
      <c r="J225" s="275"/>
      <c r="K225" s="275"/>
      <c r="L225" s="240"/>
      <c r="M225" s="237"/>
      <c r="O225" s="237"/>
      <c r="P225" s="237"/>
      <c r="Q225" s="237"/>
      <c r="R225" s="237"/>
    </row>
    <row r="226" spans="8:8" ht="15.75" customHeight="1">
      <c r="G226" s="241" t="b">
        <v>0</v>
      </c>
      <c r="I226" s="275"/>
      <c r="J226" s="275"/>
      <c r="K226" s="275"/>
      <c r="L226" s="240"/>
      <c r="M226" s="237"/>
      <c r="O226" s="237"/>
      <c r="P226" s="237"/>
      <c r="Q226" s="237"/>
      <c r="R226" s="237"/>
    </row>
    <row r="227" spans="8:8" ht="15.75" customHeight="1">
      <c r="G227" s="241" t="b">
        <v>0</v>
      </c>
      <c r="I227" s="275"/>
      <c r="J227" s="275"/>
      <c r="K227" s="275"/>
      <c r="L227" s="240"/>
      <c r="M227" s="237"/>
      <c r="O227" s="237"/>
      <c r="P227" s="237"/>
      <c r="Q227" s="237"/>
      <c r="R227" s="237"/>
    </row>
    <row r="228" spans="8:8" ht="15.75" customHeight="1">
      <c r="G228" s="241" t="b">
        <v>0</v>
      </c>
      <c r="I228" s="275"/>
      <c r="J228" s="275"/>
      <c r="K228" s="275"/>
      <c r="L228" s="240"/>
      <c r="M228" s="237"/>
      <c r="O228" s="237"/>
      <c r="P228" s="237"/>
      <c r="Q228" s="237"/>
      <c r="R228" s="237"/>
    </row>
    <row r="229" spans="8:8" ht="15.75" customHeight="1">
      <c r="G229" s="241" t="b">
        <v>0</v>
      </c>
      <c r="I229" s="275"/>
      <c r="J229" s="275"/>
      <c r="K229" s="275"/>
      <c r="L229" s="240"/>
      <c r="M229" s="237"/>
      <c r="O229" s="237"/>
      <c r="P229" s="237"/>
      <c r="Q229" s="237"/>
      <c r="R229" s="237"/>
    </row>
    <row r="230" spans="8:8" ht="15.75" customHeight="1">
      <c r="G230" s="241" t="b">
        <v>0</v>
      </c>
      <c r="I230" s="275"/>
      <c r="J230" s="275"/>
      <c r="K230" s="275"/>
      <c r="L230" s="240"/>
      <c r="M230" s="237"/>
      <c r="O230" s="237"/>
      <c r="P230" s="237"/>
      <c r="Q230" s="237"/>
      <c r="R230" s="237"/>
    </row>
    <row r="231" spans="8:8" ht="15.75" customHeight="1">
      <c r="G231" s="241" t="b">
        <v>0</v>
      </c>
      <c r="I231" s="275"/>
      <c r="J231" s="275"/>
      <c r="K231" s="275"/>
      <c r="L231" s="276"/>
      <c r="M231" s="237"/>
      <c r="O231" s="237"/>
      <c r="P231" s="237"/>
      <c r="Q231" s="237"/>
      <c r="R231" s="237"/>
    </row>
    <row r="232" spans="8:8" ht="15.75" customHeight="1">
      <c r="G232" s="241" t="b">
        <v>0</v>
      </c>
      <c r="I232" s="275"/>
      <c r="J232" s="275"/>
      <c r="K232" s="275"/>
      <c r="L232" s="240"/>
      <c r="M232" s="237"/>
      <c r="O232" s="237"/>
      <c r="P232" s="237"/>
      <c r="Q232" s="237"/>
      <c r="R232" s="237"/>
    </row>
    <row r="233" spans="8:8" ht="15.75" customHeight="1">
      <c r="G233" s="241" t="b">
        <v>0</v>
      </c>
      <c r="I233" s="275"/>
      <c r="J233" s="275"/>
      <c r="K233" s="275"/>
      <c r="L233" s="240"/>
      <c r="M233" s="237"/>
      <c r="O233" s="237"/>
      <c r="P233" s="237"/>
      <c r="Q233" s="237"/>
      <c r="R233" s="237"/>
    </row>
    <row r="234" spans="8:8" ht="15.75" customHeight="1">
      <c r="G234" s="241" t="b">
        <v>0</v>
      </c>
      <c r="I234" s="275"/>
      <c r="J234" s="275"/>
      <c r="K234" s="275"/>
      <c r="L234" s="240"/>
      <c r="M234" s="237"/>
      <c r="O234" s="237"/>
      <c r="P234" s="237"/>
      <c r="Q234" s="237"/>
      <c r="R234" s="237"/>
    </row>
    <row r="235" spans="8:8" ht="15.75" customHeight="1">
      <c r="G235" s="241" t="b">
        <v>0</v>
      </c>
      <c r="I235" s="275"/>
      <c r="J235" s="275"/>
      <c r="K235" s="275"/>
      <c r="L235" s="240"/>
      <c r="M235" s="237"/>
      <c r="O235" s="237"/>
      <c r="P235" s="237"/>
      <c r="Q235" s="237"/>
      <c r="R235" s="237"/>
    </row>
    <row r="236" spans="8:8" ht="15.75" customHeight="1">
      <c r="G236" s="241" t="b">
        <v>0</v>
      </c>
      <c r="I236" s="275"/>
      <c r="J236" s="275"/>
      <c r="K236" s="275"/>
      <c r="L236" s="240"/>
      <c r="M236" s="237"/>
      <c r="O236" s="237"/>
      <c r="P236" s="237"/>
      <c r="Q236" s="237"/>
      <c r="R236" s="237"/>
    </row>
    <row r="237" spans="8:8" ht="15.75" customHeight="1">
      <c r="G237" s="241" t="b">
        <v>0</v>
      </c>
      <c r="I237" s="275"/>
      <c r="J237" s="275"/>
      <c r="K237" s="275"/>
      <c r="L237" s="240"/>
      <c r="M237" s="237"/>
      <c r="O237" s="237"/>
      <c r="P237" s="237"/>
      <c r="Q237" s="237"/>
      <c r="R237" s="237"/>
    </row>
    <row r="238" spans="8:8" ht="15.75" customHeight="1">
      <c r="G238" s="241" t="b">
        <v>0</v>
      </c>
      <c r="I238" s="275"/>
      <c r="J238" s="275"/>
      <c r="K238" s="275"/>
      <c r="L238" s="240"/>
      <c r="M238" s="237"/>
      <c r="O238" s="237"/>
      <c r="P238" s="237"/>
      <c r="Q238" s="237"/>
      <c r="R238" s="237"/>
    </row>
    <row r="239" spans="8:8" ht="15.75" customHeight="1">
      <c r="G239" s="241" t="b">
        <v>0</v>
      </c>
      <c r="I239" s="275"/>
      <c r="J239" s="275"/>
      <c r="K239" s="275"/>
      <c r="L239" s="240"/>
      <c r="M239" s="237"/>
      <c r="O239" s="237"/>
      <c r="P239" s="237"/>
      <c r="Q239" s="237"/>
      <c r="R239" s="237"/>
    </row>
    <row r="240" spans="8:8" ht="15.75" customHeight="1">
      <c r="G240" s="241" t="b">
        <v>0</v>
      </c>
      <c r="I240" s="275"/>
      <c r="J240" s="275"/>
      <c r="K240" s="275"/>
      <c r="L240" s="240"/>
      <c r="M240" s="237"/>
      <c r="O240" s="237"/>
      <c r="P240" s="237"/>
      <c r="Q240" s="237"/>
      <c r="R240" s="237"/>
    </row>
    <row r="241" spans="8:8" ht="15.75" customHeight="1">
      <c r="G241" s="241" t="b">
        <v>0</v>
      </c>
      <c r="I241" s="275"/>
      <c r="J241" s="275"/>
      <c r="K241" s="275"/>
      <c r="L241" s="240"/>
      <c r="M241" s="237"/>
      <c r="O241" s="237"/>
      <c r="P241" s="237"/>
      <c r="Q241" s="237"/>
      <c r="R241" s="237"/>
    </row>
    <row r="242" spans="8:8" ht="15.75" customHeight="1">
      <c r="G242" s="241" t="b">
        <v>0</v>
      </c>
      <c r="I242" s="275"/>
      <c r="J242" s="275"/>
      <c r="K242" s="275"/>
      <c r="L242" s="240"/>
      <c r="M242" s="237"/>
      <c r="O242" s="237"/>
      <c r="P242" s="237"/>
      <c r="Q242" s="237"/>
      <c r="R242" s="237"/>
    </row>
    <row r="243" spans="8:8" ht="15.75" customHeight="1">
      <c r="G243" s="241" t="b">
        <v>0</v>
      </c>
      <c r="I243" s="275"/>
      <c r="J243" s="275"/>
      <c r="K243" s="275"/>
      <c r="L243" s="240"/>
      <c r="M243" s="237"/>
      <c r="O243" s="237"/>
      <c r="P243" s="237"/>
      <c r="Q243" s="237"/>
      <c r="R243" s="237"/>
    </row>
    <row r="244" spans="8:8" ht="15.75" customHeight="1">
      <c r="G244" s="241" t="b">
        <v>0</v>
      </c>
      <c r="I244" s="275"/>
      <c r="J244" s="275"/>
      <c r="K244" s="275"/>
      <c r="L244" s="240"/>
      <c r="M244" s="237"/>
      <c r="O244" s="237"/>
      <c r="P244" s="237"/>
      <c r="Q244" s="237"/>
      <c r="R244" s="237"/>
    </row>
    <row r="245" spans="8:8" ht="15.75" customHeight="1">
      <c r="G245" s="241" t="b">
        <v>0</v>
      </c>
      <c r="I245" s="275"/>
      <c r="J245" s="275"/>
      <c r="K245" s="275"/>
      <c r="L245" s="240"/>
      <c r="M245" s="237"/>
      <c r="O245" s="237"/>
      <c r="P245" s="237"/>
      <c r="Q245" s="237"/>
      <c r="R245" s="237"/>
    </row>
    <row r="246" spans="8:8" ht="15.75" customHeight="1">
      <c r="G246" s="241" t="b">
        <v>0</v>
      </c>
      <c r="I246" s="275"/>
      <c r="J246" s="275"/>
      <c r="K246" s="275"/>
      <c r="L246" s="240"/>
      <c r="M246" s="237"/>
      <c r="O246" s="237"/>
      <c r="P246" s="237"/>
      <c r="Q246" s="237"/>
      <c r="R246" s="237"/>
    </row>
    <row r="247" spans="8:8" ht="15.75" customHeight="1">
      <c r="G247" s="241" t="b">
        <v>0</v>
      </c>
      <c r="I247" s="275"/>
      <c r="J247" s="275"/>
      <c r="K247" s="275"/>
      <c r="L247" s="240"/>
      <c r="M247" s="237"/>
      <c r="O247" s="237"/>
      <c r="P247" s="237"/>
      <c r="Q247" s="237"/>
      <c r="R247" s="237"/>
    </row>
    <row r="248" spans="8:8" ht="15.75" customHeight="1">
      <c r="G248" s="241" t="b">
        <v>0</v>
      </c>
      <c r="I248" s="275"/>
      <c r="J248" s="275"/>
      <c r="K248" s="275"/>
      <c r="L248" s="240"/>
      <c r="M248" s="237"/>
      <c r="O248" s="237"/>
      <c r="P248" s="237"/>
      <c r="Q248" s="237"/>
      <c r="R248" s="237"/>
    </row>
    <row r="249" spans="8:8" ht="15.75" customHeight="1">
      <c r="G249" s="241" t="b">
        <v>0</v>
      </c>
      <c r="I249" s="275"/>
      <c r="J249" s="275"/>
      <c r="K249" s="275"/>
      <c r="L249" s="240"/>
      <c r="M249" s="237"/>
      <c r="O249" s="237"/>
      <c r="P249" s="237"/>
      <c r="Q249" s="237"/>
      <c r="R249" s="237"/>
    </row>
    <row r="250" spans="8:8" ht="15.75" customHeight="1">
      <c r="G250" s="241" t="b">
        <v>0</v>
      </c>
      <c r="I250" s="275"/>
      <c r="J250" s="275"/>
      <c r="K250" s="275"/>
      <c r="L250" s="240"/>
      <c r="M250" s="237"/>
      <c r="O250" s="237"/>
      <c r="P250" s="237"/>
      <c r="Q250" s="237"/>
      <c r="R250" s="237"/>
    </row>
    <row r="251" spans="8:8" ht="15.75" customHeight="1">
      <c r="G251" s="241" t="b">
        <v>0</v>
      </c>
      <c r="I251" s="275"/>
      <c r="J251" s="275"/>
      <c r="K251" s="275"/>
      <c r="L251" s="240"/>
      <c r="M251" s="237"/>
      <c r="O251" s="237"/>
      <c r="P251" s="237"/>
      <c r="Q251" s="237"/>
      <c r="R251" s="237"/>
    </row>
    <row r="252" spans="8:8" ht="15.75" customHeight="1">
      <c r="G252" s="241" t="b">
        <v>0</v>
      </c>
      <c r="I252" s="275"/>
      <c r="J252" s="275"/>
      <c r="K252" s="275"/>
      <c r="L252" s="240"/>
      <c r="M252" s="237"/>
      <c r="O252" s="237"/>
      <c r="P252" s="237"/>
      <c r="Q252" s="237"/>
      <c r="R252" s="237"/>
    </row>
    <row r="253" spans="8:8" ht="15.75" customHeight="1">
      <c r="G253" s="241" t="b">
        <v>0</v>
      </c>
      <c r="I253" s="275"/>
      <c r="J253" s="275"/>
      <c r="K253" s="275"/>
      <c r="L253" s="240"/>
      <c r="M253" s="237"/>
      <c r="O253" s="237"/>
      <c r="P253" s="237"/>
      <c r="Q253" s="237"/>
      <c r="R253" s="237"/>
    </row>
    <row r="254" spans="8:8" ht="15.75" customHeight="1">
      <c r="G254" s="241" t="b">
        <v>0</v>
      </c>
      <c r="I254" s="275"/>
      <c r="J254" s="275"/>
      <c r="K254" s="275"/>
      <c r="L254" s="240"/>
      <c r="M254" s="237"/>
      <c r="O254" s="237"/>
      <c r="P254" s="237"/>
      <c r="Q254" s="237"/>
      <c r="R254" s="237"/>
    </row>
    <row r="255" spans="8:8" ht="15.75" customHeight="1">
      <c r="G255" s="241" t="b">
        <v>0</v>
      </c>
      <c r="I255" s="275"/>
      <c r="J255" s="275"/>
      <c r="K255" s="275"/>
      <c r="L255" s="240"/>
      <c r="M255" s="237"/>
      <c r="O255" s="237"/>
      <c r="P255" s="237"/>
      <c r="Q255" s="237"/>
      <c r="R255" s="237"/>
    </row>
    <row r="256" spans="8:8" ht="15.75" customHeight="1">
      <c r="G256" s="241" t="b">
        <v>0</v>
      </c>
      <c r="I256" s="275"/>
      <c r="J256" s="275"/>
      <c r="K256" s="275"/>
      <c r="L256" s="240"/>
      <c r="M256" s="237"/>
      <c r="O256" s="237"/>
      <c r="P256" s="237"/>
      <c r="Q256" s="237"/>
      <c r="R256" s="237"/>
    </row>
    <row r="257" spans="8:8" ht="15.75" customHeight="1">
      <c r="G257" s="241" t="b">
        <v>0</v>
      </c>
      <c r="I257" s="275"/>
      <c r="J257" s="275"/>
      <c r="K257" s="275"/>
      <c r="L257" s="240"/>
      <c r="M257" s="237"/>
      <c r="O257" s="237"/>
      <c r="P257" s="237"/>
      <c r="Q257" s="237"/>
      <c r="R257" s="237"/>
    </row>
    <row r="258" spans="8:8" ht="15.75" customHeight="1">
      <c r="G258" s="241" t="b">
        <v>0</v>
      </c>
      <c r="I258" s="275"/>
      <c r="J258" s="275"/>
      <c r="K258" s="275"/>
      <c r="L258" s="240"/>
      <c r="M258" s="237"/>
      <c r="O258" s="237"/>
      <c r="P258" s="237"/>
      <c r="Q258" s="237"/>
      <c r="R258" s="237"/>
    </row>
    <row r="259" spans="8:8" ht="15.75" customHeight="1">
      <c r="G259" s="241" t="b">
        <v>0</v>
      </c>
      <c r="I259" s="275"/>
      <c r="J259" s="275"/>
      <c r="K259" s="275"/>
      <c r="L259" s="240"/>
      <c r="M259" s="237"/>
      <c r="O259" s="237"/>
      <c r="P259" s="237"/>
      <c r="Q259" s="237"/>
      <c r="R259" s="237"/>
    </row>
    <row r="260" spans="8:8" ht="15.75" customHeight="1">
      <c r="G260" s="241" t="b">
        <v>0</v>
      </c>
      <c r="I260" s="275"/>
      <c r="J260" s="275"/>
      <c r="K260" s="275"/>
      <c r="L260" s="240"/>
      <c r="M260" s="237"/>
      <c r="O260" s="237"/>
      <c r="P260" s="237"/>
      <c r="Q260" s="237"/>
      <c r="R260" s="237"/>
    </row>
    <row r="261" spans="8:8" ht="15.75" customHeight="1">
      <c r="G261" s="241" t="b">
        <v>0</v>
      </c>
      <c r="I261" s="275"/>
      <c r="J261" s="275"/>
      <c r="K261" s="275"/>
      <c r="L261" s="240"/>
      <c r="M261" s="237"/>
      <c r="O261" s="237"/>
      <c r="P261" s="237"/>
      <c r="Q261" s="237"/>
      <c r="R261" s="237"/>
    </row>
    <row r="262" spans="8:8" ht="15.75" customHeight="1">
      <c r="G262" s="241" t="b">
        <v>0</v>
      </c>
      <c r="I262" s="275"/>
      <c r="J262" s="275"/>
      <c r="K262" s="275"/>
      <c r="L262" s="240"/>
      <c r="M262" s="237"/>
      <c r="O262" s="237"/>
      <c r="P262" s="237"/>
      <c r="Q262" s="237"/>
      <c r="R262" s="237"/>
    </row>
    <row r="263" spans="8:8" ht="15.75" customHeight="1">
      <c r="G263" s="241" t="b">
        <v>0</v>
      </c>
      <c r="I263" s="275"/>
      <c r="J263" s="275"/>
      <c r="K263" s="275"/>
      <c r="L263" s="240"/>
      <c r="M263" s="237"/>
      <c r="O263" s="237"/>
      <c r="P263" s="237"/>
      <c r="Q263" s="237"/>
      <c r="R263" s="237"/>
    </row>
    <row r="264" spans="8:8" ht="15.75" customHeight="1">
      <c r="G264" s="241" t="b">
        <v>0</v>
      </c>
      <c r="I264" s="275"/>
      <c r="J264" s="275"/>
      <c r="K264" s="275"/>
      <c r="L264" s="276"/>
      <c r="M264" s="237"/>
      <c r="O264" s="237"/>
      <c r="P264" s="237"/>
      <c r="Q264" s="237"/>
      <c r="R264" s="237"/>
    </row>
    <row r="265" spans="8:8" ht="15.75" customHeight="1">
      <c r="G265" s="241" t="b">
        <v>0</v>
      </c>
      <c r="I265" s="275"/>
      <c r="J265" s="275"/>
      <c r="K265" s="275"/>
      <c r="L265" s="240"/>
      <c r="M265" s="237"/>
      <c r="O265" s="237"/>
      <c r="P265" s="237"/>
      <c r="Q265" s="237"/>
      <c r="R265" s="237"/>
    </row>
    <row r="266" spans="8:8" ht="15.75" customHeight="1">
      <c r="G266" s="241" t="b">
        <v>0</v>
      </c>
      <c r="I266" s="275"/>
      <c r="J266" s="275"/>
      <c r="K266" s="275"/>
      <c r="L266" s="240"/>
      <c r="M266" s="237"/>
      <c r="O266" s="237"/>
      <c r="P266" s="237"/>
      <c r="Q266" s="237"/>
      <c r="R266" s="237"/>
    </row>
    <row r="267" spans="8:8" ht="15.75" customHeight="1">
      <c r="G267" s="241" t="b">
        <v>0</v>
      </c>
      <c r="I267" s="275"/>
      <c r="J267" s="275"/>
      <c r="K267" s="275"/>
      <c r="L267" s="240"/>
      <c r="M267" s="237"/>
      <c r="O267" s="237"/>
      <c r="P267" s="237"/>
      <c r="Q267" s="237"/>
      <c r="R267" s="237"/>
    </row>
    <row r="268" spans="8:8" ht="15.75" customHeight="1">
      <c r="G268" s="241" t="b">
        <v>0</v>
      </c>
      <c r="I268" s="275"/>
      <c r="J268" s="275"/>
      <c r="K268" s="275"/>
      <c r="L268" s="240"/>
      <c r="M268" s="237"/>
      <c r="O268" s="237"/>
      <c r="P268" s="237"/>
      <c r="Q268" s="237"/>
      <c r="R268" s="237"/>
    </row>
    <row r="269" spans="8:8" ht="15.75" customHeight="1">
      <c r="G269" s="241" t="b">
        <v>0</v>
      </c>
      <c r="I269" s="275"/>
      <c r="J269" s="275"/>
      <c r="K269" s="275"/>
      <c r="L269" s="240"/>
      <c r="M269" s="237"/>
      <c r="O269" s="237"/>
      <c r="P269" s="237"/>
      <c r="Q269" s="237"/>
      <c r="R269" s="237"/>
    </row>
    <row r="270" spans="8:8" ht="15.75" customHeight="1">
      <c r="G270" s="241" t="b">
        <v>0</v>
      </c>
      <c r="I270" s="275"/>
      <c r="J270" s="275"/>
      <c r="K270" s="275"/>
      <c r="L270" s="240"/>
      <c r="M270" s="237"/>
      <c r="O270" s="237"/>
      <c r="P270" s="237"/>
      <c r="Q270" s="237"/>
      <c r="R270" s="237"/>
    </row>
    <row r="271" spans="8:8" ht="15.75" customHeight="1">
      <c r="G271" s="241" t="b">
        <v>0</v>
      </c>
      <c r="I271" s="275"/>
      <c r="J271" s="275"/>
      <c r="K271" s="275"/>
      <c r="L271" s="240"/>
      <c r="M271" s="237"/>
      <c r="O271" s="237"/>
      <c r="P271" s="237"/>
      <c r="Q271" s="237"/>
      <c r="R271" s="237"/>
    </row>
    <row r="272" spans="8:8" ht="15.75" customHeight="1">
      <c r="G272" s="241" t="b">
        <v>0</v>
      </c>
      <c r="I272" s="275"/>
      <c r="J272" s="275"/>
      <c r="K272" s="275"/>
      <c r="L272" s="240"/>
      <c r="M272" s="237"/>
      <c r="O272" s="237"/>
      <c r="P272" s="237"/>
      <c r="Q272" s="237"/>
      <c r="R272" s="237"/>
    </row>
    <row r="273" spans="8:8" ht="15.75" customHeight="1">
      <c r="G273" s="241" t="b">
        <v>0</v>
      </c>
      <c r="I273" s="275"/>
      <c r="J273" s="275"/>
      <c r="K273" s="275"/>
      <c r="L273" s="240"/>
      <c r="M273" s="237"/>
      <c r="O273" s="237"/>
      <c r="P273" s="237"/>
      <c r="Q273" s="237"/>
      <c r="R273" s="237"/>
    </row>
    <row r="274" spans="8:8" ht="15.75" customHeight="1">
      <c r="G274" s="241" t="b">
        <v>0</v>
      </c>
      <c r="I274" s="275"/>
      <c r="J274" s="275"/>
      <c r="K274" s="275"/>
      <c r="L274" s="240"/>
      <c r="M274" s="237"/>
      <c r="O274" s="237"/>
      <c r="P274" s="237"/>
      <c r="Q274" s="237"/>
      <c r="R274" s="237"/>
    </row>
    <row r="275" spans="8:8" ht="15.75" customHeight="1">
      <c r="G275" s="241" t="b">
        <v>0</v>
      </c>
      <c r="I275" s="275"/>
      <c r="J275" s="275"/>
      <c r="K275" s="275"/>
      <c r="L275" s="240"/>
      <c r="M275" s="237"/>
      <c r="O275" s="237"/>
      <c r="P275" s="237"/>
      <c r="Q275" s="237"/>
      <c r="R275" s="237"/>
    </row>
    <row r="276" spans="8:8" ht="15.75" customHeight="1">
      <c r="G276" s="241" t="b">
        <v>0</v>
      </c>
      <c r="I276" s="275"/>
      <c r="J276" s="275"/>
      <c r="K276" s="275"/>
      <c r="L276" s="240"/>
      <c r="M276" s="237"/>
      <c r="O276" s="237"/>
      <c r="P276" s="237"/>
      <c r="Q276" s="237"/>
      <c r="R276" s="237"/>
    </row>
    <row r="277" spans="8:8" ht="15.75" customHeight="1">
      <c r="G277" s="241" t="b">
        <v>0</v>
      </c>
      <c r="I277" s="275"/>
      <c r="J277" s="275"/>
      <c r="K277" s="275"/>
      <c r="L277" s="240"/>
      <c r="M277" s="237"/>
      <c r="O277" s="237"/>
      <c r="P277" s="237"/>
      <c r="Q277" s="237"/>
      <c r="R277" s="237"/>
    </row>
    <row r="278" spans="8:8" ht="15.75" customHeight="1">
      <c r="G278" s="241" t="b">
        <v>0</v>
      </c>
      <c r="I278" s="275"/>
      <c r="J278" s="275"/>
      <c r="K278" s="275"/>
      <c r="L278" s="240"/>
      <c r="M278" s="237"/>
      <c r="O278" s="237"/>
      <c r="P278" s="237"/>
      <c r="Q278" s="237"/>
      <c r="R278" s="237"/>
    </row>
    <row r="279" spans="8:8" ht="15.75" customHeight="1">
      <c r="G279" s="241" t="b">
        <v>0</v>
      </c>
      <c r="I279" s="275"/>
      <c r="J279" s="275"/>
      <c r="K279" s="275"/>
      <c r="L279" s="240"/>
      <c r="M279" s="237"/>
      <c r="O279" s="237"/>
      <c r="P279" s="237"/>
      <c r="Q279" s="237"/>
      <c r="R279" s="237"/>
    </row>
    <row r="280" spans="8:8" ht="15.75" customHeight="1">
      <c r="G280" s="241" t="b">
        <v>0</v>
      </c>
      <c r="I280" s="275"/>
      <c r="J280" s="275"/>
      <c r="K280" s="275"/>
      <c r="L280" s="240"/>
      <c r="M280" s="237"/>
      <c r="O280" s="237"/>
      <c r="P280" s="237"/>
      <c r="Q280" s="237"/>
      <c r="R280" s="237"/>
    </row>
    <row r="281" spans="8:8" ht="15.75" customHeight="1">
      <c r="G281" s="241" t="b">
        <v>0</v>
      </c>
      <c r="I281" s="275"/>
      <c r="J281" s="275"/>
      <c r="K281" s="275"/>
      <c r="L281" s="240"/>
      <c r="M281" s="237"/>
      <c r="O281" s="237"/>
      <c r="P281" s="237"/>
      <c r="Q281" s="237"/>
      <c r="R281" s="237"/>
    </row>
    <row r="282" spans="8:8" ht="15.75" customHeight="1">
      <c r="G282" s="241" t="b">
        <v>0</v>
      </c>
      <c r="I282" s="275"/>
      <c r="J282" s="275"/>
      <c r="K282" s="275"/>
      <c r="L282" s="240"/>
      <c r="M282" s="237"/>
      <c r="O282" s="237"/>
      <c r="P282" s="237"/>
      <c r="Q282" s="237"/>
      <c r="R282" s="237"/>
    </row>
    <row r="283" spans="8:8" ht="15.75" customHeight="1">
      <c r="G283" s="241" t="b">
        <v>0</v>
      </c>
      <c r="I283" s="275"/>
      <c r="J283" s="275"/>
      <c r="K283" s="275"/>
      <c r="L283" s="240"/>
      <c r="M283" s="237"/>
      <c r="O283" s="237"/>
      <c r="P283" s="237"/>
      <c r="Q283" s="237"/>
      <c r="R283" s="237"/>
    </row>
    <row r="284" spans="8:8" ht="15.75" customHeight="1">
      <c r="G284" s="241" t="b">
        <v>0</v>
      </c>
      <c r="I284" s="275"/>
      <c r="J284" s="275"/>
      <c r="K284" s="275"/>
      <c r="L284" s="240"/>
      <c r="M284" s="237"/>
      <c r="O284" s="237"/>
      <c r="P284" s="237"/>
      <c r="Q284" s="237"/>
      <c r="R284" s="237"/>
    </row>
    <row r="285" spans="8:8" ht="15.75" customHeight="1">
      <c r="G285" s="241" t="b">
        <v>0</v>
      </c>
      <c r="I285" s="275"/>
      <c r="J285" s="275"/>
      <c r="K285" s="275"/>
      <c r="L285" s="240"/>
      <c r="M285" s="237"/>
      <c r="O285" s="237"/>
      <c r="P285" s="237"/>
      <c r="Q285" s="237"/>
      <c r="R285" s="237"/>
    </row>
    <row r="286" spans="8:8" ht="15.75" customHeight="1">
      <c r="G286" s="241" t="b">
        <v>0</v>
      </c>
      <c r="I286" s="275"/>
      <c r="J286" s="275"/>
      <c r="K286" s="275"/>
      <c r="L286" s="240"/>
      <c r="M286" s="237"/>
      <c r="O286" s="237"/>
      <c r="P286" s="237"/>
      <c r="Q286" s="237"/>
      <c r="R286" s="237"/>
    </row>
    <row r="287" spans="8:8" ht="15.75" customHeight="1">
      <c r="G287" s="241" t="b">
        <v>0</v>
      </c>
      <c r="I287" s="275"/>
      <c r="J287" s="275"/>
      <c r="K287" s="275"/>
      <c r="L287" s="240"/>
      <c r="M287" s="237"/>
      <c r="O287" s="237"/>
      <c r="P287" s="237"/>
      <c r="Q287" s="237"/>
      <c r="R287" s="237"/>
    </row>
    <row r="288" spans="8:8" ht="15.75" customHeight="1">
      <c r="G288" s="241" t="b">
        <v>0</v>
      </c>
      <c r="I288" s="275"/>
      <c r="J288" s="275"/>
      <c r="K288" s="275"/>
      <c r="L288" s="240"/>
      <c r="M288" s="237"/>
      <c r="O288" s="237"/>
      <c r="P288" s="237"/>
      <c r="Q288" s="237"/>
      <c r="R288" s="237"/>
    </row>
    <row r="289" spans="8:8" ht="15.75" customHeight="1">
      <c r="G289" s="241" t="b">
        <v>0</v>
      </c>
      <c r="I289" s="275"/>
      <c r="J289" s="275"/>
      <c r="K289" s="275"/>
      <c r="L289" s="240"/>
      <c r="M289" s="237"/>
      <c r="O289" s="237"/>
      <c r="P289" s="237"/>
      <c r="Q289" s="237"/>
      <c r="R289" s="237"/>
    </row>
    <row r="290" spans="8:8" ht="15.75" customHeight="1">
      <c r="G290" s="241" t="b">
        <v>0</v>
      </c>
      <c r="I290" s="275"/>
      <c r="J290" s="275"/>
      <c r="K290" s="275"/>
      <c r="L290" s="240"/>
      <c r="M290" s="237"/>
      <c r="O290" s="237"/>
      <c r="P290" s="237"/>
      <c r="Q290" s="237"/>
      <c r="R290" s="237"/>
    </row>
    <row r="291" spans="8:8" ht="15.75" customHeight="1">
      <c r="G291" s="241" t="b">
        <v>0</v>
      </c>
      <c r="I291" s="275"/>
      <c r="J291" s="275"/>
      <c r="K291" s="275"/>
      <c r="L291" s="240"/>
      <c r="M291" s="237"/>
      <c r="O291" s="237"/>
      <c r="P291" s="237"/>
      <c r="Q291" s="237"/>
      <c r="R291" s="237"/>
    </row>
    <row r="292" spans="8:8" ht="15.75" customHeight="1">
      <c r="G292" s="241" t="b">
        <v>0</v>
      </c>
      <c r="I292" s="275"/>
      <c r="J292" s="275"/>
      <c r="K292" s="275"/>
      <c r="L292" s="240"/>
      <c r="M292" s="237"/>
      <c r="O292" s="237"/>
      <c r="P292" s="237"/>
      <c r="Q292" s="237"/>
      <c r="R292" s="237"/>
    </row>
    <row r="293" spans="8:8" ht="15.75" customHeight="1">
      <c r="G293" s="241" t="b">
        <v>0</v>
      </c>
      <c r="I293" s="275"/>
      <c r="J293" s="275"/>
      <c r="K293" s="275"/>
      <c r="L293" s="240"/>
      <c r="M293" s="237"/>
      <c r="O293" s="237"/>
      <c r="P293" s="237"/>
      <c r="Q293" s="237"/>
      <c r="R293" s="237"/>
    </row>
    <row r="294" spans="8:8" ht="15.75" customHeight="1">
      <c r="G294" s="241" t="b">
        <v>0</v>
      </c>
      <c r="I294" s="275"/>
      <c r="J294" s="275"/>
      <c r="K294" s="275"/>
      <c r="L294" s="240"/>
      <c r="M294" s="237"/>
      <c r="O294" s="237"/>
      <c r="P294" s="237"/>
      <c r="Q294" s="237"/>
      <c r="R294" s="237"/>
    </row>
    <row r="295" spans="8:8" ht="15.75" customHeight="1">
      <c r="G295" s="241" t="b">
        <v>0</v>
      </c>
      <c r="I295" s="275"/>
      <c r="J295" s="275"/>
      <c r="K295" s="275"/>
      <c r="L295" s="240"/>
      <c r="M295" s="237"/>
      <c r="O295" s="237"/>
      <c r="P295" s="237"/>
      <c r="Q295" s="237"/>
      <c r="R295" s="237"/>
    </row>
    <row r="296" spans="8:8" ht="15.75" customHeight="1">
      <c r="G296" s="241" t="b">
        <v>0</v>
      </c>
      <c r="I296" s="275"/>
      <c r="J296" s="275"/>
      <c r="K296" s="275"/>
      <c r="L296" s="240"/>
      <c r="M296" s="237"/>
      <c r="O296" s="237"/>
      <c r="P296" s="237"/>
      <c r="Q296" s="237"/>
      <c r="R296" s="237"/>
    </row>
    <row r="297" spans="8:8" ht="15.75" customHeight="1">
      <c r="G297" s="241" t="b">
        <v>0</v>
      </c>
      <c r="I297" s="275"/>
      <c r="J297" s="275"/>
      <c r="K297" s="275"/>
      <c r="L297" s="276"/>
      <c r="M297" s="237"/>
      <c r="O297" s="237"/>
      <c r="P297" s="237"/>
      <c r="Q297" s="237"/>
      <c r="R297" s="237"/>
    </row>
    <row r="298" spans="8:8" ht="15.75" customHeight="1">
      <c r="G298" s="241" t="b">
        <v>0</v>
      </c>
      <c r="I298" s="275"/>
      <c r="J298" s="275"/>
      <c r="K298" s="275"/>
      <c r="L298" s="240"/>
      <c r="M298" s="237"/>
      <c r="O298" s="237"/>
      <c r="P298" s="237"/>
      <c r="Q298" s="237"/>
      <c r="R298" s="237"/>
    </row>
    <row r="299" spans="8:8" ht="15.75" customHeight="1">
      <c r="G299" s="241" t="b">
        <v>0</v>
      </c>
      <c r="I299" s="275"/>
      <c r="J299" s="275"/>
      <c r="K299" s="275"/>
      <c r="L299" s="240"/>
      <c r="M299" s="237"/>
      <c r="O299" s="237"/>
      <c r="P299" s="237"/>
      <c r="Q299" s="237"/>
      <c r="R299" s="237"/>
    </row>
    <row r="300" spans="8:8" ht="15.75" customHeight="1">
      <c r="G300" s="241" t="b">
        <v>0</v>
      </c>
      <c r="I300" s="275"/>
      <c r="J300" s="275"/>
      <c r="K300" s="275"/>
      <c r="L300" s="240"/>
      <c r="M300" s="237"/>
      <c r="O300" s="237"/>
      <c r="P300" s="237"/>
      <c r="Q300" s="237"/>
      <c r="R300" s="237"/>
    </row>
    <row r="301" spans="8:8" ht="15.75" customHeight="1">
      <c r="G301" s="241" t="b">
        <v>0</v>
      </c>
      <c r="I301" s="275"/>
      <c r="J301" s="275"/>
      <c r="K301" s="275"/>
      <c r="L301" s="240"/>
      <c r="M301" s="237"/>
      <c r="O301" s="237"/>
      <c r="P301" s="237"/>
      <c r="Q301" s="237"/>
      <c r="R301" s="237"/>
    </row>
    <row r="302" spans="8:8" ht="15.75" customHeight="1">
      <c r="G302" s="241" t="b">
        <v>0</v>
      </c>
      <c r="I302" s="275"/>
      <c r="J302" s="275"/>
      <c r="K302" s="275"/>
      <c r="L302" s="240"/>
      <c r="M302" s="237"/>
      <c r="O302" s="237"/>
      <c r="P302" s="237"/>
      <c r="Q302" s="237"/>
      <c r="R302" s="237"/>
    </row>
    <row r="303" spans="8:8" ht="15.75" customHeight="1">
      <c r="G303" s="241" t="b">
        <v>0</v>
      </c>
      <c r="I303" s="275"/>
      <c r="J303" s="275"/>
      <c r="K303" s="275"/>
      <c r="L303" s="240"/>
      <c r="M303" s="237"/>
      <c r="O303" s="237"/>
      <c r="P303" s="237"/>
      <c r="Q303" s="237"/>
      <c r="R303" s="237"/>
    </row>
    <row r="304" spans="8:8" ht="15.75" customHeight="1">
      <c r="G304" s="241" t="b">
        <v>0</v>
      </c>
      <c r="I304" s="275"/>
      <c r="J304" s="275"/>
      <c r="K304" s="275"/>
      <c r="L304" s="240"/>
      <c r="M304" s="237"/>
      <c r="O304" s="237"/>
      <c r="P304" s="237"/>
      <c r="Q304" s="237"/>
      <c r="R304" s="237"/>
    </row>
    <row r="305" spans="8:8" ht="15.75" customHeight="1">
      <c r="G305" s="241" t="b">
        <v>0</v>
      </c>
      <c r="I305" s="275"/>
      <c r="J305" s="275"/>
      <c r="K305" s="275"/>
      <c r="L305" s="240"/>
      <c r="M305" s="237"/>
      <c r="O305" s="237"/>
      <c r="P305" s="237"/>
      <c r="Q305" s="237"/>
      <c r="R305" s="237"/>
    </row>
    <row r="306" spans="8:8" ht="15.75" customHeight="1">
      <c r="G306" s="241" t="b">
        <v>0</v>
      </c>
      <c r="I306" s="275"/>
      <c r="J306" s="275"/>
      <c r="K306" s="275"/>
      <c r="L306" s="240"/>
      <c r="M306" s="237"/>
      <c r="O306" s="237"/>
      <c r="P306" s="237"/>
      <c r="Q306" s="237"/>
      <c r="R306" s="237"/>
    </row>
    <row r="307" spans="8:8" ht="15.75" customHeight="1">
      <c r="G307" s="241" t="b">
        <v>0</v>
      </c>
      <c r="I307" s="275"/>
      <c r="J307" s="275"/>
      <c r="K307" s="275"/>
      <c r="L307" s="240"/>
      <c r="M307" s="237"/>
      <c r="O307" s="237"/>
      <c r="P307" s="237"/>
      <c r="Q307" s="237"/>
      <c r="R307" s="237"/>
    </row>
    <row r="308" spans="8:8" ht="15.75" customHeight="1">
      <c r="G308" s="241" t="b">
        <v>0</v>
      </c>
      <c r="I308" s="275"/>
      <c r="J308" s="275"/>
      <c r="K308" s="275"/>
      <c r="L308" s="240"/>
      <c r="M308" s="237"/>
      <c r="O308" s="237"/>
      <c r="P308" s="237"/>
      <c r="Q308" s="237"/>
      <c r="R308" s="237"/>
    </row>
    <row r="309" spans="8:8" ht="15.75" customHeight="1">
      <c r="G309" s="241" t="b">
        <v>0</v>
      </c>
      <c r="I309" s="275"/>
      <c r="J309" s="275"/>
      <c r="K309" s="275"/>
      <c r="L309" s="240"/>
      <c r="M309" s="237"/>
      <c r="O309" s="237"/>
      <c r="P309" s="237"/>
      <c r="Q309" s="237"/>
      <c r="R309" s="237"/>
    </row>
    <row r="310" spans="8:8" ht="15.75" customHeight="1">
      <c r="G310" s="241" t="b">
        <v>0</v>
      </c>
      <c r="I310" s="275"/>
      <c r="J310" s="275"/>
      <c r="K310" s="275"/>
      <c r="L310" s="240"/>
      <c r="M310" s="237"/>
      <c r="O310" s="237"/>
      <c r="P310" s="237"/>
      <c r="Q310" s="237"/>
      <c r="R310" s="237"/>
    </row>
    <row r="311" spans="8:8" ht="15.75" customHeight="1">
      <c r="G311" s="241" t="b">
        <v>0</v>
      </c>
      <c r="I311" s="275"/>
      <c r="J311" s="275"/>
      <c r="K311" s="275"/>
      <c r="L311" s="240"/>
      <c r="M311" s="237"/>
      <c r="O311" s="237"/>
      <c r="P311" s="237"/>
      <c r="Q311" s="237"/>
      <c r="R311" s="237"/>
    </row>
    <row r="312" spans="8:8" ht="15.75" customHeight="1">
      <c r="G312" s="241" t="b">
        <v>0</v>
      </c>
      <c r="I312" s="275"/>
      <c r="J312" s="275"/>
      <c r="K312" s="275"/>
      <c r="L312" s="240"/>
      <c r="M312" s="237"/>
      <c r="O312" s="237"/>
      <c r="P312" s="237"/>
      <c r="Q312" s="237"/>
      <c r="R312" s="237"/>
    </row>
    <row r="313" spans="8:8" ht="15.75" customHeight="1">
      <c r="G313" s="241" t="b">
        <v>0</v>
      </c>
      <c r="I313" s="275"/>
      <c r="J313" s="275"/>
      <c r="K313" s="275"/>
      <c r="L313" s="240"/>
      <c r="M313" s="237"/>
      <c r="O313" s="237"/>
      <c r="P313" s="237"/>
      <c r="Q313" s="237"/>
      <c r="R313" s="237"/>
    </row>
    <row r="314" spans="8:8" ht="15.75" customHeight="1">
      <c r="G314" s="241" t="b">
        <v>0</v>
      </c>
      <c r="I314" s="275"/>
      <c r="J314" s="275"/>
      <c r="K314" s="275"/>
      <c r="L314" s="240"/>
      <c r="M314" s="237"/>
      <c r="O314" s="237"/>
      <c r="P314" s="237"/>
      <c r="Q314" s="237"/>
      <c r="R314" s="237"/>
    </row>
    <row r="315" spans="8:8" ht="15.75" customHeight="1">
      <c r="G315" s="241" t="b">
        <v>0</v>
      </c>
      <c r="I315" s="275"/>
      <c r="J315" s="275"/>
      <c r="K315" s="275"/>
      <c r="L315" s="240"/>
      <c r="M315" s="237"/>
      <c r="O315" s="237"/>
      <c r="P315" s="237"/>
      <c r="Q315" s="237"/>
      <c r="R315" s="237"/>
    </row>
    <row r="316" spans="8:8" ht="15.75" customHeight="1">
      <c r="G316" s="241" t="b">
        <v>0</v>
      </c>
      <c r="I316" s="275"/>
      <c r="J316" s="275"/>
      <c r="K316" s="275"/>
      <c r="L316" s="240"/>
      <c r="M316" s="237"/>
      <c r="O316" s="237"/>
      <c r="P316" s="237"/>
      <c r="Q316" s="237"/>
      <c r="R316" s="237"/>
    </row>
    <row r="317" spans="8:8" ht="15.75" customHeight="1">
      <c r="G317" s="241" t="b">
        <v>0</v>
      </c>
      <c r="I317" s="275"/>
      <c r="J317" s="275"/>
      <c r="K317" s="275"/>
      <c r="L317" s="240"/>
      <c r="M317" s="237"/>
      <c r="O317" s="237"/>
      <c r="P317" s="237"/>
      <c r="Q317" s="237"/>
      <c r="R317" s="237"/>
    </row>
    <row r="318" spans="8:8" ht="15.75" customHeight="1">
      <c r="G318" s="241" t="b">
        <v>0</v>
      </c>
      <c r="I318" s="275"/>
      <c r="J318" s="275"/>
      <c r="K318" s="275"/>
      <c r="L318" s="240"/>
      <c r="M318" s="237"/>
      <c r="O318" s="237"/>
      <c r="P318" s="237"/>
      <c r="Q318" s="237"/>
      <c r="R318" s="237"/>
    </row>
    <row r="319" spans="8:8" ht="15.75" customHeight="1">
      <c r="G319" s="241" t="b">
        <v>0</v>
      </c>
      <c r="I319" s="275"/>
      <c r="J319" s="275"/>
      <c r="K319" s="275"/>
      <c r="L319" s="240"/>
      <c r="M319" s="237"/>
      <c r="O319" s="237"/>
      <c r="P319" s="237"/>
      <c r="Q319" s="237"/>
      <c r="R319" s="237"/>
    </row>
    <row r="320" spans="8:8" ht="15.75" customHeight="1">
      <c r="G320" s="241" t="b">
        <v>0</v>
      </c>
      <c r="I320" s="275"/>
      <c r="J320" s="275"/>
      <c r="K320" s="275"/>
      <c r="L320" s="240"/>
      <c r="M320" s="237"/>
      <c r="O320" s="237"/>
      <c r="P320" s="237"/>
      <c r="Q320" s="237"/>
      <c r="R320" s="237"/>
    </row>
    <row r="321" spans="8:8" ht="15.75" customHeight="1">
      <c r="G321" s="241" t="b">
        <v>0</v>
      </c>
      <c r="I321" s="275"/>
      <c r="J321" s="275"/>
      <c r="K321" s="275"/>
      <c r="L321" s="240"/>
      <c r="M321" s="237"/>
      <c r="O321" s="237"/>
      <c r="P321" s="237"/>
      <c r="Q321" s="237"/>
      <c r="R321" s="237"/>
    </row>
    <row r="322" spans="8:8" ht="15.75" customHeight="1">
      <c r="G322" s="241" t="b">
        <v>0</v>
      </c>
      <c r="I322" s="275"/>
      <c r="J322" s="275"/>
      <c r="K322" s="275"/>
      <c r="L322" s="240"/>
      <c r="M322" s="237"/>
      <c r="O322" s="237"/>
      <c r="P322" s="237"/>
      <c r="Q322" s="237"/>
      <c r="R322" s="237"/>
    </row>
    <row r="323" spans="8:8" ht="15.75" customHeight="1">
      <c r="G323" s="241" t="b">
        <v>0</v>
      </c>
      <c r="I323" s="275"/>
      <c r="J323" s="275"/>
      <c r="K323" s="275"/>
      <c r="L323" s="240"/>
      <c r="M323" s="237"/>
      <c r="O323" s="237"/>
      <c r="P323" s="237"/>
      <c r="Q323" s="237"/>
      <c r="R323" s="237"/>
    </row>
    <row r="324" spans="8:8" ht="15.75" customHeight="1">
      <c r="G324" s="241" t="b">
        <v>0</v>
      </c>
      <c r="I324" s="275"/>
      <c r="J324" s="275"/>
      <c r="K324" s="275"/>
      <c r="L324" s="240"/>
      <c r="M324" s="237"/>
      <c r="O324" s="237"/>
      <c r="P324" s="237"/>
      <c r="Q324" s="237"/>
      <c r="R324" s="237"/>
    </row>
    <row r="325" spans="8:8" ht="15.75" customHeight="1">
      <c r="G325" s="241" t="b">
        <v>0</v>
      </c>
      <c r="I325" s="275"/>
      <c r="J325" s="275"/>
      <c r="K325" s="275"/>
      <c r="L325" s="240"/>
      <c r="M325" s="237"/>
      <c r="O325" s="237"/>
      <c r="P325" s="237"/>
      <c r="Q325" s="237"/>
      <c r="R325" s="237"/>
    </row>
    <row r="326" spans="8:8" ht="15.75" customHeight="1">
      <c r="G326" s="241" t="b">
        <v>0</v>
      </c>
      <c r="I326" s="275"/>
      <c r="J326" s="275"/>
      <c r="K326" s="275"/>
      <c r="L326" s="240"/>
      <c r="M326" s="237"/>
      <c r="O326" s="237"/>
      <c r="P326" s="237"/>
      <c r="Q326" s="237"/>
      <c r="R326" s="237"/>
    </row>
    <row r="327" spans="8:8" ht="15.75" customHeight="1">
      <c r="G327" s="241" t="b">
        <v>0</v>
      </c>
      <c r="I327" s="275"/>
      <c r="J327" s="275"/>
      <c r="K327" s="275"/>
      <c r="L327" s="240"/>
      <c r="M327" s="237"/>
      <c r="O327" s="237"/>
      <c r="P327" s="237"/>
      <c r="Q327" s="237"/>
      <c r="R327" s="237"/>
    </row>
    <row r="328" spans="8:8" ht="15.75" customHeight="1">
      <c r="G328" s="241" t="b">
        <v>0</v>
      </c>
      <c r="I328" s="275"/>
      <c r="J328" s="275"/>
      <c r="K328" s="275"/>
      <c r="L328" s="276"/>
      <c r="M328" s="237"/>
      <c r="O328" s="237"/>
      <c r="P328" s="237"/>
      <c r="Q328" s="237"/>
      <c r="R328" s="237"/>
    </row>
    <row r="329" spans="8:8" ht="15.75" customHeight="1">
      <c r="G329" s="241" t="b">
        <v>0</v>
      </c>
      <c r="I329" s="275"/>
      <c r="J329" s="275"/>
      <c r="K329" s="275"/>
      <c r="L329" s="240"/>
      <c r="M329" s="237"/>
      <c r="O329" s="237"/>
      <c r="P329" s="237"/>
      <c r="Q329" s="237"/>
      <c r="R329" s="237"/>
    </row>
    <row r="330" spans="8:8" ht="15.75" customHeight="1">
      <c r="G330" s="241" t="b">
        <v>0</v>
      </c>
      <c r="I330" s="275"/>
      <c r="J330" s="275"/>
      <c r="K330" s="275"/>
      <c r="L330" s="240"/>
      <c r="M330" s="237"/>
      <c r="O330" s="237"/>
      <c r="P330" s="237"/>
      <c r="Q330" s="237"/>
      <c r="R330" s="237"/>
    </row>
    <row r="331" spans="8:8" ht="15.75" customHeight="1">
      <c r="G331" s="241" t="b">
        <v>0</v>
      </c>
      <c r="I331" s="275"/>
      <c r="J331" s="275"/>
      <c r="K331" s="275"/>
      <c r="L331" s="240"/>
      <c r="M331" s="237"/>
      <c r="O331" s="237"/>
      <c r="P331" s="237"/>
      <c r="Q331" s="237"/>
      <c r="R331" s="237"/>
    </row>
    <row r="332" spans="8:8" ht="15.75" customHeight="1">
      <c r="G332" s="241" t="b">
        <v>0</v>
      </c>
      <c r="I332" s="275"/>
      <c r="J332" s="275"/>
      <c r="K332" s="275"/>
      <c r="L332" s="240"/>
      <c r="M332" s="237"/>
      <c r="O332" s="237"/>
      <c r="P332" s="237"/>
      <c r="Q332" s="237"/>
      <c r="R332" s="237"/>
    </row>
    <row r="333" spans="8:8" ht="15.75" customHeight="1">
      <c r="G333" s="241" t="b">
        <v>0</v>
      </c>
      <c r="I333" s="275"/>
      <c r="J333" s="275"/>
      <c r="K333" s="275"/>
      <c r="L333" s="240"/>
      <c r="M333" s="237"/>
      <c r="O333" s="237"/>
      <c r="P333" s="237"/>
      <c r="Q333" s="237"/>
      <c r="R333" s="237"/>
    </row>
    <row r="334" spans="8:8" ht="15.75" customHeight="1">
      <c r="G334" s="241" t="b">
        <v>0</v>
      </c>
      <c r="I334" s="275"/>
      <c r="J334" s="275"/>
      <c r="K334" s="275"/>
      <c r="L334" s="240"/>
      <c r="M334" s="237"/>
      <c r="O334" s="237"/>
      <c r="P334" s="237"/>
      <c r="Q334" s="237"/>
      <c r="R334" s="237"/>
    </row>
    <row r="335" spans="8:8" ht="15.75" customHeight="1">
      <c r="G335" s="241" t="b">
        <v>0</v>
      </c>
      <c r="I335" s="275"/>
      <c r="J335" s="275"/>
      <c r="K335" s="275"/>
      <c r="L335" s="240"/>
      <c r="M335" s="237"/>
      <c r="O335" s="237"/>
      <c r="P335" s="237"/>
      <c r="Q335" s="237"/>
      <c r="R335" s="237"/>
    </row>
    <row r="336" spans="8:8" ht="15.75" customHeight="1">
      <c r="G336" s="241" t="b">
        <v>0</v>
      </c>
      <c r="I336" s="275"/>
      <c r="J336" s="275"/>
      <c r="K336" s="275"/>
      <c r="L336" s="240"/>
      <c r="M336" s="237"/>
      <c r="O336" s="237"/>
      <c r="P336" s="237"/>
      <c r="Q336" s="237"/>
      <c r="R336" s="237"/>
    </row>
    <row r="337" spans="8:8" ht="15.75" customHeight="1">
      <c r="G337" s="241" t="b">
        <v>0</v>
      </c>
      <c r="I337" s="275"/>
      <c r="J337" s="275"/>
      <c r="K337" s="275"/>
      <c r="L337" s="240"/>
      <c r="M337" s="237"/>
      <c r="O337" s="237"/>
      <c r="P337" s="237"/>
      <c r="Q337" s="237"/>
      <c r="R337" s="237"/>
    </row>
    <row r="338" spans="8:8" ht="15.75" customHeight="1">
      <c r="G338" s="241" t="b">
        <v>0</v>
      </c>
      <c r="I338" s="275"/>
      <c r="J338" s="275"/>
      <c r="K338" s="275"/>
      <c r="L338" s="240"/>
      <c r="M338" s="237"/>
      <c r="O338" s="237"/>
      <c r="P338" s="237"/>
      <c r="Q338" s="237"/>
      <c r="R338" s="237"/>
    </row>
    <row r="339" spans="8:8" ht="15.75" customHeight="1">
      <c r="G339" s="241" t="b">
        <v>0</v>
      </c>
      <c r="I339" s="275"/>
      <c r="J339" s="275"/>
      <c r="K339" s="275"/>
      <c r="L339" s="240"/>
      <c r="M339" s="237"/>
      <c r="O339" s="237"/>
      <c r="P339" s="237"/>
      <c r="Q339" s="237"/>
      <c r="R339" s="237"/>
    </row>
    <row r="340" spans="8:8" ht="15.75" customHeight="1">
      <c r="G340" s="241" t="b">
        <v>0</v>
      </c>
      <c r="I340" s="275"/>
      <c r="J340" s="275"/>
      <c r="K340" s="275"/>
      <c r="L340" s="240"/>
      <c r="M340" s="237"/>
      <c r="O340" s="237"/>
      <c r="P340" s="237"/>
      <c r="Q340" s="237"/>
      <c r="R340" s="237"/>
    </row>
    <row r="341" spans="8:8" ht="15.75" customHeight="1">
      <c r="G341" s="241" t="b">
        <v>0</v>
      </c>
      <c r="I341" s="275"/>
      <c r="J341" s="275"/>
      <c r="K341" s="275"/>
      <c r="L341" s="240"/>
      <c r="M341" s="237"/>
      <c r="O341" s="237"/>
      <c r="P341" s="237"/>
      <c r="Q341" s="237"/>
      <c r="R341" s="237"/>
    </row>
    <row r="342" spans="8:8" ht="15.75" customHeight="1">
      <c r="G342" s="241" t="b">
        <v>0</v>
      </c>
      <c r="I342" s="275"/>
      <c r="J342" s="275"/>
      <c r="K342" s="275"/>
      <c r="L342" s="240"/>
      <c r="M342" s="237"/>
      <c r="O342" s="237"/>
      <c r="P342" s="237"/>
      <c r="Q342" s="237"/>
      <c r="R342" s="237"/>
    </row>
    <row r="343" spans="8:8" ht="15.75" customHeight="1">
      <c r="G343" s="241" t="b">
        <v>0</v>
      </c>
      <c r="I343" s="275"/>
      <c r="J343" s="275"/>
      <c r="K343" s="275"/>
      <c r="L343" s="240"/>
      <c r="M343" s="237"/>
      <c r="O343" s="237"/>
      <c r="P343" s="237"/>
      <c r="Q343" s="237"/>
      <c r="R343" s="237"/>
    </row>
    <row r="344" spans="8:8" ht="15.75" customHeight="1">
      <c r="G344" s="241" t="b">
        <v>0</v>
      </c>
      <c r="I344" s="275"/>
      <c r="J344" s="275"/>
      <c r="K344" s="275"/>
      <c r="L344" s="240"/>
      <c r="M344" s="237"/>
      <c r="O344" s="237"/>
      <c r="P344" s="237"/>
      <c r="Q344" s="237"/>
      <c r="R344" s="237"/>
    </row>
    <row r="345" spans="8:8" ht="15.75" customHeight="1">
      <c r="G345" s="241" t="b">
        <v>0</v>
      </c>
      <c r="I345" s="275"/>
      <c r="J345" s="275"/>
      <c r="K345" s="275"/>
      <c r="L345" s="240"/>
      <c r="M345" s="237"/>
      <c r="O345" s="237"/>
      <c r="P345" s="237"/>
      <c r="Q345" s="237"/>
      <c r="R345" s="237"/>
    </row>
    <row r="346" spans="8:8" ht="15.75" customHeight="1">
      <c r="G346" s="241" t="b">
        <v>0</v>
      </c>
      <c r="I346" s="275"/>
      <c r="J346" s="275"/>
      <c r="K346" s="275"/>
      <c r="L346" s="240"/>
      <c r="M346" s="237"/>
      <c r="O346" s="237"/>
      <c r="P346" s="237"/>
      <c r="Q346" s="237"/>
      <c r="R346" s="237"/>
    </row>
    <row r="347" spans="8:8" ht="15.75" customHeight="1">
      <c r="G347" s="241" t="b">
        <v>0</v>
      </c>
      <c r="I347" s="275"/>
      <c r="J347" s="275"/>
      <c r="K347" s="275"/>
      <c r="L347" s="240"/>
      <c r="M347" s="237"/>
      <c r="O347" s="237"/>
      <c r="P347" s="237"/>
      <c r="Q347" s="237"/>
      <c r="R347" s="237"/>
    </row>
    <row r="348" spans="8:8" ht="15.75" customHeight="1">
      <c r="G348" s="241" t="b">
        <v>0</v>
      </c>
      <c r="I348" s="275"/>
      <c r="J348" s="275"/>
      <c r="K348" s="275"/>
      <c r="L348" s="240"/>
      <c r="M348" s="237"/>
      <c r="O348" s="237"/>
      <c r="P348" s="237"/>
      <c r="Q348" s="237"/>
      <c r="R348" s="237"/>
    </row>
    <row r="349" spans="8:8" ht="15.75" customHeight="1">
      <c r="G349" s="241" t="b">
        <v>0</v>
      </c>
      <c r="I349" s="275"/>
      <c r="J349" s="275"/>
      <c r="K349" s="275"/>
      <c r="L349" s="240"/>
      <c r="M349" s="237"/>
      <c r="O349" s="237"/>
      <c r="P349" s="237"/>
      <c r="Q349" s="237"/>
      <c r="R349" s="237"/>
    </row>
    <row r="350" spans="8:8" ht="15.75" customHeight="1">
      <c r="G350" s="241" t="b">
        <v>0</v>
      </c>
      <c r="I350" s="275"/>
      <c r="J350" s="275"/>
      <c r="K350" s="275"/>
      <c r="L350" s="240"/>
      <c r="M350" s="237"/>
      <c r="O350" s="237"/>
      <c r="P350" s="237"/>
      <c r="Q350" s="237"/>
      <c r="R350" s="237"/>
    </row>
    <row r="351" spans="8:8" ht="15.75" customHeight="1">
      <c r="G351" s="241" t="b">
        <v>0</v>
      </c>
      <c r="I351" s="275"/>
      <c r="J351" s="275"/>
      <c r="K351" s="275"/>
      <c r="L351" s="240"/>
      <c r="M351" s="237"/>
      <c r="O351" s="237"/>
      <c r="P351" s="237"/>
      <c r="Q351" s="237"/>
      <c r="R351" s="237"/>
    </row>
    <row r="352" spans="8:8" ht="15.75" customHeight="1">
      <c r="G352" s="241" t="b">
        <v>0</v>
      </c>
      <c r="I352" s="275"/>
      <c r="J352" s="275"/>
      <c r="K352" s="275"/>
      <c r="L352" s="240"/>
      <c r="M352" s="237"/>
      <c r="O352" s="237"/>
      <c r="P352" s="237"/>
      <c r="Q352" s="237"/>
      <c r="R352" s="237"/>
    </row>
    <row r="353" spans="8:8" ht="15.75" customHeight="1">
      <c r="G353" s="241" t="b">
        <v>0</v>
      </c>
      <c r="I353" s="275"/>
      <c r="J353" s="275"/>
      <c r="K353" s="275"/>
      <c r="L353" s="240"/>
      <c r="M353" s="237"/>
      <c r="O353" s="237"/>
      <c r="P353" s="237"/>
      <c r="Q353" s="237"/>
      <c r="R353" s="237"/>
    </row>
    <row r="354" spans="8:8" ht="15.75" customHeight="1">
      <c r="G354" s="241" t="b">
        <v>0</v>
      </c>
      <c r="I354" s="275"/>
      <c r="J354" s="275"/>
      <c r="K354" s="275"/>
      <c r="L354" s="240"/>
      <c r="M354" s="237"/>
      <c r="O354" s="237"/>
      <c r="P354" s="237"/>
      <c r="Q354" s="237"/>
      <c r="R354" s="237"/>
    </row>
    <row r="355" spans="8:8" ht="15.75" customHeight="1">
      <c r="G355" s="241" t="b">
        <v>0</v>
      </c>
      <c r="I355" s="275"/>
      <c r="J355" s="275"/>
      <c r="K355" s="275"/>
      <c r="L355" s="240"/>
      <c r="M355" s="237"/>
      <c r="O355" s="237"/>
      <c r="P355" s="237"/>
      <c r="Q355" s="237"/>
      <c r="R355" s="237"/>
    </row>
    <row r="356" spans="8:8" ht="15.75" customHeight="1">
      <c r="G356" s="241" t="b">
        <v>0</v>
      </c>
      <c r="I356" s="275"/>
      <c r="J356" s="275"/>
      <c r="K356" s="275"/>
      <c r="L356" s="240"/>
      <c r="M356" s="237"/>
      <c r="O356" s="237"/>
      <c r="P356" s="237"/>
      <c r="Q356" s="237"/>
      <c r="R356" s="237"/>
    </row>
    <row r="357" spans="8:8" ht="15.75" customHeight="1">
      <c r="G357" s="241" t="b">
        <v>0</v>
      </c>
      <c r="I357" s="275"/>
      <c r="J357" s="275"/>
      <c r="K357" s="275"/>
      <c r="L357" s="240"/>
      <c r="M357" s="237"/>
      <c r="O357" s="237"/>
      <c r="P357" s="237"/>
      <c r="Q357" s="237"/>
      <c r="R357" s="237"/>
    </row>
    <row r="358" spans="8:8" ht="15.75" customHeight="1">
      <c r="G358" s="241" t="b">
        <v>0</v>
      </c>
      <c r="I358" s="275"/>
      <c r="J358" s="275"/>
      <c r="K358" s="275"/>
      <c r="L358" s="240"/>
      <c r="M358" s="237"/>
      <c r="O358" s="237"/>
      <c r="P358" s="237"/>
      <c r="Q358" s="237"/>
      <c r="R358" s="237"/>
    </row>
    <row r="359" spans="8:8" ht="15.75" customHeight="1">
      <c r="G359" s="241" t="b">
        <v>0</v>
      </c>
      <c r="I359" s="275"/>
      <c r="J359" s="275"/>
      <c r="K359" s="275"/>
      <c r="L359" s="240"/>
      <c r="M359" s="237"/>
      <c r="O359" s="237"/>
      <c r="P359" s="237"/>
      <c r="Q359" s="237"/>
      <c r="R359" s="237"/>
    </row>
    <row r="360" spans="8:8" ht="15.75" customHeight="1">
      <c r="G360" s="241" t="b">
        <v>0</v>
      </c>
      <c r="I360" s="275"/>
      <c r="J360" s="275"/>
      <c r="K360" s="275"/>
      <c r="L360" s="240"/>
      <c r="M360" s="237"/>
      <c r="O360" s="237"/>
      <c r="P360" s="237"/>
      <c r="Q360" s="237"/>
      <c r="R360" s="237"/>
    </row>
    <row r="361" spans="8:8" ht="15.75" customHeight="1">
      <c r="G361" s="241" t="b">
        <v>0</v>
      </c>
      <c r="I361" s="275"/>
      <c r="J361" s="275"/>
      <c r="K361" s="275"/>
      <c r="L361" s="276"/>
      <c r="M361" s="237"/>
      <c r="O361" s="237"/>
      <c r="P361" s="237"/>
      <c r="Q361" s="237"/>
      <c r="R361" s="237"/>
    </row>
    <row r="362" spans="8:8" ht="15.75" customHeight="1">
      <c r="G362" s="241" t="b">
        <v>0</v>
      </c>
      <c r="I362" s="275"/>
      <c r="J362" s="275"/>
      <c r="K362" s="275"/>
      <c r="L362" s="240"/>
      <c r="M362" s="237"/>
      <c r="O362" s="237"/>
      <c r="P362" s="237"/>
      <c r="Q362" s="237"/>
      <c r="R362" s="237"/>
    </row>
    <row r="363" spans="8:8" ht="15.75" customHeight="1">
      <c r="G363" s="241" t="b">
        <v>0</v>
      </c>
      <c r="I363" s="275"/>
      <c r="J363" s="275"/>
      <c r="K363" s="275"/>
      <c r="L363" s="240"/>
      <c r="M363" s="237"/>
      <c r="O363" s="237"/>
      <c r="P363" s="237"/>
      <c r="Q363" s="237"/>
      <c r="R363" s="237"/>
    </row>
    <row r="364" spans="8:8" ht="15.75" customHeight="1">
      <c r="G364" s="241" t="b">
        <v>0</v>
      </c>
      <c r="I364" s="275"/>
      <c r="J364" s="275"/>
      <c r="K364" s="275"/>
      <c r="L364" s="240"/>
      <c r="M364" s="237"/>
      <c r="O364" s="237"/>
      <c r="P364" s="237"/>
      <c r="Q364" s="237"/>
      <c r="R364" s="237"/>
    </row>
    <row r="365" spans="8:8" ht="15.75" customHeight="1">
      <c r="G365" s="241" t="b">
        <v>0</v>
      </c>
      <c r="I365" s="275"/>
      <c r="J365" s="275"/>
      <c r="K365" s="275"/>
      <c r="L365" s="240"/>
      <c r="M365" s="237"/>
      <c r="O365" s="237"/>
      <c r="P365" s="237"/>
      <c r="Q365" s="237"/>
      <c r="R365" s="237"/>
    </row>
    <row r="366" spans="8:8" ht="15.75" customHeight="1">
      <c r="G366" s="241" t="b">
        <v>0</v>
      </c>
      <c r="I366" s="275"/>
      <c r="J366" s="275"/>
      <c r="K366" s="275"/>
      <c r="L366" s="240"/>
      <c r="M366" s="237"/>
      <c r="O366" s="237"/>
      <c r="P366" s="237"/>
      <c r="Q366" s="237"/>
      <c r="R366" s="237"/>
    </row>
    <row r="367" spans="8:8" ht="15.75" customHeight="1">
      <c r="G367" s="241" t="b">
        <v>0</v>
      </c>
      <c r="I367" s="275"/>
      <c r="J367" s="275"/>
      <c r="K367" s="275"/>
      <c r="L367" s="240"/>
      <c r="M367" s="237"/>
      <c r="O367" s="237"/>
      <c r="P367" s="237"/>
      <c r="Q367" s="237"/>
      <c r="R367" s="237"/>
    </row>
    <row r="368" spans="8:8" ht="15.75" customHeight="1">
      <c r="G368" s="241" t="b">
        <v>0</v>
      </c>
      <c r="I368" s="275"/>
      <c r="J368" s="275"/>
      <c r="K368" s="275"/>
      <c r="L368" s="240"/>
      <c r="M368" s="237"/>
      <c r="O368" s="237"/>
      <c r="P368" s="237"/>
      <c r="Q368" s="237"/>
      <c r="R368" s="237"/>
    </row>
    <row r="369" spans="8:8" ht="15.75" customHeight="1">
      <c r="G369" s="241" t="b">
        <v>0</v>
      </c>
      <c r="I369" s="275"/>
      <c r="J369" s="275"/>
      <c r="K369" s="275"/>
      <c r="L369" s="240"/>
      <c r="M369" s="237"/>
      <c r="O369" s="237"/>
      <c r="P369" s="237"/>
      <c r="Q369" s="237"/>
      <c r="R369" s="237"/>
    </row>
    <row r="370" spans="8:8" ht="15.75" customHeight="1">
      <c r="G370" s="241" t="b">
        <v>0</v>
      </c>
      <c r="I370" s="275"/>
      <c r="J370" s="275"/>
      <c r="K370" s="275"/>
      <c r="L370" s="240"/>
      <c r="M370" s="237"/>
      <c r="O370" s="237"/>
      <c r="P370" s="237"/>
      <c r="Q370" s="237"/>
      <c r="R370" s="237"/>
    </row>
    <row r="371" spans="8:8" ht="15.75" customHeight="1">
      <c r="G371" s="241" t="b">
        <v>0</v>
      </c>
      <c r="I371" s="275"/>
      <c r="J371" s="275"/>
      <c r="K371" s="275"/>
      <c r="L371" s="240"/>
      <c r="M371" s="237"/>
      <c r="O371" s="237"/>
      <c r="P371" s="237"/>
      <c r="Q371" s="237"/>
      <c r="R371" s="237"/>
    </row>
    <row r="372" spans="8:8" ht="15.75" customHeight="1">
      <c r="G372" s="241" t="b">
        <v>0</v>
      </c>
      <c r="I372" s="275"/>
      <c r="J372" s="275"/>
      <c r="K372" s="275"/>
      <c r="L372" s="240"/>
      <c r="M372" s="237"/>
      <c r="O372" s="237"/>
      <c r="P372" s="237"/>
      <c r="Q372" s="237"/>
      <c r="R372" s="237"/>
    </row>
    <row r="373" spans="8:8" ht="15.75" customHeight="1">
      <c r="G373" s="241" t="b">
        <v>0</v>
      </c>
      <c r="I373" s="275"/>
      <c r="J373" s="275"/>
      <c r="K373" s="275"/>
      <c r="L373" s="240"/>
      <c r="M373" s="237"/>
      <c r="O373" s="237"/>
      <c r="P373" s="237"/>
      <c r="Q373" s="237"/>
      <c r="R373" s="237"/>
    </row>
    <row r="374" spans="8:8" ht="15.75" customHeight="1">
      <c r="G374" s="241" t="b">
        <v>0</v>
      </c>
      <c r="I374" s="275"/>
      <c r="J374" s="275"/>
      <c r="K374" s="275"/>
      <c r="L374" s="240"/>
      <c r="M374" s="237"/>
      <c r="O374" s="237"/>
      <c r="P374" s="237"/>
      <c r="Q374" s="237"/>
      <c r="R374" s="237"/>
    </row>
    <row r="375" spans="8:8" ht="15.75" customHeight="1">
      <c r="G375" s="241" t="b">
        <v>0</v>
      </c>
      <c r="I375" s="275"/>
      <c r="J375" s="275"/>
      <c r="K375" s="275"/>
      <c r="L375" s="240"/>
      <c r="M375" s="237"/>
      <c r="O375" s="237"/>
      <c r="P375" s="237"/>
      <c r="Q375" s="237"/>
      <c r="R375" s="237"/>
    </row>
    <row r="376" spans="8:8" ht="15.75" customHeight="1">
      <c r="G376" s="241" t="b">
        <v>0</v>
      </c>
      <c r="I376" s="275"/>
      <c r="J376" s="275"/>
      <c r="K376" s="275"/>
      <c r="L376" s="240"/>
      <c r="M376" s="237"/>
      <c r="O376" s="237"/>
      <c r="P376" s="237"/>
      <c r="Q376" s="237"/>
      <c r="R376" s="237"/>
    </row>
    <row r="377" spans="8:8" ht="15.75" customHeight="1">
      <c r="G377" s="241" t="b">
        <v>0</v>
      </c>
      <c r="I377" s="275"/>
      <c r="J377" s="275"/>
      <c r="K377" s="275"/>
      <c r="L377" s="240"/>
      <c r="M377" s="237"/>
      <c r="O377" s="237"/>
      <c r="P377" s="237"/>
      <c r="Q377" s="237"/>
      <c r="R377" s="237"/>
    </row>
    <row r="378" spans="8:8" ht="15.75" customHeight="1">
      <c r="G378" s="241" t="b">
        <v>0</v>
      </c>
      <c r="I378" s="275"/>
      <c r="J378" s="275"/>
      <c r="K378" s="275"/>
      <c r="L378" s="240"/>
      <c r="M378" s="237"/>
      <c r="O378" s="237"/>
      <c r="P378" s="237"/>
      <c r="Q378" s="237"/>
      <c r="R378" s="237"/>
    </row>
    <row r="379" spans="8:8" ht="15.75" customHeight="1">
      <c r="G379" s="241" t="b">
        <v>0</v>
      </c>
      <c r="I379" s="275"/>
      <c r="J379" s="275"/>
      <c r="K379" s="275"/>
      <c r="L379" s="240"/>
      <c r="M379" s="237"/>
      <c r="O379" s="237"/>
      <c r="P379" s="237"/>
      <c r="Q379" s="237"/>
      <c r="R379" s="237"/>
    </row>
    <row r="380" spans="8:8" ht="15.75" customHeight="1">
      <c r="G380" s="241" t="b">
        <v>0</v>
      </c>
      <c r="I380" s="275"/>
      <c r="J380" s="275"/>
      <c r="K380" s="275"/>
      <c r="L380" s="240"/>
      <c r="M380" s="237"/>
      <c r="O380" s="237"/>
      <c r="P380" s="237"/>
      <c r="Q380" s="237"/>
      <c r="R380" s="237"/>
    </row>
    <row r="381" spans="8:8" ht="15.75" customHeight="1">
      <c r="G381" s="241" t="b">
        <v>0</v>
      </c>
      <c r="I381" s="275"/>
      <c r="J381" s="275"/>
      <c r="K381" s="275"/>
      <c r="L381" s="240"/>
      <c r="M381" s="237"/>
      <c r="O381" s="237"/>
      <c r="P381" s="237"/>
      <c r="Q381" s="237"/>
      <c r="R381" s="237"/>
    </row>
    <row r="382" spans="8:8" ht="15.75" customHeight="1">
      <c r="G382" s="241" t="b">
        <v>0</v>
      </c>
      <c r="I382" s="275"/>
      <c r="J382" s="275"/>
      <c r="K382" s="275"/>
      <c r="L382" s="240"/>
      <c r="M382" s="237"/>
      <c r="O382" s="237"/>
      <c r="P382" s="237"/>
      <c r="Q382" s="237"/>
      <c r="R382" s="237"/>
    </row>
    <row r="383" spans="8:8" ht="15.75" customHeight="1">
      <c r="G383" s="241" t="b">
        <v>0</v>
      </c>
      <c r="I383" s="275"/>
      <c r="J383" s="275"/>
      <c r="K383" s="275"/>
      <c r="L383" s="240"/>
      <c r="M383" s="237"/>
      <c r="O383" s="237"/>
      <c r="P383" s="237"/>
      <c r="Q383" s="237"/>
      <c r="R383" s="237"/>
    </row>
    <row r="384" spans="8:8" ht="15.75" customHeight="1">
      <c r="G384" s="241" t="b">
        <v>0</v>
      </c>
      <c r="I384" s="275"/>
      <c r="J384" s="275"/>
      <c r="K384" s="275"/>
      <c r="L384" s="240"/>
      <c r="M384" s="237"/>
      <c r="O384" s="237"/>
      <c r="P384" s="237"/>
      <c r="Q384" s="237"/>
      <c r="R384" s="237"/>
    </row>
    <row r="385" spans="8:8" ht="15.75" customHeight="1">
      <c r="G385" s="241" t="b">
        <v>0</v>
      </c>
      <c r="I385" s="275"/>
      <c r="J385" s="275"/>
      <c r="K385" s="275"/>
      <c r="L385" s="240"/>
      <c r="M385" s="237"/>
      <c r="O385" s="237"/>
      <c r="P385" s="237"/>
      <c r="Q385" s="237"/>
      <c r="R385" s="237"/>
    </row>
    <row r="386" spans="8:8" ht="15.75" customHeight="1">
      <c r="G386" s="241" t="b">
        <v>0</v>
      </c>
      <c r="I386" s="275"/>
      <c r="J386" s="275"/>
      <c r="K386" s="275"/>
      <c r="L386" s="240"/>
      <c r="M386" s="237"/>
      <c r="O386" s="237"/>
      <c r="P386" s="237"/>
      <c r="Q386" s="237"/>
      <c r="R386" s="237"/>
    </row>
    <row r="387" spans="8:8" ht="15.75" customHeight="1">
      <c r="G387" s="241" t="b">
        <v>0</v>
      </c>
      <c r="I387" s="275"/>
      <c r="J387" s="275"/>
      <c r="K387" s="275"/>
      <c r="L387" s="240"/>
      <c r="M387" s="237"/>
      <c r="O387" s="237"/>
      <c r="P387" s="237"/>
      <c r="Q387" s="237"/>
      <c r="R387" s="237"/>
    </row>
    <row r="388" spans="8:8" ht="15.75" customHeight="1">
      <c r="G388" s="241" t="b">
        <v>0</v>
      </c>
      <c r="I388" s="275"/>
      <c r="J388" s="275"/>
      <c r="K388" s="275"/>
      <c r="L388" s="240"/>
      <c r="M388" s="237"/>
      <c r="O388" s="237"/>
      <c r="P388" s="237"/>
      <c r="Q388" s="237"/>
      <c r="R388" s="237"/>
    </row>
    <row r="389" spans="8:8" ht="15.75" customHeight="1">
      <c r="G389" s="241" t="b">
        <v>0</v>
      </c>
      <c r="I389" s="275"/>
      <c r="J389" s="275"/>
      <c r="K389" s="275"/>
      <c r="L389" s="240"/>
      <c r="M389" s="237"/>
      <c r="O389" s="237"/>
      <c r="P389" s="237"/>
      <c r="Q389" s="237"/>
      <c r="R389" s="237"/>
    </row>
    <row r="390" spans="8:8" ht="15.75" customHeight="1">
      <c r="G390" s="241" t="b">
        <v>0</v>
      </c>
      <c r="I390" s="275"/>
      <c r="J390" s="275"/>
      <c r="K390" s="275"/>
      <c r="L390" s="240"/>
      <c r="M390" s="237"/>
      <c r="O390" s="237"/>
      <c r="P390" s="237"/>
      <c r="Q390" s="237"/>
      <c r="R390" s="237"/>
    </row>
    <row r="391" spans="8:8" ht="15.75" customHeight="1">
      <c r="G391" s="241" t="b">
        <v>0</v>
      </c>
      <c r="I391" s="275"/>
      <c r="J391" s="275"/>
      <c r="K391" s="275"/>
      <c r="L391" s="240"/>
      <c r="M391" s="237"/>
      <c r="O391" s="237"/>
      <c r="P391" s="237"/>
      <c r="Q391" s="237"/>
      <c r="R391" s="237"/>
    </row>
    <row r="392" spans="8:8" ht="15.75" customHeight="1">
      <c r="G392" s="241" t="b">
        <v>0</v>
      </c>
      <c r="I392" s="275"/>
      <c r="J392" s="275"/>
      <c r="K392" s="275"/>
      <c r="L392" s="276"/>
      <c r="M392" s="237"/>
      <c r="O392" s="237"/>
      <c r="P392" s="237"/>
      <c r="Q392" s="237"/>
      <c r="R392" s="237"/>
    </row>
    <row r="393" spans="8:8" ht="15.75" customHeight="1">
      <c r="G393" s="241" t="b">
        <v>0</v>
      </c>
      <c r="I393" s="275"/>
      <c r="J393" s="275"/>
      <c r="K393" s="275"/>
      <c r="L393" s="240"/>
      <c r="M393" s="237"/>
      <c r="O393" s="237"/>
      <c r="P393" s="237"/>
      <c r="Q393" s="237"/>
      <c r="R393" s="237"/>
    </row>
    <row r="394" spans="8:8" ht="15.75" customHeight="1">
      <c r="G394" s="241" t="b">
        <v>0</v>
      </c>
      <c r="I394" s="275"/>
      <c r="J394" s="275"/>
      <c r="K394" s="275"/>
      <c r="L394" s="240"/>
      <c r="M394" s="237"/>
      <c r="O394" s="237"/>
      <c r="P394" s="237"/>
      <c r="Q394" s="237"/>
      <c r="R394" s="237"/>
    </row>
    <row r="395" spans="8:8" ht="15.75" customHeight="1">
      <c r="G395" s="241" t="b">
        <v>0</v>
      </c>
      <c r="I395" s="275"/>
      <c r="J395" s="275"/>
      <c r="K395" s="275"/>
      <c r="L395" s="240"/>
      <c r="M395" s="237"/>
      <c r="O395" s="237"/>
      <c r="P395" s="237"/>
      <c r="Q395" s="237"/>
      <c r="R395" s="237"/>
    </row>
    <row r="396" spans="8:8" ht="15.75" customHeight="1">
      <c r="G396" s="241" t="b">
        <v>0</v>
      </c>
      <c r="I396" s="275"/>
      <c r="J396" s="275"/>
      <c r="K396" s="275"/>
      <c r="L396" s="240"/>
      <c r="M396" s="237"/>
      <c r="O396" s="237"/>
      <c r="P396" s="237"/>
      <c r="Q396" s="237"/>
      <c r="R396" s="237"/>
    </row>
    <row r="397" spans="8:8" ht="15.75" customHeight="1">
      <c r="G397" s="241" t="b">
        <v>0</v>
      </c>
      <c r="I397" s="275"/>
      <c r="J397" s="275"/>
      <c r="K397" s="275"/>
      <c r="L397" s="240"/>
      <c r="M397" s="237"/>
      <c r="O397" s="237"/>
      <c r="P397" s="237"/>
      <c r="Q397" s="237"/>
      <c r="R397" s="237"/>
    </row>
    <row r="398" spans="8:8" ht="15.75" customHeight="1">
      <c r="G398" s="241" t="b">
        <v>0</v>
      </c>
      <c r="I398" s="275"/>
      <c r="J398" s="275"/>
      <c r="K398" s="275"/>
      <c r="L398" s="240"/>
      <c r="M398" s="237"/>
      <c r="O398" s="237"/>
      <c r="P398" s="237"/>
      <c r="Q398" s="237"/>
      <c r="R398" s="237"/>
    </row>
    <row r="399" spans="8:8" ht="15.75" customHeight="1">
      <c r="G399" s="241" t="b">
        <v>0</v>
      </c>
      <c r="I399" s="275"/>
      <c r="J399" s="275"/>
      <c r="K399" s="275"/>
      <c r="L399" s="240"/>
      <c r="M399" s="237"/>
      <c r="O399" s="237"/>
      <c r="P399" s="237"/>
      <c r="Q399" s="237"/>
      <c r="R399" s="237"/>
    </row>
    <row r="400" spans="8:8" ht="15.75" customHeight="1">
      <c r="G400" s="241" t="b">
        <v>0</v>
      </c>
      <c r="I400" s="275"/>
      <c r="J400" s="275"/>
      <c r="K400" s="275"/>
      <c r="L400" s="240"/>
      <c r="M400" s="237"/>
      <c r="O400" s="237"/>
      <c r="P400" s="237"/>
      <c r="Q400" s="237"/>
      <c r="R400" s="237"/>
    </row>
    <row r="401" spans="8:8" ht="15.75" customHeight="1">
      <c r="G401" s="241" t="b">
        <v>0</v>
      </c>
      <c r="I401" s="275"/>
      <c r="J401" s="275"/>
      <c r="K401" s="275"/>
      <c r="L401" s="240"/>
      <c r="M401" s="237"/>
      <c r="O401" s="237"/>
      <c r="P401" s="237"/>
      <c r="Q401" s="237"/>
      <c r="R401" s="237"/>
    </row>
    <row r="402" spans="8:8" ht="15.75" customHeight="1">
      <c r="G402" s="241" t="b">
        <v>0</v>
      </c>
      <c r="I402" s="275"/>
      <c r="J402" s="275"/>
      <c r="K402" s="275"/>
      <c r="L402" s="240"/>
      <c r="M402" s="237"/>
      <c r="O402" s="237"/>
      <c r="P402" s="237"/>
      <c r="Q402" s="237"/>
      <c r="R402" s="237"/>
    </row>
    <row r="403" spans="8:8" ht="15.75" customHeight="1">
      <c r="G403" s="241" t="b">
        <v>0</v>
      </c>
      <c r="I403" s="275"/>
      <c r="J403" s="275"/>
      <c r="K403" s="275"/>
      <c r="L403" s="240"/>
      <c r="M403" s="237"/>
      <c r="O403" s="237"/>
      <c r="P403" s="237"/>
      <c r="Q403" s="237"/>
      <c r="R403" s="237"/>
    </row>
    <row r="404" spans="8:8" ht="15.75" customHeight="1">
      <c r="G404" s="241" t="b">
        <v>0</v>
      </c>
      <c r="I404" s="275"/>
      <c r="J404" s="275"/>
      <c r="K404" s="275"/>
      <c r="L404" s="240"/>
      <c r="M404" s="237"/>
      <c r="O404" s="237"/>
      <c r="P404" s="237"/>
      <c r="Q404" s="237"/>
      <c r="R404" s="237"/>
    </row>
    <row r="405" spans="8:8" ht="15.75" customHeight="1">
      <c r="G405" s="241" t="b">
        <v>0</v>
      </c>
      <c r="I405" s="275"/>
      <c r="J405" s="275"/>
      <c r="K405" s="275"/>
      <c r="L405" s="240"/>
      <c r="M405" s="237"/>
      <c r="O405" s="237"/>
      <c r="P405" s="237"/>
      <c r="Q405" s="237"/>
      <c r="R405" s="237"/>
    </row>
    <row r="406" spans="8:8" ht="15.75" customHeight="1">
      <c r="G406" s="241" t="b">
        <v>0</v>
      </c>
      <c r="I406" s="275"/>
      <c r="J406" s="275"/>
      <c r="K406" s="275"/>
      <c r="L406" s="240"/>
      <c r="M406" s="237"/>
      <c r="O406" s="237"/>
      <c r="P406" s="237"/>
      <c r="Q406" s="237"/>
      <c r="R406" s="237"/>
    </row>
    <row r="407" spans="8:8" ht="15.75" customHeight="1">
      <c r="G407" s="241" t="b">
        <v>0</v>
      </c>
      <c r="I407" s="275"/>
      <c r="J407" s="275"/>
      <c r="K407" s="275"/>
      <c r="L407" s="240"/>
      <c r="M407" s="237"/>
      <c r="O407" s="237"/>
      <c r="P407" s="237"/>
      <c r="Q407" s="237"/>
      <c r="R407" s="237"/>
    </row>
    <row r="408" spans="8:8" ht="15.75" customHeight="1">
      <c r="G408" s="241" t="b">
        <v>0</v>
      </c>
      <c r="I408" s="275"/>
      <c r="J408" s="275"/>
      <c r="K408" s="275"/>
      <c r="L408" s="240"/>
      <c r="M408" s="237"/>
      <c r="O408" s="237"/>
      <c r="P408" s="237"/>
      <c r="Q408" s="237"/>
      <c r="R408" s="237"/>
    </row>
    <row r="409" spans="8:8" ht="15.75" customHeight="1">
      <c r="G409" s="241" t="b">
        <v>0</v>
      </c>
      <c r="I409" s="275"/>
      <c r="J409" s="275"/>
      <c r="K409" s="275"/>
      <c r="L409" s="240"/>
      <c r="M409" s="237"/>
      <c r="O409" s="237"/>
      <c r="P409" s="237"/>
      <c r="Q409" s="237"/>
      <c r="R409" s="237"/>
    </row>
    <row r="410" spans="8:8" ht="15.75" customHeight="1">
      <c r="G410" s="241" t="b">
        <v>0</v>
      </c>
      <c r="I410" s="275"/>
      <c r="J410" s="275"/>
      <c r="K410" s="275"/>
      <c r="L410" s="240"/>
      <c r="M410" s="237"/>
      <c r="O410" s="237"/>
      <c r="P410" s="237"/>
      <c r="Q410" s="237"/>
      <c r="R410" s="237"/>
    </row>
    <row r="411" spans="8:8" ht="15.75" customHeight="1">
      <c r="G411" s="241" t="b">
        <v>0</v>
      </c>
      <c r="I411" s="275"/>
      <c r="J411" s="275"/>
      <c r="K411" s="275"/>
      <c r="L411" s="240"/>
      <c r="M411" s="237"/>
      <c r="O411" s="237"/>
      <c r="P411" s="237"/>
      <c r="Q411" s="237"/>
      <c r="R411" s="237"/>
    </row>
    <row r="412" spans="8:8" ht="15.75" customHeight="1">
      <c r="G412" s="241" t="b">
        <v>0</v>
      </c>
      <c r="I412" s="275"/>
      <c r="J412" s="275"/>
      <c r="K412" s="275"/>
      <c r="L412" s="240"/>
      <c r="M412" s="237"/>
      <c r="O412" s="237"/>
      <c r="P412" s="237"/>
      <c r="Q412" s="237"/>
      <c r="R412" s="237"/>
    </row>
    <row r="413" spans="8:8" ht="15.75" customHeight="1">
      <c r="G413" s="241" t="b">
        <v>0</v>
      </c>
      <c r="I413" s="275"/>
      <c r="J413" s="275"/>
      <c r="K413" s="275"/>
      <c r="L413" s="240"/>
      <c r="M413" s="237"/>
      <c r="O413" s="237"/>
      <c r="P413" s="237"/>
      <c r="Q413" s="237"/>
      <c r="R413" s="237"/>
    </row>
    <row r="414" spans="8:8" ht="15.75" customHeight="1">
      <c r="G414" s="241" t="b">
        <v>0</v>
      </c>
      <c r="I414" s="275"/>
      <c r="J414" s="275"/>
      <c r="K414" s="275"/>
      <c r="L414" s="240"/>
      <c r="M414" s="237"/>
      <c r="O414" s="237"/>
      <c r="P414" s="237"/>
      <c r="Q414" s="237"/>
      <c r="R414" s="237"/>
    </row>
    <row r="415" spans="8:8" ht="15.75" customHeight="1">
      <c r="G415" s="241" t="b">
        <v>0</v>
      </c>
      <c r="I415" s="275"/>
      <c r="J415" s="275"/>
      <c r="K415" s="275"/>
      <c r="L415" s="240"/>
      <c r="M415" s="237"/>
      <c r="O415" s="237"/>
      <c r="P415" s="237"/>
      <c r="Q415" s="237"/>
      <c r="R415" s="237"/>
    </row>
    <row r="416" spans="8:8" ht="15.75" customHeight="1">
      <c r="G416" s="241" t="b">
        <v>0</v>
      </c>
      <c r="I416" s="275"/>
      <c r="J416" s="275"/>
      <c r="K416" s="275"/>
      <c r="L416" s="240"/>
      <c r="M416" s="237"/>
      <c r="O416" s="237"/>
      <c r="P416" s="237"/>
      <c r="Q416" s="237"/>
      <c r="R416" s="237"/>
    </row>
    <row r="417" spans="8:8" ht="15.75" customHeight="1">
      <c r="G417" s="241" t="b">
        <v>0</v>
      </c>
      <c r="I417" s="275"/>
      <c r="J417" s="275"/>
      <c r="K417" s="275"/>
      <c r="L417" s="240"/>
      <c r="M417" s="237"/>
      <c r="O417" s="237"/>
      <c r="P417" s="237"/>
      <c r="Q417" s="237"/>
      <c r="R417" s="237"/>
    </row>
    <row r="418" spans="8:8" ht="15.75" customHeight="1">
      <c r="G418" s="241" t="b">
        <v>0</v>
      </c>
      <c r="I418" s="275"/>
      <c r="J418" s="275"/>
      <c r="K418" s="275"/>
      <c r="L418" s="240"/>
      <c r="M418" s="237"/>
      <c r="O418" s="237"/>
      <c r="P418" s="237"/>
      <c r="Q418" s="237"/>
      <c r="R418" s="237"/>
    </row>
    <row r="419" spans="8:8" ht="15.75" customHeight="1">
      <c r="G419" s="241" t="b">
        <v>0</v>
      </c>
      <c r="I419" s="275"/>
      <c r="J419" s="275"/>
      <c r="K419" s="275"/>
      <c r="L419" s="240"/>
      <c r="M419" s="237"/>
      <c r="O419" s="237"/>
      <c r="P419" s="237"/>
      <c r="Q419" s="237"/>
      <c r="R419" s="237"/>
    </row>
    <row r="420" spans="8:8" ht="15.75" customHeight="1">
      <c r="G420" s="241" t="b">
        <v>0</v>
      </c>
      <c r="I420" s="275"/>
      <c r="J420" s="275"/>
      <c r="K420" s="275"/>
      <c r="L420" s="240"/>
      <c r="M420" s="237"/>
      <c r="O420" s="237"/>
      <c r="P420" s="237"/>
      <c r="Q420" s="237"/>
      <c r="R420" s="237"/>
    </row>
    <row r="421" spans="8:8" ht="15.75" customHeight="1">
      <c r="G421" s="241" t="b">
        <v>0</v>
      </c>
      <c r="I421" s="275"/>
      <c r="J421" s="275"/>
      <c r="K421" s="275"/>
      <c r="L421" s="240"/>
      <c r="M421" s="237"/>
      <c r="O421" s="237"/>
      <c r="P421" s="237"/>
      <c r="Q421" s="237"/>
      <c r="R421" s="237"/>
    </row>
    <row r="422" spans="8:8" ht="15.75" customHeight="1">
      <c r="G422" s="241" t="b">
        <v>0</v>
      </c>
      <c r="I422" s="275"/>
      <c r="J422" s="275"/>
      <c r="K422" s="275"/>
      <c r="L422" s="240"/>
      <c r="M422" s="237"/>
      <c r="O422" s="237"/>
      <c r="P422" s="237"/>
      <c r="Q422" s="237"/>
      <c r="R422" s="237"/>
    </row>
    <row r="423" spans="8:8" ht="15.75" customHeight="1">
      <c r="G423" s="241" t="b">
        <v>0</v>
      </c>
      <c r="I423" s="275"/>
      <c r="J423" s="275"/>
      <c r="K423" s="275"/>
      <c r="L423" s="276"/>
      <c r="M423" s="237"/>
      <c r="O423" s="237"/>
      <c r="P423" s="237"/>
      <c r="Q423" s="237"/>
      <c r="R423" s="237"/>
    </row>
    <row r="424" spans="8:8" ht="15.75" customHeight="1">
      <c r="G424" s="241" t="b">
        <v>0</v>
      </c>
      <c r="I424" s="275"/>
      <c r="J424" s="275"/>
      <c r="K424" s="275"/>
      <c r="L424" s="240"/>
      <c r="M424" s="237"/>
      <c r="O424" s="237"/>
      <c r="P424" s="237"/>
      <c r="Q424" s="237"/>
      <c r="R424" s="237"/>
    </row>
    <row r="425" spans="8:8" ht="15.75" customHeight="1">
      <c r="G425" s="241" t="b">
        <v>0</v>
      </c>
      <c r="I425" s="275"/>
      <c r="J425" s="275"/>
      <c r="K425" s="275"/>
      <c r="L425" s="240"/>
      <c r="M425" s="237"/>
      <c r="O425" s="237"/>
      <c r="P425" s="237"/>
      <c r="Q425" s="237"/>
      <c r="R425" s="237"/>
    </row>
    <row r="426" spans="8:8" ht="15.75" customHeight="1">
      <c r="G426" s="241" t="b">
        <v>0</v>
      </c>
      <c r="I426" s="275"/>
      <c r="J426" s="275"/>
      <c r="K426" s="275"/>
      <c r="L426" s="240"/>
      <c r="M426" s="237"/>
      <c r="O426" s="237"/>
      <c r="P426" s="237"/>
      <c r="Q426" s="237"/>
      <c r="R426" s="237"/>
    </row>
    <row r="427" spans="8:8" ht="15.75" customHeight="1">
      <c r="G427" s="241" t="b">
        <v>0</v>
      </c>
      <c r="I427" s="275"/>
      <c r="J427" s="275"/>
      <c r="K427" s="275"/>
      <c r="L427" s="240"/>
      <c r="M427" s="237"/>
      <c r="O427" s="237"/>
      <c r="P427" s="237"/>
      <c r="Q427" s="237"/>
      <c r="R427" s="237"/>
    </row>
    <row r="428" spans="8:8" ht="15.75" customHeight="1">
      <c r="G428" s="241" t="b">
        <v>0</v>
      </c>
      <c r="I428" s="275"/>
      <c r="J428" s="275"/>
      <c r="K428" s="275"/>
      <c r="L428" s="240"/>
      <c r="M428" s="237"/>
      <c r="O428" s="237"/>
      <c r="P428" s="237"/>
      <c r="Q428" s="237"/>
      <c r="R428" s="237"/>
    </row>
    <row r="429" spans="8:8" ht="15.75" customHeight="1">
      <c r="G429" s="241" t="b">
        <v>0</v>
      </c>
      <c r="I429" s="275"/>
      <c r="J429" s="275"/>
      <c r="K429" s="275"/>
      <c r="L429" s="240"/>
      <c r="M429" s="237"/>
      <c r="O429" s="237"/>
      <c r="P429" s="237"/>
      <c r="Q429" s="237"/>
      <c r="R429" s="237"/>
    </row>
    <row r="430" spans="8:8" ht="15.75" customHeight="1">
      <c r="G430" s="241" t="b">
        <v>0</v>
      </c>
      <c r="I430" s="275"/>
      <c r="J430" s="275"/>
      <c r="K430" s="275"/>
      <c r="L430" s="240"/>
      <c r="M430" s="237"/>
      <c r="O430" s="237"/>
      <c r="P430" s="237"/>
      <c r="Q430" s="237"/>
      <c r="R430" s="237"/>
    </row>
    <row r="431" spans="8:8" ht="15.75" customHeight="1">
      <c r="G431" s="241" t="b">
        <v>0</v>
      </c>
      <c r="I431" s="275"/>
      <c r="J431" s="275"/>
      <c r="K431" s="275"/>
      <c r="L431" s="240"/>
      <c r="M431" s="237"/>
      <c r="O431" s="237"/>
      <c r="P431" s="237"/>
      <c r="Q431" s="237"/>
      <c r="R431" s="237"/>
    </row>
    <row r="432" spans="8:8" ht="15.75" customHeight="1">
      <c r="G432" s="241" t="b">
        <v>0</v>
      </c>
      <c r="I432" s="275"/>
      <c r="J432" s="275"/>
      <c r="K432" s="275"/>
      <c r="L432" s="240"/>
      <c r="M432" s="237"/>
      <c r="O432" s="237"/>
      <c r="P432" s="237"/>
      <c r="Q432" s="237"/>
      <c r="R432" s="237"/>
    </row>
    <row r="433" spans="8:8" ht="15.75" customHeight="1">
      <c r="G433" s="241" t="b">
        <v>0</v>
      </c>
      <c r="I433" s="275"/>
      <c r="J433" s="275"/>
      <c r="K433" s="275"/>
      <c r="L433" s="240"/>
      <c r="M433" s="237"/>
      <c r="O433" s="237"/>
      <c r="P433" s="237"/>
      <c r="Q433" s="237"/>
      <c r="R433" s="237"/>
    </row>
    <row r="434" spans="8:8" ht="15.75" customHeight="1">
      <c r="G434" s="241" t="b">
        <v>0</v>
      </c>
      <c r="I434" s="275"/>
      <c r="J434" s="275"/>
      <c r="K434" s="275"/>
      <c r="L434" s="240"/>
      <c r="M434" s="237"/>
      <c r="O434" s="237"/>
      <c r="P434" s="237"/>
      <c r="Q434" s="237"/>
      <c r="R434" s="237"/>
    </row>
    <row r="435" spans="8:8" ht="15.75" customHeight="1">
      <c r="G435" s="241" t="b">
        <v>0</v>
      </c>
      <c r="I435" s="275"/>
      <c r="J435" s="275"/>
      <c r="K435" s="275"/>
      <c r="L435" s="240"/>
      <c r="M435" s="237"/>
      <c r="O435" s="237"/>
      <c r="P435" s="237"/>
      <c r="Q435" s="237"/>
      <c r="R435" s="237"/>
    </row>
    <row r="436" spans="8:8" ht="15.75" customHeight="1">
      <c r="G436" s="241" t="b">
        <v>0</v>
      </c>
      <c r="I436" s="275"/>
      <c r="J436" s="275"/>
      <c r="K436" s="275"/>
      <c r="L436" s="240"/>
      <c r="M436" s="237"/>
      <c r="O436" s="237"/>
      <c r="P436" s="237"/>
      <c r="Q436" s="237"/>
      <c r="R436" s="237"/>
    </row>
    <row r="437" spans="8:8" ht="15.75" customHeight="1">
      <c r="G437" s="241" t="b">
        <v>0</v>
      </c>
      <c r="I437" s="275"/>
      <c r="J437" s="275"/>
      <c r="K437" s="275"/>
      <c r="L437" s="240"/>
      <c r="M437" s="237"/>
      <c r="O437" s="237"/>
      <c r="P437" s="237"/>
      <c r="Q437" s="237"/>
      <c r="R437" s="237"/>
    </row>
    <row r="438" spans="8:8" ht="15.75" customHeight="1">
      <c r="G438" s="241" t="b">
        <v>0</v>
      </c>
      <c r="I438" s="275"/>
      <c r="J438" s="275"/>
      <c r="K438" s="275"/>
      <c r="L438" s="240"/>
      <c r="M438" s="237"/>
      <c r="O438" s="237"/>
      <c r="P438" s="237"/>
      <c r="Q438" s="237"/>
      <c r="R438" s="237"/>
    </row>
    <row r="439" spans="8:8" ht="15.75" customHeight="1">
      <c r="G439" s="241" t="b">
        <v>0</v>
      </c>
      <c r="I439" s="275"/>
      <c r="J439" s="275"/>
      <c r="K439" s="275"/>
      <c r="L439" s="240"/>
      <c r="M439" s="237"/>
      <c r="O439" s="237"/>
      <c r="P439" s="237"/>
      <c r="Q439" s="237"/>
      <c r="R439" s="237"/>
    </row>
    <row r="440" spans="8:8" ht="15.75" customHeight="1">
      <c r="G440" s="241" t="b">
        <v>0</v>
      </c>
      <c r="I440" s="275"/>
      <c r="J440" s="275"/>
      <c r="K440" s="275"/>
      <c r="L440" s="240"/>
      <c r="M440" s="237"/>
      <c r="O440" s="237"/>
      <c r="P440" s="237"/>
      <c r="Q440" s="237"/>
      <c r="R440" s="237"/>
    </row>
    <row r="441" spans="8:8" ht="15.75" customHeight="1">
      <c r="G441" s="241" t="b">
        <v>0</v>
      </c>
      <c r="I441" s="275"/>
      <c r="J441" s="275"/>
      <c r="K441" s="275"/>
      <c r="L441" s="240"/>
      <c r="M441" s="237"/>
      <c r="O441" s="237"/>
      <c r="P441" s="237"/>
      <c r="Q441" s="237"/>
      <c r="R441" s="237"/>
    </row>
    <row r="442" spans="8:8" ht="15.75" customHeight="1">
      <c r="G442" s="241" t="b">
        <v>0</v>
      </c>
      <c r="I442" s="275"/>
      <c r="J442" s="275"/>
      <c r="K442" s="275"/>
      <c r="L442" s="240"/>
      <c r="M442" s="237"/>
      <c r="O442" s="237"/>
      <c r="P442" s="237"/>
      <c r="Q442" s="237"/>
      <c r="R442" s="237"/>
    </row>
    <row r="443" spans="8:8" ht="15.75" customHeight="1">
      <c r="G443" s="241" t="b">
        <v>0</v>
      </c>
      <c r="I443" s="275"/>
      <c r="J443" s="275"/>
      <c r="K443" s="275"/>
      <c r="L443" s="240"/>
      <c r="M443" s="237"/>
      <c r="O443" s="237"/>
      <c r="P443" s="237"/>
      <c r="Q443" s="237"/>
      <c r="R443" s="237"/>
    </row>
    <row r="444" spans="8:8" ht="15.75" customHeight="1">
      <c r="G444" s="241" t="b">
        <v>0</v>
      </c>
      <c r="I444" s="275"/>
      <c r="J444" s="275"/>
      <c r="K444" s="275"/>
      <c r="L444" s="240"/>
      <c r="M444" s="237"/>
      <c r="O444" s="237"/>
      <c r="P444" s="237"/>
      <c r="Q444" s="237"/>
      <c r="R444" s="237"/>
    </row>
    <row r="445" spans="8:8" ht="15.75" customHeight="1">
      <c r="G445" s="241" t="b">
        <v>0</v>
      </c>
      <c r="I445" s="275"/>
      <c r="J445" s="275"/>
      <c r="K445" s="275"/>
      <c r="L445" s="240"/>
      <c r="M445" s="237"/>
      <c r="O445" s="237"/>
      <c r="P445" s="237"/>
      <c r="Q445" s="237"/>
      <c r="R445" s="237"/>
    </row>
    <row r="446" spans="8:8" ht="15.75" customHeight="1">
      <c r="G446" s="241" t="b">
        <v>0</v>
      </c>
      <c r="I446" s="275"/>
      <c r="J446" s="275"/>
      <c r="K446" s="275"/>
      <c r="L446" s="240"/>
      <c r="M446" s="237"/>
      <c r="O446" s="237"/>
      <c r="P446" s="237"/>
      <c r="Q446" s="237"/>
      <c r="R446" s="237"/>
    </row>
    <row r="447" spans="8:8" ht="15.75" customHeight="1">
      <c r="G447" s="241" t="b">
        <v>0</v>
      </c>
      <c r="I447" s="275"/>
      <c r="J447" s="275"/>
      <c r="K447" s="275"/>
      <c r="L447" s="240"/>
      <c r="M447" s="237"/>
      <c r="O447" s="237"/>
      <c r="P447" s="237"/>
      <c r="Q447" s="237"/>
      <c r="R447" s="237"/>
    </row>
    <row r="448" spans="8:8" ht="15.75" customHeight="1">
      <c r="G448" s="241" t="b">
        <v>0</v>
      </c>
      <c r="I448" s="275"/>
      <c r="J448" s="275"/>
      <c r="K448" s="275"/>
      <c r="L448" s="240"/>
      <c r="M448" s="237"/>
      <c r="O448" s="237"/>
      <c r="P448" s="237"/>
      <c r="Q448" s="237"/>
      <c r="R448" s="237"/>
    </row>
    <row r="449" spans="8:8" ht="15.75" customHeight="1">
      <c r="G449" s="241" t="b">
        <v>0</v>
      </c>
      <c r="I449" s="275"/>
      <c r="J449" s="275"/>
      <c r="K449" s="275"/>
      <c r="L449" s="240"/>
      <c r="M449" s="237"/>
      <c r="O449" s="237"/>
      <c r="P449" s="237"/>
      <c r="Q449" s="237"/>
      <c r="R449" s="237"/>
    </row>
    <row r="450" spans="8:8" ht="15.75" customHeight="1">
      <c r="G450" s="241" t="b">
        <v>0</v>
      </c>
      <c r="I450" s="275"/>
      <c r="J450" s="275"/>
      <c r="K450" s="275"/>
      <c r="L450" s="240"/>
      <c r="M450" s="237"/>
      <c r="O450" s="237"/>
      <c r="P450" s="237"/>
      <c r="Q450" s="237"/>
      <c r="R450" s="237"/>
    </row>
    <row r="451" spans="8:8" ht="15.75" customHeight="1">
      <c r="G451" s="241" t="b">
        <v>0</v>
      </c>
      <c r="I451" s="275"/>
      <c r="J451" s="275"/>
      <c r="K451" s="275"/>
      <c r="L451" s="240"/>
      <c r="M451" s="237"/>
      <c r="O451" s="237"/>
      <c r="P451" s="237"/>
      <c r="Q451" s="237"/>
      <c r="R451" s="237"/>
    </row>
    <row r="452" spans="8:8" ht="15.75" customHeight="1">
      <c r="G452" s="241" t="b">
        <v>0</v>
      </c>
      <c r="I452" s="275"/>
      <c r="J452" s="275"/>
      <c r="K452" s="275"/>
      <c r="L452" s="240"/>
      <c r="M452" s="237"/>
      <c r="O452" s="237"/>
      <c r="P452" s="237"/>
      <c r="Q452" s="237"/>
      <c r="R452" s="237"/>
    </row>
    <row r="453" spans="8:8" ht="15.75" customHeight="1">
      <c r="G453" s="241" t="b">
        <v>0</v>
      </c>
      <c r="I453" s="275"/>
      <c r="J453" s="275"/>
      <c r="K453" s="275"/>
      <c r="L453" s="240"/>
      <c r="M453" s="237"/>
      <c r="O453" s="237"/>
      <c r="P453" s="237"/>
      <c r="Q453" s="237"/>
      <c r="R453" s="237"/>
    </row>
    <row r="454" spans="8:8" ht="15.75" customHeight="1">
      <c r="G454" s="241" t="b">
        <v>0</v>
      </c>
      <c r="I454" s="275"/>
      <c r="J454" s="275"/>
      <c r="K454" s="275"/>
      <c r="L454" s="240"/>
      <c r="M454" s="237"/>
      <c r="O454" s="237"/>
      <c r="P454" s="237"/>
      <c r="Q454" s="237"/>
      <c r="R454" s="237"/>
    </row>
    <row r="455" spans="8:8" ht="15.75" customHeight="1">
      <c r="G455" s="241" t="b">
        <v>0</v>
      </c>
      <c r="I455" s="275"/>
      <c r="J455" s="275"/>
      <c r="K455" s="275"/>
      <c r="L455" s="276"/>
      <c r="M455" s="237"/>
      <c r="O455" s="237"/>
      <c r="P455" s="237"/>
      <c r="Q455" s="237"/>
      <c r="R455" s="237"/>
    </row>
    <row r="456" spans="8:8" ht="15.75" customHeight="1">
      <c r="G456" s="241" t="b">
        <v>0</v>
      </c>
      <c r="I456" s="275"/>
      <c r="J456" s="275"/>
      <c r="K456" s="275"/>
      <c r="L456" s="240"/>
      <c r="M456" s="237"/>
      <c r="O456" s="237"/>
      <c r="P456" s="237"/>
      <c r="Q456" s="237"/>
      <c r="R456" s="237"/>
    </row>
    <row r="457" spans="8:8" ht="15.75" customHeight="1">
      <c r="G457" s="241" t="b">
        <v>0</v>
      </c>
      <c r="I457" s="275"/>
      <c r="J457" s="275"/>
      <c r="K457" s="275"/>
      <c r="L457" s="240"/>
      <c r="M457" s="237"/>
      <c r="O457" s="237"/>
      <c r="P457" s="237"/>
      <c r="Q457" s="237"/>
      <c r="R457" s="237"/>
    </row>
    <row r="458" spans="8:8" ht="15.75" customHeight="1">
      <c r="G458" s="241" t="b">
        <v>0</v>
      </c>
      <c r="I458" s="275"/>
      <c r="J458" s="275"/>
      <c r="K458" s="275"/>
      <c r="L458" s="240"/>
      <c r="M458" s="237"/>
      <c r="O458" s="237"/>
      <c r="P458" s="237"/>
      <c r="Q458" s="237"/>
      <c r="R458" s="237"/>
    </row>
    <row r="459" spans="8:8" ht="15.75" customHeight="1">
      <c r="G459" s="241" t="b">
        <v>0</v>
      </c>
      <c r="I459" s="275"/>
      <c r="J459" s="275"/>
      <c r="K459" s="275"/>
      <c r="L459" s="240"/>
      <c r="M459" s="237"/>
      <c r="O459" s="237"/>
      <c r="P459" s="237"/>
      <c r="Q459" s="237"/>
      <c r="R459" s="237"/>
    </row>
    <row r="460" spans="8:8" ht="15.75" customHeight="1">
      <c r="G460" s="241" t="b">
        <v>0</v>
      </c>
      <c r="I460" s="275"/>
      <c r="J460" s="275"/>
      <c r="K460" s="275"/>
      <c r="L460" s="240"/>
      <c r="M460" s="237"/>
      <c r="O460" s="237"/>
      <c r="P460" s="237"/>
      <c r="Q460" s="237"/>
      <c r="R460" s="237"/>
    </row>
    <row r="461" spans="8:8" ht="15.75" customHeight="1">
      <c r="G461" s="241" t="b">
        <v>0</v>
      </c>
      <c r="I461" s="275"/>
      <c r="J461" s="275"/>
      <c r="K461" s="275"/>
      <c r="L461" s="240"/>
      <c r="M461" s="237"/>
      <c r="O461" s="237"/>
      <c r="P461" s="237"/>
      <c r="Q461" s="237"/>
      <c r="R461" s="237"/>
    </row>
    <row r="462" spans="8:8" ht="15.75" customHeight="1">
      <c r="G462" s="241" t="b">
        <v>0</v>
      </c>
      <c r="I462" s="275"/>
      <c r="J462" s="275"/>
      <c r="K462" s="275"/>
      <c r="L462" s="240"/>
      <c r="M462" s="237"/>
      <c r="O462" s="237"/>
      <c r="P462" s="237"/>
      <c r="Q462" s="237"/>
      <c r="R462" s="237"/>
    </row>
    <row r="463" spans="8:8" ht="15.75" customHeight="1">
      <c r="G463" s="241" t="b">
        <v>0</v>
      </c>
      <c r="I463" s="275"/>
      <c r="J463" s="275"/>
      <c r="K463" s="275"/>
      <c r="L463" s="240"/>
      <c r="M463" s="237"/>
      <c r="O463" s="237"/>
      <c r="P463" s="237"/>
      <c r="Q463" s="237"/>
      <c r="R463" s="237"/>
    </row>
    <row r="464" spans="8:8" ht="15.75" customHeight="1">
      <c r="G464" s="241" t="b">
        <v>0</v>
      </c>
      <c r="I464" s="275"/>
      <c r="J464" s="275"/>
      <c r="K464" s="275"/>
      <c r="L464" s="240"/>
      <c r="M464" s="237"/>
      <c r="O464" s="237"/>
      <c r="P464" s="237"/>
      <c r="Q464" s="237"/>
      <c r="R464" s="237"/>
    </row>
    <row r="465" spans="8:8" ht="15.75" customHeight="1">
      <c r="G465" s="241" t="b">
        <v>0</v>
      </c>
      <c r="I465" s="275"/>
      <c r="J465" s="275"/>
      <c r="K465" s="275"/>
      <c r="L465" s="240"/>
      <c r="M465" s="237"/>
      <c r="O465" s="237"/>
      <c r="P465" s="237"/>
      <c r="Q465" s="237"/>
      <c r="R465" s="237"/>
    </row>
    <row r="466" spans="8:8" ht="15.75" customHeight="1">
      <c r="G466" s="241" t="b">
        <v>0</v>
      </c>
      <c r="I466" s="275"/>
      <c r="J466" s="275"/>
      <c r="K466" s="275"/>
      <c r="L466" s="240"/>
      <c r="M466" s="237"/>
      <c r="O466" s="237"/>
      <c r="P466" s="237"/>
      <c r="Q466" s="237"/>
      <c r="R466" s="237"/>
    </row>
    <row r="467" spans="8:8" ht="15.75" customHeight="1">
      <c r="G467" s="241" t="b">
        <v>0</v>
      </c>
      <c r="I467" s="275"/>
      <c r="J467" s="275"/>
      <c r="K467" s="275"/>
      <c r="L467" s="240"/>
      <c r="M467" s="237"/>
      <c r="O467" s="237"/>
      <c r="P467" s="237"/>
      <c r="Q467" s="237"/>
      <c r="R467" s="237"/>
    </row>
    <row r="468" spans="8:8" ht="15.75" customHeight="1">
      <c r="G468" s="241" t="b">
        <v>0</v>
      </c>
      <c r="I468" s="275"/>
      <c r="J468" s="275"/>
      <c r="K468" s="275"/>
      <c r="L468" s="240"/>
      <c r="M468" s="237"/>
      <c r="O468" s="237"/>
      <c r="P468" s="237"/>
      <c r="Q468" s="237"/>
      <c r="R468" s="237"/>
    </row>
    <row r="469" spans="8:8" ht="15.75" customHeight="1">
      <c r="G469" s="241" t="b">
        <v>0</v>
      </c>
      <c r="I469" s="275"/>
      <c r="J469" s="275"/>
      <c r="K469" s="275"/>
      <c r="L469" s="240"/>
      <c r="M469" s="237"/>
      <c r="O469" s="237"/>
      <c r="P469" s="237"/>
      <c r="Q469" s="237"/>
      <c r="R469" s="237"/>
    </row>
    <row r="470" spans="8:8" ht="15.75" customHeight="1">
      <c r="G470" s="241" t="b">
        <v>0</v>
      </c>
      <c r="I470" s="275"/>
      <c r="J470" s="275"/>
      <c r="K470" s="275"/>
      <c r="L470" s="240"/>
      <c r="M470" s="237"/>
      <c r="O470" s="237"/>
      <c r="P470" s="237"/>
      <c r="Q470" s="237"/>
      <c r="R470" s="237"/>
    </row>
    <row r="471" spans="8:8" ht="15.75" customHeight="1">
      <c r="G471" s="241" t="b">
        <v>0</v>
      </c>
      <c r="I471" s="275"/>
      <c r="J471" s="275"/>
      <c r="K471" s="275"/>
      <c r="L471" s="240"/>
      <c r="M471" s="237"/>
      <c r="O471" s="237"/>
      <c r="P471" s="237"/>
      <c r="Q471" s="237"/>
      <c r="R471" s="237"/>
    </row>
    <row r="472" spans="8:8" ht="15.75" customHeight="1">
      <c r="G472" s="241" t="b">
        <v>0</v>
      </c>
      <c r="I472" s="275"/>
      <c r="J472" s="275"/>
      <c r="K472" s="275"/>
      <c r="L472" s="240"/>
      <c r="M472" s="237"/>
      <c r="O472" s="237"/>
      <c r="P472" s="237"/>
      <c r="Q472" s="237"/>
      <c r="R472" s="237"/>
    </row>
    <row r="473" spans="8:8" ht="15.75" customHeight="1">
      <c r="G473" s="241" t="b">
        <v>0</v>
      </c>
      <c r="I473" s="275"/>
      <c r="J473" s="275"/>
      <c r="K473" s="275"/>
      <c r="L473" s="240"/>
      <c r="M473" s="237"/>
      <c r="O473" s="237"/>
      <c r="P473" s="237"/>
      <c r="Q473" s="237"/>
      <c r="R473" s="237"/>
    </row>
    <row r="474" spans="8:8" ht="15.75" customHeight="1">
      <c r="G474" s="241" t="b">
        <v>0</v>
      </c>
      <c r="I474" s="275"/>
      <c r="J474" s="275"/>
      <c r="K474" s="275"/>
      <c r="L474" s="240"/>
      <c r="M474" s="237"/>
      <c r="O474" s="237"/>
      <c r="P474" s="237"/>
      <c r="Q474" s="237"/>
      <c r="R474" s="237"/>
    </row>
    <row r="475" spans="8:8" ht="15.75" customHeight="1">
      <c r="G475" s="241" t="b">
        <v>0</v>
      </c>
      <c r="I475" s="275"/>
      <c r="J475" s="275"/>
      <c r="K475" s="275"/>
      <c r="L475" s="240"/>
      <c r="M475" s="237"/>
      <c r="O475" s="237"/>
      <c r="P475" s="237"/>
      <c r="Q475" s="237"/>
      <c r="R475" s="237"/>
    </row>
    <row r="476" spans="8:8" ht="15.75" customHeight="1">
      <c r="G476" s="241" t="b">
        <v>0</v>
      </c>
      <c r="I476" s="275"/>
      <c r="J476" s="275"/>
      <c r="K476" s="275"/>
      <c r="L476" s="240"/>
      <c r="M476" s="237"/>
      <c r="O476" s="237"/>
      <c r="P476" s="237"/>
      <c r="Q476" s="237"/>
      <c r="R476" s="237"/>
    </row>
    <row r="477" spans="8:8" ht="15.75" customHeight="1">
      <c r="G477" s="241" t="b">
        <v>0</v>
      </c>
      <c r="I477" s="275"/>
      <c r="J477" s="275"/>
      <c r="K477" s="277"/>
      <c r="L477" s="240"/>
      <c r="M477" s="237"/>
      <c r="O477" s="237"/>
      <c r="P477" s="237"/>
      <c r="Q477" s="237"/>
      <c r="R477" s="237"/>
    </row>
    <row r="478" spans="8:8" ht="15.75" customHeight="1">
      <c r="G478" s="241" t="b">
        <v>0</v>
      </c>
      <c r="I478" s="275"/>
      <c r="J478" s="275"/>
      <c r="K478" s="277"/>
      <c r="L478" s="240"/>
      <c r="M478" s="237"/>
      <c r="O478" s="237"/>
      <c r="P478" s="237"/>
      <c r="Q478" s="237"/>
      <c r="R478" s="237"/>
    </row>
    <row r="479" spans="8:8" ht="15.75" customHeight="1">
      <c r="G479" s="241" t="b">
        <v>0</v>
      </c>
      <c r="I479" s="275"/>
      <c r="J479" s="275"/>
      <c r="K479" s="275"/>
      <c r="L479" s="240"/>
      <c r="M479" s="237"/>
      <c r="O479" s="237"/>
      <c r="P479" s="237"/>
      <c r="Q479" s="237"/>
      <c r="R479" s="237"/>
    </row>
    <row r="480" spans="8:8" ht="15.75" customHeight="1">
      <c r="G480" s="241" t="b">
        <v>0</v>
      </c>
      <c r="I480" s="275"/>
      <c r="J480" s="275"/>
      <c r="K480" s="275"/>
      <c r="L480" s="240"/>
      <c r="M480" s="237"/>
      <c r="O480" s="237"/>
      <c r="P480" s="237"/>
      <c r="Q480" s="237"/>
      <c r="R480" s="237"/>
    </row>
    <row r="481" spans="8:8" ht="15.75" customHeight="1">
      <c r="G481" s="241" t="b">
        <v>0</v>
      </c>
      <c r="I481" s="275"/>
      <c r="J481" s="275"/>
      <c r="K481" s="275"/>
      <c r="L481" s="240"/>
      <c r="M481" s="237"/>
      <c r="O481" s="237"/>
      <c r="P481" s="237"/>
      <c r="Q481" s="237"/>
      <c r="R481" s="237"/>
    </row>
    <row r="482" spans="8:8" ht="15.75" customHeight="1">
      <c r="G482" s="241" t="b">
        <v>0</v>
      </c>
      <c r="I482" s="275"/>
      <c r="J482" s="275"/>
      <c r="K482" s="275"/>
      <c r="L482" s="240"/>
      <c r="M482" s="237"/>
      <c r="O482" s="237"/>
      <c r="P482" s="237"/>
      <c r="Q482" s="237"/>
      <c r="R482" s="237"/>
    </row>
    <row r="483" spans="8:8" ht="15.75" customHeight="1">
      <c r="G483" s="241" t="b">
        <v>0</v>
      </c>
      <c r="I483" s="275"/>
      <c r="J483" s="275"/>
      <c r="K483" s="275"/>
      <c r="L483" s="240"/>
      <c r="M483" s="237"/>
      <c r="O483" s="237"/>
      <c r="P483" s="237"/>
      <c r="Q483" s="237"/>
      <c r="R483" s="237"/>
    </row>
    <row r="484" spans="8:8" ht="15.75" customHeight="1">
      <c r="G484" s="241" t="b">
        <v>0</v>
      </c>
      <c r="I484" s="275"/>
      <c r="J484" s="275"/>
      <c r="K484" s="275"/>
      <c r="L484" s="240"/>
      <c r="M484" s="237"/>
      <c r="O484" s="237"/>
      <c r="P484" s="237"/>
      <c r="Q484" s="237"/>
      <c r="R484" s="237"/>
    </row>
    <row r="485" spans="8:8" ht="15.75" customHeight="1">
      <c r="G485" s="241" t="b">
        <v>0</v>
      </c>
      <c r="I485" s="275"/>
      <c r="J485" s="275"/>
      <c r="K485" s="275"/>
      <c r="L485" s="240"/>
      <c r="M485" s="237"/>
      <c r="O485" s="237"/>
      <c r="P485" s="237"/>
      <c r="Q485" s="237"/>
      <c r="R485" s="237"/>
    </row>
    <row r="486" spans="8:8" ht="15.75" customHeight="1">
      <c r="G486" s="241" t="b">
        <v>0</v>
      </c>
      <c r="I486" s="275"/>
      <c r="J486" s="275"/>
      <c r="K486" s="275"/>
      <c r="L486" s="240"/>
      <c r="M486" s="237"/>
      <c r="O486" s="237"/>
      <c r="P486" s="237"/>
      <c r="Q486" s="237"/>
      <c r="R486" s="237"/>
    </row>
    <row r="487" spans="8:8" ht="15.75" customHeight="1">
      <c r="G487" s="241" t="b">
        <v>0</v>
      </c>
      <c r="I487" s="275"/>
      <c r="J487" s="275"/>
      <c r="K487" s="275"/>
      <c r="L487" s="276"/>
      <c r="M487" s="237"/>
      <c r="O487" s="237"/>
      <c r="P487" s="237"/>
      <c r="Q487" s="237"/>
      <c r="R487" s="237"/>
    </row>
    <row r="488" spans="8:8" ht="15.75" customHeight="1">
      <c r="G488" s="241" t="b">
        <v>0</v>
      </c>
      <c r="I488" s="275"/>
      <c r="J488" s="275"/>
      <c r="K488" s="275"/>
      <c r="L488" s="240"/>
      <c r="M488" s="237"/>
      <c r="O488" s="237"/>
      <c r="P488" s="237"/>
      <c r="Q488" s="237"/>
      <c r="R488" s="237"/>
    </row>
    <row r="489" spans="8:8" ht="15.75" customHeight="1">
      <c r="G489" s="241" t="b">
        <v>0</v>
      </c>
      <c r="I489" s="275"/>
      <c r="J489" s="275"/>
      <c r="K489" s="275"/>
      <c r="L489" s="240"/>
      <c r="M489" s="237"/>
      <c r="O489" s="237"/>
      <c r="P489" s="237"/>
      <c r="Q489" s="237"/>
      <c r="R489" s="237"/>
    </row>
    <row r="490" spans="8:8" ht="15.75" customHeight="1">
      <c r="G490" s="241" t="b">
        <v>0</v>
      </c>
      <c r="I490" s="275"/>
      <c r="J490" s="275"/>
      <c r="K490" s="275"/>
      <c r="L490" s="240"/>
      <c r="M490" s="237"/>
      <c r="O490" s="237"/>
      <c r="P490" s="237"/>
      <c r="Q490" s="237"/>
      <c r="R490" s="237"/>
    </row>
    <row r="491" spans="8:8" ht="15.75" customHeight="1">
      <c r="G491" s="241" t="b">
        <v>0</v>
      </c>
      <c r="I491" s="275"/>
      <c r="J491" s="275"/>
      <c r="K491" s="275"/>
      <c r="L491" s="240"/>
      <c r="M491" s="237"/>
      <c r="O491" s="237"/>
      <c r="P491" s="237"/>
      <c r="Q491" s="237"/>
      <c r="R491" s="237"/>
    </row>
    <row r="492" spans="8:8" ht="15.75" customHeight="1">
      <c r="G492" s="241" t="b">
        <v>0</v>
      </c>
      <c r="I492" s="275"/>
      <c r="J492" s="275"/>
      <c r="K492" s="275"/>
      <c r="L492" s="240"/>
      <c r="M492" s="237"/>
      <c r="O492" s="237"/>
      <c r="P492" s="237"/>
      <c r="Q492" s="237"/>
      <c r="R492" s="237"/>
    </row>
    <row r="493" spans="8:8" ht="15.75" customHeight="1">
      <c r="G493" s="241" t="b">
        <v>0</v>
      </c>
      <c r="I493" s="275"/>
      <c r="J493" s="275"/>
      <c r="K493" s="275"/>
      <c r="L493" s="240"/>
      <c r="M493" s="237"/>
      <c r="O493" s="237"/>
      <c r="P493" s="237"/>
      <c r="Q493" s="237"/>
      <c r="R493" s="237"/>
    </row>
    <row r="494" spans="8:8" ht="15.75" customHeight="1">
      <c r="G494" s="241" t="b">
        <v>0</v>
      </c>
      <c r="I494" s="275"/>
      <c r="J494" s="275"/>
      <c r="K494" s="275"/>
      <c r="L494" s="240"/>
      <c r="M494" s="237"/>
      <c r="O494" s="237"/>
      <c r="P494" s="237"/>
      <c r="Q494" s="237"/>
      <c r="R494" s="237"/>
    </row>
    <row r="495" spans="8:8" ht="15.75" customHeight="1">
      <c r="G495" s="241" t="b">
        <v>0</v>
      </c>
      <c r="I495" s="275"/>
      <c r="J495" s="275"/>
      <c r="K495" s="275"/>
      <c r="L495" s="240"/>
      <c r="M495" s="237"/>
      <c r="O495" s="237"/>
      <c r="P495" s="237"/>
      <c r="Q495" s="237"/>
      <c r="R495" s="237"/>
    </row>
    <row r="496" spans="8:8" ht="15.75" customHeight="1">
      <c r="G496" s="241" t="b">
        <v>0</v>
      </c>
      <c r="I496" s="275"/>
      <c r="J496" s="275"/>
      <c r="K496" s="275"/>
      <c r="L496" s="240"/>
      <c r="M496" s="237"/>
      <c r="O496" s="237"/>
      <c r="P496" s="237"/>
      <c r="Q496" s="237"/>
      <c r="R496" s="237"/>
    </row>
    <row r="497" spans="8:8" ht="15.75" customHeight="1">
      <c r="G497" s="241" t="b">
        <v>0</v>
      </c>
      <c r="I497" s="275"/>
      <c r="J497" s="275"/>
      <c r="K497" s="275"/>
      <c r="L497" s="240"/>
      <c r="M497" s="237"/>
      <c r="O497" s="237"/>
      <c r="P497" s="237"/>
      <c r="Q497" s="237"/>
      <c r="R497" s="237"/>
    </row>
    <row r="498" spans="8:8" ht="15.75" customHeight="1">
      <c r="G498" s="241" t="b">
        <v>0</v>
      </c>
      <c r="I498" s="275"/>
      <c r="J498" s="275"/>
      <c r="K498" s="275"/>
      <c r="L498" s="240"/>
      <c r="M498" s="237"/>
      <c r="N498" s="237"/>
      <c r="O498" s="237"/>
      <c r="P498" s="237"/>
      <c r="Q498" s="237"/>
      <c r="R498" s="237"/>
    </row>
    <row r="499" spans="8:8" ht="15.75" customHeight="1">
      <c r="G499" s="241" t="b">
        <v>0</v>
      </c>
      <c r="I499" s="275"/>
      <c r="J499" s="275"/>
      <c r="K499" s="275"/>
      <c r="L499" s="240"/>
      <c r="M499" s="237"/>
      <c r="N499" s="237"/>
      <c r="O499" s="237"/>
      <c r="P499" s="237"/>
      <c r="Q499" s="237"/>
      <c r="R499" s="237"/>
    </row>
    <row r="500" spans="8:8" ht="15.75" customHeight="1">
      <c r="G500" s="241" t="b">
        <v>0</v>
      </c>
      <c r="I500" s="275"/>
      <c r="J500" s="275"/>
      <c r="K500" s="275"/>
      <c r="L500" s="240"/>
      <c r="M500" s="237"/>
      <c r="N500" s="237"/>
      <c r="O500" s="237"/>
      <c r="P500" s="237"/>
      <c r="Q500" s="237"/>
      <c r="R500" s="237"/>
    </row>
    <row r="501" spans="8:8" ht="15.75" customHeight="1">
      <c r="G501" s="241" t="b">
        <v>0</v>
      </c>
      <c r="I501" s="275"/>
      <c r="J501" s="275"/>
      <c r="K501" s="275"/>
      <c r="L501" s="240"/>
      <c r="M501" s="237"/>
      <c r="N501" s="237"/>
      <c r="O501" s="237"/>
      <c r="P501" s="237"/>
      <c r="Q501" s="237"/>
      <c r="R501" s="237"/>
    </row>
    <row r="502" spans="8:8" ht="15.75" customHeight="1">
      <c r="G502" s="241" t="b">
        <v>0</v>
      </c>
      <c r="I502" s="275"/>
      <c r="J502" s="275"/>
      <c r="K502" s="275"/>
      <c r="L502" s="240"/>
      <c r="M502" s="237"/>
      <c r="N502" s="237"/>
      <c r="O502" s="237"/>
      <c r="P502" s="237"/>
      <c r="Q502" s="237"/>
      <c r="R502" s="237"/>
    </row>
    <row r="503" spans="8:8" ht="15.75" customHeight="1">
      <c r="G503" s="241" t="b">
        <v>0</v>
      </c>
      <c r="I503" s="275"/>
      <c r="J503" s="275"/>
      <c r="K503" s="275"/>
      <c r="L503" s="240"/>
      <c r="M503" s="237"/>
      <c r="N503" s="237"/>
      <c r="O503" s="237"/>
      <c r="P503" s="237"/>
      <c r="Q503" s="237"/>
      <c r="R503" s="237"/>
    </row>
    <row r="504" spans="8:8" ht="15.75" customHeight="1">
      <c r="G504" s="241" t="b">
        <v>0</v>
      </c>
      <c r="I504" s="275"/>
      <c r="J504" s="275"/>
      <c r="K504" s="275"/>
      <c r="L504" s="240"/>
      <c r="M504" s="237"/>
      <c r="N504" s="237"/>
      <c r="O504" s="237"/>
      <c r="P504" s="237"/>
      <c r="Q504" s="237"/>
      <c r="R504" s="237"/>
    </row>
    <row r="505" spans="8:8" ht="15.75" customHeight="1">
      <c r="G505" s="241" t="b">
        <v>0</v>
      </c>
      <c r="I505" s="275"/>
      <c r="J505" s="275"/>
      <c r="K505" s="275"/>
      <c r="L505" s="240"/>
      <c r="M505" s="237"/>
      <c r="N505" s="237"/>
      <c r="O505" s="237"/>
      <c r="P505" s="237"/>
      <c r="Q505" s="237"/>
      <c r="R505" s="237"/>
    </row>
    <row r="506" spans="8:8" ht="15.75" customHeight="1">
      <c r="G506" s="241" t="b">
        <v>0</v>
      </c>
      <c r="I506" s="275"/>
      <c r="J506" s="275"/>
      <c r="K506" s="275"/>
      <c r="L506" s="240"/>
      <c r="M506" s="237"/>
      <c r="N506" s="237"/>
      <c r="O506" s="237"/>
      <c r="P506" s="237"/>
      <c r="Q506" s="237"/>
      <c r="R506" s="237"/>
    </row>
    <row r="507" spans="8:8" ht="15.75" customHeight="1">
      <c r="G507" s="241" t="b">
        <v>0</v>
      </c>
      <c r="I507" s="275"/>
      <c r="J507" s="275"/>
      <c r="K507" s="275"/>
      <c r="L507" s="240"/>
      <c r="M507" s="237"/>
      <c r="N507" s="237"/>
      <c r="O507" s="237"/>
      <c r="P507" s="237"/>
      <c r="Q507" s="237"/>
      <c r="R507" s="237"/>
    </row>
    <row r="508" spans="8:8" ht="15.75" customHeight="1">
      <c r="G508" s="241" t="b">
        <v>0</v>
      </c>
      <c r="I508" s="275"/>
      <c r="J508" s="275"/>
      <c r="K508" s="275"/>
      <c r="L508" s="240"/>
      <c r="M508" s="237"/>
      <c r="N508" s="237"/>
      <c r="O508" s="237"/>
      <c r="P508" s="237"/>
      <c r="Q508" s="237"/>
      <c r="R508" s="237"/>
    </row>
    <row r="509" spans="8:8" ht="15.75" customHeight="1">
      <c r="G509" s="241" t="b">
        <v>0</v>
      </c>
      <c r="I509" s="275"/>
      <c r="J509" s="275"/>
      <c r="K509" s="275"/>
      <c r="L509" s="240"/>
      <c r="M509" s="237"/>
      <c r="N509" s="237"/>
      <c r="O509" s="237"/>
      <c r="P509" s="237"/>
      <c r="Q509" s="237"/>
      <c r="R509" s="237"/>
    </row>
    <row r="510" spans="8:8" ht="15.75" customHeight="1">
      <c r="G510" s="241" t="b">
        <v>0</v>
      </c>
      <c r="I510" s="275"/>
      <c r="J510" s="275"/>
      <c r="K510" s="275"/>
      <c r="L510" s="240"/>
      <c r="M510" s="237"/>
      <c r="N510" s="237"/>
      <c r="O510" s="237"/>
      <c r="P510" s="237"/>
      <c r="Q510" s="237"/>
      <c r="R510" s="237"/>
    </row>
    <row r="511" spans="8:8" ht="15.75" customHeight="1">
      <c r="G511" s="241" t="b">
        <v>0</v>
      </c>
      <c r="I511" s="275"/>
      <c r="J511" s="275"/>
      <c r="K511" s="275"/>
      <c r="L511" s="240"/>
      <c r="M511" s="237"/>
      <c r="N511" s="237"/>
      <c r="O511" s="237"/>
      <c r="P511" s="237"/>
      <c r="Q511" s="237"/>
      <c r="R511" s="237"/>
    </row>
    <row r="512" spans="8:8" ht="15.75" customHeight="1">
      <c r="G512" s="241" t="b">
        <v>0</v>
      </c>
      <c r="I512" s="275"/>
      <c r="J512" s="275"/>
      <c r="K512" s="275"/>
      <c r="L512" s="240"/>
      <c r="M512" s="237"/>
      <c r="N512" s="237"/>
      <c r="O512" s="237"/>
      <c r="P512" s="237"/>
      <c r="Q512" s="237"/>
      <c r="R512" s="237"/>
    </row>
    <row r="513" spans="8:8" ht="15.75" customHeight="1">
      <c r="G513" s="241" t="b">
        <v>0</v>
      </c>
      <c r="I513" s="275"/>
      <c r="J513" s="275"/>
      <c r="K513" s="275"/>
      <c r="L513" s="240"/>
      <c r="M513" s="237"/>
      <c r="N513" s="237"/>
      <c r="O513" s="237"/>
      <c r="P513" s="237"/>
      <c r="Q513" s="237"/>
      <c r="R513" s="237"/>
    </row>
    <row r="514" spans="8:8" ht="15.75" customHeight="1">
      <c r="G514" s="241" t="b">
        <v>0</v>
      </c>
      <c r="I514" s="275"/>
      <c r="J514" s="275"/>
      <c r="K514" s="275"/>
      <c r="L514" s="240"/>
      <c r="M514" s="237"/>
      <c r="N514" s="237"/>
      <c r="O514" s="237"/>
      <c r="P514" s="237"/>
      <c r="Q514" s="237"/>
      <c r="R514" s="237"/>
    </row>
    <row r="515" spans="8:8" ht="15.75" customHeight="1">
      <c r="G515" s="241" t="b">
        <v>0</v>
      </c>
      <c r="I515" s="275"/>
      <c r="J515" s="275"/>
      <c r="K515" s="275"/>
      <c r="L515" s="240"/>
      <c r="M515" s="237"/>
      <c r="N515" s="237"/>
      <c r="O515" s="237"/>
      <c r="P515" s="237"/>
      <c r="Q515" s="237"/>
      <c r="R515" s="237"/>
    </row>
    <row r="516" spans="8:8" ht="15.75" customHeight="1">
      <c r="G516" s="241" t="b">
        <v>0</v>
      </c>
      <c r="I516" s="275"/>
      <c r="J516" s="275"/>
      <c r="K516" s="275"/>
      <c r="L516" s="240"/>
      <c r="M516" s="237"/>
      <c r="N516" s="237"/>
      <c r="O516" s="237"/>
      <c r="P516" s="237"/>
      <c r="Q516" s="237"/>
      <c r="R516" s="237"/>
    </row>
    <row r="517" spans="8:8" ht="15.75" customHeight="1">
      <c r="G517" s="241" t="b">
        <v>0</v>
      </c>
      <c r="I517" s="275"/>
      <c r="J517" s="275"/>
      <c r="K517" s="275"/>
      <c r="L517" s="240"/>
      <c r="M517" s="237"/>
      <c r="N517" s="237"/>
      <c r="O517" s="237"/>
      <c r="P517" s="237"/>
      <c r="Q517" s="237"/>
      <c r="R517" s="237"/>
    </row>
    <row r="518" spans="8:8" ht="15.75" customHeight="1">
      <c r="G518" s="241" t="b">
        <v>0</v>
      </c>
      <c r="I518" s="275"/>
      <c r="J518" s="275"/>
      <c r="K518" s="275"/>
      <c r="L518" s="240"/>
      <c r="M518" s="237"/>
      <c r="N518" s="237"/>
      <c r="O518" s="237"/>
      <c r="P518" s="237"/>
      <c r="Q518" s="237"/>
      <c r="R518" s="237"/>
    </row>
    <row r="519" spans="8:8" ht="15.75" customHeight="1">
      <c r="G519" s="241" t="b">
        <v>0</v>
      </c>
      <c r="I519" s="275"/>
      <c r="J519" s="275"/>
      <c r="K519" s="275"/>
      <c r="L519" s="240"/>
      <c r="M519" s="237"/>
      <c r="N519" s="237"/>
      <c r="O519" s="237"/>
      <c r="P519" s="237"/>
      <c r="Q519" s="237"/>
      <c r="R519" s="237"/>
    </row>
    <row r="520" spans="8:8" ht="15.75" customHeight="1">
      <c r="G520" s="241" t="b">
        <v>0</v>
      </c>
      <c r="I520" s="275"/>
      <c r="J520" s="275"/>
      <c r="K520" s="275"/>
      <c r="L520" s="240"/>
      <c r="M520" s="237"/>
      <c r="N520" s="237"/>
      <c r="O520" s="237"/>
      <c r="P520" s="237"/>
      <c r="Q520" s="237"/>
      <c r="R520" s="237"/>
    </row>
    <row r="521" spans="8:8" ht="15.75" customHeight="1">
      <c r="G521" s="241" t="b">
        <v>0</v>
      </c>
      <c r="I521" s="275"/>
      <c r="J521" s="275"/>
      <c r="K521" s="275"/>
      <c r="L521" s="276"/>
      <c r="M521" s="237"/>
      <c r="N521" s="237"/>
      <c r="O521" s="237"/>
      <c r="P521" s="237"/>
      <c r="Q521" s="237"/>
      <c r="R521" s="237"/>
    </row>
    <row r="522" spans="8:8" ht="15.75" customHeight="1">
      <c r="G522" s="241" t="b">
        <v>0</v>
      </c>
      <c r="I522" s="275"/>
      <c r="J522" s="275"/>
      <c r="K522" s="275"/>
      <c r="L522" s="240"/>
      <c r="M522" s="237"/>
      <c r="N522" s="237"/>
      <c r="O522" s="237"/>
      <c r="P522" s="237"/>
      <c r="Q522" s="237"/>
      <c r="R522" s="237"/>
    </row>
    <row r="523" spans="8:8" ht="15.75" customHeight="1">
      <c r="G523" s="241" t="b">
        <v>0</v>
      </c>
      <c r="I523" s="275"/>
      <c r="J523" s="275"/>
      <c r="K523" s="275"/>
      <c r="L523" s="240"/>
      <c r="M523" s="237"/>
      <c r="N523" s="237"/>
      <c r="O523" s="237"/>
      <c r="P523" s="237"/>
      <c r="Q523" s="237"/>
      <c r="R523" s="237"/>
    </row>
    <row r="524" spans="8:8" ht="15.75" customHeight="1">
      <c r="G524" s="241" t="b">
        <v>0</v>
      </c>
      <c r="I524" s="275"/>
      <c r="J524" s="275"/>
      <c r="K524" s="275"/>
      <c r="L524" s="240"/>
      <c r="M524" s="237"/>
      <c r="N524" s="237"/>
      <c r="O524" s="237"/>
      <c r="P524" s="237"/>
      <c r="Q524" s="237"/>
      <c r="R524" s="237"/>
    </row>
    <row r="525" spans="8:8" ht="15.75" customHeight="1">
      <c r="G525" s="241" t="b">
        <v>0</v>
      </c>
      <c r="I525" s="275"/>
      <c r="J525" s="275"/>
      <c r="K525" s="275"/>
      <c r="L525" s="240"/>
      <c r="M525" s="237"/>
      <c r="N525" s="237"/>
      <c r="O525" s="237"/>
      <c r="P525" s="237"/>
      <c r="Q525" s="237"/>
      <c r="R525" s="237"/>
    </row>
    <row r="526" spans="8:8" ht="15.75" customHeight="1">
      <c r="G526" s="241" t="b">
        <v>0</v>
      </c>
      <c r="I526" s="275"/>
      <c r="J526" s="275"/>
      <c r="K526" s="275"/>
      <c r="L526" s="240"/>
      <c r="M526" s="237"/>
      <c r="N526" s="237"/>
      <c r="O526" s="237"/>
      <c r="P526" s="237"/>
      <c r="Q526" s="237"/>
      <c r="R526" s="237"/>
    </row>
    <row r="527" spans="8:8" ht="15.75" customHeight="1">
      <c r="G527" s="241" t="b">
        <v>0</v>
      </c>
      <c r="I527" s="275"/>
      <c r="J527" s="275"/>
      <c r="K527" s="275"/>
      <c r="L527" s="240"/>
      <c r="M527" s="237"/>
      <c r="N527" s="237"/>
      <c r="O527" s="237"/>
      <c r="P527" s="237"/>
      <c r="Q527" s="237"/>
      <c r="R527" s="237"/>
    </row>
    <row r="528" spans="8:8" ht="15.75" customHeight="1">
      <c r="G528" s="241" t="b">
        <v>0</v>
      </c>
      <c r="I528" s="275"/>
      <c r="J528" s="275"/>
      <c r="K528" s="275"/>
      <c r="L528" s="240"/>
      <c r="M528" s="237"/>
      <c r="N528" s="237"/>
      <c r="O528" s="237"/>
      <c r="P528" s="237"/>
      <c r="Q528" s="237"/>
      <c r="R528" s="237"/>
    </row>
    <row r="529" spans="8:8" ht="15.75" customHeight="1">
      <c r="G529" s="241" t="b">
        <v>0</v>
      </c>
      <c r="I529" s="275"/>
      <c r="J529" s="275"/>
      <c r="K529" s="275"/>
      <c r="L529" s="240"/>
      <c r="M529" s="237"/>
      <c r="N529" s="237"/>
      <c r="O529" s="237"/>
      <c r="P529" s="237"/>
      <c r="Q529" s="237"/>
      <c r="R529" s="237"/>
    </row>
    <row r="530" spans="8:8" ht="15.75" customHeight="1">
      <c r="G530" s="241" t="b">
        <v>0</v>
      </c>
      <c r="I530" s="275"/>
      <c r="J530" s="275"/>
      <c r="K530" s="275"/>
      <c r="L530" s="240"/>
      <c r="M530" s="237"/>
      <c r="N530" s="237"/>
      <c r="O530" s="237"/>
      <c r="P530" s="237"/>
      <c r="Q530" s="237"/>
      <c r="R530" s="237"/>
    </row>
    <row r="531" spans="8:8" ht="15.75" customHeight="1">
      <c r="G531" s="241" t="b">
        <v>0</v>
      </c>
      <c r="I531" s="275"/>
      <c r="J531" s="275"/>
      <c r="K531" s="275"/>
      <c r="L531" s="240"/>
      <c r="M531" s="237"/>
      <c r="N531" s="237"/>
      <c r="O531" s="237"/>
      <c r="P531" s="237"/>
      <c r="Q531" s="237"/>
      <c r="R531" s="237"/>
    </row>
    <row r="532" spans="8:8" ht="15.75" customHeight="1">
      <c r="G532" s="241" t="b">
        <v>0</v>
      </c>
      <c r="I532" s="275"/>
      <c r="J532" s="275"/>
      <c r="K532" s="275"/>
      <c r="L532" s="240"/>
      <c r="M532" s="237"/>
      <c r="N532" s="237"/>
      <c r="O532" s="237"/>
      <c r="P532" s="237"/>
      <c r="Q532" s="237"/>
      <c r="R532" s="237"/>
    </row>
    <row r="533" spans="8:8" ht="15.75" customHeight="1">
      <c r="G533" s="241" t="b">
        <v>0</v>
      </c>
      <c r="I533" s="275"/>
      <c r="J533" s="275"/>
      <c r="K533" s="275"/>
      <c r="L533" s="240"/>
      <c r="M533" s="237"/>
      <c r="N533" s="237"/>
      <c r="O533" s="237"/>
      <c r="P533" s="237"/>
      <c r="Q533" s="237"/>
      <c r="R533" s="237"/>
    </row>
    <row r="534" spans="8:8" ht="15.75" customHeight="1">
      <c r="G534" s="241" t="b">
        <v>0</v>
      </c>
      <c r="I534" s="275"/>
      <c r="J534" s="275"/>
      <c r="K534" s="275"/>
      <c r="L534" s="240"/>
      <c r="M534" s="237"/>
      <c r="N534" s="237"/>
      <c r="O534" s="237"/>
      <c r="P534" s="237"/>
      <c r="Q534" s="237"/>
      <c r="R534" s="237"/>
    </row>
    <row r="535" spans="8:8" ht="15.75" customHeight="1">
      <c r="G535" s="241" t="b">
        <v>0</v>
      </c>
      <c r="I535" s="275"/>
      <c r="J535" s="275"/>
      <c r="K535" s="275"/>
      <c r="L535" s="240"/>
      <c r="M535" s="237"/>
      <c r="N535" s="237"/>
      <c r="O535" s="237"/>
      <c r="P535" s="237"/>
      <c r="Q535" s="237"/>
      <c r="R535" s="237"/>
    </row>
    <row r="536" spans="8:8" ht="15.75" customHeight="1">
      <c r="G536" s="241" t="b">
        <v>0</v>
      </c>
      <c r="I536" s="275"/>
      <c r="J536" s="275"/>
      <c r="K536" s="275"/>
      <c r="L536" s="240"/>
      <c r="M536" s="237"/>
      <c r="N536" s="237"/>
      <c r="O536" s="237"/>
      <c r="P536" s="237"/>
      <c r="Q536" s="237"/>
      <c r="R536" s="237"/>
    </row>
    <row r="537" spans="8:8" ht="15.75" customHeight="1">
      <c r="G537" s="241" t="b">
        <v>0</v>
      </c>
      <c r="I537" s="275"/>
      <c r="J537" s="275"/>
      <c r="K537" s="243"/>
      <c r="L537" s="240"/>
      <c r="M537" s="237"/>
      <c r="N537" s="237"/>
      <c r="O537" s="237"/>
      <c r="P537" s="237"/>
      <c r="Q537" s="237"/>
      <c r="R537" s="237"/>
    </row>
    <row r="538" spans="8:8" ht="15.75" customHeight="1">
      <c r="G538" s="241" t="b">
        <v>0</v>
      </c>
      <c r="I538" s="275"/>
      <c r="J538" s="275"/>
      <c r="K538" s="275"/>
      <c r="L538" s="240"/>
      <c r="M538" s="237"/>
      <c r="N538" s="237"/>
      <c r="O538" s="237"/>
      <c r="P538" s="237"/>
      <c r="Q538" s="237"/>
      <c r="R538" s="237"/>
    </row>
    <row r="539" spans="8:8" ht="15.75" customHeight="1">
      <c r="G539" s="241" t="b">
        <v>0</v>
      </c>
      <c r="I539" s="275"/>
      <c r="J539" s="275"/>
      <c r="K539" s="275"/>
      <c r="L539" s="240"/>
      <c r="M539" s="237"/>
      <c r="N539" s="237"/>
      <c r="O539" s="237"/>
      <c r="P539" s="237"/>
      <c r="Q539" s="237"/>
      <c r="R539" s="237"/>
    </row>
    <row r="540" spans="8:8" ht="15.75" customHeight="1">
      <c r="G540" s="241" t="b">
        <v>0</v>
      </c>
      <c r="I540" s="275"/>
      <c r="J540" s="275"/>
      <c r="K540" s="275"/>
      <c r="L540" s="240"/>
      <c r="M540" s="237"/>
      <c r="N540" s="237"/>
      <c r="O540" s="237"/>
      <c r="P540" s="237"/>
      <c r="Q540" s="237"/>
      <c r="R540" s="237"/>
    </row>
    <row r="541" spans="8:8" ht="15.75" customHeight="1">
      <c r="G541" s="241" t="b">
        <v>0</v>
      </c>
      <c r="I541" s="275"/>
      <c r="J541" s="275"/>
      <c r="K541" s="275"/>
      <c r="L541" s="240"/>
      <c r="M541" s="237"/>
      <c r="N541" s="237"/>
      <c r="O541" s="237"/>
      <c r="P541" s="237"/>
      <c r="Q541" s="237"/>
      <c r="R541" s="237"/>
    </row>
    <row r="542" spans="8:8" ht="15.75" customHeight="1">
      <c r="G542" s="241" t="b">
        <v>0</v>
      </c>
      <c r="I542" s="275"/>
      <c r="J542" s="275"/>
      <c r="K542" s="275"/>
      <c r="L542" s="240"/>
      <c r="M542" s="237"/>
      <c r="N542" s="237"/>
      <c r="O542" s="237"/>
      <c r="P542" s="237"/>
      <c r="Q542" s="237"/>
      <c r="R542" s="237"/>
    </row>
    <row r="543" spans="8:8" ht="15.75" customHeight="1">
      <c r="G543" s="241" t="b">
        <v>0</v>
      </c>
      <c r="I543" s="275"/>
      <c r="J543" s="275"/>
      <c r="K543" s="275"/>
      <c r="L543" s="240"/>
      <c r="M543" s="237"/>
      <c r="N543" s="237"/>
      <c r="O543" s="237"/>
      <c r="P543" s="237"/>
      <c r="Q543" s="237"/>
      <c r="R543" s="237"/>
    </row>
    <row r="544" spans="8:8" ht="15.75" customHeight="1">
      <c r="G544" s="241" t="b">
        <v>0</v>
      </c>
      <c r="I544" s="275"/>
      <c r="J544" s="275"/>
      <c r="K544" s="275"/>
      <c r="L544" s="240"/>
      <c r="M544" s="237"/>
      <c r="N544" s="237"/>
      <c r="O544" s="237"/>
      <c r="P544" s="237"/>
      <c r="Q544" s="237"/>
      <c r="R544" s="237"/>
    </row>
    <row r="545" spans="8:8" ht="15.75" customHeight="1">
      <c r="G545" s="241" t="b">
        <v>0</v>
      </c>
      <c r="I545" s="275"/>
      <c r="J545" s="275"/>
      <c r="K545" s="275"/>
      <c r="L545" s="240"/>
      <c r="M545" s="237"/>
      <c r="N545" s="237"/>
      <c r="O545" s="237"/>
      <c r="P545" s="237"/>
      <c r="Q545" s="237"/>
      <c r="R545" s="237"/>
    </row>
    <row r="546" spans="8:8" ht="15.75" customHeight="1">
      <c r="G546" s="241" t="b">
        <v>0</v>
      </c>
      <c r="I546" s="275"/>
      <c r="J546" s="275"/>
      <c r="K546" s="275"/>
      <c r="L546" s="240"/>
      <c r="M546" s="237"/>
      <c r="N546" s="237"/>
      <c r="O546" s="237"/>
      <c r="P546" s="237"/>
      <c r="Q546" s="237"/>
      <c r="R546" s="237"/>
    </row>
    <row r="547" spans="8:8" ht="15.75" customHeight="1">
      <c r="G547" s="241" t="b">
        <v>0</v>
      </c>
      <c r="I547" s="275"/>
      <c r="J547" s="275"/>
      <c r="K547" s="275"/>
      <c r="L547" s="240"/>
      <c r="M547" s="237"/>
      <c r="N547" s="237"/>
      <c r="O547" s="237"/>
      <c r="P547" s="237"/>
      <c r="Q547" s="237"/>
      <c r="R547" s="237"/>
    </row>
    <row r="548" spans="8:8" ht="15.75" customHeight="1">
      <c r="G548" s="241" t="b">
        <v>0</v>
      </c>
      <c r="I548" s="275"/>
      <c r="J548" s="275"/>
      <c r="K548" s="275"/>
      <c r="L548" s="240"/>
      <c r="M548" s="237"/>
      <c r="N548" s="237"/>
      <c r="O548" s="237"/>
      <c r="P548" s="237"/>
      <c r="Q548" s="237"/>
      <c r="R548" s="237"/>
    </row>
    <row r="549" spans="8:8" ht="15.75" customHeight="1">
      <c r="G549" s="241" t="b">
        <v>0</v>
      </c>
      <c r="I549" s="275"/>
      <c r="J549" s="275"/>
      <c r="K549" s="275"/>
      <c r="L549" s="240"/>
      <c r="M549" s="237"/>
      <c r="N549" s="237"/>
      <c r="O549" s="237"/>
      <c r="P549" s="237"/>
      <c r="Q549" s="237"/>
      <c r="R549" s="237"/>
    </row>
    <row r="550" spans="8:8" ht="15.75" customHeight="1">
      <c r="G550" s="241" t="b">
        <v>0</v>
      </c>
      <c r="I550" s="275"/>
      <c r="J550" s="275"/>
      <c r="K550" s="275"/>
      <c r="L550" s="240"/>
      <c r="M550" s="237"/>
      <c r="N550" s="237"/>
      <c r="O550" s="237"/>
      <c r="P550" s="237"/>
      <c r="Q550" s="237"/>
      <c r="R550" s="237"/>
    </row>
    <row r="551" spans="8:8" ht="15.75" customHeight="1">
      <c r="G551" s="241" t="b">
        <v>0</v>
      </c>
      <c r="I551" s="275"/>
      <c r="J551" s="275"/>
      <c r="K551" s="275"/>
      <c r="L551" s="240"/>
      <c r="M551" s="237"/>
      <c r="N551" s="237"/>
      <c r="O551" s="237"/>
      <c r="P551" s="237"/>
      <c r="Q551" s="237"/>
      <c r="R551" s="237"/>
    </row>
    <row r="552" spans="8:8" ht="15.75" customHeight="1">
      <c r="G552" s="241" t="b">
        <v>0</v>
      </c>
      <c r="I552" s="275"/>
      <c r="J552" s="275"/>
      <c r="K552" s="275"/>
      <c r="L552" s="240"/>
      <c r="M552" s="237"/>
      <c r="N552" s="237"/>
      <c r="O552" s="237"/>
      <c r="P552" s="237"/>
      <c r="Q552" s="237"/>
      <c r="R552" s="237"/>
    </row>
    <row r="553" spans="8:8" ht="15.75" customHeight="1">
      <c r="G553" s="241" t="b">
        <v>0</v>
      </c>
      <c r="I553" s="275"/>
      <c r="J553" s="275"/>
      <c r="K553" s="275"/>
      <c r="L553" s="240"/>
      <c r="M553" s="237"/>
      <c r="N553" s="237"/>
      <c r="O553" s="237"/>
      <c r="P553" s="237"/>
      <c r="Q553" s="237"/>
      <c r="R553" s="237"/>
    </row>
    <row r="554" spans="8:8" ht="15.75" customHeight="1">
      <c r="G554" s="241" t="b">
        <v>0</v>
      </c>
      <c r="I554" s="275"/>
      <c r="J554" s="275"/>
      <c r="K554" s="275"/>
      <c r="L554" s="240"/>
      <c r="M554" s="237"/>
      <c r="N554" s="237"/>
      <c r="O554" s="237"/>
      <c r="P554" s="237"/>
      <c r="Q554" s="237"/>
      <c r="R554" s="237"/>
    </row>
    <row r="555" spans="8:8" ht="15.75" customHeight="1">
      <c r="G555" s="241" t="b">
        <v>0</v>
      </c>
      <c r="I555" s="275"/>
      <c r="J555" s="275"/>
      <c r="K555" s="275"/>
      <c r="L555" s="240"/>
      <c r="M555" s="237"/>
      <c r="N555" s="237"/>
      <c r="O555" s="237"/>
      <c r="P555" s="237"/>
      <c r="Q555" s="237"/>
      <c r="R555" s="237"/>
    </row>
    <row r="556" spans="8:8" ht="15.75" customHeight="1">
      <c r="G556" s="241" t="b">
        <v>0</v>
      </c>
      <c r="I556" s="275"/>
      <c r="J556" s="275"/>
      <c r="K556" s="275"/>
      <c r="L556" s="240"/>
      <c r="M556" s="237"/>
      <c r="N556" s="237"/>
      <c r="O556" s="237"/>
      <c r="P556" s="237"/>
      <c r="Q556" s="237"/>
      <c r="R556" s="237"/>
    </row>
    <row r="557" spans="8:8" ht="15.75" customHeight="1">
      <c r="G557" s="241" t="b">
        <v>0</v>
      </c>
      <c r="I557" s="275"/>
      <c r="J557" s="275"/>
      <c r="K557" s="275"/>
      <c r="L557" s="240"/>
      <c r="M557" s="237"/>
      <c r="N557" s="237"/>
      <c r="O557" s="237"/>
      <c r="P557" s="237"/>
      <c r="Q557" s="237"/>
      <c r="R557" s="237"/>
    </row>
    <row r="558" spans="8:8" ht="15.75" customHeight="1">
      <c r="G558" s="241" t="b">
        <v>0</v>
      </c>
      <c r="I558" s="275"/>
      <c r="J558" s="275"/>
      <c r="K558" s="275"/>
      <c r="L558" s="240"/>
      <c r="M558" s="237"/>
      <c r="N558" s="237"/>
      <c r="O558" s="237"/>
      <c r="P558" s="237"/>
      <c r="Q558" s="237"/>
      <c r="R558" s="237"/>
    </row>
    <row r="559" spans="8:8" ht="15.75" customHeight="1">
      <c r="G559" s="241" t="b">
        <v>0</v>
      </c>
      <c r="I559" s="275"/>
      <c r="J559" s="275"/>
      <c r="K559" s="275"/>
      <c r="L559" s="240"/>
      <c r="M559" s="237"/>
      <c r="N559" s="237"/>
      <c r="O559" s="237"/>
      <c r="P559" s="237"/>
      <c r="Q559" s="237"/>
      <c r="R559" s="237"/>
    </row>
    <row r="560" spans="8:8" ht="15.75" customHeight="1">
      <c r="G560" s="241" t="b">
        <v>0</v>
      </c>
      <c r="I560" s="275"/>
      <c r="J560" s="275"/>
      <c r="K560" s="275"/>
      <c r="L560" s="240"/>
      <c r="M560" s="237"/>
      <c r="N560" s="237"/>
      <c r="O560" s="237"/>
      <c r="P560" s="237"/>
      <c r="Q560" s="237"/>
      <c r="R560" s="237"/>
    </row>
    <row r="561" spans="8:8" ht="15.75" customHeight="1">
      <c r="G561" s="241" t="b">
        <v>0</v>
      </c>
      <c r="I561" s="275"/>
      <c r="J561" s="275"/>
      <c r="K561" s="275"/>
      <c r="L561" s="276"/>
      <c r="M561" s="237"/>
      <c r="N561" s="237"/>
      <c r="O561" s="237"/>
      <c r="P561" s="237"/>
      <c r="Q561" s="237"/>
      <c r="R561" s="237"/>
    </row>
    <row r="562" spans="8:8" ht="15.75" customHeight="1">
      <c r="G562" s="241" t="b">
        <v>0</v>
      </c>
      <c r="I562" s="275"/>
      <c r="J562" s="275"/>
      <c r="K562" s="275"/>
      <c r="L562" s="240"/>
      <c r="M562" s="237"/>
      <c r="N562" s="237"/>
      <c r="O562" s="237"/>
      <c r="P562" s="237"/>
      <c r="Q562" s="237"/>
      <c r="R562" s="237"/>
    </row>
    <row r="563" spans="8:8" ht="15.75" customHeight="1">
      <c r="G563" s="241" t="b">
        <v>0</v>
      </c>
      <c r="I563" s="275"/>
      <c r="J563" s="275"/>
      <c r="K563" s="275"/>
      <c r="L563" s="240"/>
      <c r="M563" s="237"/>
      <c r="N563" s="237"/>
      <c r="O563" s="237"/>
      <c r="P563" s="237"/>
      <c r="Q563" s="237"/>
      <c r="R563" s="237"/>
    </row>
    <row r="564" spans="8:8" ht="15.75" customHeight="1">
      <c r="G564" s="241" t="b">
        <v>0</v>
      </c>
      <c r="I564" s="275"/>
      <c r="J564" s="275"/>
      <c r="K564" s="275"/>
      <c r="L564" s="240"/>
      <c r="M564" s="237"/>
      <c r="N564" s="237"/>
      <c r="O564" s="237"/>
      <c r="P564" s="237"/>
      <c r="Q564" s="237"/>
      <c r="R564" s="237"/>
    </row>
    <row r="565" spans="8:8" ht="15.75" customHeight="1">
      <c r="G565" s="241" t="b">
        <v>0</v>
      </c>
      <c r="I565" s="275"/>
      <c r="J565" s="275"/>
      <c r="K565" s="275"/>
      <c r="L565" s="240"/>
      <c r="M565" s="237"/>
      <c r="N565" s="237"/>
      <c r="O565" s="237"/>
      <c r="P565" s="237"/>
      <c r="Q565" s="237"/>
      <c r="R565" s="237"/>
    </row>
    <row r="566" spans="8:8" ht="15.75" customHeight="1">
      <c r="G566" s="241" t="b">
        <v>0</v>
      </c>
      <c r="I566" s="275"/>
      <c r="J566" s="275"/>
      <c r="K566" s="275"/>
      <c r="L566" s="240"/>
      <c r="M566" s="237"/>
      <c r="N566" s="237"/>
      <c r="O566" s="237"/>
      <c r="P566" s="237"/>
      <c r="Q566" s="237"/>
      <c r="R566" s="237"/>
    </row>
    <row r="567" spans="8:8" ht="15.75" customHeight="1">
      <c r="G567" s="241" t="b">
        <v>0</v>
      </c>
      <c r="I567" s="275"/>
      <c r="J567" s="275"/>
      <c r="K567" s="275"/>
      <c r="L567" s="240"/>
      <c r="M567" s="237"/>
      <c r="N567" s="237"/>
      <c r="O567" s="237"/>
      <c r="P567" s="237"/>
      <c r="Q567" s="237"/>
      <c r="R567" s="237"/>
    </row>
    <row r="568" spans="8:8" ht="15.75" customHeight="1">
      <c r="G568" s="241" t="b">
        <v>0</v>
      </c>
      <c r="I568" s="275"/>
      <c r="J568" s="275"/>
      <c r="K568" s="275"/>
      <c r="L568" s="240"/>
      <c r="M568" s="237"/>
      <c r="N568" s="237"/>
      <c r="O568" s="237"/>
      <c r="P568" s="237"/>
      <c r="Q568" s="237"/>
      <c r="R568" s="237"/>
    </row>
    <row r="569" spans="8:8" ht="15.75" customHeight="1">
      <c r="G569" s="241" t="b">
        <v>0</v>
      </c>
      <c r="I569" s="275"/>
      <c r="J569" s="275"/>
      <c r="K569" s="275"/>
      <c r="L569" s="240"/>
      <c r="M569" s="237"/>
      <c r="N569" s="237"/>
      <c r="O569" s="237"/>
      <c r="P569" s="237"/>
      <c r="Q569" s="237"/>
      <c r="R569" s="237"/>
    </row>
    <row r="570" spans="8:8" ht="15.75" customHeight="1">
      <c r="G570" s="241" t="b">
        <v>0</v>
      </c>
      <c r="I570" s="275"/>
      <c r="J570" s="275"/>
      <c r="K570" s="275"/>
      <c r="L570" s="240"/>
      <c r="M570" s="237"/>
      <c r="N570" s="237"/>
      <c r="O570" s="237"/>
      <c r="P570" s="237"/>
      <c r="Q570" s="237"/>
      <c r="R570" s="237"/>
    </row>
    <row r="571" spans="8:8" ht="15.75" customHeight="1">
      <c r="G571" s="241" t="b">
        <v>0</v>
      </c>
      <c r="I571" s="275"/>
      <c r="J571" s="275"/>
      <c r="K571" s="275"/>
      <c r="L571" s="240"/>
      <c r="M571" s="237"/>
      <c r="N571" s="237"/>
      <c r="O571" s="237"/>
      <c r="P571" s="237"/>
      <c r="Q571" s="237"/>
      <c r="R571" s="237"/>
    </row>
    <row r="572" spans="8:8" ht="15.75" customHeight="1">
      <c r="G572" s="241" t="b">
        <v>0</v>
      </c>
      <c r="I572" s="275"/>
      <c r="J572" s="275"/>
      <c r="K572" s="275"/>
      <c r="L572" s="240"/>
      <c r="M572" s="237"/>
      <c r="N572" s="237"/>
      <c r="O572" s="237"/>
      <c r="P572" s="237"/>
      <c r="Q572" s="237"/>
      <c r="R572" s="237"/>
    </row>
    <row r="573" spans="8:8" ht="15.75" customHeight="1">
      <c r="G573" s="241" t="b">
        <v>0</v>
      </c>
      <c r="I573" s="275"/>
      <c r="J573" s="275"/>
      <c r="K573" s="275"/>
      <c r="L573" s="240"/>
      <c r="M573" s="237"/>
      <c r="N573" s="237"/>
      <c r="O573" s="237"/>
      <c r="P573" s="237"/>
      <c r="Q573" s="237"/>
      <c r="R573" s="237"/>
    </row>
    <row r="574" spans="8:8" ht="15.75" customHeight="1">
      <c r="G574" s="241" t="b">
        <v>0</v>
      </c>
      <c r="I574" s="275"/>
      <c r="J574" s="275"/>
      <c r="K574" s="275"/>
      <c r="L574" s="240"/>
      <c r="M574" s="237"/>
      <c r="N574" s="237"/>
      <c r="O574" s="237"/>
      <c r="P574" s="237"/>
      <c r="Q574" s="237"/>
      <c r="R574" s="237"/>
    </row>
    <row r="575" spans="8:8" ht="15.75" customHeight="1">
      <c r="G575" s="241" t="b">
        <v>0</v>
      </c>
      <c r="I575" s="275"/>
      <c r="J575" s="275"/>
      <c r="K575" s="275"/>
      <c r="L575" s="240"/>
      <c r="M575" s="237"/>
      <c r="N575" s="237"/>
      <c r="O575" s="237"/>
      <c r="P575" s="237"/>
      <c r="Q575" s="237"/>
      <c r="R575" s="237"/>
    </row>
    <row r="576" spans="8:8" ht="15.75" customHeight="1">
      <c r="G576" s="241" t="b">
        <v>0</v>
      </c>
      <c r="I576" s="275"/>
      <c r="J576" s="275"/>
      <c r="K576" s="275"/>
      <c r="L576" s="240"/>
      <c r="M576" s="237"/>
      <c r="N576" s="237"/>
      <c r="O576" s="237"/>
      <c r="P576" s="237"/>
      <c r="Q576" s="237"/>
      <c r="R576" s="237"/>
    </row>
    <row r="577" spans="8:8" ht="15.75" customHeight="1">
      <c r="G577" s="241" t="b">
        <v>0</v>
      </c>
      <c r="I577" s="275"/>
      <c r="J577" s="275"/>
      <c r="K577" s="275"/>
      <c r="L577" s="240"/>
      <c r="M577" s="237"/>
      <c r="N577" s="237"/>
      <c r="O577" s="237"/>
      <c r="P577" s="237"/>
      <c r="Q577" s="237"/>
      <c r="R577" s="237"/>
    </row>
    <row r="578" spans="8:8" ht="15.75" customHeight="1">
      <c r="G578" s="241" t="b">
        <v>0</v>
      </c>
      <c r="I578" s="275"/>
      <c r="J578" s="275"/>
      <c r="K578" s="275"/>
      <c r="L578" s="240"/>
      <c r="M578" s="237"/>
      <c r="N578" s="237"/>
      <c r="O578" s="237"/>
      <c r="P578" s="237"/>
      <c r="Q578" s="237"/>
      <c r="R578" s="237"/>
    </row>
    <row r="579" spans="8:8" ht="15.75" customHeight="1">
      <c r="G579" s="241" t="b">
        <v>0</v>
      </c>
      <c r="I579" s="275"/>
      <c r="J579" s="275"/>
      <c r="K579" s="275"/>
      <c r="L579" s="240"/>
      <c r="M579" s="237"/>
      <c r="N579" s="237"/>
      <c r="O579" s="237"/>
      <c r="P579" s="237"/>
      <c r="Q579" s="237"/>
      <c r="R579" s="237"/>
    </row>
    <row r="580" spans="8:8" ht="15.75" customHeight="1">
      <c r="G580" s="241" t="b">
        <v>0</v>
      </c>
      <c r="I580" s="275"/>
      <c r="J580" s="275"/>
      <c r="K580" s="275"/>
      <c r="L580" s="240"/>
      <c r="M580" s="237"/>
      <c r="N580" s="237"/>
      <c r="O580" s="237"/>
      <c r="P580" s="237"/>
      <c r="Q580" s="237"/>
      <c r="R580" s="237"/>
    </row>
    <row r="581" spans="8:8" ht="15.75" customHeight="1">
      <c r="G581" s="241" t="b">
        <v>0</v>
      </c>
      <c r="I581" s="275"/>
      <c r="J581" s="275"/>
      <c r="K581" s="275"/>
      <c r="L581" s="240"/>
      <c r="M581" s="237"/>
      <c r="N581" s="237"/>
      <c r="O581" s="237"/>
      <c r="P581" s="237"/>
      <c r="Q581" s="237"/>
      <c r="R581" s="237"/>
    </row>
    <row r="582" spans="8:8" ht="15.75" customHeight="1">
      <c r="G582" s="241" t="b">
        <v>0</v>
      </c>
      <c r="I582" s="275"/>
      <c r="J582" s="275"/>
      <c r="K582" s="275"/>
      <c r="L582" s="240"/>
      <c r="M582" s="237"/>
      <c r="N582" s="237"/>
      <c r="O582" s="237"/>
      <c r="P582" s="237"/>
      <c r="Q582" s="237"/>
      <c r="R582" s="237"/>
    </row>
    <row r="583" spans="8:8" ht="15.75" customHeight="1">
      <c r="G583" s="241" t="b">
        <v>0</v>
      </c>
      <c r="I583" s="275"/>
      <c r="J583" s="275"/>
      <c r="K583" s="275"/>
      <c r="L583" s="240"/>
      <c r="M583" s="237"/>
      <c r="N583" s="237"/>
      <c r="O583" s="237"/>
      <c r="P583" s="237"/>
      <c r="Q583" s="237"/>
      <c r="R583" s="237"/>
    </row>
    <row r="584" spans="8:8" ht="15.75" customHeight="1">
      <c r="G584" s="241" t="b">
        <v>0</v>
      </c>
      <c r="I584" s="275"/>
      <c r="J584" s="275"/>
      <c r="K584" s="275"/>
      <c r="L584" s="240"/>
      <c r="M584" s="237"/>
      <c r="N584" s="237"/>
      <c r="O584" s="237"/>
      <c r="P584" s="237"/>
      <c r="Q584" s="237"/>
      <c r="R584" s="237"/>
    </row>
    <row r="585" spans="8:8" ht="15.75" customHeight="1">
      <c r="G585" s="241" t="b">
        <v>0</v>
      </c>
      <c r="I585" s="275"/>
      <c r="J585" s="275"/>
      <c r="K585" s="275"/>
      <c r="L585" s="240"/>
      <c r="M585" s="237"/>
      <c r="N585" s="237"/>
      <c r="O585" s="237"/>
      <c r="P585" s="237"/>
      <c r="Q585" s="237"/>
      <c r="R585" s="237"/>
    </row>
    <row r="586" spans="8:8" ht="15.75" customHeight="1">
      <c r="G586" s="241" t="b">
        <v>0</v>
      </c>
      <c r="I586" s="275"/>
      <c r="J586" s="275"/>
      <c r="K586" s="275"/>
      <c r="L586" s="240"/>
      <c r="M586" s="237"/>
      <c r="N586" s="237"/>
      <c r="O586" s="237"/>
      <c r="P586" s="237"/>
      <c r="Q586" s="237"/>
      <c r="R586" s="237"/>
    </row>
    <row r="587" spans="8:8" ht="15.75" customHeight="1">
      <c r="G587" s="241" t="b">
        <v>0</v>
      </c>
      <c r="I587" s="275"/>
      <c r="J587" s="275"/>
      <c r="K587" s="275"/>
      <c r="L587" s="240"/>
      <c r="M587" s="237"/>
      <c r="N587" s="237"/>
      <c r="O587" s="237"/>
      <c r="P587" s="237"/>
      <c r="Q587" s="237"/>
      <c r="R587" s="237"/>
    </row>
    <row r="588" spans="8:8" ht="15.75" customHeight="1">
      <c r="G588" s="241" t="b">
        <v>0</v>
      </c>
      <c r="I588" s="275"/>
      <c r="J588" s="275"/>
      <c r="K588" s="275"/>
      <c r="L588" s="240"/>
      <c r="M588" s="237"/>
      <c r="N588" s="237"/>
      <c r="O588" s="237"/>
      <c r="P588" s="237"/>
      <c r="Q588" s="237"/>
      <c r="R588" s="237"/>
    </row>
    <row r="589" spans="8:8" ht="15.75" customHeight="1">
      <c r="G589" s="241" t="b">
        <v>0</v>
      </c>
      <c r="I589" s="275"/>
      <c r="J589" s="275"/>
      <c r="K589" s="275"/>
      <c r="L589" s="240"/>
      <c r="M589" s="237"/>
      <c r="N589" s="237"/>
      <c r="O589" s="237"/>
      <c r="P589" s="237"/>
      <c r="Q589" s="237"/>
      <c r="R589" s="237"/>
    </row>
    <row r="590" spans="8:8" ht="15.75" customHeight="1">
      <c r="G590" s="241" t="b">
        <v>0</v>
      </c>
      <c r="I590" s="275"/>
      <c r="J590" s="275"/>
      <c r="K590" s="275"/>
      <c r="L590" s="240"/>
      <c r="M590" s="237"/>
      <c r="N590" s="237"/>
      <c r="O590" s="237"/>
      <c r="P590" s="237"/>
      <c r="Q590" s="237"/>
      <c r="R590" s="237"/>
    </row>
    <row r="591" spans="8:8" ht="15.75" customHeight="1">
      <c r="G591" s="241" t="b">
        <v>0</v>
      </c>
      <c r="I591" s="275"/>
      <c r="J591" s="275"/>
      <c r="K591" s="275"/>
      <c r="L591" s="240"/>
      <c r="M591" s="237"/>
      <c r="N591" s="237"/>
      <c r="O591" s="237"/>
      <c r="P591" s="237"/>
      <c r="Q591" s="237"/>
      <c r="R591" s="237"/>
    </row>
    <row r="592" spans="8:8" ht="15.75" customHeight="1">
      <c r="G592" s="241" t="b">
        <v>0</v>
      </c>
      <c r="I592" s="275"/>
      <c r="J592" s="275"/>
      <c r="K592" s="275"/>
      <c r="L592" s="240"/>
      <c r="M592" s="237"/>
      <c r="N592" s="237"/>
      <c r="O592" s="237"/>
      <c r="P592" s="237"/>
      <c r="Q592" s="237"/>
      <c r="R592" s="237"/>
    </row>
    <row r="593" spans="8:8" ht="15.75" customHeight="1">
      <c r="G593" s="241" t="b">
        <v>0</v>
      </c>
      <c r="I593" s="275"/>
      <c r="J593" s="275"/>
      <c r="K593" s="275"/>
      <c r="L593" s="240"/>
      <c r="M593" s="237"/>
      <c r="N593" s="237"/>
      <c r="O593" s="237"/>
      <c r="P593" s="237"/>
      <c r="Q593" s="237"/>
      <c r="R593" s="237"/>
    </row>
    <row r="594" spans="8:8" ht="15.75" customHeight="1">
      <c r="G594" s="241" t="b">
        <v>0</v>
      </c>
      <c r="I594" s="275"/>
      <c r="J594" s="275"/>
      <c r="K594" s="275"/>
      <c r="L594" s="240"/>
      <c r="M594" s="237"/>
      <c r="N594" s="237"/>
      <c r="O594" s="237"/>
      <c r="P594" s="237"/>
      <c r="Q594" s="237"/>
      <c r="R594" s="237"/>
    </row>
    <row r="595" spans="8:8" ht="15.75" customHeight="1">
      <c r="G595" s="241" t="b">
        <v>0</v>
      </c>
      <c r="I595" s="275"/>
      <c r="J595" s="275"/>
      <c r="K595" s="275"/>
      <c r="L595" s="240"/>
      <c r="M595" s="237"/>
      <c r="N595" s="237"/>
      <c r="O595" s="237"/>
      <c r="P595" s="237"/>
      <c r="Q595" s="237"/>
      <c r="R595" s="237"/>
    </row>
    <row r="596" spans="8:8" ht="15.75" customHeight="1">
      <c r="G596" s="241" t="b">
        <v>0</v>
      </c>
      <c r="I596" s="275"/>
      <c r="J596" s="275"/>
      <c r="K596" s="275"/>
      <c r="L596" s="240"/>
      <c r="M596" s="237"/>
      <c r="N596" s="237"/>
      <c r="O596" s="237"/>
      <c r="P596" s="237"/>
      <c r="Q596" s="237"/>
      <c r="R596" s="237"/>
    </row>
    <row r="597" spans="8:8" ht="15.75" customHeight="1">
      <c r="G597" s="241" t="b">
        <v>0</v>
      </c>
      <c r="I597" s="275"/>
      <c r="J597" s="275"/>
      <c r="K597" s="275"/>
      <c r="L597" s="240"/>
      <c r="M597" s="237"/>
      <c r="N597" s="237"/>
      <c r="O597" s="237"/>
      <c r="P597" s="237"/>
      <c r="Q597" s="237"/>
      <c r="R597" s="237"/>
    </row>
    <row r="598" spans="8:8" ht="15.75" customHeight="1">
      <c r="G598" s="241" t="b">
        <v>0</v>
      </c>
      <c r="I598" s="275"/>
      <c r="J598" s="275"/>
      <c r="K598" s="275"/>
      <c r="L598" s="240"/>
      <c r="M598" s="237"/>
      <c r="N598" s="237"/>
      <c r="O598" s="237"/>
      <c r="P598" s="237"/>
      <c r="Q598" s="237"/>
      <c r="R598" s="237"/>
    </row>
    <row r="599" spans="8:8" ht="15.75" customHeight="1">
      <c r="G599" s="241" t="b">
        <v>0</v>
      </c>
      <c r="I599" s="275"/>
      <c r="J599" s="275"/>
      <c r="K599" s="275"/>
      <c r="L599" s="240"/>
      <c r="M599" s="237"/>
      <c r="N599" s="237"/>
      <c r="O599" s="237"/>
      <c r="P599" s="237"/>
      <c r="Q599" s="237"/>
      <c r="R599" s="237"/>
    </row>
    <row r="600" spans="8:8" ht="15.75" customHeight="1">
      <c r="G600" s="241" t="b">
        <v>0</v>
      </c>
      <c r="I600" s="275"/>
      <c r="J600" s="275"/>
      <c r="K600" s="275"/>
      <c r="L600" s="276"/>
      <c r="M600" s="237"/>
      <c r="N600" s="237"/>
      <c r="O600" s="237"/>
      <c r="P600" s="237"/>
      <c r="Q600" s="237"/>
      <c r="R600" s="237"/>
    </row>
    <row r="601" spans="8:8" ht="15.75" customHeight="1">
      <c r="G601" s="241" t="b">
        <v>0</v>
      </c>
      <c r="I601" s="275"/>
      <c r="J601" s="275"/>
      <c r="K601" s="275"/>
      <c r="L601" s="240"/>
      <c r="M601" s="237"/>
      <c r="N601" s="237"/>
      <c r="O601" s="237"/>
      <c r="P601" s="237"/>
      <c r="Q601" s="237"/>
      <c r="R601" s="237"/>
    </row>
    <row r="602" spans="8:8" ht="15.75" customHeight="1">
      <c r="G602" s="241" t="b">
        <v>0</v>
      </c>
      <c r="I602" s="275"/>
      <c r="J602" s="275"/>
      <c r="K602" s="275"/>
      <c r="L602" s="240"/>
      <c r="M602" s="237"/>
      <c r="N602" s="237"/>
      <c r="O602" s="237"/>
      <c r="P602" s="237"/>
      <c r="Q602" s="237"/>
      <c r="R602" s="237"/>
    </row>
    <row r="603" spans="8:8" ht="15.75" customHeight="1">
      <c r="G603" s="241" t="b">
        <v>0</v>
      </c>
      <c r="I603" s="275"/>
      <c r="J603" s="275"/>
      <c r="K603" s="275"/>
      <c r="L603" s="240"/>
      <c r="M603" s="237"/>
      <c r="N603" s="237"/>
      <c r="O603" s="237"/>
      <c r="P603" s="237"/>
      <c r="Q603" s="237"/>
      <c r="R603" s="237"/>
    </row>
    <row r="604" spans="8:8" ht="15.75" customHeight="1">
      <c r="G604" s="241" t="b">
        <v>0</v>
      </c>
      <c r="I604" s="275"/>
      <c r="J604" s="275"/>
      <c r="K604" s="275"/>
      <c r="L604" s="240"/>
      <c r="M604" s="237"/>
      <c r="N604" s="237"/>
      <c r="O604" s="237"/>
      <c r="P604" s="237"/>
      <c r="Q604" s="237"/>
      <c r="R604" s="237"/>
    </row>
    <row r="605" spans="8:8" ht="15.75" customHeight="1">
      <c r="G605" s="241" t="b">
        <v>0</v>
      </c>
      <c r="I605" s="275"/>
      <c r="J605" s="275"/>
      <c r="K605" s="275"/>
      <c r="L605" s="240"/>
      <c r="M605" s="237"/>
      <c r="N605" s="237"/>
      <c r="O605" s="237"/>
      <c r="P605" s="237"/>
      <c r="Q605" s="237"/>
      <c r="R605" s="237"/>
    </row>
    <row r="606" spans="8:8" ht="15.75" customHeight="1">
      <c r="G606" s="241" t="b">
        <v>0</v>
      </c>
      <c r="I606" s="275"/>
      <c r="J606" s="275"/>
      <c r="K606" s="275"/>
      <c r="L606" s="240"/>
      <c r="M606" s="237"/>
      <c r="N606" s="237"/>
      <c r="O606" s="237"/>
      <c r="P606" s="237"/>
      <c r="Q606" s="237"/>
      <c r="R606" s="237"/>
    </row>
    <row r="607" spans="8:8" ht="15.75" customHeight="1">
      <c r="G607" s="241" t="b">
        <v>0</v>
      </c>
      <c r="I607" s="275"/>
      <c r="J607" s="275"/>
      <c r="K607" s="275"/>
      <c r="L607" s="240"/>
      <c r="M607" s="237"/>
      <c r="N607" s="237"/>
      <c r="O607" s="237"/>
      <c r="P607" s="237"/>
      <c r="Q607" s="237"/>
      <c r="R607" s="237"/>
    </row>
    <row r="608" spans="8:8" ht="15.75" customHeight="1">
      <c r="G608" s="241" t="b">
        <v>0</v>
      </c>
      <c r="I608" s="278"/>
      <c r="J608" s="278"/>
      <c r="K608" s="243"/>
      <c r="L608" s="240"/>
      <c r="M608" s="237"/>
      <c r="N608" s="237"/>
      <c r="O608" s="237"/>
      <c r="P608" s="237"/>
      <c r="Q608" s="237"/>
      <c r="R608" s="237"/>
    </row>
    <row r="609" spans="8:8" ht="15.75" customHeight="1">
      <c r="G609" s="241" t="b">
        <v>0</v>
      </c>
      <c r="I609" s="275"/>
      <c r="J609" s="275"/>
      <c r="K609" s="275"/>
      <c r="L609" s="240"/>
      <c r="M609" s="237"/>
      <c r="N609" s="237"/>
      <c r="O609" s="237"/>
      <c r="P609" s="237"/>
      <c r="Q609" s="237"/>
      <c r="R609" s="237"/>
    </row>
    <row r="610" spans="8:8" ht="15.75" customHeight="1">
      <c r="G610" s="241" t="b">
        <v>0</v>
      </c>
      <c r="I610" s="275"/>
      <c r="J610" s="275"/>
      <c r="K610" s="275"/>
      <c r="L610" s="240"/>
      <c r="M610" s="237"/>
      <c r="N610" s="237"/>
      <c r="O610" s="237"/>
      <c r="P610" s="237"/>
      <c r="Q610" s="237"/>
      <c r="R610" s="237"/>
    </row>
    <row r="611" spans="8:8" ht="15.75" customHeight="1">
      <c r="G611" s="241" t="b">
        <v>0</v>
      </c>
      <c r="I611" s="275"/>
      <c r="J611" s="275"/>
      <c r="K611" s="275"/>
      <c r="L611" s="240"/>
      <c r="M611" s="237"/>
      <c r="N611" s="237"/>
      <c r="O611" s="237"/>
      <c r="P611" s="237"/>
      <c r="Q611" s="237"/>
      <c r="R611" s="237"/>
    </row>
    <row r="612" spans="8:8" ht="15.75" customHeight="1">
      <c r="G612" s="241" t="b">
        <v>0</v>
      </c>
      <c r="I612" s="275"/>
      <c r="J612" s="275"/>
      <c r="K612" s="275"/>
      <c r="L612" s="240"/>
      <c r="M612" s="237"/>
      <c r="N612" s="237"/>
      <c r="O612" s="237"/>
      <c r="P612" s="237"/>
      <c r="Q612" s="237"/>
      <c r="R612" s="237"/>
    </row>
    <row r="613" spans="8:8" ht="15.75" customHeight="1">
      <c r="G613" s="241" t="b">
        <v>0</v>
      </c>
      <c r="I613" s="275"/>
      <c r="J613" s="275"/>
      <c r="K613" s="275"/>
      <c r="L613" s="240"/>
      <c r="M613" s="237"/>
      <c r="N613" s="237"/>
      <c r="O613" s="237"/>
      <c r="P613" s="237"/>
      <c r="Q613" s="237"/>
      <c r="R613" s="237"/>
    </row>
    <row r="614" spans="8:8" ht="15.75" customHeight="1">
      <c r="G614" s="241" t="b">
        <v>0</v>
      </c>
      <c r="I614" s="275"/>
      <c r="J614" s="275"/>
      <c r="K614" s="275"/>
      <c r="L614" s="240"/>
      <c r="M614" s="237"/>
      <c r="N614" s="237"/>
      <c r="O614" s="237"/>
      <c r="P614" s="237"/>
      <c r="Q614" s="237"/>
      <c r="R614" s="237"/>
    </row>
    <row r="615" spans="8:8" ht="15.75" customHeight="1">
      <c r="G615" s="241" t="b">
        <v>0</v>
      </c>
      <c r="I615" s="275"/>
      <c r="J615" s="275"/>
      <c r="K615" s="275"/>
      <c r="L615" s="240"/>
      <c r="M615" s="237"/>
      <c r="N615" s="237"/>
      <c r="O615" s="237"/>
      <c r="P615" s="237"/>
      <c r="Q615" s="237"/>
      <c r="R615" s="237"/>
    </row>
    <row r="616" spans="8:8" ht="15.75" customHeight="1">
      <c r="G616" s="241" t="b">
        <v>0</v>
      </c>
      <c r="I616" s="275"/>
      <c r="J616" s="275"/>
      <c r="K616" s="275"/>
      <c r="L616" s="240"/>
      <c r="M616" s="237"/>
      <c r="N616" s="237"/>
      <c r="O616" s="237"/>
      <c r="P616" s="237"/>
      <c r="Q616" s="237"/>
      <c r="R616" s="237"/>
    </row>
    <row r="617" spans="8:8" ht="15.75" customHeight="1">
      <c r="G617" s="241" t="b">
        <v>0</v>
      </c>
      <c r="I617" s="275"/>
      <c r="J617" s="275"/>
      <c r="K617" s="275"/>
      <c r="L617" s="240"/>
      <c r="M617" s="237"/>
      <c r="N617" s="237"/>
      <c r="O617" s="237"/>
      <c r="P617" s="237"/>
      <c r="Q617" s="237"/>
      <c r="R617" s="237"/>
    </row>
    <row r="618" spans="8:8" ht="15.75" customHeight="1">
      <c r="G618" s="241" t="b">
        <v>0</v>
      </c>
      <c r="I618" s="275"/>
      <c r="J618" s="275"/>
      <c r="K618" s="275"/>
      <c r="L618" s="240"/>
      <c r="M618" s="237"/>
      <c r="N618" s="237"/>
      <c r="O618" s="237"/>
      <c r="P618" s="237"/>
      <c r="Q618" s="237"/>
      <c r="R618" s="237"/>
    </row>
    <row r="619" spans="8:8" ht="15.75" customHeight="1">
      <c r="G619" s="241" t="b">
        <v>0</v>
      </c>
      <c r="I619" s="275"/>
      <c r="J619" s="275"/>
      <c r="K619" s="275"/>
      <c r="L619" s="240"/>
      <c r="M619" s="237"/>
      <c r="N619" s="237"/>
      <c r="O619" s="237"/>
      <c r="P619" s="237"/>
      <c r="Q619" s="237"/>
      <c r="R619" s="237"/>
    </row>
    <row r="620" spans="8:8" ht="15.75" customHeight="1">
      <c r="G620" s="241" t="b">
        <v>0</v>
      </c>
      <c r="I620" s="275"/>
      <c r="J620" s="275"/>
      <c r="K620" s="275"/>
      <c r="L620" s="240"/>
      <c r="M620" s="237"/>
      <c r="N620" s="237"/>
      <c r="O620" s="237"/>
      <c r="P620" s="237"/>
      <c r="Q620" s="237"/>
      <c r="R620" s="237"/>
    </row>
    <row r="621" spans="8:8" ht="15.75" customHeight="1">
      <c r="G621" s="241" t="b">
        <v>0</v>
      </c>
      <c r="I621" s="275"/>
      <c r="J621" s="275"/>
      <c r="K621" s="275"/>
      <c r="L621" s="240"/>
      <c r="M621" s="237"/>
      <c r="N621" s="237"/>
      <c r="O621" s="237"/>
      <c r="P621" s="237"/>
      <c r="Q621" s="237"/>
      <c r="R621" s="237"/>
    </row>
    <row r="622" spans="8:8" ht="15.75" customHeight="1">
      <c r="G622" s="241" t="b">
        <v>0</v>
      </c>
      <c r="I622" s="275"/>
      <c r="J622" s="275"/>
      <c r="K622" s="275"/>
      <c r="L622" s="240"/>
      <c r="M622" s="237"/>
      <c r="N622" s="237"/>
      <c r="O622" s="237"/>
      <c r="P622" s="237"/>
      <c r="Q622" s="237"/>
      <c r="R622" s="237"/>
    </row>
    <row r="623" spans="8:8" ht="15.75" customHeight="1">
      <c r="G623" s="241" t="b">
        <v>0</v>
      </c>
      <c r="I623" s="275"/>
      <c r="J623" s="275"/>
      <c r="K623" s="275"/>
      <c r="L623" s="240"/>
      <c r="M623" s="237"/>
      <c r="N623" s="237"/>
      <c r="O623" s="237"/>
      <c r="P623" s="237"/>
      <c r="Q623" s="237"/>
      <c r="R623" s="237"/>
    </row>
    <row r="624" spans="8:8" ht="15.75" customHeight="1">
      <c r="G624" s="241" t="b">
        <v>0</v>
      </c>
      <c r="I624" s="275"/>
      <c r="J624" s="275"/>
      <c r="K624" s="275"/>
      <c r="L624" s="240"/>
      <c r="M624" s="237"/>
      <c r="N624" s="237"/>
      <c r="O624" s="237"/>
      <c r="P624" s="237"/>
      <c r="Q624" s="237"/>
      <c r="R624" s="237"/>
    </row>
    <row r="625" spans="8:8" ht="15.75" customHeight="1">
      <c r="G625" s="241" t="b">
        <v>0</v>
      </c>
      <c r="I625" s="275"/>
      <c r="J625" s="275"/>
      <c r="K625" s="275"/>
      <c r="L625" s="240"/>
      <c r="M625" s="237"/>
      <c r="N625" s="237"/>
      <c r="O625" s="237"/>
      <c r="P625" s="237"/>
      <c r="Q625" s="237"/>
      <c r="R625" s="237"/>
    </row>
    <row r="626" spans="8:8" ht="15.75" customHeight="1">
      <c r="G626" s="241" t="b">
        <v>0</v>
      </c>
      <c r="I626" s="275"/>
      <c r="J626" s="275"/>
      <c r="K626" s="275"/>
      <c r="L626" s="240"/>
      <c r="M626" s="237"/>
      <c r="N626" s="237"/>
      <c r="O626" s="237"/>
      <c r="P626" s="237"/>
      <c r="Q626" s="237"/>
      <c r="R626" s="237"/>
    </row>
    <row r="627" spans="8:8" ht="15.75" customHeight="1">
      <c r="G627" s="241" t="b">
        <v>0</v>
      </c>
      <c r="I627" s="275"/>
      <c r="J627" s="275"/>
      <c r="K627" s="275"/>
      <c r="L627" s="240"/>
      <c r="M627" s="237"/>
      <c r="N627" s="237"/>
      <c r="O627" s="237"/>
      <c r="P627" s="237"/>
      <c r="Q627" s="237"/>
      <c r="R627" s="237"/>
    </row>
    <row r="628" spans="8:8" ht="15.75" customHeight="1">
      <c r="G628" s="241" t="b">
        <v>0</v>
      </c>
      <c r="I628" s="275"/>
      <c r="J628" s="275"/>
      <c r="K628" s="275"/>
      <c r="L628" s="240"/>
      <c r="M628" s="237"/>
      <c r="N628" s="237"/>
      <c r="O628" s="237"/>
      <c r="P628" s="237"/>
      <c r="Q628" s="237"/>
      <c r="R628" s="237"/>
    </row>
    <row r="629" spans="8:8" ht="15.75" customHeight="1">
      <c r="G629" s="241" t="b">
        <v>0</v>
      </c>
      <c r="I629" s="275"/>
      <c r="J629" s="275"/>
      <c r="K629" s="275"/>
      <c r="L629" s="240"/>
      <c r="M629" s="237"/>
      <c r="N629" s="237"/>
      <c r="O629" s="237"/>
      <c r="P629" s="237"/>
      <c r="Q629" s="237"/>
      <c r="R629" s="237"/>
    </row>
    <row r="630" spans="8:8" ht="15.75" customHeight="1">
      <c r="G630" s="241" t="b">
        <v>0</v>
      </c>
      <c r="I630" s="275"/>
      <c r="J630" s="275"/>
      <c r="K630" s="275"/>
      <c r="L630" s="240"/>
      <c r="M630" s="237"/>
      <c r="N630" s="237"/>
      <c r="O630" s="237"/>
      <c r="P630" s="237"/>
      <c r="Q630" s="237"/>
      <c r="R630" s="237"/>
    </row>
    <row r="631" spans="8:8" ht="15.75" customHeight="1">
      <c r="G631" s="241" t="b">
        <v>0</v>
      </c>
      <c r="I631" s="275"/>
      <c r="J631" s="275"/>
      <c r="K631" s="275"/>
      <c r="L631" s="240"/>
      <c r="M631" s="237"/>
      <c r="N631" s="237"/>
      <c r="O631" s="237"/>
      <c r="P631" s="237"/>
      <c r="Q631" s="237"/>
      <c r="R631" s="237"/>
    </row>
    <row r="632" spans="8:8" ht="15.75" customHeight="1">
      <c r="G632" s="241" t="b">
        <v>0</v>
      </c>
      <c r="I632" s="275"/>
      <c r="J632" s="275"/>
      <c r="K632" s="275"/>
      <c r="L632" s="240"/>
      <c r="M632" s="237"/>
      <c r="N632" s="237"/>
      <c r="O632" s="237"/>
      <c r="P632" s="237"/>
      <c r="Q632" s="237"/>
      <c r="R632" s="237"/>
    </row>
    <row r="633" spans="8:8" ht="15.75" customHeight="1">
      <c r="G633" s="241" t="b">
        <v>0</v>
      </c>
      <c r="I633" s="275"/>
      <c r="J633" s="275"/>
      <c r="K633" s="275"/>
      <c r="L633" s="240"/>
      <c r="M633" s="237"/>
      <c r="N633" s="237"/>
      <c r="O633" s="237"/>
      <c r="P633" s="237"/>
      <c r="Q633" s="237"/>
      <c r="R633" s="237"/>
    </row>
    <row r="634" spans="8:8" ht="15.75" customHeight="1">
      <c r="G634" s="241" t="b">
        <v>0</v>
      </c>
      <c r="I634" s="275"/>
      <c r="J634" s="275"/>
      <c r="K634" s="275"/>
      <c r="L634" s="240"/>
      <c r="M634" s="237"/>
      <c r="N634" s="237"/>
      <c r="O634" s="237"/>
      <c r="P634" s="237"/>
      <c r="Q634" s="237"/>
      <c r="R634" s="237"/>
    </row>
    <row r="635" spans="8:8" ht="15.75" customHeight="1">
      <c r="G635" s="241" t="b">
        <v>0</v>
      </c>
      <c r="I635" s="275"/>
      <c r="J635" s="275"/>
      <c r="K635" s="275"/>
      <c r="L635" s="240"/>
      <c r="M635" s="237"/>
      <c r="N635" s="237"/>
      <c r="O635" s="237"/>
      <c r="P635" s="237"/>
      <c r="Q635" s="237"/>
      <c r="R635" s="237"/>
    </row>
    <row r="636" spans="8:8" ht="15.75" customHeight="1">
      <c r="G636" s="241" t="b">
        <v>0</v>
      </c>
      <c r="I636" s="275"/>
      <c r="J636" s="275"/>
      <c r="K636" s="275"/>
      <c r="L636" s="240"/>
      <c r="M636" s="237"/>
      <c r="N636" s="237"/>
      <c r="O636" s="237"/>
      <c r="P636" s="237"/>
      <c r="Q636" s="237"/>
      <c r="R636" s="237"/>
    </row>
    <row r="637" spans="8:8" ht="15.75" customHeight="1">
      <c r="G637" s="241" t="b">
        <v>0</v>
      </c>
      <c r="I637" s="275"/>
      <c r="J637" s="275"/>
      <c r="K637" s="275"/>
      <c r="L637" s="240"/>
      <c r="M637" s="237"/>
      <c r="N637" s="237"/>
      <c r="O637" s="237"/>
      <c r="P637" s="237"/>
      <c r="Q637" s="237"/>
      <c r="R637" s="237"/>
    </row>
    <row r="638" spans="8:8" ht="15.75" customHeight="1">
      <c r="G638" s="241" t="b">
        <v>0</v>
      </c>
      <c r="I638" s="275"/>
      <c r="J638" s="275"/>
      <c r="K638" s="275"/>
      <c r="L638" s="276"/>
      <c r="M638" s="237"/>
      <c r="N638" s="237"/>
      <c r="O638" s="237"/>
      <c r="P638" s="237"/>
      <c r="Q638" s="237"/>
      <c r="R638" s="237"/>
    </row>
    <row r="639" spans="8:8" ht="15.75" customHeight="1">
      <c r="G639" s="241" t="b">
        <v>0</v>
      </c>
      <c r="I639" s="275"/>
      <c r="J639" s="275"/>
      <c r="K639" s="275"/>
      <c r="L639" s="240"/>
      <c r="M639" s="237"/>
      <c r="N639" s="237"/>
      <c r="O639" s="237"/>
      <c r="P639" s="237"/>
      <c r="Q639" s="237"/>
      <c r="R639" s="237"/>
    </row>
    <row r="640" spans="8:8" ht="15.75" customHeight="1">
      <c r="G640" s="241" t="b">
        <v>0</v>
      </c>
      <c r="I640" s="275"/>
      <c r="J640" s="275"/>
      <c r="K640" s="275"/>
      <c r="L640" s="240"/>
      <c r="M640" s="237"/>
      <c r="N640" s="237"/>
      <c r="O640" s="237"/>
      <c r="P640" s="237"/>
      <c r="Q640" s="237"/>
      <c r="R640" s="237"/>
    </row>
    <row r="641" spans="8:8" ht="15.75" customHeight="1">
      <c r="G641" s="241" t="b">
        <v>0</v>
      </c>
      <c r="I641" s="275"/>
      <c r="J641" s="275"/>
      <c r="K641" s="275"/>
      <c r="L641" s="240"/>
      <c r="M641" s="237"/>
      <c r="N641" s="237"/>
      <c r="O641" s="237"/>
      <c r="P641" s="237"/>
      <c r="Q641" s="237"/>
      <c r="R641" s="237"/>
    </row>
    <row r="642" spans="8:8" ht="15.75" customHeight="1">
      <c r="G642" s="241" t="b">
        <v>0</v>
      </c>
      <c r="I642" s="275"/>
      <c r="J642" s="275"/>
      <c r="K642" s="275"/>
      <c r="L642" s="240"/>
      <c r="M642" s="237"/>
      <c r="N642" s="237"/>
      <c r="O642" s="237"/>
      <c r="P642" s="237"/>
      <c r="Q642" s="237"/>
      <c r="R642" s="237"/>
    </row>
    <row r="643" spans="8:8" ht="15.75" customHeight="1">
      <c r="G643" s="241" t="b">
        <v>0</v>
      </c>
      <c r="I643" s="275"/>
      <c r="J643" s="275"/>
      <c r="K643" s="275"/>
      <c r="L643" s="240"/>
      <c r="M643" s="237"/>
      <c r="N643" s="237"/>
      <c r="O643" s="237"/>
      <c r="P643" s="237"/>
      <c r="Q643" s="237"/>
      <c r="R643" s="237"/>
    </row>
    <row r="644" spans="8:8" ht="15.75" customHeight="1">
      <c r="G644" s="241" t="b">
        <v>0</v>
      </c>
      <c r="I644" s="275"/>
      <c r="J644" s="275"/>
      <c r="K644" s="275"/>
      <c r="L644" s="240"/>
      <c r="M644" s="237"/>
      <c r="N644" s="237"/>
      <c r="O644" s="237"/>
      <c r="P644" s="237"/>
      <c r="Q644" s="237"/>
      <c r="R644" s="237"/>
    </row>
    <row r="645" spans="8:8" ht="15.75" customHeight="1">
      <c r="G645" s="241" t="b">
        <v>0</v>
      </c>
      <c r="I645" s="275"/>
      <c r="J645" s="275"/>
      <c r="K645" s="275"/>
      <c r="L645" s="240"/>
      <c r="M645" s="237"/>
      <c r="N645" s="237"/>
      <c r="O645" s="237"/>
      <c r="P645" s="237"/>
      <c r="Q645" s="237"/>
      <c r="R645" s="237"/>
    </row>
    <row r="646" spans="8:8" ht="15.75" customHeight="1">
      <c r="G646" s="241" t="b">
        <v>0</v>
      </c>
      <c r="I646" s="275"/>
      <c r="J646" s="275"/>
      <c r="K646" s="275"/>
      <c r="L646" s="240"/>
      <c r="M646" s="237"/>
      <c r="N646" s="237"/>
      <c r="O646" s="237"/>
      <c r="P646" s="237"/>
      <c r="Q646" s="237"/>
      <c r="R646" s="237"/>
    </row>
    <row r="647" spans="8:8" ht="15.75" customHeight="1">
      <c r="G647" s="241" t="b">
        <v>0</v>
      </c>
      <c r="I647" s="275"/>
      <c r="J647" s="275"/>
      <c r="K647" s="275"/>
      <c r="L647" s="240"/>
      <c r="M647" s="237"/>
      <c r="N647" s="237"/>
      <c r="O647" s="237"/>
      <c r="P647" s="237"/>
      <c r="Q647" s="237"/>
      <c r="R647" s="237"/>
    </row>
    <row r="648" spans="8:8" ht="15.75" customHeight="1">
      <c r="G648" s="241" t="b">
        <v>0</v>
      </c>
      <c r="I648" s="275"/>
      <c r="J648" s="275"/>
      <c r="K648" s="275"/>
      <c r="L648" s="240"/>
      <c r="M648" s="237"/>
      <c r="N648" s="237"/>
      <c r="O648" s="237"/>
      <c r="P648" s="237"/>
      <c r="Q648" s="237"/>
      <c r="R648" s="237"/>
    </row>
    <row r="649" spans="8:8" ht="15.75" customHeight="1">
      <c r="G649" s="241" t="b">
        <v>0</v>
      </c>
      <c r="I649" s="275"/>
      <c r="J649" s="275"/>
      <c r="K649" s="275"/>
      <c r="L649" s="240"/>
      <c r="M649" s="237"/>
      <c r="N649" s="237"/>
      <c r="O649" s="237"/>
      <c r="P649" s="237"/>
      <c r="Q649" s="237"/>
      <c r="R649" s="237"/>
    </row>
    <row r="650" spans="8:8" ht="15.75" customHeight="1">
      <c r="G650" s="241" t="b">
        <v>0</v>
      </c>
      <c r="I650" s="275"/>
      <c r="J650" s="275"/>
      <c r="K650" s="275"/>
      <c r="L650" s="240"/>
      <c r="M650" s="237"/>
      <c r="N650" s="237"/>
      <c r="O650" s="237"/>
      <c r="P650" s="237"/>
      <c r="Q650" s="237"/>
      <c r="R650" s="237"/>
    </row>
    <row r="651" spans="8:8" ht="15.75" customHeight="1">
      <c r="G651" s="241" t="b">
        <v>0</v>
      </c>
      <c r="I651" s="275"/>
      <c r="J651" s="275"/>
      <c r="K651" s="275"/>
      <c r="L651" s="240"/>
      <c r="M651" s="237"/>
      <c r="N651" s="237"/>
      <c r="O651" s="237"/>
      <c r="P651" s="237"/>
      <c r="Q651" s="237"/>
      <c r="R651" s="237"/>
    </row>
    <row r="652" spans="8:8" ht="15.75" customHeight="1">
      <c r="G652" s="241" t="b">
        <v>0</v>
      </c>
      <c r="I652" s="275"/>
      <c r="J652" s="275"/>
      <c r="K652" s="275"/>
      <c r="L652" s="240"/>
      <c r="M652" s="237"/>
      <c r="N652" s="237"/>
      <c r="O652" s="237"/>
      <c r="P652" s="237"/>
      <c r="Q652" s="237"/>
      <c r="R652" s="237"/>
    </row>
    <row r="653" spans="8:8" ht="15.75" customHeight="1">
      <c r="G653" s="241" t="b">
        <v>0</v>
      </c>
      <c r="I653" s="275"/>
      <c r="J653" s="275"/>
      <c r="K653" s="275"/>
      <c r="L653" s="240"/>
      <c r="M653" s="237"/>
      <c r="N653" s="237"/>
      <c r="O653" s="237"/>
      <c r="P653" s="237"/>
      <c r="Q653" s="237"/>
      <c r="R653" s="237"/>
    </row>
    <row r="654" spans="8:8" ht="15.75" customHeight="1">
      <c r="G654" s="241" t="b">
        <v>0</v>
      </c>
      <c r="I654" s="275"/>
      <c r="J654" s="275"/>
      <c r="K654" s="275"/>
      <c r="L654" s="240"/>
      <c r="M654" s="237"/>
      <c r="N654" s="237"/>
      <c r="O654" s="237"/>
      <c r="P654" s="237"/>
      <c r="Q654" s="237"/>
      <c r="R654" s="237"/>
    </row>
    <row r="655" spans="8:8" ht="15.75" customHeight="1">
      <c r="G655" s="241" t="b">
        <v>0</v>
      </c>
      <c r="I655" s="275"/>
      <c r="J655" s="275"/>
      <c r="K655" s="275"/>
      <c r="L655" s="240"/>
      <c r="M655" s="237"/>
      <c r="N655" s="237"/>
      <c r="O655" s="237"/>
      <c r="P655" s="237"/>
      <c r="Q655" s="237"/>
      <c r="R655" s="237"/>
    </row>
    <row r="656" spans="8:8" ht="15.75" customHeight="1">
      <c r="G656" s="241" t="b">
        <v>0</v>
      </c>
      <c r="I656" s="275"/>
      <c r="J656" s="275"/>
      <c r="K656" s="275"/>
      <c r="L656" s="240"/>
      <c r="M656" s="237"/>
      <c r="N656" s="237"/>
      <c r="O656" s="237"/>
      <c r="P656" s="237"/>
      <c r="Q656" s="237"/>
      <c r="R656" s="237"/>
    </row>
    <row r="657" spans="8:8" ht="15.75" customHeight="1">
      <c r="G657" s="241" t="b">
        <v>0</v>
      </c>
      <c r="I657" s="275"/>
      <c r="J657" s="275"/>
      <c r="K657" s="275"/>
      <c r="L657" s="240"/>
      <c r="M657" s="237"/>
      <c r="N657" s="237"/>
      <c r="O657" s="237"/>
      <c r="P657" s="237"/>
      <c r="Q657" s="237"/>
      <c r="R657" s="237"/>
    </row>
    <row r="658" spans="8:8" ht="15.75" customHeight="1">
      <c r="G658" s="241" t="b">
        <v>0</v>
      </c>
      <c r="I658" s="275"/>
      <c r="J658" s="275"/>
      <c r="K658" s="275"/>
      <c r="L658" s="240"/>
      <c r="M658" s="237"/>
      <c r="N658" s="237"/>
      <c r="O658" s="237"/>
      <c r="P658" s="237"/>
      <c r="Q658" s="237"/>
      <c r="R658" s="237"/>
    </row>
    <row r="659" spans="8:8" ht="15.75" customHeight="1">
      <c r="G659" s="241" t="b">
        <v>0</v>
      </c>
      <c r="I659" s="275"/>
      <c r="J659" s="275"/>
      <c r="K659" s="275"/>
      <c r="L659" s="240"/>
      <c r="M659" s="237"/>
      <c r="N659" s="237"/>
      <c r="O659" s="237"/>
      <c r="P659" s="237"/>
      <c r="Q659" s="237"/>
      <c r="R659" s="237"/>
    </row>
    <row r="660" spans="8:8" ht="15.75" customHeight="1">
      <c r="G660" s="241" t="b">
        <v>0</v>
      </c>
      <c r="I660" s="275"/>
      <c r="J660" s="275"/>
      <c r="K660" s="275"/>
      <c r="L660" s="240"/>
      <c r="M660" s="237"/>
      <c r="N660" s="237"/>
      <c r="O660" s="237"/>
      <c r="P660" s="237"/>
      <c r="Q660" s="237"/>
      <c r="R660" s="237"/>
    </row>
    <row r="661" spans="8:8" ht="15.75" customHeight="1">
      <c r="G661" s="241" t="b">
        <v>0</v>
      </c>
      <c r="I661" s="275"/>
      <c r="J661" s="275"/>
      <c r="K661" s="275"/>
      <c r="L661" s="240"/>
      <c r="M661" s="237"/>
      <c r="N661" s="237"/>
      <c r="O661" s="237"/>
      <c r="P661" s="237"/>
      <c r="Q661" s="237"/>
      <c r="R661" s="237"/>
    </row>
    <row r="662" spans="8:8" ht="15.75" customHeight="1">
      <c r="G662" s="241" t="b">
        <v>0</v>
      </c>
      <c r="I662" s="275"/>
      <c r="J662" s="275"/>
      <c r="K662" s="275"/>
      <c r="L662" s="240"/>
      <c r="M662" s="237"/>
      <c r="N662" s="237"/>
      <c r="O662" s="237"/>
      <c r="P662" s="237"/>
      <c r="Q662" s="237"/>
      <c r="R662" s="237"/>
    </row>
    <row r="663" spans="8:8" ht="15.75" customHeight="1">
      <c r="G663" s="241" t="b">
        <v>0</v>
      </c>
      <c r="I663" s="275"/>
      <c r="J663" s="275"/>
      <c r="K663" s="275"/>
      <c r="L663" s="240"/>
      <c r="M663" s="237"/>
      <c r="N663" s="237"/>
      <c r="O663" s="237"/>
      <c r="P663" s="237"/>
      <c r="Q663" s="237"/>
      <c r="R663" s="237"/>
    </row>
    <row r="664" spans="8:8" ht="15.75" customHeight="1">
      <c r="G664" s="241" t="b">
        <v>0</v>
      </c>
      <c r="I664" s="275"/>
      <c r="J664" s="275"/>
      <c r="K664" s="275"/>
      <c r="L664" s="240"/>
      <c r="M664" s="237"/>
      <c r="N664" s="237"/>
      <c r="O664" s="237"/>
      <c r="P664" s="237"/>
      <c r="Q664" s="237"/>
      <c r="R664" s="237"/>
    </row>
    <row r="665" spans="8:8" ht="15.75" customHeight="1">
      <c r="G665" s="241" t="b">
        <v>0</v>
      </c>
      <c r="I665" s="275"/>
      <c r="J665" s="275"/>
      <c r="K665" s="275"/>
      <c r="L665" s="240"/>
      <c r="M665" s="237"/>
      <c r="N665" s="237"/>
      <c r="O665" s="237"/>
      <c r="P665" s="237"/>
      <c r="Q665" s="237"/>
      <c r="R665" s="237"/>
    </row>
    <row r="666" spans="8:8" ht="15.75" customHeight="1">
      <c r="G666" s="241" t="b">
        <v>0</v>
      </c>
      <c r="I666" s="275"/>
      <c r="J666" s="275"/>
      <c r="K666" s="275"/>
      <c r="L666" s="240"/>
      <c r="M666" s="237"/>
      <c r="N666" s="237"/>
      <c r="O666" s="237"/>
      <c r="P666" s="237"/>
      <c r="Q666" s="237"/>
      <c r="R666" s="237"/>
    </row>
    <row r="667" spans="8:8" ht="15.75" customHeight="1">
      <c r="G667" s="241" t="b">
        <v>0</v>
      </c>
      <c r="I667" s="275"/>
      <c r="J667" s="275"/>
      <c r="K667" s="275"/>
      <c r="L667" s="240"/>
      <c r="M667" s="237"/>
      <c r="N667" s="237"/>
      <c r="O667" s="237"/>
      <c r="P667" s="237"/>
      <c r="Q667" s="237"/>
      <c r="R667" s="237"/>
    </row>
    <row r="668" spans="8:8" ht="15.75" customHeight="1">
      <c r="G668" s="241" t="b">
        <v>0</v>
      </c>
      <c r="I668" s="275"/>
      <c r="J668" s="275"/>
      <c r="K668" s="275"/>
      <c r="L668" s="240"/>
      <c r="M668" s="237"/>
      <c r="N668" s="237"/>
      <c r="O668" s="237"/>
      <c r="P668" s="237"/>
      <c r="Q668" s="237"/>
      <c r="R668" s="237"/>
    </row>
    <row r="669" spans="8:8" ht="15.75" customHeight="1">
      <c r="G669" s="241" t="b">
        <v>0</v>
      </c>
      <c r="I669" s="275"/>
      <c r="J669" s="275"/>
      <c r="K669" s="275"/>
      <c r="L669" s="240"/>
      <c r="M669" s="237"/>
      <c r="N669" s="237"/>
      <c r="O669" s="237"/>
      <c r="P669" s="237"/>
      <c r="Q669" s="237"/>
      <c r="R669" s="237"/>
    </row>
    <row r="670" spans="8:8" ht="15.75" customHeight="1">
      <c r="G670" s="241" t="b">
        <v>0</v>
      </c>
      <c r="I670" s="275"/>
      <c r="J670" s="275"/>
      <c r="K670" s="275"/>
      <c r="L670" s="276"/>
      <c r="M670" s="237"/>
      <c r="N670" s="237"/>
      <c r="O670" s="237"/>
      <c r="P670" s="237"/>
      <c r="Q670" s="237"/>
      <c r="R670" s="237"/>
    </row>
    <row r="671" spans="8:8" ht="15.75" customHeight="1">
      <c r="G671" s="241" t="b">
        <v>0</v>
      </c>
      <c r="I671" s="275"/>
      <c r="J671" s="275"/>
      <c r="K671" s="275"/>
      <c r="L671" s="240"/>
      <c r="M671" s="237"/>
      <c r="N671" s="237"/>
      <c r="O671" s="237"/>
      <c r="P671" s="237"/>
      <c r="Q671" s="237"/>
      <c r="R671" s="237"/>
    </row>
    <row r="672" spans="8:8" ht="15.75" customHeight="1">
      <c r="G672" s="241" t="b">
        <v>0</v>
      </c>
      <c r="I672" s="275"/>
      <c r="J672" s="275"/>
      <c r="K672" s="275"/>
      <c r="L672" s="240"/>
      <c r="M672" s="237"/>
      <c r="N672" s="237"/>
      <c r="O672" s="237"/>
      <c r="P672" s="237"/>
      <c r="Q672" s="237"/>
      <c r="R672" s="237"/>
    </row>
    <row r="673" spans="8:8" ht="15.75" customHeight="1">
      <c r="G673" s="241" t="b">
        <v>0</v>
      </c>
      <c r="I673" s="275"/>
      <c r="J673" s="275"/>
      <c r="K673" s="275"/>
      <c r="L673" s="240"/>
      <c r="M673" s="237"/>
      <c r="N673" s="237"/>
      <c r="O673" s="237"/>
      <c r="P673" s="237"/>
      <c r="Q673" s="237"/>
      <c r="R673" s="237"/>
    </row>
    <row r="674" spans="8:8" ht="15.75" customHeight="1">
      <c r="G674" s="241" t="b">
        <v>0</v>
      </c>
      <c r="I674" s="275"/>
      <c r="J674" s="275"/>
      <c r="K674" s="275"/>
      <c r="L674" s="240"/>
      <c r="M674" s="237"/>
      <c r="N674" s="237"/>
      <c r="O674" s="237"/>
      <c r="P674" s="237"/>
      <c r="Q674" s="237"/>
      <c r="R674" s="237"/>
    </row>
    <row r="675" spans="8:8" ht="15.75" customHeight="1">
      <c r="G675" s="241" t="b">
        <v>0</v>
      </c>
      <c r="I675" s="275"/>
      <c r="J675" s="275"/>
      <c r="K675" s="275"/>
      <c r="L675" s="240"/>
      <c r="M675" s="237"/>
      <c r="N675" s="237"/>
      <c r="O675" s="237"/>
      <c r="P675" s="237"/>
      <c r="Q675" s="237"/>
      <c r="R675" s="237"/>
    </row>
    <row r="676" spans="8:8" ht="15.75" customHeight="1">
      <c r="G676" s="241" t="b">
        <v>0</v>
      </c>
      <c r="I676" s="275"/>
      <c r="J676" s="275"/>
      <c r="K676" s="275"/>
      <c r="L676" s="240"/>
      <c r="M676" s="237"/>
      <c r="N676" s="237"/>
      <c r="O676" s="237"/>
      <c r="P676" s="237"/>
      <c r="Q676" s="237"/>
      <c r="R676" s="237"/>
    </row>
    <row r="677" spans="8:8" ht="15.75" customHeight="1">
      <c r="G677" s="241" t="b">
        <v>0</v>
      </c>
      <c r="I677" s="275"/>
      <c r="J677" s="275"/>
      <c r="K677" s="275"/>
      <c r="L677" s="240"/>
      <c r="M677" s="237"/>
      <c r="N677" s="237"/>
      <c r="O677" s="237"/>
      <c r="P677" s="237"/>
      <c r="Q677" s="237"/>
      <c r="R677" s="237"/>
    </row>
    <row r="678" spans="8:8" ht="15.75" customHeight="1">
      <c r="G678" s="241" t="b">
        <v>0</v>
      </c>
      <c r="I678" s="275"/>
      <c r="J678" s="275"/>
      <c r="K678" s="275"/>
      <c r="L678" s="240"/>
      <c r="M678" s="237"/>
      <c r="N678" s="237"/>
      <c r="O678" s="237"/>
      <c r="P678" s="237"/>
      <c r="Q678" s="237"/>
      <c r="R678" s="237"/>
    </row>
    <row r="679" spans="8:8" ht="15.75" customHeight="1">
      <c r="G679" s="241" t="b">
        <v>0</v>
      </c>
      <c r="I679" s="275"/>
      <c r="J679" s="275"/>
      <c r="K679" s="275"/>
      <c r="L679" s="240"/>
      <c r="M679" s="237"/>
      <c r="N679" s="237"/>
      <c r="O679" s="237"/>
      <c r="P679" s="237"/>
      <c r="Q679" s="237"/>
      <c r="R679" s="237"/>
    </row>
    <row r="680" spans="8:8" ht="15.75" customHeight="1">
      <c r="G680" s="241" t="b">
        <v>0</v>
      </c>
      <c r="I680" s="275"/>
      <c r="J680" s="275"/>
      <c r="K680" s="275"/>
      <c r="L680" s="240"/>
      <c r="M680" s="237"/>
      <c r="N680" s="237"/>
      <c r="O680" s="237"/>
      <c r="P680" s="237"/>
      <c r="Q680" s="237"/>
      <c r="R680" s="237"/>
    </row>
    <row r="681" spans="8:8" ht="15.75" customHeight="1">
      <c r="G681" s="241" t="b">
        <v>0</v>
      </c>
      <c r="I681" s="275"/>
      <c r="J681" s="275"/>
      <c r="K681" s="243"/>
      <c r="L681" s="240"/>
      <c r="M681" s="237"/>
      <c r="N681" s="237"/>
      <c r="O681" s="237"/>
      <c r="P681" s="237"/>
      <c r="Q681" s="237"/>
      <c r="R681" s="237"/>
    </row>
    <row r="682" spans="8:8" ht="15.75" customHeight="1">
      <c r="G682" s="241" t="b">
        <v>0</v>
      </c>
      <c r="I682" s="275"/>
      <c r="J682" s="275"/>
      <c r="K682" s="275"/>
      <c r="L682" s="240"/>
      <c r="M682" s="237"/>
      <c r="N682" s="237"/>
      <c r="O682" s="237"/>
      <c r="P682" s="237"/>
      <c r="Q682" s="237"/>
      <c r="R682" s="237"/>
    </row>
    <row r="683" spans="8:8" ht="15.75" customHeight="1">
      <c r="G683" s="241" t="b">
        <v>0</v>
      </c>
      <c r="I683" s="275"/>
      <c r="J683" s="275"/>
      <c r="K683" s="275"/>
      <c r="L683" s="240"/>
      <c r="M683" s="237"/>
      <c r="N683" s="237"/>
      <c r="O683" s="237"/>
      <c r="P683" s="237"/>
      <c r="Q683" s="237"/>
      <c r="R683" s="237"/>
    </row>
    <row r="684" spans="8:8" ht="15.75" customHeight="1">
      <c r="G684" s="241" t="b">
        <v>0</v>
      </c>
      <c r="I684" s="275"/>
      <c r="J684" s="275"/>
      <c r="K684" s="275"/>
      <c r="L684" s="240"/>
      <c r="M684" s="237"/>
      <c r="N684" s="237"/>
      <c r="O684" s="237"/>
      <c r="P684" s="237"/>
      <c r="Q684" s="237"/>
      <c r="R684" s="237"/>
    </row>
    <row r="685" spans="8:8" ht="15.75" customHeight="1">
      <c r="G685" s="241" t="b">
        <v>0</v>
      </c>
      <c r="I685" s="275"/>
      <c r="J685" s="275"/>
      <c r="K685" s="275"/>
      <c r="L685" s="240"/>
      <c r="M685" s="237"/>
      <c r="N685" s="237"/>
      <c r="O685" s="237"/>
      <c r="P685" s="237"/>
      <c r="Q685" s="237"/>
      <c r="R685" s="237"/>
    </row>
    <row r="686" spans="8:8" ht="15.75" customHeight="1">
      <c r="G686" s="241" t="b">
        <v>0</v>
      </c>
      <c r="I686" s="275"/>
      <c r="J686" s="275"/>
      <c r="K686" s="275"/>
      <c r="L686" s="240"/>
      <c r="M686" s="237"/>
      <c r="N686" s="237"/>
      <c r="O686" s="237"/>
      <c r="P686" s="237"/>
      <c r="Q686" s="237"/>
      <c r="R686" s="237"/>
    </row>
    <row r="687" spans="8:8" ht="15.75" customHeight="1">
      <c r="G687" s="241" t="b">
        <v>0</v>
      </c>
      <c r="I687" s="275"/>
      <c r="J687" s="275"/>
      <c r="K687" s="275"/>
      <c r="L687" s="240"/>
      <c r="M687" s="237"/>
      <c r="N687" s="237"/>
      <c r="O687" s="237"/>
      <c r="P687" s="237"/>
      <c r="Q687" s="237"/>
      <c r="R687" s="237"/>
    </row>
    <row r="688" spans="8:8" ht="15.75" customHeight="1">
      <c r="G688" s="241" t="b">
        <v>0</v>
      </c>
      <c r="I688" s="275"/>
      <c r="J688" s="275"/>
      <c r="K688" s="275"/>
      <c r="L688" s="240"/>
      <c r="M688" s="237"/>
      <c r="N688" s="237"/>
      <c r="O688" s="237"/>
      <c r="P688" s="237"/>
      <c r="Q688" s="237"/>
      <c r="R688" s="237"/>
    </row>
    <row r="689" spans="8:8" ht="15.75" customHeight="1">
      <c r="G689" s="241" t="b">
        <v>0</v>
      </c>
      <c r="I689" s="275"/>
      <c r="J689" s="275"/>
      <c r="K689" s="275"/>
      <c r="L689" s="240"/>
      <c r="M689" s="237"/>
      <c r="N689" s="237"/>
      <c r="O689" s="237"/>
      <c r="P689" s="237"/>
      <c r="Q689" s="237"/>
      <c r="R689" s="237"/>
    </row>
    <row r="690" spans="8:8" ht="15.75" customHeight="1">
      <c r="G690" s="241" t="b">
        <v>0</v>
      </c>
      <c r="I690" s="275"/>
      <c r="J690" s="275"/>
      <c r="K690" s="275"/>
      <c r="L690" s="240"/>
      <c r="M690" s="237"/>
      <c r="N690" s="237"/>
      <c r="O690" s="237"/>
      <c r="P690" s="237"/>
      <c r="Q690" s="237"/>
      <c r="R690" s="237"/>
    </row>
    <row r="691" spans="8:8" ht="15.75" customHeight="1">
      <c r="G691" s="241" t="b">
        <v>0</v>
      </c>
      <c r="I691" s="275"/>
      <c r="J691" s="275"/>
      <c r="K691" s="275"/>
      <c r="L691" s="240"/>
      <c r="M691" s="237"/>
      <c r="N691" s="237"/>
      <c r="O691" s="237"/>
      <c r="P691" s="237"/>
      <c r="Q691" s="237"/>
      <c r="R691" s="237"/>
    </row>
    <row r="692" spans="8:8" ht="15.75" customHeight="1">
      <c r="G692" s="241" t="b">
        <v>0</v>
      </c>
      <c r="I692" s="275"/>
      <c r="J692" s="275"/>
      <c r="K692" s="275"/>
      <c r="L692" s="240"/>
      <c r="M692" s="237"/>
      <c r="N692" s="237"/>
      <c r="O692" s="237"/>
      <c r="P692" s="237"/>
      <c r="Q692" s="237"/>
      <c r="R692" s="237"/>
    </row>
    <row r="693" spans="8:8" ht="15.75" customHeight="1">
      <c r="G693" s="241" t="b">
        <v>0</v>
      </c>
      <c r="I693" s="275"/>
      <c r="J693" s="275"/>
      <c r="K693" s="275"/>
      <c r="L693" s="240"/>
      <c r="M693" s="237"/>
      <c r="N693" s="237"/>
      <c r="O693" s="237"/>
      <c r="P693" s="237"/>
      <c r="Q693" s="237"/>
      <c r="R693" s="237"/>
    </row>
    <row r="694" spans="8:8" ht="15.75" customHeight="1">
      <c r="G694" s="241" t="b">
        <v>0</v>
      </c>
      <c r="I694" s="275"/>
      <c r="J694" s="275"/>
      <c r="K694" s="275"/>
      <c r="L694" s="240"/>
      <c r="M694" s="237"/>
      <c r="N694" s="237"/>
      <c r="O694" s="237"/>
      <c r="P694" s="237"/>
      <c r="Q694" s="237"/>
      <c r="R694" s="237"/>
    </row>
    <row r="695" spans="8:8" ht="15.75" customHeight="1">
      <c r="G695" s="241" t="b">
        <v>0</v>
      </c>
      <c r="I695" s="275"/>
      <c r="J695" s="275"/>
      <c r="K695" s="275"/>
      <c r="L695" s="240"/>
      <c r="M695" s="237"/>
      <c r="N695" s="237"/>
      <c r="O695" s="237"/>
      <c r="P695" s="237"/>
      <c r="Q695" s="237"/>
      <c r="R695" s="237"/>
    </row>
    <row r="696" spans="8:8" ht="15.75" customHeight="1">
      <c r="G696" s="241" t="b">
        <v>0</v>
      </c>
      <c r="I696" s="275"/>
      <c r="J696" s="275"/>
      <c r="K696" s="275"/>
      <c r="L696" s="240"/>
      <c r="M696" s="237"/>
      <c r="N696" s="237"/>
      <c r="O696" s="237"/>
      <c r="P696" s="237"/>
      <c r="Q696" s="237"/>
      <c r="R696" s="237"/>
    </row>
    <row r="697" spans="8:8" ht="15.75" customHeight="1">
      <c r="G697" s="241" t="b">
        <v>0</v>
      </c>
      <c r="I697" s="275"/>
      <c r="J697" s="275"/>
      <c r="K697" s="275"/>
      <c r="L697" s="240"/>
      <c r="M697" s="237"/>
      <c r="N697" s="237"/>
      <c r="O697" s="237"/>
      <c r="P697" s="237"/>
      <c r="Q697" s="237"/>
      <c r="R697" s="237"/>
    </row>
    <row r="698" spans="8:8" ht="15.75" customHeight="1">
      <c r="G698" s="241" t="b">
        <v>0</v>
      </c>
      <c r="I698" s="275"/>
      <c r="J698" s="275"/>
      <c r="K698" s="275"/>
      <c r="L698" s="240"/>
      <c r="M698" s="237"/>
      <c r="N698" s="237"/>
      <c r="O698" s="237"/>
      <c r="P698" s="237"/>
      <c r="Q698" s="237"/>
      <c r="R698" s="237"/>
    </row>
    <row r="699" spans="8:8" ht="15.75" customHeight="1">
      <c r="G699" s="241" t="b">
        <v>0</v>
      </c>
      <c r="I699" s="275"/>
      <c r="J699" s="275"/>
      <c r="K699" s="275"/>
      <c r="L699" s="240"/>
      <c r="M699" s="237"/>
      <c r="N699" s="237"/>
      <c r="O699" s="237"/>
      <c r="P699" s="237"/>
      <c r="Q699" s="237"/>
      <c r="R699" s="237"/>
    </row>
    <row r="700" spans="8:8" ht="15.75" customHeight="1">
      <c r="G700" s="241" t="b">
        <v>0</v>
      </c>
      <c r="I700" s="275"/>
      <c r="J700" s="275"/>
      <c r="K700" s="275"/>
      <c r="L700" s="240"/>
      <c r="M700" s="237"/>
      <c r="N700" s="237"/>
      <c r="O700" s="237"/>
      <c r="P700" s="237"/>
      <c r="Q700" s="237"/>
      <c r="R700" s="237"/>
    </row>
    <row r="701" spans="8:8" ht="15.75" customHeight="1">
      <c r="G701" s="241" t="b">
        <v>0</v>
      </c>
      <c r="I701" s="275"/>
      <c r="J701" s="275"/>
      <c r="K701" s="275"/>
      <c r="L701" s="240"/>
      <c r="M701" s="237"/>
      <c r="N701" s="237"/>
      <c r="O701" s="237"/>
      <c r="P701" s="237"/>
      <c r="Q701" s="237"/>
      <c r="R701" s="237"/>
    </row>
    <row r="702" spans="8:8" ht="15.75" customHeight="1">
      <c r="G702" s="241" t="b">
        <v>0</v>
      </c>
      <c r="I702" s="275"/>
      <c r="J702" s="275"/>
      <c r="K702" s="275"/>
      <c r="L702" s="240"/>
      <c r="M702" s="237"/>
      <c r="N702" s="237"/>
      <c r="O702" s="237"/>
      <c r="P702" s="237"/>
      <c r="Q702" s="237"/>
      <c r="R702" s="237"/>
    </row>
    <row r="703" spans="8:8" ht="15.75" customHeight="1">
      <c r="G703" s="241" t="b">
        <v>0</v>
      </c>
      <c r="I703" s="275"/>
      <c r="J703" s="275"/>
      <c r="K703" s="275"/>
      <c r="L703" s="276"/>
      <c r="M703" s="237"/>
      <c r="N703" s="237"/>
      <c r="O703" s="237"/>
      <c r="P703" s="237"/>
      <c r="Q703" s="237"/>
      <c r="R703" s="237"/>
    </row>
    <row r="704" spans="8:8" ht="15.75" customHeight="1">
      <c r="G704" s="241" t="b">
        <v>0</v>
      </c>
      <c r="I704" s="275"/>
      <c r="J704" s="275"/>
      <c r="K704" s="275"/>
      <c r="L704" s="240"/>
      <c r="M704" s="237"/>
      <c r="N704" s="237"/>
      <c r="O704" s="237"/>
      <c r="P704" s="237"/>
      <c r="Q704" s="237"/>
      <c r="R704" s="237"/>
    </row>
    <row r="705" spans="8:8" ht="15.75" customHeight="1">
      <c r="G705" s="241" t="b">
        <v>0</v>
      </c>
      <c r="I705" s="275"/>
      <c r="J705" s="275"/>
      <c r="K705" s="275"/>
      <c r="L705" s="240"/>
      <c r="M705" s="237"/>
      <c r="N705" s="237"/>
      <c r="O705" s="237"/>
      <c r="P705" s="237"/>
      <c r="Q705" s="237"/>
      <c r="R705" s="237"/>
    </row>
    <row r="706" spans="8:8" ht="15.75" customHeight="1">
      <c r="G706" s="241" t="b">
        <v>0</v>
      </c>
      <c r="I706" s="275"/>
      <c r="J706" s="275"/>
      <c r="K706" s="275"/>
      <c r="L706" s="240"/>
      <c r="M706" s="237"/>
      <c r="N706" s="237"/>
      <c r="O706" s="237"/>
      <c r="P706" s="237"/>
      <c r="Q706" s="237"/>
      <c r="R706" s="237"/>
    </row>
    <row r="707" spans="8:8" ht="15.75" customHeight="1">
      <c r="G707" s="241" t="b">
        <v>0</v>
      </c>
      <c r="I707" s="275"/>
      <c r="J707" s="275"/>
      <c r="K707" s="275"/>
      <c r="L707" s="240"/>
      <c r="M707" s="237"/>
      <c r="N707" s="237"/>
      <c r="O707" s="237"/>
      <c r="P707" s="237"/>
      <c r="Q707" s="237"/>
      <c r="R707" s="237"/>
    </row>
    <row r="708" spans="8:8" ht="15.75" customHeight="1">
      <c r="G708" s="241" t="b">
        <v>0</v>
      </c>
      <c r="I708" s="275"/>
      <c r="J708" s="275"/>
      <c r="K708" s="275"/>
      <c r="L708" s="240"/>
      <c r="M708" s="237"/>
      <c r="N708" s="237"/>
      <c r="O708" s="237"/>
      <c r="P708" s="237"/>
      <c r="Q708" s="237"/>
      <c r="R708" s="237"/>
    </row>
    <row r="709" spans="8:8" ht="15.75" customHeight="1">
      <c r="G709" s="241" t="b">
        <v>0</v>
      </c>
      <c r="I709" s="275"/>
      <c r="J709" s="275"/>
      <c r="K709" s="275"/>
      <c r="L709" s="240"/>
      <c r="M709" s="237"/>
      <c r="N709" s="237"/>
      <c r="O709" s="237"/>
      <c r="P709" s="237"/>
      <c r="Q709" s="237"/>
      <c r="R709" s="237"/>
    </row>
    <row r="710" spans="8:8" ht="15.75" customHeight="1">
      <c r="G710" s="241" t="b">
        <v>0</v>
      </c>
      <c r="I710" s="275"/>
      <c r="J710" s="275"/>
      <c r="K710" s="275"/>
      <c r="L710" s="240"/>
      <c r="M710" s="237"/>
      <c r="N710" s="237"/>
      <c r="O710" s="237"/>
      <c r="P710" s="237"/>
      <c r="Q710" s="237"/>
      <c r="R710" s="237"/>
    </row>
    <row r="711" spans="8:8" ht="15.75" customHeight="1">
      <c r="G711" s="241" t="b">
        <v>0</v>
      </c>
      <c r="I711" s="275"/>
      <c r="J711" s="275"/>
      <c r="K711" s="275"/>
      <c r="L711" s="240"/>
      <c r="M711" s="237"/>
      <c r="N711" s="237"/>
      <c r="O711" s="237"/>
      <c r="P711" s="237"/>
      <c r="Q711" s="237"/>
      <c r="R711" s="237"/>
    </row>
    <row r="712" spans="8:8" ht="15.75" customHeight="1">
      <c r="G712" s="241" t="b">
        <v>0</v>
      </c>
      <c r="I712" s="275"/>
      <c r="J712" s="275"/>
      <c r="K712" s="275"/>
      <c r="L712" s="240"/>
      <c r="M712" s="237"/>
      <c r="N712" s="237"/>
      <c r="O712" s="237"/>
      <c r="P712" s="237"/>
      <c r="Q712" s="237"/>
      <c r="R712" s="237"/>
    </row>
    <row r="713" spans="8:8" ht="15.75" customHeight="1">
      <c r="G713" s="241" t="b">
        <v>0</v>
      </c>
      <c r="I713" s="275"/>
      <c r="J713" s="275"/>
      <c r="K713" s="275"/>
      <c r="L713" s="240"/>
      <c r="M713" s="237"/>
      <c r="N713" s="237"/>
      <c r="O713" s="237"/>
      <c r="P713" s="237"/>
      <c r="Q713" s="237"/>
      <c r="R713" s="237"/>
    </row>
    <row r="714" spans="8:8" ht="15.75" customHeight="1">
      <c r="G714" s="241" t="b">
        <v>0</v>
      </c>
      <c r="I714" s="275"/>
      <c r="J714" s="275"/>
      <c r="K714" s="275"/>
      <c r="L714" s="240"/>
      <c r="M714" s="237"/>
      <c r="N714" s="237"/>
      <c r="O714" s="237"/>
      <c r="P714" s="237"/>
      <c r="Q714" s="237"/>
      <c r="R714" s="237"/>
    </row>
    <row r="715" spans="8:8" ht="15.75" customHeight="1">
      <c r="G715" s="241" t="b">
        <v>0</v>
      </c>
      <c r="I715" s="275"/>
      <c r="J715" s="275"/>
      <c r="K715" s="275"/>
      <c r="L715" s="240"/>
      <c r="M715" s="237"/>
      <c r="N715" s="237"/>
      <c r="O715" s="237"/>
      <c r="P715" s="237"/>
      <c r="Q715" s="237"/>
      <c r="R715" s="237"/>
    </row>
    <row r="716" spans="8:8" ht="15.75" customHeight="1">
      <c r="G716" s="241" t="b">
        <v>0</v>
      </c>
      <c r="I716" s="275"/>
      <c r="J716" s="275"/>
      <c r="K716" s="275"/>
      <c r="L716" s="240"/>
      <c r="M716" s="237"/>
      <c r="N716" s="237"/>
      <c r="O716" s="237"/>
      <c r="P716" s="237"/>
      <c r="Q716" s="237"/>
      <c r="R716" s="237"/>
    </row>
    <row r="717" spans="8:8" ht="15.75" customHeight="1">
      <c r="G717" s="241" t="b">
        <v>0</v>
      </c>
      <c r="I717" s="275"/>
      <c r="J717" s="275"/>
      <c r="K717" s="275"/>
      <c r="L717" s="240"/>
      <c r="M717" s="237"/>
      <c r="N717" s="237"/>
      <c r="O717" s="237"/>
      <c r="P717" s="237"/>
      <c r="Q717" s="237"/>
      <c r="R717" s="237"/>
    </row>
    <row r="718" spans="8:8" ht="15.75" customHeight="1">
      <c r="G718" s="241" t="b">
        <v>0</v>
      </c>
      <c r="I718" s="275"/>
      <c r="J718" s="275"/>
      <c r="K718" s="275"/>
      <c r="L718" s="240"/>
      <c r="M718" s="237"/>
      <c r="N718" s="237"/>
      <c r="O718" s="237"/>
      <c r="P718" s="237"/>
      <c r="Q718" s="237"/>
      <c r="R718" s="237"/>
    </row>
    <row r="719" spans="8:8" ht="15.75" customHeight="1">
      <c r="G719" s="241" t="b">
        <v>0</v>
      </c>
      <c r="I719" s="275"/>
      <c r="J719" s="275"/>
      <c r="K719" s="275"/>
      <c r="L719" s="240"/>
      <c r="M719" s="237"/>
      <c r="N719" s="237"/>
      <c r="O719" s="237"/>
      <c r="P719" s="237"/>
      <c r="Q719" s="237"/>
      <c r="R719" s="237"/>
    </row>
    <row r="720" spans="8:8" ht="15.75" customHeight="1">
      <c r="G720" s="241" t="b">
        <v>0</v>
      </c>
      <c r="I720" s="275"/>
      <c r="J720" s="275"/>
      <c r="K720" s="275"/>
      <c r="L720" s="240"/>
      <c r="M720" s="237"/>
      <c r="N720" s="237"/>
      <c r="O720" s="237"/>
      <c r="P720" s="237"/>
      <c r="Q720" s="237"/>
      <c r="R720" s="237"/>
    </row>
    <row r="721" spans="8:8" ht="15.75" customHeight="1">
      <c r="G721" s="241" t="b">
        <v>0</v>
      </c>
      <c r="I721" s="275"/>
      <c r="J721" s="275"/>
      <c r="K721" s="275"/>
      <c r="L721" s="240"/>
      <c r="M721" s="237"/>
      <c r="N721" s="237"/>
      <c r="O721" s="237"/>
      <c r="P721" s="237"/>
      <c r="Q721" s="237"/>
      <c r="R721" s="237"/>
    </row>
    <row r="722" spans="8:8" ht="15.75" customHeight="1">
      <c r="G722" s="241" t="b">
        <v>0</v>
      </c>
      <c r="I722" s="275"/>
      <c r="J722" s="275"/>
      <c r="K722" s="275"/>
      <c r="L722" s="240"/>
      <c r="M722" s="237"/>
      <c r="N722" s="237"/>
      <c r="O722" s="237"/>
      <c r="P722" s="237"/>
      <c r="Q722" s="237"/>
      <c r="R722" s="237"/>
    </row>
    <row r="723" spans="8:8" ht="15.75" customHeight="1">
      <c r="G723" s="241" t="b">
        <v>0</v>
      </c>
      <c r="I723" s="275"/>
      <c r="J723" s="275"/>
      <c r="K723" s="243"/>
      <c r="L723" s="240"/>
      <c r="M723" s="237"/>
      <c r="N723" s="237"/>
      <c r="O723" s="237"/>
      <c r="P723" s="237"/>
      <c r="Q723" s="237"/>
      <c r="R723" s="237"/>
    </row>
    <row r="724" spans="8:8" ht="15.75" customHeight="1">
      <c r="G724" s="241" t="b">
        <v>0</v>
      </c>
      <c r="I724" s="275"/>
      <c r="J724" s="275"/>
      <c r="K724" s="275"/>
      <c r="L724" s="240"/>
      <c r="M724" s="237"/>
      <c r="N724" s="237"/>
      <c r="O724" s="237"/>
      <c r="P724" s="237"/>
      <c r="Q724" s="237"/>
      <c r="R724" s="237"/>
    </row>
    <row r="725" spans="8:8" ht="15.75" customHeight="1">
      <c r="G725" s="241" t="b">
        <v>0</v>
      </c>
      <c r="I725" s="275"/>
      <c r="J725" s="275"/>
      <c r="K725" s="275"/>
      <c r="L725" s="240"/>
      <c r="M725" s="237"/>
      <c r="N725" s="237"/>
      <c r="O725" s="237"/>
      <c r="P725" s="237"/>
      <c r="Q725" s="237"/>
      <c r="R725" s="237"/>
    </row>
    <row r="726" spans="8:8" ht="15.75" customHeight="1">
      <c r="G726" s="241" t="b">
        <v>0</v>
      </c>
      <c r="I726" s="275"/>
      <c r="J726" s="275"/>
      <c r="K726" s="275"/>
      <c r="L726" s="240"/>
      <c r="M726" s="237"/>
      <c r="N726" s="237"/>
      <c r="O726" s="237"/>
      <c r="P726" s="237"/>
      <c r="Q726" s="237"/>
      <c r="R726" s="237"/>
    </row>
    <row r="727" spans="8:8" ht="15.75" customHeight="1">
      <c r="G727" s="241" t="b">
        <v>0</v>
      </c>
      <c r="I727" s="275"/>
      <c r="J727" s="275"/>
      <c r="K727" s="275"/>
      <c r="L727" s="240"/>
      <c r="M727" s="237"/>
      <c r="N727" s="237"/>
      <c r="O727" s="237"/>
      <c r="P727" s="237"/>
      <c r="Q727" s="237"/>
      <c r="R727" s="237"/>
    </row>
    <row r="728" spans="8:8" ht="15.75" customHeight="1">
      <c r="G728" s="241" t="b">
        <v>0</v>
      </c>
      <c r="I728" s="275"/>
      <c r="J728" s="275"/>
      <c r="K728" s="275"/>
      <c r="L728" s="240"/>
      <c r="M728" s="237"/>
      <c r="N728" s="237"/>
      <c r="O728" s="237"/>
      <c r="P728" s="237"/>
      <c r="Q728" s="237"/>
      <c r="R728" s="237"/>
    </row>
    <row r="729" spans="8:8" ht="15.75" customHeight="1">
      <c r="G729" s="241" t="b">
        <v>0</v>
      </c>
      <c r="I729" s="275"/>
      <c r="J729" s="275"/>
      <c r="K729" s="275"/>
      <c r="L729" s="240"/>
      <c r="M729" s="237"/>
      <c r="N729" s="237"/>
      <c r="O729" s="237"/>
      <c r="P729" s="237"/>
      <c r="Q729" s="237"/>
      <c r="R729" s="237"/>
    </row>
    <row r="730" spans="8:8" ht="15.75" customHeight="1">
      <c r="G730" s="241" t="b">
        <v>0</v>
      </c>
      <c r="I730" s="275"/>
      <c r="J730" s="275"/>
      <c r="K730" s="275"/>
      <c r="L730" s="240"/>
      <c r="M730" s="237"/>
      <c r="N730" s="237"/>
      <c r="O730" s="237"/>
      <c r="P730" s="237"/>
      <c r="Q730" s="237"/>
      <c r="R730" s="237"/>
    </row>
    <row r="731" spans="8:8" ht="15.75" customHeight="1">
      <c r="G731" s="241" t="b">
        <v>0</v>
      </c>
      <c r="I731" s="275"/>
      <c r="J731" s="275"/>
      <c r="K731" s="275"/>
      <c r="L731" s="240"/>
      <c r="M731" s="237"/>
      <c r="N731" s="237"/>
      <c r="O731" s="237"/>
      <c r="P731" s="237"/>
      <c r="Q731" s="237"/>
      <c r="R731" s="237"/>
    </row>
    <row r="732" spans="8:8" ht="15.75" customHeight="1">
      <c r="G732" s="241" t="b">
        <v>0</v>
      </c>
      <c r="I732" s="275"/>
      <c r="J732" s="275"/>
      <c r="K732" s="275"/>
      <c r="L732" s="276"/>
      <c r="M732" s="237"/>
      <c r="N732" s="237"/>
      <c r="O732" s="237"/>
      <c r="P732" s="237"/>
      <c r="Q732" s="237"/>
      <c r="R732" s="237"/>
    </row>
    <row r="733" spans="8:8" ht="15.75" customHeight="1">
      <c r="G733" s="241" t="b">
        <v>0</v>
      </c>
      <c r="I733" s="275"/>
      <c r="J733" s="275"/>
      <c r="K733" s="275"/>
      <c r="L733" s="240"/>
      <c r="M733" s="237"/>
      <c r="N733" s="237"/>
      <c r="O733" s="237"/>
      <c r="P733" s="237"/>
      <c r="Q733" s="237"/>
      <c r="R733" s="237"/>
    </row>
    <row r="734" spans="8:8" ht="15.75" customHeight="1">
      <c r="G734" s="241" t="b">
        <v>0</v>
      </c>
      <c r="I734" s="275"/>
      <c r="J734" s="275"/>
      <c r="K734" s="275"/>
      <c r="L734" s="240"/>
      <c r="M734" s="237"/>
      <c r="N734" s="237"/>
      <c r="O734" s="237"/>
      <c r="P734" s="237"/>
      <c r="Q734" s="237"/>
      <c r="R734" s="237"/>
    </row>
    <row r="735" spans="8:8" ht="15.75" customHeight="1">
      <c r="G735" s="241" t="b">
        <v>0</v>
      </c>
      <c r="I735" s="275"/>
      <c r="J735" s="275"/>
      <c r="K735" s="275"/>
      <c r="L735" s="240"/>
      <c r="M735" s="237"/>
      <c r="N735" s="237"/>
      <c r="O735" s="237"/>
      <c r="P735" s="237"/>
      <c r="Q735" s="237"/>
      <c r="R735" s="237"/>
    </row>
    <row r="736" spans="8:8" ht="15.75" customHeight="1">
      <c r="G736" s="241" t="b">
        <v>0</v>
      </c>
      <c r="I736" s="275"/>
      <c r="J736" s="275"/>
      <c r="K736" s="275"/>
      <c r="L736" s="240"/>
      <c r="M736" s="237"/>
      <c r="N736" s="237"/>
      <c r="O736" s="237"/>
      <c r="P736" s="237"/>
      <c r="Q736" s="237"/>
      <c r="R736" s="237"/>
    </row>
    <row r="737" spans="8:8" ht="15.75" customHeight="1">
      <c r="G737" s="241" t="b">
        <v>0</v>
      </c>
      <c r="I737" s="275"/>
      <c r="J737" s="275"/>
      <c r="K737" s="275"/>
      <c r="L737" s="240"/>
      <c r="M737" s="237"/>
      <c r="N737" s="237"/>
      <c r="O737" s="237"/>
      <c r="P737" s="237"/>
      <c r="Q737" s="237"/>
      <c r="R737" s="237"/>
    </row>
    <row r="738" spans="8:8" ht="15.75" customHeight="1">
      <c r="G738" s="241" t="b">
        <v>0</v>
      </c>
      <c r="I738" s="275"/>
      <c r="J738" s="275"/>
      <c r="K738" s="275"/>
      <c r="L738" s="240"/>
      <c r="M738" s="237"/>
      <c r="N738" s="237"/>
      <c r="O738" s="237"/>
      <c r="P738" s="237"/>
      <c r="Q738" s="237"/>
      <c r="R738" s="237"/>
    </row>
    <row r="739" spans="8:8" ht="15.75" customHeight="1">
      <c r="G739" s="241" t="b">
        <v>0</v>
      </c>
      <c r="I739" s="275"/>
      <c r="J739" s="275"/>
      <c r="K739" s="275"/>
      <c r="L739" s="240"/>
      <c r="M739" s="237"/>
      <c r="N739" s="237"/>
      <c r="O739" s="237"/>
      <c r="P739" s="237"/>
      <c r="Q739" s="237"/>
      <c r="R739" s="237"/>
    </row>
    <row r="740" spans="8:8" ht="15.75" customHeight="1">
      <c r="G740" s="241" t="b">
        <v>0</v>
      </c>
      <c r="I740" s="275"/>
      <c r="J740" s="275"/>
      <c r="K740" s="275"/>
      <c r="L740" s="240"/>
      <c r="M740" s="237"/>
      <c r="N740" s="237"/>
      <c r="O740" s="237"/>
      <c r="P740" s="237"/>
      <c r="Q740" s="237"/>
      <c r="R740" s="237"/>
    </row>
    <row r="741" spans="8:8" ht="15.75" customHeight="1">
      <c r="G741" s="241" t="b">
        <v>0</v>
      </c>
      <c r="I741" s="275"/>
      <c r="J741" s="275"/>
      <c r="K741" s="275"/>
      <c r="L741" s="240"/>
      <c r="M741" s="237"/>
      <c r="N741" s="237"/>
      <c r="O741" s="237"/>
      <c r="P741" s="237"/>
      <c r="Q741" s="237"/>
      <c r="R741" s="237"/>
    </row>
    <row r="742" spans="8:8" ht="15.75" customHeight="1">
      <c r="G742" s="241" t="b">
        <v>0</v>
      </c>
      <c r="I742" s="275"/>
      <c r="J742" s="275"/>
      <c r="K742" s="275"/>
      <c r="L742" s="240"/>
      <c r="M742" s="237"/>
      <c r="N742" s="237"/>
      <c r="O742" s="237"/>
      <c r="P742" s="237"/>
      <c r="Q742" s="237"/>
      <c r="R742" s="237"/>
    </row>
    <row r="743" spans="8:8" ht="15.75" customHeight="1">
      <c r="G743" s="241" t="b">
        <v>0</v>
      </c>
      <c r="I743" s="275"/>
      <c r="J743" s="275"/>
      <c r="K743" s="275"/>
      <c r="L743" s="240"/>
      <c r="M743" s="237"/>
      <c r="N743" s="237"/>
      <c r="O743" s="237"/>
      <c r="P743" s="237"/>
      <c r="Q743" s="237"/>
      <c r="R743" s="237"/>
    </row>
    <row r="744" spans="8:8" ht="15.75" customHeight="1">
      <c r="G744" s="241" t="b">
        <v>0</v>
      </c>
      <c r="I744" s="275"/>
      <c r="J744" s="275"/>
      <c r="K744" s="275"/>
      <c r="L744" s="240"/>
      <c r="M744" s="237"/>
      <c r="N744" s="237"/>
      <c r="O744" s="237"/>
      <c r="P744" s="237"/>
      <c r="Q744" s="237"/>
      <c r="R744" s="237"/>
    </row>
    <row r="745" spans="8:8" ht="15.75" customHeight="1">
      <c r="G745" s="241" t="b">
        <v>0</v>
      </c>
      <c r="I745" s="275"/>
      <c r="J745" s="275"/>
      <c r="K745" s="275"/>
      <c r="L745" s="240"/>
      <c r="M745" s="237"/>
      <c r="N745" s="237"/>
      <c r="O745" s="237"/>
      <c r="P745" s="237"/>
      <c r="Q745" s="237"/>
      <c r="R745" s="237"/>
    </row>
    <row r="746" spans="8:8" ht="15.75" customHeight="1">
      <c r="G746" s="241" t="b">
        <v>0</v>
      </c>
      <c r="I746" s="275"/>
      <c r="J746" s="275"/>
      <c r="K746" s="275"/>
      <c r="L746" s="240"/>
      <c r="M746" s="237"/>
      <c r="N746" s="237"/>
      <c r="O746" s="237"/>
      <c r="P746" s="237"/>
      <c r="Q746" s="237"/>
      <c r="R746" s="237"/>
    </row>
    <row r="747" spans="8:8" ht="15.75" customHeight="1">
      <c r="G747" s="241" t="b">
        <v>0</v>
      </c>
      <c r="I747" s="275"/>
      <c r="J747" s="275"/>
      <c r="K747" s="275"/>
      <c r="L747" s="240"/>
      <c r="M747" s="237"/>
      <c r="N747" s="237"/>
      <c r="O747" s="237"/>
      <c r="P747" s="237"/>
      <c r="Q747" s="237"/>
      <c r="R747" s="237"/>
    </row>
    <row r="748" spans="8:8" ht="15.75" customHeight="1">
      <c r="G748" s="241" t="b">
        <v>0</v>
      </c>
      <c r="I748" s="275"/>
      <c r="J748" s="275"/>
      <c r="K748" s="275"/>
      <c r="L748" s="240"/>
      <c r="M748" s="237"/>
      <c r="N748" s="237"/>
      <c r="O748" s="237"/>
      <c r="P748" s="237"/>
      <c r="Q748" s="237"/>
      <c r="R748" s="237"/>
    </row>
    <row r="749" spans="8:8" ht="15.75" customHeight="1">
      <c r="G749" s="241" t="b">
        <v>0</v>
      </c>
      <c r="I749" s="275"/>
      <c r="J749" s="275"/>
      <c r="K749" s="275"/>
      <c r="L749" s="240"/>
      <c r="M749" s="237"/>
      <c r="N749" s="237"/>
      <c r="O749" s="237"/>
      <c r="P749" s="237"/>
      <c r="Q749" s="237"/>
      <c r="R749" s="237"/>
    </row>
    <row r="750" spans="8:8" ht="15.75" customHeight="1">
      <c r="G750" s="241" t="b">
        <v>0</v>
      </c>
      <c r="I750" s="275"/>
      <c r="J750" s="275"/>
      <c r="K750" s="275"/>
      <c r="L750" s="240"/>
      <c r="M750" s="237"/>
      <c r="N750" s="237"/>
      <c r="O750" s="237"/>
      <c r="P750" s="237"/>
      <c r="Q750" s="237"/>
      <c r="R750" s="237"/>
    </row>
    <row r="751" spans="8:8" ht="15.75" customHeight="1">
      <c r="G751" s="241" t="b">
        <v>0</v>
      </c>
      <c r="I751" s="275"/>
      <c r="J751" s="275"/>
      <c r="K751" s="275"/>
      <c r="L751" s="240"/>
      <c r="M751" s="237"/>
      <c r="N751" s="237"/>
      <c r="O751" s="237"/>
      <c r="P751" s="237"/>
      <c r="Q751" s="237"/>
      <c r="R751" s="237"/>
    </row>
    <row r="752" spans="8:8" ht="15.75" customHeight="1">
      <c r="G752" s="241" t="b">
        <v>0</v>
      </c>
      <c r="I752" s="275"/>
      <c r="J752" s="275"/>
      <c r="K752" s="275"/>
      <c r="L752" s="240"/>
      <c r="M752" s="237"/>
      <c r="N752" s="237"/>
      <c r="O752" s="237"/>
      <c r="P752" s="237"/>
      <c r="Q752" s="237"/>
      <c r="R752" s="237"/>
    </row>
    <row r="753" spans="8:8" ht="15.75" customHeight="1">
      <c r="G753" s="241" t="b">
        <v>0</v>
      </c>
      <c r="I753" s="275"/>
      <c r="J753" s="275"/>
      <c r="K753" s="275"/>
      <c r="L753" s="240"/>
      <c r="M753" s="237"/>
      <c r="N753" s="237"/>
      <c r="O753" s="237"/>
      <c r="P753" s="237"/>
      <c r="Q753" s="237"/>
      <c r="R753" s="237"/>
    </row>
    <row r="754" spans="8:8" ht="15.75" customHeight="1">
      <c r="G754" s="241" t="b">
        <v>0</v>
      </c>
      <c r="I754" s="275"/>
      <c r="J754" s="275"/>
      <c r="K754" s="275"/>
      <c r="L754" s="240"/>
      <c r="M754" s="237"/>
      <c r="N754" s="237"/>
      <c r="O754" s="237"/>
      <c r="P754" s="237"/>
      <c r="Q754" s="237"/>
      <c r="R754" s="237"/>
    </row>
    <row r="755" spans="8:8" ht="15.75" customHeight="1">
      <c r="G755" s="241" t="b">
        <v>0</v>
      </c>
      <c r="I755" s="275"/>
      <c r="J755" s="275"/>
      <c r="K755" s="275"/>
      <c r="L755" s="240"/>
      <c r="M755" s="237"/>
      <c r="N755" s="237"/>
      <c r="O755" s="237"/>
      <c r="P755" s="237"/>
      <c r="Q755" s="237"/>
      <c r="R755" s="237"/>
    </row>
    <row r="756" spans="8:8" ht="15.75" customHeight="1">
      <c r="G756" s="241" t="b">
        <v>0</v>
      </c>
      <c r="I756" s="275"/>
      <c r="J756" s="275"/>
      <c r="K756" s="275"/>
      <c r="L756" s="240"/>
      <c r="M756" s="237"/>
      <c r="N756" s="237"/>
      <c r="O756" s="237"/>
      <c r="P756" s="237"/>
      <c r="Q756" s="237"/>
      <c r="R756" s="237"/>
    </row>
    <row r="757" spans="8:8" ht="15.75" customHeight="1">
      <c r="G757" s="241" t="b">
        <v>0</v>
      </c>
      <c r="I757" s="275"/>
      <c r="J757" s="275"/>
      <c r="K757" s="275"/>
      <c r="L757" s="240"/>
      <c r="M757" s="237"/>
      <c r="N757" s="237"/>
      <c r="O757" s="237"/>
      <c r="P757" s="237"/>
      <c r="Q757" s="237"/>
      <c r="R757" s="237"/>
    </row>
    <row r="758" spans="8:8" ht="15.75" customHeight="1">
      <c r="G758" s="241" t="b">
        <v>0</v>
      </c>
      <c r="I758" s="275"/>
      <c r="J758" s="275"/>
      <c r="K758" s="275"/>
      <c r="L758" s="240"/>
      <c r="M758" s="237"/>
      <c r="N758" s="237"/>
      <c r="O758" s="237"/>
      <c r="P758" s="237"/>
      <c r="Q758" s="237"/>
      <c r="R758" s="237"/>
    </row>
    <row r="759" spans="8:8" ht="15.75" customHeight="1">
      <c r="G759" s="241" t="b">
        <v>0</v>
      </c>
      <c r="I759" s="275"/>
      <c r="J759" s="275"/>
      <c r="K759" s="243"/>
      <c r="L759" s="240"/>
      <c r="M759" s="237"/>
      <c r="N759" s="237"/>
      <c r="O759" s="237"/>
      <c r="P759" s="237"/>
      <c r="Q759" s="237"/>
      <c r="R759" s="237"/>
    </row>
    <row r="760" spans="8:8" ht="15.75" customHeight="1">
      <c r="G760" s="241" t="b">
        <v>0</v>
      </c>
      <c r="I760" s="275"/>
      <c r="J760" s="275"/>
      <c r="K760" s="275"/>
      <c r="L760" s="240"/>
      <c r="M760" s="237"/>
      <c r="N760" s="237"/>
      <c r="O760" s="237"/>
      <c r="P760" s="237"/>
      <c r="Q760" s="237"/>
      <c r="R760" s="237"/>
    </row>
    <row r="761" spans="8:8" ht="15.75" customHeight="1">
      <c r="G761" s="241" t="b">
        <v>0</v>
      </c>
      <c r="I761" s="275"/>
      <c r="J761" s="275"/>
      <c r="K761" s="275"/>
      <c r="L761" s="240"/>
      <c r="M761" s="237"/>
      <c r="N761" s="237"/>
      <c r="O761" s="237"/>
      <c r="P761" s="237"/>
      <c r="Q761" s="237"/>
      <c r="R761" s="237"/>
    </row>
    <row r="762" spans="8:8" ht="15.75" customHeight="1">
      <c r="G762" s="241" t="b">
        <v>0</v>
      </c>
      <c r="I762" s="275"/>
      <c r="J762" s="275"/>
      <c r="K762" s="275"/>
      <c r="L762" s="240"/>
      <c r="M762" s="237"/>
      <c r="N762" s="237"/>
      <c r="O762" s="237"/>
      <c r="P762" s="237"/>
      <c r="Q762" s="237"/>
      <c r="R762" s="237"/>
    </row>
    <row r="763" spans="8:8" ht="15.75" customHeight="1">
      <c r="G763" s="241" t="b">
        <v>0</v>
      </c>
      <c r="I763" s="275"/>
      <c r="J763" s="275"/>
      <c r="K763" s="243"/>
      <c r="L763" s="240"/>
      <c r="M763" s="237"/>
      <c r="N763" s="237"/>
      <c r="O763" s="237"/>
      <c r="P763" s="237"/>
      <c r="Q763" s="237"/>
      <c r="R763" s="237"/>
    </row>
    <row r="764" spans="8:8" ht="15.75" customHeight="1">
      <c r="G764" s="241" t="b">
        <v>0</v>
      </c>
      <c r="I764" s="275"/>
      <c r="J764" s="275"/>
      <c r="K764" s="275"/>
      <c r="L764" s="240"/>
      <c r="M764" s="237"/>
      <c r="N764" s="237"/>
      <c r="O764" s="237"/>
      <c r="P764" s="237"/>
      <c r="Q764" s="237"/>
      <c r="R764" s="237"/>
    </row>
    <row r="765" spans="8:8" ht="15.75" customHeight="1">
      <c r="G765" s="241" t="b">
        <v>0</v>
      </c>
      <c r="I765" s="275"/>
      <c r="J765" s="275"/>
      <c r="K765" s="275"/>
      <c r="L765" s="276"/>
      <c r="M765" s="237"/>
      <c r="N765" s="237"/>
      <c r="O765" s="237"/>
      <c r="P765" s="237"/>
      <c r="Q765" s="237"/>
      <c r="R765" s="237"/>
    </row>
    <row r="766" spans="8:8" ht="15.75" customHeight="1">
      <c r="G766" s="241" t="b">
        <v>0</v>
      </c>
      <c r="I766" s="275"/>
      <c r="J766" s="275"/>
      <c r="K766" s="275"/>
      <c r="L766" s="240"/>
      <c r="M766" s="237"/>
      <c r="N766" s="237"/>
      <c r="O766" s="237"/>
      <c r="P766" s="237"/>
      <c r="Q766" s="237"/>
      <c r="R766" s="237"/>
    </row>
    <row r="767" spans="8:8" ht="15.75" customHeight="1">
      <c r="G767" s="241" t="b">
        <v>0</v>
      </c>
      <c r="I767" s="275"/>
      <c r="J767" s="275"/>
      <c r="K767" s="275"/>
      <c r="L767" s="240"/>
      <c r="M767" s="237"/>
      <c r="N767" s="237"/>
      <c r="O767" s="237"/>
      <c r="P767" s="237"/>
      <c r="Q767" s="237"/>
      <c r="R767" s="237"/>
    </row>
    <row r="768" spans="8:8" ht="15.75" customHeight="1">
      <c r="G768" s="241" t="b">
        <v>0</v>
      </c>
      <c r="I768" s="275"/>
      <c r="J768" s="275"/>
      <c r="K768" s="275"/>
      <c r="L768" s="240"/>
      <c r="M768" s="237"/>
      <c r="N768" s="237"/>
      <c r="O768" s="237"/>
      <c r="P768" s="237"/>
      <c r="Q768" s="237"/>
      <c r="R768" s="237"/>
    </row>
    <row r="769" spans="8:8" ht="15.75" customHeight="1">
      <c r="G769" s="241" t="b">
        <v>0</v>
      </c>
      <c r="I769" s="275"/>
      <c r="J769" s="275"/>
      <c r="K769" s="275"/>
      <c r="L769" s="240"/>
      <c r="M769" s="237"/>
      <c r="N769" s="237"/>
      <c r="O769" s="237"/>
      <c r="P769" s="237"/>
      <c r="Q769" s="237"/>
      <c r="R769" s="237"/>
    </row>
    <row r="770" spans="8:8" ht="15.75" customHeight="1">
      <c r="G770" s="241" t="b">
        <v>0</v>
      </c>
      <c r="I770" s="275"/>
      <c r="J770" s="275"/>
      <c r="K770" s="275"/>
      <c r="L770" s="240"/>
      <c r="M770" s="237"/>
      <c r="N770" s="237"/>
      <c r="O770" s="237"/>
      <c r="P770" s="237"/>
      <c r="Q770" s="237"/>
      <c r="R770" s="237"/>
    </row>
    <row r="771" spans="8:8" ht="15.75" customHeight="1">
      <c r="G771" s="241" t="b">
        <v>0</v>
      </c>
      <c r="I771" s="275"/>
      <c r="J771" s="275"/>
      <c r="K771" s="275"/>
      <c r="L771" s="240"/>
      <c r="M771" s="237"/>
      <c r="N771" s="237"/>
      <c r="O771" s="237"/>
      <c r="P771" s="237"/>
      <c r="Q771" s="237"/>
      <c r="R771" s="237"/>
    </row>
    <row r="772" spans="8:8" ht="15.75" customHeight="1">
      <c r="G772" s="241" t="b">
        <v>0</v>
      </c>
      <c r="I772" s="275"/>
      <c r="J772" s="275"/>
      <c r="K772" s="275"/>
      <c r="L772" s="240"/>
      <c r="M772" s="237"/>
      <c r="N772" s="237"/>
      <c r="O772" s="237"/>
      <c r="P772" s="237"/>
      <c r="Q772" s="237"/>
      <c r="R772" s="237"/>
    </row>
    <row r="773" spans="8:8" ht="15.75" customHeight="1">
      <c r="G773" s="241" t="b">
        <v>0</v>
      </c>
      <c r="I773" s="275"/>
      <c r="J773" s="275"/>
      <c r="K773" s="275"/>
      <c r="L773" s="240"/>
      <c r="M773" s="237"/>
      <c r="N773" s="237"/>
      <c r="O773" s="237"/>
      <c r="P773" s="237"/>
      <c r="Q773" s="237"/>
      <c r="R773" s="237"/>
    </row>
    <row r="774" spans="8:8" ht="15.75" customHeight="1">
      <c r="G774" s="241" t="b">
        <v>0</v>
      </c>
      <c r="I774" s="275"/>
      <c r="J774" s="275"/>
      <c r="K774" s="275"/>
      <c r="L774" s="240"/>
      <c r="M774" s="237"/>
      <c r="N774" s="237"/>
      <c r="O774" s="237"/>
      <c r="P774" s="237"/>
      <c r="Q774" s="237"/>
      <c r="R774" s="237"/>
    </row>
    <row r="775" spans="8:8" ht="15.75" customHeight="1">
      <c r="G775" s="241" t="b">
        <v>0</v>
      </c>
      <c r="I775" s="275"/>
      <c r="J775" s="275"/>
      <c r="K775" s="275"/>
      <c r="L775" s="240"/>
      <c r="M775" s="237"/>
      <c r="N775" s="237"/>
      <c r="O775" s="237"/>
      <c r="P775" s="237"/>
      <c r="Q775" s="237"/>
      <c r="R775" s="237"/>
    </row>
    <row r="776" spans="8:8" ht="15.75" customHeight="1">
      <c r="G776" s="241" t="b">
        <v>0</v>
      </c>
      <c r="I776" s="275"/>
      <c r="J776" s="275"/>
      <c r="K776" s="275"/>
      <c r="L776" s="240"/>
      <c r="M776" s="237"/>
      <c r="N776" s="237"/>
      <c r="O776" s="237"/>
      <c r="P776" s="237"/>
      <c r="Q776" s="237"/>
      <c r="R776" s="237"/>
    </row>
    <row r="777" spans="8:8" ht="15.75" customHeight="1">
      <c r="G777" s="241" t="b">
        <v>0</v>
      </c>
      <c r="I777" s="275"/>
      <c r="J777" s="275"/>
      <c r="K777" s="275"/>
      <c r="L777" s="240"/>
      <c r="M777" s="237"/>
      <c r="N777" s="237"/>
      <c r="O777" s="237"/>
      <c r="P777" s="237"/>
      <c r="Q777" s="237"/>
      <c r="R777" s="237"/>
    </row>
    <row r="778" spans="8:8" ht="15.75" customHeight="1">
      <c r="G778" s="241" t="b">
        <v>0</v>
      </c>
      <c r="I778" s="275"/>
      <c r="J778" s="275"/>
      <c r="K778" s="275"/>
      <c r="L778" s="240"/>
      <c r="M778" s="237"/>
      <c r="N778" s="237"/>
      <c r="O778" s="237"/>
      <c r="P778" s="237"/>
      <c r="Q778" s="237"/>
      <c r="R778" s="237"/>
    </row>
    <row r="779" spans="8:8" ht="15.75" customHeight="1">
      <c r="G779" s="241" t="b">
        <v>0</v>
      </c>
      <c r="I779" s="275"/>
      <c r="J779" s="275"/>
      <c r="K779" s="275"/>
      <c r="L779" s="240"/>
      <c r="M779" s="237"/>
      <c r="N779" s="237"/>
      <c r="O779" s="237"/>
      <c r="P779" s="237"/>
      <c r="Q779" s="237"/>
      <c r="R779" s="237"/>
    </row>
    <row r="780" spans="8:8" ht="15.75" customHeight="1">
      <c r="G780" s="241" t="b">
        <v>0</v>
      </c>
      <c r="I780" s="275"/>
      <c r="J780" s="275"/>
      <c r="K780" s="275"/>
      <c r="L780" s="240"/>
      <c r="M780" s="237"/>
      <c r="N780" s="237"/>
      <c r="O780" s="237"/>
      <c r="P780" s="237"/>
      <c r="Q780" s="237"/>
      <c r="R780" s="237"/>
    </row>
    <row r="781" spans="8:8" ht="15.75" customHeight="1">
      <c r="G781" s="241" t="b">
        <v>0</v>
      </c>
      <c r="I781" s="275"/>
      <c r="J781" s="275"/>
      <c r="K781" s="275"/>
      <c r="L781" s="240"/>
      <c r="M781" s="237"/>
      <c r="N781" s="237"/>
      <c r="O781" s="237"/>
      <c r="P781" s="237"/>
      <c r="Q781" s="237"/>
      <c r="R781" s="237"/>
    </row>
    <row r="782" spans="8:8" ht="15.75" customHeight="1">
      <c r="G782" s="241" t="b">
        <v>0</v>
      </c>
      <c r="I782" s="275"/>
      <c r="J782" s="275"/>
      <c r="K782" s="275"/>
      <c r="L782" s="240"/>
      <c r="M782" s="237"/>
      <c r="N782" s="237"/>
      <c r="O782" s="237"/>
      <c r="P782" s="237"/>
      <c r="Q782" s="237"/>
      <c r="R782" s="237"/>
    </row>
    <row r="783" spans="8:8" ht="15.75" customHeight="1">
      <c r="G783" s="241" t="b">
        <v>0</v>
      </c>
      <c r="I783" s="275"/>
      <c r="J783" s="275"/>
      <c r="K783" s="275"/>
      <c r="L783" s="240"/>
      <c r="M783" s="237"/>
      <c r="N783" s="237"/>
      <c r="O783" s="237"/>
      <c r="P783" s="237"/>
      <c r="Q783" s="237"/>
      <c r="R783" s="237"/>
    </row>
    <row r="784" spans="8:8" ht="15.75" customHeight="1">
      <c r="G784" s="241" t="b">
        <v>0</v>
      </c>
      <c r="I784" s="275"/>
      <c r="J784" s="275"/>
      <c r="K784" s="275"/>
      <c r="L784" s="240"/>
      <c r="M784" s="237"/>
      <c r="N784" s="237"/>
      <c r="O784" s="237"/>
      <c r="P784" s="237"/>
      <c r="Q784" s="237"/>
      <c r="R784" s="237"/>
    </row>
    <row r="785" spans="8:8" ht="15.75" customHeight="1">
      <c r="G785" s="241" t="b">
        <v>0</v>
      </c>
      <c r="I785" s="275"/>
      <c r="J785" s="275"/>
      <c r="K785" s="275"/>
      <c r="L785" s="240"/>
      <c r="M785" s="237"/>
      <c r="N785" s="237"/>
      <c r="O785" s="237"/>
      <c r="P785" s="237"/>
      <c r="Q785" s="237"/>
      <c r="R785" s="237"/>
    </row>
    <row r="786" spans="8:8" ht="15.75" customHeight="1">
      <c r="G786" s="241" t="b">
        <v>0</v>
      </c>
      <c r="I786" s="275"/>
      <c r="J786" s="275"/>
      <c r="K786" s="275"/>
      <c r="L786" s="240"/>
      <c r="M786" s="237"/>
      <c r="N786" s="237"/>
      <c r="O786" s="237"/>
      <c r="P786" s="237"/>
      <c r="Q786" s="237"/>
      <c r="R786" s="237"/>
    </row>
    <row r="787" spans="8:8" ht="15.75" customHeight="1">
      <c r="G787" s="241" t="b">
        <v>0</v>
      </c>
      <c r="I787" s="275"/>
      <c r="J787" s="275"/>
      <c r="K787" s="275"/>
      <c r="L787" s="240"/>
      <c r="M787" s="237"/>
      <c r="N787" s="237"/>
      <c r="O787" s="237"/>
      <c r="P787" s="237"/>
      <c r="Q787" s="237"/>
      <c r="R787" s="237"/>
    </row>
    <row r="788" spans="8:8" ht="15.75" customHeight="1">
      <c r="G788" s="241" t="b">
        <v>0</v>
      </c>
      <c r="I788" s="275"/>
      <c r="J788" s="275"/>
      <c r="K788" s="275"/>
      <c r="L788" s="240"/>
      <c r="M788" s="237"/>
      <c r="N788" s="237"/>
      <c r="O788" s="237"/>
      <c r="P788" s="237"/>
      <c r="Q788" s="237"/>
      <c r="R788" s="237"/>
    </row>
    <row r="789" spans="8:8" ht="15.75" customHeight="1">
      <c r="G789" s="241" t="b">
        <v>0</v>
      </c>
      <c r="I789" s="275"/>
      <c r="J789" s="275"/>
      <c r="K789" s="275"/>
      <c r="L789" s="240"/>
      <c r="M789" s="237"/>
      <c r="N789" s="237"/>
      <c r="O789" s="237"/>
      <c r="P789" s="237"/>
      <c r="Q789" s="237"/>
      <c r="R789" s="237"/>
    </row>
    <row r="790" spans="8:8" ht="15.75" customHeight="1">
      <c r="G790" s="241" t="b">
        <v>0</v>
      </c>
      <c r="I790" s="275"/>
      <c r="J790" s="275"/>
      <c r="K790" s="275"/>
      <c r="L790" s="240"/>
      <c r="M790" s="237"/>
      <c r="N790" s="237"/>
      <c r="O790" s="237"/>
      <c r="P790" s="237"/>
      <c r="Q790" s="237"/>
      <c r="R790" s="237"/>
    </row>
    <row r="791" spans="8:8" ht="15.75" customHeight="1">
      <c r="G791" s="241" t="b">
        <v>0</v>
      </c>
      <c r="I791" s="275"/>
      <c r="J791" s="275"/>
      <c r="K791" s="275"/>
      <c r="L791" s="240"/>
      <c r="M791" s="237"/>
      <c r="N791" s="237"/>
      <c r="O791" s="237"/>
      <c r="P791" s="237"/>
      <c r="Q791" s="237"/>
      <c r="R791" s="237"/>
    </row>
    <row r="792" spans="8:8" ht="15.75" customHeight="1">
      <c r="G792" s="241" t="b">
        <v>0</v>
      </c>
      <c r="I792" s="275"/>
      <c r="J792" s="275"/>
      <c r="K792" s="275"/>
      <c r="L792" s="240"/>
      <c r="M792" s="237"/>
      <c r="N792" s="237"/>
      <c r="O792" s="237"/>
      <c r="P792" s="237"/>
      <c r="Q792" s="237"/>
      <c r="R792" s="237"/>
    </row>
    <row r="793" spans="8:8" ht="15.75" customHeight="1">
      <c r="G793" s="241" t="b">
        <v>0</v>
      </c>
      <c r="I793" s="275"/>
      <c r="J793" s="275"/>
      <c r="K793" s="275"/>
      <c r="L793" s="240"/>
      <c r="M793" s="237"/>
      <c r="N793" s="237"/>
      <c r="O793" s="237"/>
      <c r="P793" s="237"/>
      <c r="Q793" s="237"/>
      <c r="R793" s="237"/>
    </row>
    <row r="794" spans="8:8" ht="15.75" customHeight="1">
      <c r="G794" s="241" t="b">
        <v>0</v>
      </c>
      <c r="I794" s="275"/>
      <c r="J794" s="275"/>
      <c r="K794" s="275"/>
      <c r="L794" s="240"/>
      <c r="M794" s="237"/>
      <c r="N794" s="237"/>
      <c r="O794" s="237"/>
      <c r="P794" s="237"/>
      <c r="Q794" s="237"/>
      <c r="R794" s="237"/>
    </row>
    <row r="795" spans="8:8" ht="15.75" customHeight="1">
      <c r="G795" s="241" t="b">
        <v>0</v>
      </c>
      <c r="I795" s="275"/>
      <c r="J795" s="275"/>
      <c r="K795" s="275"/>
      <c r="L795" s="240"/>
      <c r="M795" s="237"/>
      <c r="N795" s="237"/>
      <c r="O795" s="237"/>
      <c r="P795" s="237"/>
      <c r="Q795" s="237"/>
      <c r="R795" s="237"/>
    </row>
    <row r="796" spans="8:8" ht="15.75" customHeight="1">
      <c r="G796" s="241" t="b">
        <v>0</v>
      </c>
      <c r="I796" s="275"/>
      <c r="J796" s="275"/>
      <c r="K796" s="275"/>
      <c r="L796" s="240"/>
      <c r="M796" s="237"/>
      <c r="N796" s="237"/>
      <c r="O796" s="237"/>
      <c r="P796" s="237"/>
      <c r="Q796" s="237"/>
      <c r="R796" s="237"/>
    </row>
    <row r="797" spans="8:8" ht="15.75" customHeight="1">
      <c r="G797" s="241" t="b">
        <v>0</v>
      </c>
      <c r="I797" s="275"/>
      <c r="J797" s="275"/>
      <c r="K797" s="275"/>
      <c r="L797" s="240"/>
      <c r="M797" s="237"/>
      <c r="N797" s="237"/>
      <c r="O797" s="237"/>
      <c r="P797" s="237"/>
      <c r="Q797" s="237"/>
      <c r="R797" s="237"/>
    </row>
    <row r="798" spans="8:8" ht="15.75" customHeight="1">
      <c r="G798" s="241" t="b">
        <v>0</v>
      </c>
      <c r="I798" s="275"/>
      <c r="J798" s="275"/>
      <c r="K798" s="275"/>
      <c r="L798" s="240"/>
      <c r="M798" s="237"/>
      <c r="N798" s="237"/>
      <c r="O798" s="237"/>
      <c r="P798" s="237"/>
      <c r="Q798" s="237"/>
      <c r="R798" s="237"/>
    </row>
    <row r="799" spans="8:8" ht="15.75" customHeight="1">
      <c r="G799" s="241" t="b">
        <v>0</v>
      </c>
      <c r="I799" s="275"/>
      <c r="J799" s="275"/>
      <c r="K799" s="275"/>
      <c r="L799" s="240"/>
      <c r="M799" s="237"/>
      <c r="N799" s="237"/>
      <c r="O799" s="237"/>
      <c r="P799" s="237"/>
      <c r="Q799" s="237"/>
      <c r="R799" s="237"/>
    </row>
    <row r="800" spans="8:8" ht="15.75" customHeight="1">
      <c r="G800" s="241" t="b">
        <v>0</v>
      </c>
      <c r="I800" s="275"/>
      <c r="J800" s="275"/>
      <c r="K800" s="275"/>
      <c r="L800" s="240"/>
      <c r="M800" s="237"/>
      <c r="N800" s="237"/>
      <c r="O800" s="237"/>
      <c r="P800" s="237"/>
      <c r="Q800" s="237"/>
      <c r="R800" s="237"/>
    </row>
    <row r="801" spans="8:8" ht="15.75" customHeight="1">
      <c r="G801" s="241" t="b">
        <v>0</v>
      </c>
      <c r="I801" s="275"/>
      <c r="J801" s="275"/>
      <c r="K801" s="275"/>
      <c r="L801" s="276"/>
      <c r="M801" s="237"/>
      <c r="N801" s="237"/>
      <c r="O801" s="237"/>
      <c r="P801" s="237"/>
      <c r="Q801" s="237"/>
      <c r="R801" s="237"/>
    </row>
    <row r="802" spans="8:8" ht="15.75" customHeight="1">
      <c r="G802" s="241" t="b">
        <v>0</v>
      </c>
      <c r="I802" s="275"/>
      <c r="J802" s="275"/>
      <c r="K802" s="275"/>
      <c r="L802" s="240"/>
      <c r="M802" s="237"/>
      <c r="N802" s="237"/>
      <c r="O802" s="237"/>
      <c r="P802" s="237"/>
      <c r="Q802" s="237"/>
      <c r="R802" s="237"/>
    </row>
    <row r="803" spans="8:8" ht="15.75" customHeight="1">
      <c r="G803" s="241" t="b">
        <v>0</v>
      </c>
      <c r="I803" s="275"/>
      <c r="J803" s="275"/>
      <c r="K803" s="275"/>
      <c r="L803" s="240"/>
      <c r="M803" s="237"/>
      <c r="N803" s="237"/>
      <c r="O803" s="237"/>
      <c r="P803" s="237"/>
      <c r="Q803" s="237"/>
      <c r="R803" s="237"/>
    </row>
    <row r="804" spans="8:8" ht="15.75" customHeight="1">
      <c r="G804" s="241" t="b">
        <v>0</v>
      </c>
      <c r="I804" s="275"/>
      <c r="J804" s="275"/>
      <c r="K804" s="275"/>
      <c r="L804" s="240"/>
      <c r="M804" s="237"/>
      <c r="N804" s="237"/>
      <c r="O804" s="237"/>
      <c r="P804" s="237"/>
      <c r="Q804" s="237"/>
      <c r="R804" s="237"/>
    </row>
    <row r="805" spans="8:8" ht="15.75" customHeight="1">
      <c r="G805" s="241" t="b">
        <v>0</v>
      </c>
      <c r="I805" s="275"/>
      <c r="J805" s="275"/>
      <c r="K805" s="275"/>
      <c r="L805" s="240"/>
      <c r="M805" s="237"/>
      <c r="N805" s="237"/>
      <c r="O805" s="237"/>
      <c r="P805" s="237"/>
      <c r="Q805" s="237"/>
      <c r="R805" s="237"/>
    </row>
    <row r="806" spans="8:8" ht="15.75" customHeight="1">
      <c r="G806" s="241" t="b">
        <v>0</v>
      </c>
      <c r="I806" s="275"/>
      <c r="J806" s="275"/>
      <c r="K806" s="275"/>
      <c r="L806" s="240"/>
      <c r="M806" s="237"/>
      <c r="N806" s="237"/>
      <c r="O806" s="237"/>
      <c r="P806" s="237"/>
      <c r="Q806" s="237"/>
      <c r="R806" s="237"/>
    </row>
    <row r="807" spans="8:8" ht="15.75" customHeight="1">
      <c r="G807" s="241" t="b">
        <v>0</v>
      </c>
      <c r="I807" s="275"/>
      <c r="J807" s="275"/>
      <c r="K807" s="275"/>
      <c r="L807" s="240"/>
      <c r="M807" s="237"/>
      <c r="N807" s="237"/>
      <c r="O807" s="237"/>
      <c r="P807" s="237"/>
      <c r="Q807" s="237"/>
      <c r="R807" s="237"/>
    </row>
    <row r="808" spans="8:8" ht="15.75" customHeight="1">
      <c r="G808" s="241" t="b">
        <v>0</v>
      </c>
      <c r="I808" s="275"/>
      <c r="J808" s="275"/>
      <c r="K808" s="275"/>
      <c r="L808" s="240"/>
      <c r="M808" s="237"/>
      <c r="N808" s="237"/>
      <c r="O808" s="237"/>
      <c r="P808" s="237"/>
      <c r="Q808" s="237"/>
      <c r="R808" s="237"/>
    </row>
    <row r="809" spans="8:8" ht="15.75" customHeight="1">
      <c r="G809" s="241" t="b">
        <v>0</v>
      </c>
      <c r="I809" s="275"/>
      <c r="J809" s="275"/>
      <c r="K809" s="275"/>
      <c r="L809" s="240"/>
      <c r="M809" s="237"/>
      <c r="N809" s="237"/>
      <c r="O809" s="237"/>
      <c r="P809" s="237"/>
      <c r="Q809" s="237"/>
      <c r="R809" s="237"/>
    </row>
    <row r="810" spans="8:8" ht="15.75" customHeight="1">
      <c r="G810" s="241" t="b">
        <v>0</v>
      </c>
      <c r="I810" s="275"/>
      <c r="J810" s="275"/>
      <c r="K810" s="275"/>
      <c r="L810" s="240"/>
      <c r="M810" s="237"/>
      <c r="N810" s="237"/>
      <c r="O810" s="237"/>
      <c r="P810" s="237"/>
      <c r="Q810" s="237"/>
      <c r="R810" s="237"/>
    </row>
    <row r="811" spans="8:8" ht="15.75" customHeight="1">
      <c r="G811" s="241" t="b">
        <v>0</v>
      </c>
      <c r="I811" s="275"/>
      <c r="J811" s="275"/>
      <c r="K811" s="275"/>
      <c r="L811" s="240"/>
      <c r="M811" s="237"/>
      <c r="N811" s="237"/>
      <c r="O811" s="237"/>
      <c r="P811" s="237"/>
      <c r="Q811" s="237"/>
      <c r="R811" s="237"/>
    </row>
    <row r="812" spans="8:8" ht="15.75" customHeight="1">
      <c r="G812" s="241" t="b">
        <v>0</v>
      </c>
      <c r="I812" s="275"/>
      <c r="J812" s="275"/>
      <c r="K812" s="275"/>
      <c r="L812" s="240"/>
      <c r="M812" s="237"/>
      <c r="N812" s="237"/>
      <c r="O812" s="237"/>
      <c r="P812" s="237"/>
      <c r="Q812" s="237"/>
      <c r="R812" s="237"/>
    </row>
    <row r="813" spans="8:8" ht="15.75" customHeight="1">
      <c r="G813" s="241" t="b">
        <v>0</v>
      </c>
      <c r="I813" s="275"/>
      <c r="J813" s="275"/>
      <c r="K813" s="275"/>
      <c r="L813" s="240"/>
      <c r="M813" s="237"/>
      <c r="N813" s="237"/>
      <c r="O813" s="237"/>
      <c r="P813" s="237"/>
      <c r="Q813" s="237"/>
      <c r="R813" s="237"/>
    </row>
    <row r="814" spans="8:8" ht="15.75" customHeight="1">
      <c r="G814" s="241" t="b">
        <v>0</v>
      </c>
      <c r="I814" s="275"/>
      <c r="J814" s="275"/>
      <c r="K814" s="275"/>
      <c r="L814" s="240"/>
      <c r="M814" s="237"/>
      <c r="N814" s="237"/>
      <c r="O814" s="237"/>
      <c r="P814" s="237"/>
      <c r="Q814" s="237"/>
      <c r="R814" s="237"/>
    </row>
    <row r="815" spans="8:8" ht="15.75" customHeight="1">
      <c r="G815" s="241" t="b">
        <v>0</v>
      </c>
      <c r="I815" s="275"/>
      <c r="J815" s="275"/>
      <c r="K815" s="275"/>
      <c r="L815" s="240"/>
      <c r="M815" s="237"/>
      <c r="N815" s="237"/>
      <c r="O815" s="237"/>
      <c r="P815" s="237"/>
      <c r="Q815" s="237"/>
      <c r="R815" s="237"/>
    </row>
    <row r="816" spans="8:8" ht="15.75" customHeight="1">
      <c r="G816" s="241" t="b">
        <v>0</v>
      </c>
      <c r="I816" s="275"/>
      <c r="J816" s="275"/>
      <c r="K816" s="275"/>
      <c r="L816" s="240"/>
      <c r="M816" s="237"/>
      <c r="N816" s="237"/>
      <c r="O816" s="237"/>
      <c r="P816" s="237"/>
      <c r="Q816" s="237"/>
      <c r="R816" s="237"/>
    </row>
    <row r="817" spans="8:8" ht="15.75" customHeight="1">
      <c r="G817" s="241" t="b">
        <v>0</v>
      </c>
      <c r="I817" s="275"/>
      <c r="J817" s="275"/>
      <c r="K817" s="275"/>
      <c r="L817" s="240"/>
      <c r="M817" s="237"/>
      <c r="N817" s="237"/>
      <c r="O817" s="237"/>
      <c r="P817" s="237"/>
      <c r="Q817" s="237"/>
      <c r="R817" s="237"/>
    </row>
    <row r="818" spans="8:8" ht="15.75" customHeight="1">
      <c r="G818" s="241" t="b">
        <v>0</v>
      </c>
      <c r="I818" s="275"/>
      <c r="J818" s="275"/>
      <c r="K818" s="275"/>
      <c r="L818" s="240"/>
      <c r="M818" s="237"/>
      <c r="N818" s="237"/>
      <c r="O818" s="237"/>
      <c r="P818" s="237"/>
      <c r="Q818" s="237"/>
      <c r="R818" s="237"/>
    </row>
    <row r="819" spans="8:8" ht="15.75" customHeight="1">
      <c r="G819" s="241" t="b">
        <v>0</v>
      </c>
      <c r="I819" s="275"/>
      <c r="J819" s="275"/>
      <c r="K819" s="275"/>
      <c r="L819" s="240"/>
      <c r="M819" s="237"/>
      <c r="N819" s="237"/>
      <c r="O819" s="237"/>
      <c r="P819" s="237"/>
      <c r="Q819" s="237"/>
      <c r="R819" s="237"/>
    </row>
    <row r="820" spans="8:8" ht="15.75" customHeight="1">
      <c r="G820" s="241" t="b">
        <v>0</v>
      </c>
      <c r="I820" s="275"/>
      <c r="J820" s="275"/>
      <c r="K820" s="275"/>
      <c r="L820" s="240"/>
      <c r="M820" s="237"/>
      <c r="N820" s="237"/>
      <c r="O820" s="237"/>
      <c r="P820" s="237"/>
      <c r="Q820" s="237"/>
      <c r="R820" s="237"/>
    </row>
    <row r="821" spans="8:8" ht="15.75" customHeight="1">
      <c r="G821" s="241" t="b">
        <v>0</v>
      </c>
      <c r="I821" s="275"/>
      <c r="J821" s="275"/>
      <c r="K821" s="275"/>
      <c r="L821" s="240"/>
      <c r="M821" s="237"/>
      <c r="N821" s="237"/>
      <c r="O821" s="237"/>
      <c r="P821" s="237"/>
      <c r="Q821" s="237"/>
      <c r="R821" s="237"/>
    </row>
    <row r="822" spans="8:8" ht="15.75" customHeight="1">
      <c r="G822" s="241" t="b">
        <v>0</v>
      </c>
      <c r="I822" s="275"/>
      <c r="J822" s="275"/>
      <c r="K822" s="275"/>
      <c r="L822" s="240"/>
      <c r="M822" s="237"/>
      <c r="N822" s="237"/>
      <c r="O822" s="237"/>
      <c r="P822" s="237"/>
      <c r="Q822" s="237"/>
      <c r="R822" s="237"/>
    </row>
    <row r="823" spans="8:8" ht="15.75" customHeight="1">
      <c r="G823" s="241" t="b">
        <v>0</v>
      </c>
      <c r="I823" s="275"/>
      <c r="J823" s="275"/>
      <c r="K823" s="275"/>
      <c r="L823" s="240"/>
      <c r="M823" s="237"/>
      <c r="N823" s="237"/>
      <c r="O823" s="237"/>
      <c r="P823" s="237"/>
      <c r="Q823" s="237"/>
      <c r="R823" s="237"/>
    </row>
    <row r="824" spans="8:8" ht="15.75" customHeight="1">
      <c r="G824" s="241" t="b">
        <v>0</v>
      </c>
      <c r="I824" s="277"/>
      <c r="J824" s="277"/>
      <c r="K824" s="277"/>
      <c r="L824" s="240"/>
      <c r="M824" s="237"/>
      <c r="N824" s="237"/>
      <c r="O824" s="237"/>
      <c r="P824" s="237"/>
      <c r="Q824" s="237"/>
      <c r="R824" s="237"/>
    </row>
    <row r="825" spans="8:8" ht="15.75" customHeight="1">
      <c r="G825" s="241" t="b">
        <v>0</v>
      </c>
      <c r="I825" s="275"/>
      <c r="J825" s="275"/>
      <c r="K825" s="275"/>
      <c r="L825" s="240"/>
      <c r="M825" s="237"/>
      <c r="N825" s="237"/>
      <c r="O825" s="237"/>
      <c r="P825" s="237"/>
      <c r="Q825" s="237"/>
      <c r="R825" s="237"/>
    </row>
    <row r="826" spans="8:8" ht="15.75" customHeight="1">
      <c r="G826" s="241" t="b">
        <v>0</v>
      </c>
      <c r="I826" s="275"/>
      <c r="J826" s="275"/>
      <c r="K826" s="275"/>
      <c r="L826" s="240"/>
      <c r="M826" s="237"/>
      <c r="N826" s="237"/>
      <c r="O826" s="237"/>
      <c r="P826" s="237"/>
      <c r="Q826" s="237"/>
      <c r="R826" s="237"/>
    </row>
    <row r="827" spans="8:8" ht="15.75" customHeight="1">
      <c r="G827" s="241" t="b">
        <v>0</v>
      </c>
      <c r="I827" s="279"/>
      <c r="J827" s="279"/>
      <c r="K827" s="279"/>
      <c r="L827" s="240"/>
      <c r="M827" s="237"/>
      <c r="N827" s="237"/>
      <c r="O827" s="237"/>
      <c r="P827" s="237"/>
      <c r="Q827" s="237"/>
      <c r="R827" s="237"/>
    </row>
    <row r="828" spans="8:8" ht="15.75" customHeight="1">
      <c r="G828" s="241" t="b">
        <v>0</v>
      </c>
      <c r="I828" s="280"/>
      <c r="J828" s="280"/>
      <c r="K828" s="279"/>
      <c r="L828" s="240"/>
      <c r="M828" s="237"/>
      <c r="N828" s="237"/>
      <c r="O828" s="237"/>
      <c r="P828" s="237"/>
      <c r="Q828" s="237"/>
      <c r="R828" s="237"/>
    </row>
    <row r="829" spans="8:8" ht="15.75" customHeight="1">
      <c r="G829" s="241" t="b">
        <v>0</v>
      </c>
      <c r="I829" s="275"/>
      <c r="J829" s="275"/>
      <c r="K829" s="275"/>
      <c r="L829" s="240"/>
      <c r="M829" s="237"/>
      <c r="N829" s="237"/>
      <c r="O829" s="237"/>
      <c r="P829" s="237"/>
      <c r="Q829" s="237"/>
      <c r="R829" s="237"/>
    </row>
    <row r="830" spans="8:8" ht="15.75" customHeight="1">
      <c r="G830" s="241" t="b">
        <v>0</v>
      </c>
      <c r="I830" s="275"/>
      <c r="J830" s="275"/>
      <c r="K830" s="275"/>
      <c r="L830" s="240"/>
      <c r="M830" s="237"/>
      <c r="N830" s="237"/>
      <c r="O830" s="237"/>
      <c r="P830" s="237"/>
      <c r="Q830" s="237"/>
      <c r="R830" s="237"/>
    </row>
    <row r="831" spans="8:8" ht="15.75" customHeight="1">
      <c r="G831" s="241" t="b">
        <v>0</v>
      </c>
      <c r="I831" s="275"/>
      <c r="J831" s="275"/>
      <c r="K831" s="275"/>
      <c r="L831" s="240"/>
      <c r="M831" s="237"/>
      <c r="N831" s="237"/>
      <c r="O831" s="237"/>
      <c r="P831" s="237"/>
      <c r="Q831" s="237"/>
      <c r="R831" s="237"/>
    </row>
    <row r="832" spans="8:8" ht="15.75" customHeight="1">
      <c r="G832" s="241" t="b">
        <v>0</v>
      </c>
      <c r="I832" s="275"/>
      <c r="J832" s="275"/>
      <c r="K832" s="275"/>
      <c r="L832" s="240"/>
      <c r="M832" s="237"/>
      <c r="N832" s="237"/>
      <c r="O832" s="237"/>
      <c r="P832" s="237"/>
      <c r="Q832" s="237"/>
      <c r="R832" s="237"/>
    </row>
    <row r="833" spans="8:8" ht="15.75" customHeight="1">
      <c r="G833" s="241" t="b">
        <v>0</v>
      </c>
      <c r="I833" s="275"/>
      <c r="J833" s="275"/>
      <c r="K833" s="275"/>
      <c r="L833" s="240"/>
      <c r="M833" s="237"/>
      <c r="N833" s="237"/>
      <c r="O833" s="237"/>
      <c r="P833" s="237"/>
      <c r="Q833" s="237"/>
      <c r="R833" s="237"/>
    </row>
    <row r="834" spans="8:8" ht="15.75" customHeight="1">
      <c r="G834" s="241" t="b">
        <v>0</v>
      </c>
      <c r="I834" s="275"/>
      <c r="J834" s="275"/>
      <c r="K834" s="275"/>
      <c r="L834" s="240"/>
      <c r="M834" s="237"/>
      <c r="N834" s="237"/>
      <c r="O834" s="237"/>
      <c r="P834" s="237"/>
      <c r="Q834" s="237"/>
      <c r="R834" s="237"/>
    </row>
    <row r="835" spans="8:8" ht="15.75" customHeight="1">
      <c r="G835" s="241" t="b">
        <v>0</v>
      </c>
      <c r="I835" s="275"/>
      <c r="J835" s="275"/>
      <c r="K835" s="275"/>
      <c r="L835" s="240"/>
      <c r="M835" s="237"/>
      <c r="N835" s="237"/>
      <c r="O835" s="237"/>
      <c r="P835" s="237"/>
      <c r="Q835" s="237"/>
      <c r="R835" s="237"/>
    </row>
    <row r="836" spans="8:8" ht="15.75" customHeight="1">
      <c r="G836" s="241" t="b">
        <v>0</v>
      </c>
      <c r="I836" s="275"/>
      <c r="J836" s="275"/>
      <c r="K836" s="275"/>
      <c r="L836" s="240"/>
      <c r="M836" s="237"/>
      <c r="N836" s="237"/>
      <c r="O836" s="237"/>
      <c r="P836" s="237"/>
      <c r="Q836" s="237"/>
      <c r="R836" s="237"/>
    </row>
    <row r="837" spans="8:8" ht="15.75" customHeight="1">
      <c r="G837" s="241" t="b">
        <v>0</v>
      </c>
      <c r="I837" s="275"/>
      <c r="J837" s="275"/>
      <c r="K837" s="275"/>
      <c r="L837" s="267"/>
      <c r="M837" s="237"/>
      <c r="N837" s="237"/>
      <c r="O837" s="237"/>
      <c r="P837" s="237"/>
      <c r="Q837" s="237"/>
      <c r="R837" s="237"/>
    </row>
    <row r="838" spans="8:8" ht="15.75" customHeight="1">
      <c r="G838" s="241" t="b">
        <v>0</v>
      </c>
      <c r="I838" s="275"/>
      <c r="J838" s="275"/>
      <c r="K838" s="275"/>
      <c r="L838" s="276"/>
      <c r="M838" s="237"/>
      <c r="N838" s="237"/>
      <c r="O838" s="237"/>
      <c r="P838" s="237"/>
      <c r="Q838" s="237"/>
      <c r="R838" s="237"/>
    </row>
    <row r="839" spans="8:8" ht="15.75" customHeight="1">
      <c r="G839" s="241" t="b">
        <v>0</v>
      </c>
      <c r="I839" s="275"/>
      <c r="J839" s="275"/>
      <c r="K839" s="275"/>
      <c r="L839" s="257"/>
      <c r="M839" s="237"/>
      <c r="N839" s="237"/>
      <c r="O839" s="237"/>
      <c r="P839" s="237"/>
      <c r="Q839" s="237"/>
      <c r="R839" s="237"/>
    </row>
    <row r="840" spans="8:8" ht="15.75" customHeight="1">
      <c r="G840" s="241" t="b">
        <v>0</v>
      </c>
      <c r="I840" s="275"/>
      <c r="J840" s="275"/>
      <c r="K840" s="275"/>
      <c r="L840" s="257"/>
      <c r="M840" s="237"/>
      <c r="N840" s="237"/>
      <c r="O840" s="237"/>
      <c r="P840" s="237"/>
      <c r="Q840" s="237"/>
      <c r="R840" s="237"/>
    </row>
    <row r="841" spans="8:8" ht="15.75" customHeight="1">
      <c r="G841" s="241" t="b">
        <v>0</v>
      </c>
      <c r="I841" s="275"/>
      <c r="J841" s="275"/>
      <c r="K841" s="275"/>
      <c r="L841" s="240"/>
      <c r="M841" s="237"/>
      <c r="N841" s="237"/>
      <c r="O841" s="237"/>
      <c r="P841" s="237"/>
      <c r="Q841" s="237"/>
      <c r="R841" s="237"/>
    </row>
    <row r="842" spans="8:8" ht="15.75" customHeight="1">
      <c r="G842" s="241" t="b">
        <v>0</v>
      </c>
      <c r="I842" s="275"/>
      <c r="J842" s="275"/>
      <c r="K842" s="275"/>
      <c r="L842" s="240"/>
      <c r="M842" s="237"/>
      <c r="N842" s="237"/>
      <c r="O842" s="237"/>
      <c r="P842" s="237"/>
      <c r="Q842" s="237"/>
      <c r="R842" s="237"/>
    </row>
    <row r="843" spans="8:8" ht="15.75" customHeight="1">
      <c r="G843" s="241" t="b">
        <v>0</v>
      </c>
      <c r="I843" s="275"/>
      <c r="J843" s="275"/>
      <c r="K843" s="275"/>
      <c r="L843" s="240"/>
      <c r="M843" s="237"/>
      <c r="N843" s="237"/>
      <c r="O843" s="237"/>
      <c r="P843" s="237"/>
      <c r="Q843" s="237"/>
      <c r="R843" s="237"/>
    </row>
    <row r="844" spans="8:8" ht="15.75" customHeight="1">
      <c r="G844" s="241" t="b">
        <v>0</v>
      </c>
      <c r="I844" s="275"/>
      <c r="J844" s="275"/>
      <c r="K844" s="275"/>
      <c r="L844" s="240"/>
      <c r="M844" s="237"/>
      <c r="N844" s="237"/>
      <c r="O844" s="237"/>
      <c r="P844" s="237"/>
      <c r="Q844" s="237"/>
      <c r="R844" s="237"/>
    </row>
    <row r="845" spans="8:8" ht="15.75" customHeight="1">
      <c r="G845" s="241" t="b">
        <v>0</v>
      </c>
      <c r="I845" s="275"/>
      <c r="J845" s="275"/>
      <c r="K845" s="275"/>
      <c r="L845" s="240"/>
      <c r="M845" s="237"/>
      <c r="N845" s="237"/>
      <c r="O845" s="237"/>
      <c r="P845" s="237"/>
      <c r="Q845" s="237"/>
      <c r="R845" s="237"/>
    </row>
    <row r="846" spans="8:8" ht="15.75" customHeight="1">
      <c r="G846" s="241" t="b">
        <v>0</v>
      </c>
      <c r="I846" s="275"/>
      <c r="J846" s="275"/>
      <c r="K846" s="275"/>
      <c r="L846" s="240"/>
      <c r="M846" s="237"/>
      <c r="N846" s="237"/>
      <c r="O846" s="237"/>
      <c r="P846" s="237"/>
      <c r="Q846" s="237"/>
      <c r="R846" s="237"/>
    </row>
    <row r="847" spans="8:8" ht="15.75" customHeight="1">
      <c r="G847" s="241" t="b">
        <v>0</v>
      </c>
      <c r="I847" s="275"/>
      <c r="J847" s="275"/>
      <c r="K847" s="275"/>
      <c r="L847" s="240"/>
      <c r="M847" s="237"/>
      <c r="N847" s="237"/>
      <c r="O847" s="237"/>
      <c r="P847" s="237"/>
      <c r="Q847" s="237"/>
      <c r="R847" s="237"/>
    </row>
    <row r="848" spans="8:8" ht="15.75" customHeight="1">
      <c r="G848" s="241" t="b">
        <v>0</v>
      </c>
      <c r="I848" s="275"/>
      <c r="J848" s="275"/>
      <c r="K848" s="275"/>
      <c r="L848" s="240"/>
      <c r="M848" s="237"/>
      <c r="N848" s="237"/>
      <c r="O848" s="237"/>
      <c r="P848" s="237"/>
      <c r="Q848" s="237"/>
      <c r="R848" s="237"/>
    </row>
    <row r="849" spans="8:8" ht="15.75" customHeight="1">
      <c r="G849" s="241" t="b">
        <v>0</v>
      </c>
      <c r="I849" s="275"/>
      <c r="J849" s="275"/>
      <c r="K849" s="275"/>
      <c r="L849" s="240"/>
      <c r="M849" s="237"/>
      <c r="N849" s="237"/>
      <c r="O849" s="237"/>
      <c r="P849" s="237"/>
      <c r="Q849" s="237"/>
      <c r="R849" s="237"/>
    </row>
    <row r="850" spans="8:8" ht="15.75" customHeight="1">
      <c r="G850" s="241" t="b">
        <v>0</v>
      </c>
      <c r="I850" s="275"/>
      <c r="J850" s="275"/>
      <c r="K850" s="275"/>
      <c r="L850" s="240"/>
      <c r="M850" s="237"/>
      <c r="N850" s="237"/>
      <c r="O850" s="237"/>
      <c r="P850" s="237"/>
      <c r="Q850" s="237"/>
      <c r="R850" s="237"/>
    </row>
    <row r="851" spans="8:8" ht="15.75" customHeight="1">
      <c r="G851" s="241" t="b">
        <v>0</v>
      </c>
      <c r="I851" s="275"/>
      <c r="J851" s="275"/>
      <c r="K851" s="275"/>
      <c r="L851" s="240"/>
      <c r="M851" s="237"/>
      <c r="N851" s="237"/>
      <c r="O851" s="237"/>
      <c r="P851" s="237"/>
      <c r="Q851" s="237"/>
      <c r="R851" s="237"/>
    </row>
    <row r="852" spans="8:8" ht="15.75" customHeight="1">
      <c r="G852" s="241" t="b">
        <v>0</v>
      </c>
      <c r="I852" s="275"/>
      <c r="J852" s="275"/>
      <c r="K852" s="275"/>
      <c r="L852" s="240"/>
      <c r="M852" s="237"/>
      <c r="N852" s="237"/>
      <c r="O852" s="237"/>
      <c r="P852" s="237"/>
      <c r="Q852" s="237"/>
      <c r="R852" s="237"/>
    </row>
    <row r="853" spans="8:8" ht="15.75" customHeight="1">
      <c r="G853" s="241" t="b">
        <v>0</v>
      </c>
      <c r="I853" s="275"/>
      <c r="J853" s="275"/>
      <c r="K853" s="275"/>
      <c r="L853" s="240"/>
      <c r="M853" s="237"/>
      <c r="N853" s="237"/>
      <c r="O853" s="237"/>
      <c r="P853" s="237"/>
      <c r="Q853" s="237"/>
      <c r="R853" s="237"/>
    </row>
    <row r="854" spans="8:8" ht="15.75" customHeight="1">
      <c r="G854" s="241" t="b">
        <v>0</v>
      </c>
      <c r="I854" s="275"/>
      <c r="J854" s="275"/>
      <c r="K854" s="275"/>
      <c r="L854" s="240"/>
      <c r="M854" s="237"/>
      <c r="N854" s="237"/>
      <c r="O854" s="237"/>
      <c r="P854" s="237"/>
      <c r="Q854" s="237"/>
      <c r="R854" s="237"/>
    </row>
    <row r="855" spans="8:8" ht="15.75" customHeight="1">
      <c r="G855" s="241" t="b">
        <v>0</v>
      </c>
      <c r="I855" s="275"/>
      <c r="J855" s="275"/>
      <c r="K855" s="275"/>
      <c r="L855" s="240"/>
      <c r="M855" s="237"/>
      <c r="N855" s="237"/>
      <c r="O855" s="237"/>
      <c r="P855" s="237"/>
      <c r="Q855" s="237"/>
      <c r="R855" s="237"/>
    </row>
    <row r="856" spans="8:8" ht="15.75" customHeight="1">
      <c r="G856" s="241" t="b">
        <v>0</v>
      </c>
      <c r="I856" s="275"/>
      <c r="J856" s="275"/>
      <c r="K856" s="275"/>
      <c r="L856" s="240"/>
      <c r="M856" s="237"/>
      <c r="N856" s="237"/>
      <c r="O856" s="237"/>
      <c r="P856" s="237"/>
      <c r="Q856" s="237"/>
      <c r="R856" s="237"/>
    </row>
    <row r="857" spans="8:8" ht="15.75" customHeight="1">
      <c r="G857" s="241" t="b">
        <v>0</v>
      </c>
      <c r="I857" s="275"/>
      <c r="J857" s="275"/>
      <c r="K857" s="275"/>
      <c r="L857" s="240"/>
      <c r="M857" s="237"/>
      <c r="N857" s="237"/>
      <c r="O857" s="237"/>
      <c r="P857" s="237"/>
      <c r="Q857" s="237"/>
      <c r="R857" s="237"/>
    </row>
    <row r="858" spans="8:8" ht="15.75" customHeight="1">
      <c r="G858" s="241" t="b">
        <v>0</v>
      </c>
      <c r="I858" s="275"/>
      <c r="J858" s="275"/>
      <c r="K858" s="275"/>
      <c r="L858" s="240"/>
      <c r="M858" s="237"/>
      <c r="N858" s="237"/>
      <c r="O858" s="237"/>
      <c r="P858" s="237"/>
      <c r="Q858" s="237"/>
      <c r="R858" s="237"/>
    </row>
    <row r="859" spans="8:8" ht="15.75" customHeight="1">
      <c r="G859" s="241" t="b">
        <v>0</v>
      </c>
      <c r="I859" s="275"/>
      <c r="J859" s="275"/>
      <c r="K859" s="275"/>
      <c r="L859" s="240"/>
      <c r="M859" s="237"/>
      <c r="N859" s="237"/>
      <c r="O859" s="237"/>
      <c r="P859" s="237"/>
      <c r="Q859" s="237"/>
      <c r="R859" s="237"/>
    </row>
    <row r="860" spans="8:8" ht="15.75" customHeight="1">
      <c r="G860" s="241" t="b">
        <v>0</v>
      </c>
      <c r="I860" s="275"/>
      <c r="J860" s="275"/>
      <c r="K860" s="275"/>
      <c r="L860" s="240"/>
      <c r="M860" s="237"/>
      <c r="N860" s="237"/>
      <c r="O860" s="237"/>
      <c r="P860" s="237"/>
      <c r="Q860" s="237"/>
      <c r="R860" s="237"/>
    </row>
    <row r="861" spans="8:8" ht="15.75" customHeight="1">
      <c r="G861" s="241" t="b">
        <v>0</v>
      </c>
      <c r="I861" s="275"/>
      <c r="J861" s="275"/>
      <c r="K861" s="275"/>
      <c r="L861" s="240"/>
      <c r="M861" s="237"/>
      <c r="N861" s="237"/>
      <c r="O861" s="237"/>
      <c r="P861" s="237"/>
      <c r="Q861" s="237"/>
      <c r="R861" s="237"/>
    </row>
    <row r="862" spans="8:8" ht="15.75" customHeight="1">
      <c r="G862" s="241" t="b">
        <v>0</v>
      </c>
      <c r="I862" s="275"/>
      <c r="J862" s="275"/>
      <c r="K862" s="275"/>
      <c r="L862" s="276"/>
      <c r="M862" s="237"/>
      <c r="N862" s="237"/>
      <c r="O862" s="237"/>
      <c r="P862" s="237"/>
      <c r="Q862" s="237"/>
      <c r="R862" s="237"/>
    </row>
    <row r="863" spans="8:8" ht="15.75" customHeight="1">
      <c r="G863" s="241" t="b">
        <v>0</v>
      </c>
      <c r="I863" s="275"/>
      <c r="J863" s="275"/>
      <c r="K863" s="275"/>
      <c r="L863" s="240"/>
      <c r="M863" s="237"/>
      <c r="N863" s="237"/>
      <c r="O863" s="237"/>
      <c r="P863" s="237"/>
      <c r="Q863" s="237"/>
      <c r="R863" s="237"/>
    </row>
    <row r="864" spans="8:8" ht="15.75" customHeight="1">
      <c r="G864" s="241" t="b">
        <v>0</v>
      </c>
      <c r="I864" s="275"/>
      <c r="J864" s="275"/>
      <c r="K864" s="275"/>
      <c r="L864" s="240"/>
      <c r="M864" s="237"/>
      <c r="N864" s="237"/>
      <c r="O864" s="237"/>
      <c r="P864" s="237"/>
      <c r="Q864" s="237"/>
      <c r="R864" s="237"/>
    </row>
    <row r="865" spans="8:8" ht="15.75" customHeight="1">
      <c r="G865" s="241" t="b">
        <v>0</v>
      </c>
      <c r="I865" s="275"/>
      <c r="J865" s="275"/>
      <c r="K865" s="275"/>
      <c r="L865" s="240"/>
      <c r="M865" s="237"/>
      <c r="N865" s="237"/>
      <c r="O865" s="237"/>
      <c r="P865" s="237"/>
      <c r="Q865" s="237"/>
      <c r="R865" s="237"/>
    </row>
    <row r="866" spans="8:8" ht="15.75" customHeight="1">
      <c r="G866" s="241" t="b">
        <v>0</v>
      </c>
      <c r="I866" s="275"/>
      <c r="J866" s="275"/>
      <c r="K866" s="275"/>
      <c r="L866" s="240"/>
      <c r="M866" s="237"/>
      <c r="N866" s="237"/>
      <c r="O866" s="237"/>
      <c r="P866" s="237"/>
      <c r="Q866" s="237"/>
      <c r="R866" s="237"/>
    </row>
    <row r="867" spans="8:8" ht="15.75" customHeight="1">
      <c r="G867" s="241" t="b">
        <v>0</v>
      </c>
      <c r="I867" s="275"/>
      <c r="J867" s="275"/>
      <c r="K867" s="275"/>
      <c r="L867" s="240"/>
      <c r="M867" s="237"/>
      <c r="N867" s="237"/>
      <c r="O867" s="237"/>
      <c r="P867" s="237"/>
      <c r="Q867" s="237"/>
      <c r="R867" s="237"/>
    </row>
    <row r="868" spans="8:8" ht="15.75" customHeight="1">
      <c r="G868" s="241" t="b">
        <v>0</v>
      </c>
      <c r="I868" s="275"/>
      <c r="J868" s="275"/>
      <c r="K868" s="275"/>
      <c r="L868" s="240"/>
      <c r="M868" s="237"/>
      <c r="N868" s="237"/>
      <c r="O868" s="237"/>
      <c r="P868" s="237"/>
      <c r="Q868" s="237"/>
      <c r="R868" s="237"/>
    </row>
    <row r="869" spans="8:8" ht="15.75" customHeight="1">
      <c r="G869" s="241" t="b">
        <v>0</v>
      </c>
      <c r="I869" s="275"/>
      <c r="J869" s="275"/>
      <c r="K869" s="275"/>
      <c r="L869" s="240"/>
      <c r="M869" s="237"/>
      <c r="N869" s="237"/>
      <c r="O869" s="237"/>
      <c r="P869" s="237"/>
      <c r="Q869" s="237"/>
      <c r="R869" s="237"/>
    </row>
    <row r="870" spans="8:8" ht="15.75" customHeight="1">
      <c r="G870" s="241" t="b">
        <v>0</v>
      </c>
      <c r="I870" s="275"/>
      <c r="J870" s="275"/>
      <c r="K870" s="275"/>
      <c r="L870" s="240"/>
      <c r="M870" s="237"/>
      <c r="N870" s="237"/>
      <c r="O870" s="237"/>
      <c r="P870" s="237"/>
      <c r="Q870" s="237"/>
      <c r="R870" s="237"/>
    </row>
    <row r="871" spans="8:8" ht="15.75" customHeight="1">
      <c r="G871" s="241" t="b">
        <v>0</v>
      </c>
      <c r="I871" s="275"/>
      <c r="J871" s="275"/>
      <c r="K871" s="275"/>
      <c r="L871" s="240"/>
      <c r="M871" s="237"/>
      <c r="N871" s="237"/>
      <c r="O871" s="237"/>
      <c r="P871" s="237"/>
      <c r="Q871" s="237"/>
      <c r="R871" s="237"/>
    </row>
    <row r="872" spans="8:8" ht="15.75" customHeight="1">
      <c r="G872" s="241" t="b">
        <v>0</v>
      </c>
      <c r="I872" s="275"/>
      <c r="J872" s="275"/>
      <c r="K872" s="275"/>
      <c r="L872" s="240"/>
      <c r="M872" s="237"/>
      <c r="N872" s="237"/>
      <c r="O872" s="237"/>
      <c r="P872" s="237"/>
      <c r="Q872" s="237"/>
      <c r="R872" s="237"/>
    </row>
    <row r="873" spans="8:8" ht="15.75" customHeight="1">
      <c r="G873" s="241" t="b">
        <v>0</v>
      </c>
      <c r="I873" s="275"/>
      <c r="J873" s="275"/>
      <c r="K873" s="275"/>
      <c r="L873" s="240"/>
      <c r="M873" s="237"/>
      <c r="N873" s="237"/>
      <c r="O873" s="237"/>
      <c r="P873" s="237"/>
      <c r="Q873" s="237"/>
      <c r="R873" s="237"/>
    </row>
    <row r="874" spans="8:8" ht="15.75" customHeight="1">
      <c r="G874" s="241" t="b">
        <v>0</v>
      </c>
      <c r="I874" s="275"/>
      <c r="J874" s="275"/>
      <c r="K874" s="275"/>
      <c r="L874" s="240"/>
      <c r="M874" s="237"/>
      <c r="N874" s="237"/>
      <c r="O874" s="237"/>
      <c r="P874" s="237"/>
      <c r="Q874" s="237"/>
      <c r="R874" s="237"/>
    </row>
    <row r="875" spans="8:8" ht="15.75" customHeight="1">
      <c r="G875" s="241" t="b">
        <v>0</v>
      </c>
      <c r="I875" s="275"/>
      <c r="J875" s="275"/>
      <c r="K875" s="275"/>
      <c r="L875" s="240"/>
      <c r="M875" s="237"/>
      <c r="N875" s="237"/>
      <c r="O875" s="237"/>
      <c r="P875" s="237"/>
      <c r="Q875" s="237"/>
      <c r="R875" s="237"/>
    </row>
    <row r="876" spans="8:8" ht="15.75" customHeight="1">
      <c r="G876" s="241" t="b">
        <v>0</v>
      </c>
      <c r="I876" s="275"/>
      <c r="J876" s="275"/>
      <c r="K876" s="275"/>
      <c r="L876" s="240"/>
      <c r="M876" s="237"/>
      <c r="N876" s="237"/>
      <c r="O876" s="237"/>
      <c r="P876" s="237"/>
      <c r="Q876" s="237"/>
      <c r="R876" s="237"/>
    </row>
    <row r="877" spans="8:8" ht="15.75" customHeight="1">
      <c r="G877" s="241" t="b">
        <v>0</v>
      </c>
      <c r="I877" s="275"/>
      <c r="J877" s="275"/>
      <c r="K877" s="275"/>
      <c r="L877" s="240"/>
      <c r="M877" s="237"/>
      <c r="N877" s="237"/>
      <c r="O877" s="237"/>
      <c r="P877" s="237"/>
      <c r="Q877" s="237"/>
      <c r="R877" s="237"/>
    </row>
    <row r="878" spans="8:8" ht="15.75" customHeight="1">
      <c r="G878" s="241" t="b">
        <v>0</v>
      </c>
      <c r="I878" s="275"/>
      <c r="J878" s="275"/>
      <c r="K878" s="275"/>
      <c r="L878" s="240"/>
      <c r="M878" s="237"/>
      <c r="N878" s="237"/>
      <c r="O878" s="237"/>
      <c r="P878" s="237"/>
      <c r="Q878" s="237"/>
      <c r="R878" s="237"/>
    </row>
    <row r="879" spans="8:8" ht="15.75" customHeight="1">
      <c r="G879" s="241" t="b">
        <v>0</v>
      </c>
      <c r="I879" s="275"/>
      <c r="J879" s="275"/>
      <c r="K879" s="275"/>
      <c r="L879" s="240"/>
      <c r="M879" s="237"/>
      <c r="N879" s="237"/>
      <c r="O879" s="237"/>
      <c r="P879" s="237"/>
      <c r="Q879" s="237"/>
      <c r="R879" s="237"/>
    </row>
    <row r="880" spans="8:8" ht="15.75" customHeight="1">
      <c r="G880" s="241" t="b">
        <v>0</v>
      </c>
      <c r="I880" s="275"/>
      <c r="J880" s="275"/>
      <c r="K880" s="275"/>
      <c r="L880" s="240"/>
      <c r="M880" s="237"/>
      <c r="N880" s="237"/>
      <c r="O880" s="237"/>
      <c r="P880" s="237"/>
      <c r="Q880" s="237"/>
      <c r="R880" s="237"/>
    </row>
    <row r="881" spans="8:8" ht="15.75" customHeight="1">
      <c r="G881" s="241" t="b">
        <v>0</v>
      </c>
      <c r="I881" s="275"/>
      <c r="J881" s="275"/>
      <c r="K881" s="275"/>
      <c r="L881" s="240"/>
      <c r="M881" s="237"/>
      <c r="N881" s="237"/>
      <c r="O881" s="237"/>
      <c r="P881" s="237"/>
      <c r="Q881" s="237"/>
      <c r="R881" s="237"/>
    </row>
    <row r="882" spans="8:8" ht="15.75" customHeight="1">
      <c r="G882" s="241" t="b">
        <v>0</v>
      </c>
      <c r="I882" s="275"/>
      <c r="J882" s="275"/>
      <c r="K882" s="275"/>
      <c r="L882" s="240"/>
      <c r="M882" s="237"/>
      <c r="N882" s="237"/>
      <c r="O882" s="237"/>
      <c r="P882" s="237"/>
      <c r="Q882" s="237"/>
      <c r="R882" s="237"/>
    </row>
    <row r="883" spans="8:8" ht="15.75" customHeight="1">
      <c r="G883" s="241" t="b">
        <v>0</v>
      </c>
      <c r="I883" s="275"/>
      <c r="J883" s="275"/>
      <c r="K883" s="275"/>
      <c r="L883" s="240"/>
      <c r="M883" s="237"/>
      <c r="N883" s="237"/>
      <c r="O883" s="237"/>
      <c r="P883" s="237"/>
      <c r="Q883" s="237"/>
      <c r="R883" s="237"/>
    </row>
    <row r="884" spans="8:8" ht="15.75" customHeight="1">
      <c r="G884" s="241" t="b">
        <v>0</v>
      </c>
      <c r="I884" s="275"/>
      <c r="J884" s="275"/>
      <c r="K884" s="275"/>
      <c r="L884" s="240"/>
      <c r="M884" s="237"/>
      <c r="N884" s="237"/>
      <c r="O884" s="237"/>
      <c r="P884" s="237"/>
      <c r="Q884" s="237"/>
      <c r="R884" s="237"/>
    </row>
    <row r="885" spans="8:8" ht="15.75" customHeight="1">
      <c r="G885" s="241" t="b">
        <v>0</v>
      </c>
      <c r="I885" s="275"/>
      <c r="J885" s="275"/>
      <c r="K885" s="275"/>
      <c r="L885" s="240"/>
      <c r="M885" s="237"/>
      <c r="N885" s="237"/>
      <c r="O885" s="237"/>
      <c r="P885" s="237"/>
      <c r="Q885" s="237"/>
      <c r="R885" s="237"/>
    </row>
    <row r="886" spans="8:8" ht="15.75" customHeight="1">
      <c r="G886" s="241" t="b">
        <v>0</v>
      </c>
      <c r="I886" s="275"/>
      <c r="J886" s="275"/>
      <c r="K886" s="275"/>
      <c r="L886" s="240"/>
      <c r="M886" s="237"/>
      <c r="N886" s="237"/>
      <c r="O886" s="237"/>
      <c r="P886" s="237"/>
      <c r="Q886" s="237"/>
      <c r="R886" s="237"/>
    </row>
    <row r="887" spans="8:8" ht="15.75" customHeight="1">
      <c r="G887" s="241" t="b">
        <v>0</v>
      </c>
      <c r="I887" s="275"/>
      <c r="J887" s="275"/>
      <c r="K887" s="275"/>
      <c r="L887" s="276"/>
      <c r="M887" s="237"/>
      <c r="N887" s="237"/>
      <c r="O887" s="237"/>
      <c r="P887" s="237"/>
      <c r="Q887" s="237"/>
      <c r="R887" s="237"/>
    </row>
    <row r="888" spans="8:8" ht="15.75" customHeight="1">
      <c r="G888" s="241" t="b">
        <v>0</v>
      </c>
      <c r="I888" s="275"/>
      <c r="J888" s="275"/>
      <c r="K888" s="275"/>
      <c r="L888" s="240"/>
      <c r="M888" s="237"/>
      <c r="N888" s="237"/>
      <c r="O888" s="237"/>
      <c r="P888" s="237"/>
      <c r="Q888" s="237"/>
      <c r="R888" s="237"/>
    </row>
    <row r="889" spans="8:8" ht="15.75" customHeight="1">
      <c r="G889" s="241" t="b">
        <v>0</v>
      </c>
      <c r="I889" s="275"/>
      <c r="J889" s="275"/>
      <c r="K889" s="275"/>
      <c r="L889" s="240"/>
      <c r="M889" s="237"/>
      <c r="N889" s="237"/>
      <c r="O889" s="237"/>
      <c r="P889" s="237"/>
      <c r="Q889" s="237"/>
      <c r="R889" s="237"/>
    </row>
    <row r="890" spans="8:8" ht="15.75" customHeight="1">
      <c r="G890" s="241" t="b">
        <v>0</v>
      </c>
      <c r="I890" s="275"/>
      <c r="J890" s="275"/>
      <c r="K890" s="275"/>
      <c r="L890" s="240"/>
      <c r="M890" s="237"/>
      <c r="N890" s="237"/>
      <c r="O890" s="237"/>
      <c r="P890" s="237"/>
      <c r="Q890" s="237"/>
      <c r="R890" s="237"/>
    </row>
    <row r="891" spans="8:8" ht="15.75" customHeight="1">
      <c r="G891" s="241" t="b">
        <v>0</v>
      </c>
      <c r="I891" s="275"/>
      <c r="J891" s="275"/>
      <c r="K891" s="275"/>
      <c r="L891" s="240"/>
      <c r="M891" s="237"/>
      <c r="N891" s="237"/>
      <c r="O891" s="237"/>
      <c r="P891" s="237"/>
      <c r="Q891" s="237"/>
      <c r="R891" s="237"/>
    </row>
    <row r="892" spans="8:8" ht="15.75" customHeight="1">
      <c r="G892" s="241" t="b">
        <v>0</v>
      </c>
      <c r="I892" s="275"/>
      <c r="J892" s="275"/>
      <c r="K892" s="275"/>
      <c r="L892" s="240"/>
      <c r="M892" s="237"/>
      <c r="N892" s="237"/>
      <c r="O892" s="237"/>
      <c r="P892" s="237"/>
      <c r="Q892" s="237"/>
      <c r="R892" s="237"/>
    </row>
    <row r="893" spans="8:8" ht="15.75" customHeight="1">
      <c r="G893" s="241" t="b">
        <v>0</v>
      </c>
      <c r="I893" s="275"/>
      <c r="J893" s="275"/>
      <c r="K893" s="275"/>
      <c r="L893" s="240"/>
      <c r="M893" s="237"/>
      <c r="N893" s="237"/>
      <c r="O893" s="237"/>
      <c r="P893" s="237"/>
      <c r="Q893" s="237"/>
      <c r="R893" s="237"/>
    </row>
    <row r="894" spans="8:8" ht="15.75" customHeight="1">
      <c r="G894" s="241" t="b">
        <v>0</v>
      </c>
      <c r="I894" s="275"/>
      <c r="J894" s="275"/>
      <c r="K894" s="275"/>
      <c r="L894" s="240"/>
      <c r="M894" s="237"/>
      <c r="N894" s="237"/>
      <c r="O894" s="237"/>
      <c r="P894" s="237"/>
      <c r="Q894" s="237"/>
      <c r="R894" s="237"/>
    </row>
    <row r="895" spans="8:8" ht="15.75" customHeight="1">
      <c r="G895" s="241" t="b">
        <v>0</v>
      </c>
      <c r="I895" s="275"/>
      <c r="J895" s="275"/>
      <c r="K895" s="275"/>
      <c r="L895" s="240"/>
      <c r="M895" s="237"/>
      <c r="N895" s="237"/>
      <c r="O895" s="237"/>
      <c r="P895" s="237"/>
      <c r="Q895" s="237"/>
      <c r="R895" s="237"/>
    </row>
    <row r="896" spans="8:8" ht="15.75" customHeight="1">
      <c r="G896" s="241" t="b">
        <v>0</v>
      </c>
      <c r="I896" s="275"/>
      <c r="J896" s="275"/>
      <c r="K896" s="275"/>
      <c r="L896" s="240"/>
      <c r="M896" s="237"/>
      <c r="N896" s="237"/>
      <c r="O896" s="237"/>
      <c r="P896" s="237"/>
      <c r="Q896" s="237"/>
      <c r="R896" s="237"/>
    </row>
    <row r="897" spans="8:8" ht="15.75" customHeight="1">
      <c r="G897" s="241" t="b">
        <v>0</v>
      </c>
      <c r="I897" s="275"/>
      <c r="J897" s="275"/>
      <c r="K897" s="275"/>
      <c r="L897" s="240"/>
      <c r="M897" s="237"/>
      <c r="N897" s="237"/>
      <c r="O897" s="237"/>
      <c r="P897" s="237"/>
      <c r="Q897" s="237"/>
      <c r="R897" s="237"/>
    </row>
    <row r="898" spans="8:8" ht="15.75" customHeight="1">
      <c r="G898" s="241" t="b">
        <v>0</v>
      </c>
      <c r="I898" s="275"/>
      <c r="J898" s="275"/>
      <c r="K898" s="275"/>
      <c r="L898" s="240"/>
      <c r="M898" s="237"/>
      <c r="N898" s="237"/>
      <c r="O898" s="237"/>
      <c r="P898" s="237"/>
      <c r="Q898" s="237"/>
      <c r="R898" s="237"/>
    </row>
    <row r="899" spans="8:8" ht="15.75" customHeight="1">
      <c r="G899" s="241" t="b">
        <v>0</v>
      </c>
      <c r="I899" s="275"/>
      <c r="J899" s="275"/>
      <c r="K899" s="275"/>
      <c r="L899" s="240"/>
      <c r="M899" s="237"/>
      <c r="N899" s="237"/>
      <c r="O899" s="237"/>
      <c r="P899" s="237"/>
      <c r="Q899" s="237"/>
      <c r="R899" s="237"/>
    </row>
    <row r="900" spans="8:8" ht="15.75" customHeight="1">
      <c r="G900" s="241" t="b">
        <v>0</v>
      </c>
      <c r="I900" s="275"/>
      <c r="J900" s="275"/>
      <c r="K900" s="275"/>
      <c r="L900" s="240"/>
      <c r="M900" s="237"/>
      <c r="N900" s="237"/>
      <c r="O900" s="237"/>
      <c r="P900" s="237"/>
      <c r="Q900" s="237"/>
      <c r="R900" s="237"/>
    </row>
    <row r="901" spans="8:8" ht="15.75" customHeight="1">
      <c r="G901" s="241" t="b">
        <v>0</v>
      </c>
      <c r="I901" s="275"/>
      <c r="J901" s="275"/>
      <c r="K901" s="275"/>
      <c r="L901" s="240"/>
      <c r="M901" s="237"/>
      <c r="N901" s="237"/>
      <c r="O901" s="237"/>
      <c r="P901" s="237"/>
      <c r="Q901" s="237"/>
      <c r="R901" s="237"/>
    </row>
    <row r="902" spans="8:8" ht="15.75" customHeight="1">
      <c r="G902" s="241" t="b">
        <v>0</v>
      </c>
      <c r="I902" s="275"/>
      <c r="J902" s="275"/>
      <c r="K902" s="275"/>
      <c r="L902" s="240"/>
      <c r="M902" s="237"/>
      <c r="N902" s="237"/>
      <c r="O902" s="237"/>
      <c r="P902" s="237"/>
      <c r="Q902" s="237"/>
      <c r="R902" s="237"/>
    </row>
    <row r="903" spans="8:8" ht="15.75" customHeight="1">
      <c r="G903" s="241" t="b">
        <v>0</v>
      </c>
      <c r="I903" s="275"/>
      <c r="J903" s="275"/>
      <c r="K903" s="275"/>
      <c r="L903" s="240"/>
      <c r="M903" s="237"/>
      <c r="N903" s="237"/>
      <c r="O903" s="237"/>
      <c r="P903" s="237"/>
      <c r="Q903" s="237"/>
      <c r="R903" s="237"/>
    </row>
    <row r="904" spans="8:8" ht="15.75" customHeight="1">
      <c r="G904" s="241" t="b">
        <v>0</v>
      </c>
      <c r="I904" s="275"/>
      <c r="J904" s="275"/>
      <c r="K904" s="275"/>
      <c r="L904" s="240"/>
      <c r="M904" s="237"/>
      <c r="N904" s="237"/>
      <c r="O904" s="237"/>
      <c r="P904" s="237"/>
      <c r="Q904" s="237"/>
      <c r="R904" s="237"/>
    </row>
    <row r="905" spans="8:8" ht="15.75" customHeight="1">
      <c r="G905" s="241" t="b">
        <v>0</v>
      </c>
      <c r="I905" s="275"/>
      <c r="J905" s="275"/>
      <c r="K905" s="275"/>
      <c r="L905" s="240"/>
      <c r="M905" s="237"/>
      <c r="N905" s="237"/>
      <c r="O905" s="237"/>
      <c r="P905" s="237"/>
      <c r="Q905" s="237"/>
      <c r="R905" s="237"/>
    </row>
    <row r="906" spans="8:8" ht="15.75" customHeight="1">
      <c r="G906" s="241" t="b">
        <v>0</v>
      </c>
      <c r="I906" s="275"/>
      <c r="J906" s="275"/>
      <c r="K906" s="275"/>
      <c r="L906" s="240"/>
      <c r="M906" s="237"/>
      <c r="N906" s="237"/>
      <c r="O906" s="237"/>
      <c r="P906" s="237"/>
      <c r="Q906" s="237"/>
      <c r="R906" s="237"/>
    </row>
    <row r="907" spans="8:8" ht="15.75" customHeight="1">
      <c r="G907" s="241" t="b">
        <v>0</v>
      </c>
      <c r="I907" s="275"/>
      <c r="J907" s="275"/>
      <c r="K907" s="275"/>
      <c r="L907" s="240"/>
      <c r="M907" s="237"/>
      <c r="N907" s="237"/>
      <c r="O907" s="237"/>
      <c r="P907" s="237"/>
      <c r="Q907" s="237"/>
      <c r="R907" s="237"/>
    </row>
    <row r="908" spans="8:8" ht="15.75" customHeight="1">
      <c r="G908" s="241" t="b">
        <v>0</v>
      </c>
      <c r="I908" s="275"/>
      <c r="J908" s="275"/>
      <c r="K908" s="275"/>
      <c r="L908" s="240"/>
      <c r="M908" s="237"/>
      <c r="N908" s="237"/>
      <c r="O908" s="237"/>
      <c r="P908" s="237"/>
      <c r="Q908" s="237"/>
      <c r="R908" s="237"/>
    </row>
    <row r="909" spans="8:8" ht="15.75" customHeight="1">
      <c r="G909" s="241" t="b">
        <v>0</v>
      </c>
      <c r="I909" s="275"/>
      <c r="J909" s="275"/>
      <c r="K909" s="275"/>
      <c r="L909" s="240"/>
      <c r="M909" s="237"/>
      <c r="N909" s="237"/>
      <c r="O909" s="237"/>
      <c r="P909" s="237"/>
      <c r="Q909" s="237"/>
      <c r="R909" s="237"/>
    </row>
    <row r="910" spans="8:8" ht="15.75" customHeight="1">
      <c r="G910" s="241" t="b">
        <v>0</v>
      </c>
      <c r="I910" s="275"/>
      <c r="J910" s="275"/>
      <c r="K910" s="275"/>
      <c r="L910" s="240"/>
      <c r="M910" s="237"/>
      <c r="N910" s="237"/>
      <c r="O910" s="237"/>
      <c r="P910" s="237"/>
      <c r="Q910" s="237"/>
      <c r="R910" s="237"/>
    </row>
    <row r="911" spans="8:8" ht="15.75" customHeight="1">
      <c r="G911" s="241" t="b">
        <v>0</v>
      </c>
      <c r="I911" s="275"/>
      <c r="J911" s="275"/>
      <c r="K911" s="275"/>
      <c r="L911" s="276"/>
      <c r="M911" s="237"/>
      <c r="N911" s="237"/>
      <c r="O911" s="237"/>
      <c r="P911" s="237"/>
      <c r="Q911" s="237"/>
      <c r="R911" s="237"/>
    </row>
    <row r="912" spans="8:8" ht="15.75" customHeight="1">
      <c r="G912" s="241" t="b">
        <v>0</v>
      </c>
      <c r="I912" s="275"/>
      <c r="J912" s="275"/>
      <c r="K912" s="275"/>
      <c r="L912" s="240"/>
      <c r="M912" s="237"/>
      <c r="N912" s="237"/>
      <c r="O912" s="237"/>
      <c r="P912" s="237"/>
      <c r="Q912" s="237"/>
      <c r="R912" s="237"/>
    </row>
    <row r="913" spans="8:8" ht="15.75" customHeight="1">
      <c r="G913" s="241" t="b">
        <v>0</v>
      </c>
      <c r="I913" s="275"/>
      <c r="J913" s="275"/>
      <c r="K913" s="275"/>
      <c r="L913" s="240"/>
      <c r="M913" s="237"/>
      <c r="N913" s="237"/>
      <c r="O913" s="237"/>
      <c r="P913" s="237"/>
      <c r="Q913" s="237"/>
      <c r="R913" s="237"/>
    </row>
    <row r="914" spans="8:8" ht="15.75" customHeight="1">
      <c r="G914" s="241" t="b">
        <v>0</v>
      </c>
      <c r="I914" s="275"/>
      <c r="J914" s="275"/>
      <c r="K914" s="275"/>
      <c r="L914" s="240"/>
      <c r="M914" s="237"/>
      <c r="N914" s="237"/>
      <c r="O914" s="237"/>
      <c r="P914" s="237"/>
      <c r="Q914" s="237"/>
      <c r="R914" s="237"/>
    </row>
    <row r="915" spans="8:8" ht="15.75" customHeight="1">
      <c r="G915" s="241" t="b">
        <v>0</v>
      </c>
      <c r="I915" s="275"/>
      <c r="J915" s="275"/>
      <c r="K915" s="275"/>
      <c r="L915" s="240"/>
      <c r="M915" s="237"/>
      <c r="N915" s="237"/>
      <c r="O915" s="237"/>
      <c r="P915" s="237"/>
      <c r="Q915" s="237"/>
      <c r="R915" s="237"/>
    </row>
    <row r="916" spans="8:8" ht="15.75" customHeight="1">
      <c r="G916" s="241" t="b">
        <v>0</v>
      </c>
      <c r="I916" s="275"/>
      <c r="J916" s="275"/>
      <c r="K916" s="275"/>
      <c r="L916" s="240"/>
      <c r="M916" s="237"/>
      <c r="N916" s="237"/>
      <c r="O916" s="237"/>
      <c r="P916" s="237"/>
      <c r="Q916" s="237"/>
      <c r="R916" s="237"/>
    </row>
    <row r="917" spans="8:8" ht="15.75" customHeight="1">
      <c r="G917" s="241" t="b">
        <v>0</v>
      </c>
      <c r="I917" s="275"/>
      <c r="J917" s="275"/>
      <c r="K917" s="275"/>
      <c r="L917" s="240"/>
      <c r="M917" s="237"/>
      <c r="N917" s="237"/>
      <c r="O917" s="237"/>
      <c r="P917" s="237"/>
      <c r="Q917" s="237"/>
      <c r="R917" s="237"/>
    </row>
    <row r="918" spans="8:8" ht="15.75" customHeight="1">
      <c r="G918" s="241" t="b">
        <v>0</v>
      </c>
      <c r="I918" s="275"/>
      <c r="J918" s="275"/>
      <c r="K918" s="275"/>
      <c r="L918" s="240"/>
      <c r="M918" s="237"/>
      <c r="N918" s="237"/>
      <c r="O918" s="237"/>
      <c r="P918" s="237"/>
      <c r="Q918" s="237"/>
      <c r="R918" s="237"/>
    </row>
    <row r="919" spans="8:8" ht="15.75" customHeight="1">
      <c r="G919" s="241" t="b">
        <v>0</v>
      </c>
      <c r="I919" s="275"/>
      <c r="J919" s="275"/>
      <c r="K919" s="275"/>
      <c r="L919" s="240"/>
      <c r="M919" s="237"/>
      <c r="N919" s="237"/>
      <c r="O919" s="237"/>
      <c r="P919" s="237"/>
      <c r="Q919" s="237"/>
      <c r="R919" s="237"/>
    </row>
    <row r="920" spans="8:8" ht="15.75" customHeight="1">
      <c r="G920" s="241" t="b">
        <v>0</v>
      </c>
      <c r="I920" s="275"/>
      <c r="J920" s="275"/>
      <c r="K920" s="275"/>
      <c r="L920" s="240"/>
      <c r="M920" s="237"/>
      <c r="N920" s="237"/>
      <c r="O920" s="237"/>
      <c r="P920" s="237"/>
      <c r="Q920" s="237"/>
      <c r="R920" s="237"/>
    </row>
    <row r="921" spans="8:8" ht="15.75" customHeight="1">
      <c r="G921" s="241" t="b">
        <v>0</v>
      </c>
      <c r="I921" s="275"/>
      <c r="J921" s="275"/>
      <c r="K921" s="275"/>
      <c r="L921" s="240"/>
      <c r="M921" s="237"/>
      <c r="N921" s="237"/>
      <c r="O921" s="237"/>
      <c r="P921" s="237"/>
      <c r="Q921" s="237"/>
      <c r="R921" s="237"/>
    </row>
    <row r="922" spans="8:8" ht="15.75" customHeight="1">
      <c r="G922" s="241" t="b">
        <v>0</v>
      </c>
      <c r="I922" s="275"/>
      <c r="J922" s="275"/>
      <c r="K922" s="275"/>
      <c r="L922" s="240"/>
      <c r="M922" s="237"/>
      <c r="N922" s="237"/>
      <c r="O922" s="237"/>
      <c r="P922" s="237"/>
      <c r="Q922" s="237"/>
      <c r="R922" s="237"/>
    </row>
    <row r="923" spans="8:8" ht="15.75" customHeight="1">
      <c r="G923" s="241" t="b">
        <v>0</v>
      </c>
      <c r="I923" s="275"/>
      <c r="J923" s="275"/>
      <c r="K923" s="275"/>
      <c r="L923" s="240"/>
      <c r="M923" s="237"/>
      <c r="N923" s="237"/>
      <c r="O923" s="237"/>
      <c r="P923" s="237"/>
      <c r="Q923" s="237"/>
      <c r="R923" s="237"/>
    </row>
    <row r="924" spans="8:8" ht="15.75" customHeight="1">
      <c r="G924" s="241" t="b">
        <v>0</v>
      </c>
      <c r="I924" s="275"/>
      <c r="J924" s="275"/>
      <c r="K924" s="275"/>
      <c r="L924" s="240"/>
      <c r="M924" s="237"/>
      <c r="N924" s="237"/>
      <c r="O924" s="237"/>
      <c r="P924" s="237"/>
      <c r="Q924" s="237"/>
      <c r="R924" s="237"/>
    </row>
    <row r="925" spans="8:8" ht="15.75" customHeight="1">
      <c r="G925" s="241" t="b">
        <v>0</v>
      </c>
      <c r="I925" s="275"/>
      <c r="J925" s="275"/>
      <c r="K925" s="275"/>
      <c r="L925" s="240"/>
      <c r="M925" s="237"/>
      <c r="N925" s="237"/>
      <c r="O925" s="237"/>
      <c r="P925" s="237"/>
      <c r="Q925" s="237"/>
      <c r="R925" s="237"/>
    </row>
    <row r="926" spans="8:8" ht="15.75" customHeight="1">
      <c r="G926" s="241" t="b">
        <v>0</v>
      </c>
      <c r="I926" s="275"/>
      <c r="J926" s="275"/>
      <c r="K926" s="275"/>
      <c r="L926" s="240"/>
      <c r="M926" s="237"/>
      <c r="N926" s="237"/>
      <c r="O926" s="237"/>
      <c r="P926" s="237"/>
      <c r="Q926" s="237"/>
      <c r="R926" s="237"/>
    </row>
    <row r="927" spans="8:8" ht="15.75" customHeight="1">
      <c r="G927" s="241" t="b">
        <v>0</v>
      </c>
      <c r="I927" s="275"/>
      <c r="J927" s="275"/>
      <c r="K927" s="275"/>
      <c r="L927" s="240"/>
      <c r="M927" s="237"/>
      <c r="N927" s="237"/>
      <c r="O927" s="237"/>
      <c r="P927" s="237"/>
      <c r="Q927" s="237"/>
      <c r="R927" s="237"/>
    </row>
    <row r="928" spans="8:8" ht="15.75" customHeight="1">
      <c r="G928" s="241" t="b">
        <v>0</v>
      </c>
      <c r="I928" s="275"/>
      <c r="J928" s="275"/>
      <c r="K928" s="275"/>
      <c r="L928" s="240"/>
      <c r="M928" s="237"/>
      <c r="N928" s="237"/>
      <c r="O928" s="237"/>
      <c r="P928" s="237"/>
      <c r="Q928" s="237"/>
      <c r="R928" s="237"/>
    </row>
    <row r="929" spans="8:8" ht="15.75" customHeight="1">
      <c r="G929" s="241" t="b">
        <v>0</v>
      </c>
      <c r="I929" s="275"/>
      <c r="J929" s="275"/>
      <c r="K929" s="275"/>
      <c r="L929" s="240"/>
      <c r="M929" s="237"/>
      <c r="N929" s="237"/>
      <c r="O929" s="237"/>
      <c r="P929" s="237"/>
      <c r="Q929" s="237"/>
      <c r="R929" s="237"/>
    </row>
    <row r="930" spans="8:8" ht="15.75" customHeight="1">
      <c r="G930" s="241" t="b">
        <v>0</v>
      </c>
      <c r="I930" s="275"/>
      <c r="J930" s="275"/>
      <c r="K930" s="275"/>
      <c r="L930" s="240"/>
      <c r="M930" s="237"/>
      <c r="N930" s="237"/>
      <c r="O930" s="237"/>
      <c r="P930" s="237"/>
      <c r="Q930" s="237"/>
      <c r="R930" s="237"/>
    </row>
    <row r="931" spans="8:8" ht="15.75" customHeight="1">
      <c r="G931" s="241" t="b">
        <v>0</v>
      </c>
      <c r="I931" s="275"/>
      <c r="J931" s="275"/>
      <c r="K931" s="275"/>
      <c r="L931" s="240"/>
      <c r="M931" s="237"/>
      <c r="N931" s="237"/>
      <c r="O931" s="237"/>
      <c r="P931" s="237"/>
      <c r="Q931" s="237"/>
      <c r="R931" s="237"/>
    </row>
    <row r="932" spans="8:8" ht="15.75" customHeight="1">
      <c r="G932" s="241" t="b">
        <v>0</v>
      </c>
      <c r="I932" s="275"/>
      <c r="J932" s="275"/>
      <c r="K932" s="275"/>
      <c r="L932" s="240"/>
      <c r="M932" s="237"/>
      <c r="N932" s="237"/>
      <c r="O932" s="237"/>
      <c r="P932" s="237"/>
      <c r="Q932" s="237"/>
      <c r="R932" s="237"/>
    </row>
    <row r="933" spans="8:8" ht="15.75" customHeight="1">
      <c r="G933" s="241" t="b">
        <v>0</v>
      </c>
      <c r="I933" s="275"/>
      <c r="J933" s="275"/>
      <c r="K933" s="275"/>
      <c r="L933" s="240"/>
      <c r="M933" s="237"/>
      <c r="N933" s="237"/>
      <c r="O933" s="237"/>
      <c r="P933" s="237"/>
      <c r="Q933" s="237"/>
      <c r="R933" s="237"/>
    </row>
    <row r="934" spans="8:8" ht="15.75" customHeight="1">
      <c r="G934" s="241" t="b">
        <v>0</v>
      </c>
      <c r="I934" s="275"/>
      <c r="J934" s="275"/>
      <c r="K934" s="275"/>
      <c r="L934" s="276"/>
      <c r="M934" s="237"/>
      <c r="N934" s="237"/>
      <c r="O934" s="237"/>
      <c r="P934" s="237"/>
      <c r="Q934" s="237"/>
      <c r="R934" s="237"/>
    </row>
    <row r="935" spans="8:8" ht="15.75" customHeight="1">
      <c r="G935" s="241" t="b">
        <v>0</v>
      </c>
      <c r="I935" s="275"/>
      <c r="J935" s="275"/>
      <c r="K935" s="275"/>
      <c r="L935" s="240"/>
      <c r="M935" s="237"/>
      <c r="N935" s="237"/>
      <c r="O935" s="237"/>
      <c r="P935" s="237"/>
      <c r="Q935" s="237"/>
      <c r="R935" s="237"/>
    </row>
    <row r="936" spans="8:8" ht="15.75" customHeight="1">
      <c r="G936" s="241" t="b">
        <v>0</v>
      </c>
      <c r="I936" s="275"/>
      <c r="J936" s="275"/>
      <c r="K936" s="275"/>
      <c r="L936" s="240"/>
      <c r="M936" s="237"/>
      <c r="N936" s="237"/>
      <c r="O936" s="237"/>
      <c r="P936" s="237"/>
      <c r="Q936" s="237"/>
      <c r="R936" s="237"/>
    </row>
    <row r="937" spans="8:8" ht="15.75" customHeight="1">
      <c r="G937" s="241" t="b">
        <v>0</v>
      </c>
      <c r="I937" s="275"/>
      <c r="J937" s="275"/>
      <c r="K937" s="275"/>
      <c r="L937" s="240"/>
      <c r="M937" s="237"/>
      <c r="N937" s="237"/>
      <c r="O937" s="237"/>
      <c r="P937" s="237"/>
      <c r="Q937" s="237"/>
      <c r="R937" s="237"/>
    </row>
    <row r="938" spans="8:8" ht="15.75" customHeight="1">
      <c r="G938" s="241" t="b">
        <v>0</v>
      </c>
      <c r="I938" s="275"/>
      <c r="J938" s="275"/>
      <c r="K938" s="275"/>
      <c r="L938" s="240"/>
      <c r="M938" s="237"/>
      <c r="N938" s="237"/>
      <c r="O938" s="237"/>
      <c r="P938" s="237"/>
      <c r="Q938" s="237"/>
      <c r="R938" s="237"/>
    </row>
    <row r="939" spans="8:8" ht="15.75" customHeight="1">
      <c r="G939" s="241" t="b">
        <v>0</v>
      </c>
      <c r="I939" s="275"/>
      <c r="J939" s="275"/>
      <c r="K939" s="275"/>
      <c r="L939" s="240"/>
      <c r="M939" s="237"/>
      <c r="N939" s="237"/>
      <c r="O939" s="237"/>
      <c r="P939" s="237"/>
      <c r="Q939" s="237"/>
      <c r="R939" s="237"/>
    </row>
    <row r="940" spans="8:8" ht="15.75" customHeight="1">
      <c r="G940" s="241" t="b">
        <v>0</v>
      </c>
      <c r="I940" s="275"/>
      <c r="J940" s="275"/>
      <c r="K940" s="275"/>
      <c r="L940" s="240"/>
      <c r="M940" s="237"/>
      <c r="N940" s="237"/>
      <c r="O940" s="237"/>
      <c r="P940" s="237"/>
      <c r="Q940" s="237"/>
      <c r="R940" s="237"/>
    </row>
    <row r="941" spans="8:8" ht="15.75" customHeight="1">
      <c r="G941" s="241" t="b">
        <v>0</v>
      </c>
      <c r="I941" s="275"/>
      <c r="J941" s="275"/>
      <c r="K941" s="275"/>
      <c r="L941" s="240"/>
      <c r="M941" s="237"/>
      <c r="N941" s="237"/>
      <c r="O941" s="237"/>
      <c r="P941" s="237"/>
      <c r="Q941" s="237"/>
      <c r="R941" s="237"/>
    </row>
    <row r="942" spans="8:8" ht="15.75" customHeight="1">
      <c r="G942" s="241" t="b">
        <v>0</v>
      </c>
      <c r="I942" s="275"/>
      <c r="J942" s="275"/>
      <c r="K942" s="275"/>
      <c r="L942" s="240"/>
      <c r="M942" s="237"/>
      <c r="N942" s="237"/>
      <c r="O942" s="237"/>
      <c r="P942" s="237"/>
      <c r="Q942" s="237"/>
      <c r="R942" s="237"/>
    </row>
    <row r="943" spans="8:8" ht="15.75" customHeight="1">
      <c r="G943" s="241" t="b">
        <v>0</v>
      </c>
      <c r="I943" s="275"/>
      <c r="J943" s="275"/>
      <c r="K943" s="275"/>
      <c r="L943" s="240"/>
      <c r="M943" s="237"/>
      <c r="N943" s="237"/>
      <c r="O943" s="237"/>
      <c r="P943" s="237"/>
      <c r="Q943" s="237"/>
      <c r="R943" s="237"/>
    </row>
    <row r="944" spans="8:8" ht="15.75" customHeight="1">
      <c r="G944" s="241" t="b">
        <v>0</v>
      </c>
      <c r="I944" s="275"/>
      <c r="J944" s="275"/>
      <c r="K944" s="275"/>
      <c r="L944" s="240"/>
      <c r="M944" s="237"/>
      <c r="N944" s="237"/>
      <c r="O944" s="237"/>
      <c r="P944" s="237"/>
      <c r="Q944" s="237"/>
      <c r="R944" s="237"/>
    </row>
    <row r="945" spans="8:8" ht="15.75" customHeight="1">
      <c r="G945" s="241" t="b">
        <v>0</v>
      </c>
      <c r="I945" s="275"/>
      <c r="J945" s="275"/>
      <c r="K945" s="275"/>
      <c r="L945" s="240"/>
      <c r="M945" s="237"/>
      <c r="N945" s="237"/>
      <c r="O945" s="237"/>
      <c r="P945" s="237"/>
      <c r="Q945" s="237"/>
      <c r="R945" s="237"/>
    </row>
    <row r="946" spans="8:8" ht="15.75" customHeight="1">
      <c r="G946" s="241" t="b">
        <v>0</v>
      </c>
      <c r="I946" s="275"/>
      <c r="J946" s="275"/>
      <c r="K946" s="275"/>
      <c r="L946" s="240"/>
      <c r="M946" s="237"/>
      <c r="N946" s="237"/>
      <c r="O946" s="237"/>
      <c r="P946" s="237"/>
      <c r="Q946" s="237"/>
      <c r="R946" s="237"/>
    </row>
    <row r="947" spans="8:8" ht="15.75" customHeight="1">
      <c r="G947" s="241" t="b">
        <v>0</v>
      </c>
      <c r="I947" s="275"/>
      <c r="J947" s="275"/>
      <c r="K947" s="275"/>
      <c r="L947" s="240"/>
      <c r="M947" s="237"/>
      <c r="N947" s="237"/>
      <c r="O947" s="237"/>
      <c r="P947" s="237"/>
      <c r="Q947" s="237"/>
      <c r="R947" s="237"/>
    </row>
    <row r="948" spans="8:8" ht="15.75" customHeight="1">
      <c r="G948" s="241" t="b">
        <v>0</v>
      </c>
      <c r="I948" s="275"/>
      <c r="J948" s="275"/>
      <c r="K948" s="275"/>
      <c r="L948" s="240"/>
      <c r="M948" s="237"/>
      <c r="N948" s="237"/>
      <c r="O948" s="237"/>
      <c r="P948" s="237"/>
      <c r="Q948" s="237"/>
      <c r="R948" s="237"/>
    </row>
    <row r="949" spans="8:8" ht="15.75" customHeight="1">
      <c r="G949" s="241" t="b">
        <v>0</v>
      </c>
      <c r="I949" s="275"/>
      <c r="J949" s="275"/>
      <c r="K949" s="275"/>
      <c r="L949" s="240"/>
      <c r="M949" s="237"/>
      <c r="N949" s="237"/>
      <c r="O949" s="237"/>
      <c r="P949" s="237"/>
      <c r="Q949" s="237"/>
      <c r="R949" s="237"/>
    </row>
    <row r="950" spans="8:8" ht="15.75" customHeight="1">
      <c r="G950" s="241" t="b">
        <v>0</v>
      </c>
      <c r="I950" s="275"/>
      <c r="J950" s="275"/>
      <c r="K950" s="275"/>
      <c r="L950" s="240"/>
      <c r="M950" s="237"/>
      <c r="N950" s="237"/>
      <c r="O950" s="237"/>
      <c r="P950" s="237"/>
      <c r="Q950" s="237"/>
      <c r="R950" s="237"/>
    </row>
    <row r="951" spans="8:8" ht="15.75" customHeight="1">
      <c r="G951" s="241" t="b">
        <v>0</v>
      </c>
      <c r="I951" s="275"/>
      <c r="J951" s="275"/>
      <c r="K951" s="275"/>
      <c r="L951" s="240"/>
      <c r="M951" s="237"/>
      <c r="N951" s="237"/>
      <c r="O951" s="237"/>
      <c r="P951" s="237"/>
      <c r="Q951" s="237"/>
      <c r="R951" s="237"/>
    </row>
    <row r="952" spans="8:8" ht="15.75" customHeight="1">
      <c r="G952" s="241" t="b">
        <v>0</v>
      </c>
      <c r="I952" s="275"/>
      <c r="J952" s="275"/>
      <c r="K952" s="275"/>
      <c r="L952" s="240"/>
      <c r="M952" s="237"/>
      <c r="N952" s="237"/>
      <c r="O952" s="237"/>
      <c r="P952" s="237"/>
      <c r="Q952" s="237"/>
      <c r="R952" s="237"/>
    </row>
    <row r="953" spans="8:8" ht="15.75" customHeight="1">
      <c r="G953" s="241" t="b">
        <v>0</v>
      </c>
      <c r="I953" s="275"/>
      <c r="J953" s="275"/>
      <c r="K953" s="275"/>
      <c r="L953" s="240"/>
      <c r="M953" s="237"/>
      <c r="N953" s="237"/>
      <c r="O953" s="237"/>
      <c r="P953" s="237"/>
      <c r="Q953" s="237"/>
      <c r="R953" s="237"/>
    </row>
    <row r="954" spans="8:8" ht="15.75" customHeight="1">
      <c r="G954" s="241" t="b">
        <v>0</v>
      </c>
      <c r="I954" s="275"/>
      <c r="J954" s="275"/>
      <c r="K954" s="275"/>
      <c r="L954" s="240"/>
      <c r="M954" s="237"/>
      <c r="N954" s="237"/>
      <c r="O954" s="237"/>
      <c r="P954" s="237"/>
      <c r="Q954" s="237"/>
      <c r="R954" s="237"/>
    </row>
    <row r="955" spans="8:8" ht="15.75" customHeight="1">
      <c r="G955" s="241" t="b">
        <v>0</v>
      </c>
      <c r="I955" s="275"/>
      <c r="J955" s="275"/>
      <c r="K955" s="275"/>
      <c r="L955" s="240"/>
      <c r="M955" s="237"/>
      <c r="N955" s="237"/>
      <c r="O955" s="237"/>
      <c r="P955" s="237"/>
      <c r="Q955" s="237"/>
      <c r="R955" s="237"/>
    </row>
    <row r="956" spans="8:8" ht="15.75" customHeight="1">
      <c r="G956" s="241" t="b">
        <v>0</v>
      </c>
      <c r="I956" s="275"/>
      <c r="J956" s="275"/>
      <c r="K956" s="275"/>
      <c r="L956" s="240"/>
      <c r="M956" s="237"/>
      <c r="N956" s="237"/>
      <c r="O956" s="237"/>
      <c r="P956" s="237"/>
      <c r="Q956" s="237"/>
      <c r="R956" s="237"/>
    </row>
    <row r="957" spans="8:8" ht="15.75" customHeight="1">
      <c r="G957" s="241" t="b">
        <v>0</v>
      </c>
      <c r="I957" s="275"/>
      <c r="J957" s="275"/>
      <c r="K957" s="275"/>
      <c r="L957" s="276"/>
      <c r="M957" s="237"/>
      <c r="N957" s="237"/>
      <c r="O957" s="237"/>
      <c r="P957" s="237"/>
      <c r="Q957" s="237"/>
      <c r="R957" s="237"/>
    </row>
    <row r="958" spans="8:8" ht="15.75" customHeight="1">
      <c r="G958" s="241" t="b">
        <v>0</v>
      </c>
      <c r="I958" s="275"/>
      <c r="J958" s="275"/>
      <c r="K958" s="275"/>
      <c r="L958" s="240"/>
      <c r="M958" s="237"/>
      <c r="N958" s="237"/>
      <c r="O958" s="237"/>
      <c r="P958" s="237"/>
      <c r="Q958" s="237"/>
      <c r="R958" s="237"/>
    </row>
    <row r="959" spans="8:8" ht="15.75" customHeight="1">
      <c r="G959" s="241" t="b">
        <v>0</v>
      </c>
      <c r="I959" s="275"/>
      <c r="J959" s="275"/>
      <c r="K959" s="275"/>
      <c r="L959" s="240"/>
      <c r="M959" s="237"/>
      <c r="N959" s="237"/>
      <c r="O959" s="237"/>
      <c r="P959" s="237"/>
      <c r="Q959" s="237"/>
      <c r="R959" s="237"/>
    </row>
    <row r="960" spans="8:8" ht="15.75" customHeight="1">
      <c r="G960" s="241" t="b">
        <v>0</v>
      </c>
      <c r="I960" s="275"/>
      <c r="J960" s="275"/>
      <c r="K960" s="275"/>
      <c r="L960" s="240"/>
      <c r="M960" s="237"/>
      <c r="N960" s="237"/>
      <c r="O960" s="237"/>
      <c r="P960" s="237"/>
      <c r="Q960" s="237"/>
      <c r="R960" s="237"/>
    </row>
    <row r="961" spans="8:8" ht="15.75" customHeight="1">
      <c r="G961" s="241" t="b">
        <v>0</v>
      </c>
      <c r="I961" s="275"/>
      <c r="J961" s="275"/>
      <c r="K961" s="275"/>
      <c r="L961" s="240"/>
      <c r="M961" s="237"/>
      <c r="N961" s="237"/>
      <c r="O961" s="237"/>
      <c r="P961" s="237"/>
      <c r="Q961" s="237"/>
      <c r="R961" s="237"/>
    </row>
    <row r="962" spans="8:8" ht="15.75" customHeight="1">
      <c r="G962" s="241" t="b">
        <v>0</v>
      </c>
      <c r="I962" s="275"/>
      <c r="J962" s="275"/>
      <c r="K962" s="275"/>
      <c r="L962" s="240"/>
      <c r="M962" s="237"/>
      <c r="N962" s="237"/>
      <c r="O962" s="237"/>
      <c r="P962" s="237"/>
      <c r="Q962" s="237"/>
      <c r="R962" s="237"/>
    </row>
    <row r="963" spans="8:8" ht="15.75" customHeight="1">
      <c r="G963" s="241" t="b">
        <v>0</v>
      </c>
      <c r="I963" s="275"/>
      <c r="J963" s="275"/>
      <c r="K963" s="275"/>
      <c r="L963" s="240"/>
      <c r="M963" s="237"/>
      <c r="N963" s="237"/>
      <c r="O963" s="237"/>
      <c r="P963" s="237"/>
      <c r="Q963" s="237"/>
      <c r="R963" s="237"/>
    </row>
    <row r="964" spans="8:8" ht="15.75" customHeight="1">
      <c r="G964" s="241" t="b">
        <v>0</v>
      </c>
      <c r="I964" s="275"/>
      <c r="J964" s="275"/>
      <c r="K964" s="275"/>
      <c r="L964" s="240"/>
      <c r="M964" s="237"/>
      <c r="N964" s="237"/>
      <c r="O964" s="237"/>
      <c r="P964" s="237"/>
      <c r="Q964" s="237"/>
      <c r="R964" s="237"/>
    </row>
    <row r="965" spans="8:8" ht="15.75" customHeight="1">
      <c r="G965" s="241" t="b">
        <v>0</v>
      </c>
      <c r="I965" s="275"/>
      <c r="J965" s="275"/>
      <c r="K965" s="275"/>
      <c r="L965" s="240"/>
      <c r="M965" s="237"/>
      <c r="N965" s="237"/>
      <c r="O965" s="237"/>
      <c r="P965" s="237"/>
      <c r="Q965" s="237"/>
      <c r="R965" s="237"/>
    </row>
    <row r="966" spans="8:8" ht="15.75" customHeight="1">
      <c r="G966" s="241" t="b">
        <v>0</v>
      </c>
      <c r="I966" s="275"/>
      <c r="J966" s="275"/>
      <c r="K966" s="275"/>
      <c r="L966" s="240"/>
      <c r="M966" s="237"/>
      <c r="N966" s="237"/>
      <c r="O966" s="237"/>
      <c r="P966" s="237"/>
      <c r="Q966" s="237"/>
      <c r="R966" s="237"/>
    </row>
    <row r="967" spans="8:8" ht="15.75" customHeight="1">
      <c r="G967" s="241" t="b">
        <v>0</v>
      </c>
      <c r="I967" s="275"/>
      <c r="J967" s="275"/>
      <c r="K967" s="275"/>
      <c r="L967" s="240"/>
      <c r="M967" s="237"/>
      <c r="N967" s="237"/>
      <c r="O967" s="237"/>
      <c r="P967" s="237"/>
      <c r="Q967" s="237"/>
      <c r="R967" s="237"/>
    </row>
    <row r="968" spans="8:8" ht="15.75" customHeight="1">
      <c r="G968" s="241" t="b">
        <v>0</v>
      </c>
      <c r="I968" s="275"/>
      <c r="J968" s="275"/>
      <c r="K968" s="275"/>
      <c r="L968" s="240"/>
      <c r="M968" s="237"/>
      <c r="N968" s="237"/>
      <c r="O968" s="237"/>
      <c r="P968" s="237"/>
      <c r="Q968" s="237"/>
      <c r="R968" s="237"/>
    </row>
    <row r="969" spans="8:8" ht="15.75" customHeight="1">
      <c r="G969" s="241" t="b">
        <v>0</v>
      </c>
      <c r="I969" s="275"/>
      <c r="J969" s="275"/>
      <c r="K969" s="275"/>
      <c r="L969" s="240"/>
      <c r="M969" s="237"/>
      <c r="N969" s="237"/>
      <c r="O969" s="237"/>
      <c r="P969" s="237"/>
      <c r="Q969" s="237"/>
      <c r="R969" s="237"/>
    </row>
    <row r="970" spans="8:8" ht="15.75" customHeight="1">
      <c r="G970" s="241" t="b">
        <v>0</v>
      </c>
      <c r="I970" s="275"/>
      <c r="J970" s="275"/>
      <c r="K970" s="275"/>
      <c r="L970" s="240"/>
      <c r="M970" s="237"/>
      <c r="N970" s="237"/>
      <c r="O970" s="237"/>
      <c r="P970" s="237"/>
      <c r="Q970" s="237"/>
      <c r="R970" s="237"/>
    </row>
    <row r="971" spans="8:8" ht="15.75" customHeight="1">
      <c r="G971" s="241" t="b">
        <v>0</v>
      </c>
      <c r="I971" s="275"/>
      <c r="J971" s="275"/>
      <c r="K971" s="275"/>
      <c r="L971" s="240"/>
      <c r="M971" s="237"/>
      <c r="N971" s="237"/>
      <c r="O971" s="237"/>
      <c r="P971" s="237"/>
      <c r="Q971" s="237"/>
      <c r="R971" s="237"/>
    </row>
    <row r="972" spans="8:8" ht="15.75" customHeight="1">
      <c r="G972" s="241" t="b">
        <v>0</v>
      </c>
      <c r="I972" s="275"/>
      <c r="J972" s="275"/>
      <c r="K972" s="275"/>
      <c r="L972" s="240"/>
      <c r="M972" s="237"/>
      <c r="N972" s="237"/>
      <c r="O972" s="237"/>
      <c r="P972" s="237"/>
      <c r="Q972" s="237"/>
      <c r="R972" s="237"/>
    </row>
    <row r="973" spans="8:8" ht="15.75" customHeight="1">
      <c r="G973" s="241" t="b">
        <v>0</v>
      </c>
      <c r="I973" s="275"/>
      <c r="J973" s="275"/>
      <c r="K973" s="275"/>
      <c r="L973" s="240"/>
      <c r="M973" s="237"/>
      <c r="N973" s="237"/>
      <c r="O973" s="237"/>
      <c r="P973" s="237"/>
      <c r="Q973" s="237"/>
      <c r="R973" s="237"/>
    </row>
    <row r="974" spans="8:8" ht="15.75" customHeight="1">
      <c r="G974" s="241" t="b">
        <v>0</v>
      </c>
      <c r="I974" s="275"/>
      <c r="J974" s="275"/>
      <c r="K974" s="275"/>
      <c r="L974" s="240"/>
      <c r="M974" s="237"/>
      <c r="N974" s="237"/>
      <c r="O974" s="237"/>
      <c r="P974" s="237"/>
      <c r="Q974" s="237"/>
      <c r="R974" s="237"/>
    </row>
    <row r="975" spans="8:8" ht="15.75" customHeight="1">
      <c r="G975" s="241" t="b">
        <v>0</v>
      </c>
      <c r="I975" s="275"/>
      <c r="J975" s="275"/>
      <c r="K975" s="275"/>
      <c r="L975" s="240"/>
      <c r="M975" s="237"/>
      <c r="N975" s="237"/>
      <c r="O975" s="237"/>
      <c r="P975" s="237"/>
      <c r="Q975" s="237"/>
      <c r="R975" s="237"/>
    </row>
    <row r="976" spans="8:8" ht="15.75" customHeight="1">
      <c r="G976" s="241" t="b">
        <v>0</v>
      </c>
      <c r="I976" s="275"/>
      <c r="J976" s="275"/>
      <c r="K976" s="275"/>
      <c r="L976" s="240"/>
      <c r="M976" s="237"/>
      <c r="N976" s="237"/>
      <c r="O976" s="237"/>
      <c r="P976" s="237"/>
      <c r="Q976" s="237"/>
      <c r="R976" s="237"/>
    </row>
    <row r="977" spans="8:8" ht="15.75" customHeight="1">
      <c r="G977" s="241" t="b">
        <v>0</v>
      </c>
      <c r="I977" s="275"/>
      <c r="J977" s="275"/>
      <c r="K977" s="275"/>
      <c r="L977" s="240"/>
      <c r="M977" s="237"/>
      <c r="N977" s="237"/>
      <c r="O977" s="237"/>
      <c r="P977" s="237"/>
      <c r="Q977" s="237"/>
      <c r="R977" s="237"/>
    </row>
    <row r="978" spans="8:8" ht="15.75" customHeight="1">
      <c r="G978" s="241" t="b">
        <v>0</v>
      </c>
      <c r="I978" s="275"/>
      <c r="J978" s="275"/>
      <c r="K978" s="275"/>
      <c r="L978" s="240"/>
      <c r="M978" s="237"/>
      <c r="N978" s="237"/>
      <c r="O978" s="237"/>
      <c r="P978" s="237"/>
      <c r="Q978" s="237"/>
      <c r="R978" s="237"/>
    </row>
    <row r="979" spans="8:8" ht="15.75" customHeight="1">
      <c r="G979" s="241" t="b">
        <v>0</v>
      </c>
      <c r="I979" s="275"/>
      <c r="J979" s="275"/>
      <c r="K979" s="275"/>
      <c r="L979" s="276"/>
      <c r="M979" s="237"/>
      <c r="N979" s="237"/>
      <c r="O979" s="237"/>
      <c r="P979" s="237"/>
      <c r="Q979" s="237"/>
      <c r="R979" s="237"/>
    </row>
    <row r="980" spans="8:8" ht="15.75" customHeight="1">
      <c r="G980" s="241" t="b">
        <v>0</v>
      </c>
      <c r="I980" s="275"/>
      <c r="J980" s="275"/>
      <c r="K980" s="275"/>
      <c r="L980" s="240"/>
      <c r="M980" s="237"/>
      <c r="N980" s="237"/>
      <c r="O980" s="237"/>
      <c r="P980" s="237"/>
      <c r="Q980" s="237"/>
      <c r="R980" s="237"/>
    </row>
    <row r="981" spans="8:8" ht="15.75" customHeight="1">
      <c r="G981" s="241" t="b">
        <v>0</v>
      </c>
      <c r="I981" s="275"/>
      <c r="J981" s="275"/>
      <c r="K981" s="275"/>
      <c r="L981" s="240"/>
      <c r="M981" s="237"/>
      <c r="N981" s="237"/>
      <c r="O981" s="237"/>
      <c r="P981" s="237"/>
      <c r="Q981" s="237"/>
      <c r="R981" s="237"/>
    </row>
    <row r="982" spans="8:8" ht="15.75" customHeight="1">
      <c r="G982" s="241" t="b">
        <v>0</v>
      </c>
      <c r="I982" s="275"/>
      <c r="J982" s="275"/>
      <c r="K982" s="275"/>
      <c r="L982" s="240"/>
      <c r="M982" s="237"/>
      <c r="N982" s="237"/>
      <c r="O982" s="237"/>
      <c r="P982" s="237"/>
      <c r="Q982" s="237"/>
      <c r="R982" s="237"/>
    </row>
    <row r="983" spans="8:8" ht="15.75" customHeight="1">
      <c r="G983" s="241" t="b">
        <v>0</v>
      </c>
      <c r="I983" s="275"/>
      <c r="J983" s="275"/>
      <c r="K983" s="275"/>
      <c r="L983" s="240"/>
      <c r="M983" s="237"/>
      <c r="N983" s="237"/>
      <c r="O983" s="237"/>
      <c r="P983" s="237"/>
      <c r="Q983" s="237"/>
      <c r="R983" s="237"/>
    </row>
    <row r="984" spans="8:8" ht="15.75" customHeight="1">
      <c r="G984" s="241" t="b">
        <v>0</v>
      </c>
      <c r="I984" s="275"/>
      <c r="J984" s="275"/>
      <c r="K984" s="275"/>
      <c r="L984" s="240"/>
      <c r="M984" s="237"/>
      <c r="N984" s="237"/>
      <c r="O984" s="237"/>
      <c r="P984" s="237"/>
      <c r="Q984" s="237"/>
      <c r="R984" s="237"/>
    </row>
    <row r="985" spans="8:8" ht="15.75" customHeight="1">
      <c r="G985" s="241" t="b">
        <v>0</v>
      </c>
      <c r="I985" s="275"/>
      <c r="J985" s="275"/>
      <c r="K985" s="275"/>
      <c r="L985" s="240"/>
      <c r="M985" s="237"/>
      <c r="N985" s="237"/>
      <c r="O985" s="237"/>
      <c r="P985" s="237"/>
      <c r="Q985" s="237"/>
      <c r="R985" s="237"/>
    </row>
    <row r="986" spans="8:8" ht="15.75" customHeight="1">
      <c r="G986" s="241" t="b">
        <v>0</v>
      </c>
      <c r="I986" s="275"/>
      <c r="J986" s="275"/>
      <c r="K986" s="275"/>
      <c r="L986" s="240"/>
      <c r="M986" s="237"/>
      <c r="N986" s="237"/>
      <c r="O986" s="237"/>
      <c r="P986" s="237"/>
      <c r="Q986" s="237"/>
      <c r="R986" s="237"/>
    </row>
    <row r="987" spans="8:8" ht="15.75" customHeight="1">
      <c r="G987" s="241" t="b">
        <v>0</v>
      </c>
      <c r="I987" s="275"/>
      <c r="J987" s="275"/>
      <c r="K987" s="275"/>
      <c r="L987" s="240"/>
      <c r="M987" s="237"/>
      <c r="N987" s="237"/>
      <c r="O987" s="237"/>
      <c r="P987" s="237"/>
      <c r="Q987" s="237"/>
      <c r="R987" s="237"/>
    </row>
    <row r="988" spans="8:8" ht="15.75" customHeight="1">
      <c r="G988" s="241" t="b">
        <v>0</v>
      </c>
      <c r="I988" s="275"/>
      <c r="J988" s="275"/>
      <c r="K988" s="275"/>
      <c r="L988" s="240"/>
      <c r="M988" s="237"/>
      <c r="N988" s="237"/>
      <c r="O988" s="237"/>
      <c r="P988" s="237"/>
      <c r="Q988" s="237"/>
      <c r="R988" s="237"/>
    </row>
    <row r="989" spans="8:8" ht="15.75" customHeight="1">
      <c r="G989" s="241" t="b">
        <v>0</v>
      </c>
      <c r="I989" s="275"/>
      <c r="J989" s="275"/>
      <c r="K989" s="275"/>
      <c r="L989" s="240"/>
      <c r="M989" s="237"/>
      <c r="N989" s="237"/>
      <c r="O989" s="237"/>
      <c r="P989" s="237"/>
      <c r="Q989" s="237"/>
      <c r="R989" s="237"/>
    </row>
    <row r="990" spans="8:8" ht="15.75" customHeight="1">
      <c r="G990" s="241" t="b">
        <v>0</v>
      </c>
      <c r="I990" s="275"/>
      <c r="J990" s="275"/>
      <c r="K990" s="275"/>
      <c r="L990" s="240"/>
      <c r="M990" s="237"/>
      <c r="N990" s="237"/>
      <c r="O990" s="237"/>
      <c r="P990" s="237"/>
      <c r="Q990" s="237"/>
      <c r="R990" s="237"/>
    </row>
    <row r="991" spans="8:8" ht="15.75" customHeight="1">
      <c r="G991" s="241" t="b">
        <v>0</v>
      </c>
      <c r="I991" s="275"/>
      <c r="J991" s="275"/>
      <c r="K991" s="275"/>
      <c r="L991" s="240"/>
      <c r="M991" s="237"/>
      <c r="N991" s="237"/>
      <c r="O991" s="237"/>
      <c r="P991" s="237"/>
      <c r="Q991" s="237"/>
      <c r="R991" s="237"/>
    </row>
    <row r="992" spans="8:8" ht="15.75" customHeight="1">
      <c r="G992" s="241" t="b">
        <v>0</v>
      </c>
      <c r="I992" s="275"/>
      <c r="J992" s="275"/>
      <c r="K992" s="275"/>
      <c r="L992" s="240"/>
      <c r="M992" s="237"/>
      <c r="N992" s="237"/>
      <c r="O992" s="237"/>
      <c r="P992" s="237"/>
      <c r="Q992" s="237"/>
      <c r="R992" s="237"/>
    </row>
    <row r="993" spans="8:8" ht="15.75" customHeight="1">
      <c r="G993" s="241" t="b">
        <v>0</v>
      </c>
      <c r="I993" s="275"/>
      <c r="J993" s="275"/>
      <c r="K993" s="275"/>
      <c r="L993" s="240"/>
      <c r="M993" s="237"/>
      <c r="N993" s="237"/>
      <c r="O993" s="237"/>
      <c r="P993" s="237"/>
      <c r="Q993" s="237"/>
      <c r="R993" s="237"/>
    </row>
    <row r="994" spans="8:8" ht="15.75" customHeight="1">
      <c r="G994" s="241" t="b">
        <v>0</v>
      </c>
      <c r="I994" s="275"/>
      <c r="J994" s="275"/>
      <c r="K994" s="275"/>
      <c r="L994" s="240"/>
      <c r="M994" s="237"/>
      <c r="N994" s="237"/>
      <c r="O994" s="237"/>
      <c r="P994" s="237"/>
      <c r="Q994" s="237"/>
      <c r="R994" s="237"/>
    </row>
    <row r="995" spans="8:8" ht="15.75" customHeight="1">
      <c r="G995" s="241" t="b">
        <v>0</v>
      </c>
      <c r="I995" s="275"/>
      <c r="J995" s="275"/>
      <c r="K995" s="275"/>
      <c r="L995" s="240"/>
      <c r="M995" s="237"/>
      <c r="N995" s="237"/>
      <c r="O995" s="237"/>
      <c r="P995" s="237"/>
      <c r="Q995" s="237"/>
      <c r="R995" s="237"/>
    </row>
    <row r="996" spans="8:8" ht="15.75" customHeight="1">
      <c r="G996" s="241" t="b">
        <v>0</v>
      </c>
      <c r="I996" s="275"/>
      <c r="J996" s="275"/>
      <c r="K996" s="275"/>
      <c r="L996" s="240"/>
      <c r="M996" s="237"/>
      <c r="N996" s="237"/>
      <c r="O996" s="237"/>
      <c r="P996" s="237"/>
      <c r="Q996" s="237"/>
      <c r="R996" s="237"/>
    </row>
    <row r="997" spans="8:8" ht="15.75" customHeight="1">
      <c r="G997" s="241" t="b">
        <v>0</v>
      </c>
      <c r="I997" s="275"/>
      <c r="J997" s="275"/>
      <c r="K997" s="275"/>
      <c r="L997" s="240"/>
      <c r="M997" s="237"/>
      <c r="N997" s="237"/>
      <c r="O997" s="237"/>
      <c r="P997" s="237"/>
      <c r="Q997" s="237"/>
      <c r="R997" s="237"/>
    </row>
    <row r="998" spans="8:8" ht="15.75" customHeight="1">
      <c r="G998" s="241" t="b">
        <v>0</v>
      </c>
      <c r="I998" s="275"/>
      <c r="J998" s="275"/>
      <c r="K998" s="275"/>
      <c r="L998" s="240"/>
      <c r="M998" s="237"/>
      <c r="N998" s="237"/>
      <c r="O998" s="237"/>
      <c r="P998" s="237"/>
      <c r="Q998" s="237"/>
      <c r="R998" s="237"/>
    </row>
    <row r="999" spans="8:8" ht="15.75" customHeight="1">
      <c r="G999" s="241" t="b">
        <v>0</v>
      </c>
      <c r="I999" s="275"/>
      <c r="J999" s="275"/>
      <c r="K999" s="275"/>
      <c r="L999" s="240"/>
      <c r="M999" s="237"/>
      <c r="N999" s="237"/>
      <c r="O999" s="237"/>
      <c r="P999" s="237"/>
      <c r="Q999" s="237"/>
      <c r="R999" s="237"/>
    </row>
    <row r="1000" spans="8:8" ht="15.75" customHeight="1">
      <c r="G1000" s="241" t="b">
        <v>0</v>
      </c>
      <c r="I1000" s="275"/>
      <c r="J1000" s="275"/>
      <c r="K1000" s="275"/>
      <c r="L1000" s="240"/>
      <c r="M1000" s="237"/>
      <c r="N1000" s="237"/>
      <c r="O1000" s="237"/>
      <c r="P1000" s="237"/>
      <c r="Q1000" s="237"/>
      <c r="R1000" s="237"/>
    </row>
    <row r="1001" spans="8:8" ht="15.75" customHeight="1">
      <c r="G1001" s="241" t="b">
        <v>0</v>
      </c>
      <c r="I1001" s="275"/>
      <c r="J1001" s="275"/>
      <c r="K1001" s="275"/>
      <c r="L1001" s="240"/>
      <c r="M1001" s="237"/>
      <c r="N1001" s="237"/>
      <c r="O1001" s="237"/>
      <c r="P1001" s="237"/>
      <c r="Q1001" s="237"/>
      <c r="R1001" s="237"/>
    </row>
    <row r="1002" spans="8:8" ht="15.75" customHeight="1">
      <c r="G1002" s="241" t="b">
        <v>0</v>
      </c>
      <c r="I1002" s="275"/>
      <c r="J1002" s="275"/>
      <c r="K1002" s="275"/>
      <c r="L1002" s="276"/>
      <c r="M1002" s="237"/>
      <c r="N1002" s="237"/>
      <c r="O1002" s="237"/>
      <c r="P1002" s="237"/>
      <c r="Q1002" s="237"/>
      <c r="R1002" s="237"/>
    </row>
    <row r="1003" spans="8:8" ht="15.75" customHeight="1">
      <c r="G1003" s="241" t="b">
        <v>0</v>
      </c>
      <c r="I1003" s="275"/>
      <c r="J1003" s="275"/>
      <c r="K1003" s="275"/>
      <c r="L1003" s="240"/>
      <c r="M1003" s="237"/>
      <c r="N1003" s="237"/>
      <c r="O1003" s="237"/>
      <c r="P1003" s="237"/>
      <c r="Q1003" s="237"/>
      <c r="R1003" s="237"/>
    </row>
    <row r="1004" spans="8:8" ht="15.75" customHeight="1">
      <c r="G1004" s="241" t="b">
        <v>0</v>
      </c>
      <c r="I1004" s="275"/>
      <c r="J1004" s="275"/>
      <c r="K1004" s="275"/>
      <c r="L1004" s="240"/>
      <c r="M1004" s="237"/>
      <c r="N1004" s="237"/>
      <c r="O1004" s="237"/>
      <c r="P1004" s="237"/>
      <c r="Q1004" s="237"/>
      <c r="R1004" s="237"/>
    </row>
    <row r="1005" spans="8:8" ht="15.75" customHeight="1">
      <c r="G1005" s="241" t="b">
        <v>0</v>
      </c>
      <c r="I1005" s="275"/>
      <c r="J1005" s="275"/>
      <c r="K1005" s="275"/>
      <c r="L1005" s="240"/>
      <c r="M1005" s="237"/>
      <c r="N1005" s="237"/>
      <c r="O1005" s="237"/>
      <c r="P1005" s="237"/>
      <c r="Q1005" s="237"/>
      <c r="R1005" s="237"/>
    </row>
    <row r="1006" spans="8:8" ht="15.75" customHeight="1">
      <c r="G1006" s="241" t="b">
        <v>0</v>
      </c>
      <c r="I1006" s="275"/>
      <c r="J1006" s="275"/>
      <c r="K1006" s="275"/>
      <c r="L1006" s="240"/>
      <c r="M1006" s="237"/>
      <c r="N1006" s="237"/>
      <c r="O1006" s="237"/>
      <c r="P1006" s="237"/>
      <c r="Q1006" s="237"/>
      <c r="R1006" s="237"/>
    </row>
    <row r="1007" spans="8:8" ht="15.75" customHeight="1">
      <c r="G1007" s="241" t="b">
        <v>0</v>
      </c>
      <c r="I1007" s="275"/>
      <c r="J1007" s="275"/>
      <c r="K1007" s="275"/>
      <c r="L1007" s="240"/>
      <c r="M1007" s="237"/>
      <c r="N1007" s="237"/>
      <c r="O1007" s="237"/>
      <c r="P1007" s="237"/>
      <c r="Q1007" s="237"/>
      <c r="R1007" s="237"/>
    </row>
    <row r="1008" spans="8:8" ht="15.75" customHeight="1">
      <c r="G1008" s="241" t="b">
        <v>0</v>
      </c>
      <c r="I1008" s="275"/>
      <c r="J1008" s="275"/>
      <c r="K1008" s="275"/>
      <c r="L1008" s="240"/>
      <c r="M1008" s="237"/>
      <c r="N1008" s="237"/>
      <c r="O1008" s="237"/>
      <c r="P1008" s="237"/>
      <c r="Q1008" s="237"/>
      <c r="R1008" s="237"/>
    </row>
    <row r="1009" spans="8:8" ht="15.75" customHeight="1">
      <c r="G1009" s="241" t="b">
        <v>0</v>
      </c>
      <c r="I1009" s="275"/>
      <c r="J1009" s="275"/>
      <c r="K1009" s="275"/>
      <c r="L1009" s="240"/>
      <c r="M1009" s="237"/>
      <c r="N1009" s="237"/>
      <c r="O1009" s="237"/>
      <c r="P1009" s="237"/>
      <c r="Q1009" s="237"/>
      <c r="R1009" s="237"/>
    </row>
    <row r="1010" spans="8:8" ht="15.75" customHeight="1">
      <c r="G1010" s="241" t="b">
        <v>0</v>
      </c>
      <c r="I1010" s="275"/>
      <c r="J1010" s="275"/>
      <c r="K1010" s="275"/>
      <c r="L1010" s="240"/>
      <c r="M1010" s="237"/>
      <c r="N1010" s="237"/>
      <c r="O1010" s="237"/>
      <c r="P1010" s="237"/>
      <c r="Q1010" s="237"/>
      <c r="R1010" s="237"/>
    </row>
    <row r="1011" spans="8:8" ht="15.75" customHeight="1">
      <c r="G1011" s="241" t="b">
        <v>0</v>
      </c>
      <c r="I1011" s="275"/>
      <c r="J1011" s="275"/>
      <c r="K1011" s="275"/>
      <c r="L1011" s="240"/>
      <c r="M1011" s="237"/>
      <c r="N1011" s="237"/>
      <c r="O1011" s="237"/>
      <c r="P1011" s="237"/>
      <c r="Q1011" s="237"/>
      <c r="R1011" s="237"/>
    </row>
    <row r="1012" spans="8:8" ht="15.75" customHeight="1">
      <c r="G1012" s="241" t="b">
        <v>0</v>
      </c>
      <c r="I1012" s="275"/>
      <c r="J1012" s="275"/>
      <c r="K1012" s="275"/>
      <c r="L1012" s="240"/>
      <c r="M1012" s="237"/>
      <c r="N1012" s="237"/>
      <c r="O1012" s="237"/>
      <c r="P1012" s="237"/>
      <c r="Q1012" s="237"/>
      <c r="R1012" s="237"/>
    </row>
    <row r="1013" spans="8:8" ht="15.75" customHeight="1">
      <c r="G1013" s="241" t="b">
        <v>0</v>
      </c>
      <c r="I1013" s="275"/>
      <c r="J1013" s="275"/>
      <c r="K1013" s="275"/>
      <c r="L1013" s="240"/>
      <c r="M1013" s="237"/>
      <c r="N1013" s="237"/>
      <c r="O1013" s="237"/>
      <c r="P1013" s="237"/>
      <c r="Q1013" s="237"/>
      <c r="R1013" s="237"/>
    </row>
    <row r="1014" spans="8:8" ht="15.75" customHeight="1">
      <c r="G1014" s="241" t="b">
        <v>0</v>
      </c>
      <c r="I1014" s="275"/>
      <c r="J1014" s="275"/>
      <c r="K1014" s="275"/>
      <c r="L1014" s="240"/>
      <c r="M1014" s="237"/>
      <c r="N1014" s="237"/>
      <c r="O1014" s="237"/>
      <c r="P1014" s="237"/>
      <c r="Q1014" s="237"/>
      <c r="R1014" s="237"/>
    </row>
    <row r="1015" spans="8:8" ht="15.75" customHeight="1">
      <c r="G1015" s="241" t="b">
        <v>0</v>
      </c>
      <c r="I1015" s="275"/>
      <c r="J1015" s="275"/>
      <c r="K1015" s="275"/>
      <c r="L1015" s="240"/>
      <c r="M1015" s="237"/>
      <c r="N1015" s="237"/>
      <c r="O1015" s="237"/>
      <c r="P1015" s="237"/>
      <c r="Q1015" s="237"/>
      <c r="R1015" s="237"/>
    </row>
    <row r="1016" spans="8:8" ht="15.75" customHeight="1">
      <c r="G1016" s="241" t="b">
        <v>0</v>
      </c>
      <c r="I1016" s="275"/>
      <c r="J1016" s="275"/>
      <c r="K1016" s="275"/>
      <c r="L1016" s="240"/>
      <c r="M1016" s="237"/>
      <c r="N1016" s="237"/>
      <c r="O1016" s="237"/>
      <c r="P1016" s="237"/>
      <c r="Q1016" s="237"/>
      <c r="R1016" s="237"/>
    </row>
    <row r="1017" spans="8:8" ht="15.75" customHeight="1">
      <c r="G1017" s="241" t="b">
        <v>0</v>
      </c>
      <c r="I1017" s="275"/>
      <c r="J1017" s="275"/>
      <c r="K1017" s="275"/>
      <c r="L1017" s="240"/>
      <c r="M1017" s="237"/>
      <c r="N1017" s="237"/>
      <c r="O1017" s="237"/>
      <c r="P1017" s="237"/>
      <c r="Q1017" s="237"/>
      <c r="R1017" s="237"/>
    </row>
    <row r="1018" spans="8:8" ht="15.75" customHeight="1">
      <c r="G1018" s="241" t="b">
        <v>0</v>
      </c>
      <c r="I1018" s="275"/>
      <c r="J1018" s="275"/>
      <c r="K1018" s="275"/>
      <c r="L1018" s="240"/>
      <c r="M1018" s="237"/>
      <c r="N1018" s="237"/>
      <c r="O1018" s="237"/>
      <c r="P1018" s="237"/>
      <c r="Q1018" s="237"/>
      <c r="R1018" s="237"/>
    </row>
    <row r="1019" spans="8:8" ht="15.75" customHeight="1">
      <c r="G1019" s="241" t="b">
        <v>0</v>
      </c>
      <c r="I1019" s="275"/>
      <c r="J1019" s="275"/>
      <c r="K1019" s="275"/>
      <c r="L1019" s="240"/>
      <c r="M1019" s="237"/>
      <c r="N1019" s="237"/>
      <c r="O1019" s="237"/>
      <c r="P1019" s="237"/>
      <c r="Q1019" s="237"/>
      <c r="R1019" s="237"/>
    </row>
    <row r="1020" spans="8:8" ht="15.75" customHeight="1">
      <c r="G1020" s="241" t="b">
        <v>0</v>
      </c>
      <c r="I1020" s="275"/>
      <c r="J1020" s="275"/>
      <c r="K1020" s="275"/>
      <c r="L1020" s="240"/>
      <c r="M1020" s="237"/>
      <c r="N1020" s="237"/>
      <c r="O1020" s="237"/>
      <c r="P1020" s="237"/>
      <c r="Q1020" s="237"/>
      <c r="R1020" s="237"/>
    </row>
    <row r="1021" spans="8:8" ht="15.75" customHeight="1">
      <c r="G1021" s="241" t="b">
        <v>0</v>
      </c>
      <c r="I1021" s="275"/>
      <c r="J1021" s="275"/>
      <c r="K1021" s="275"/>
      <c r="L1021" s="240"/>
      <c r="M1021" s="237"/>
      <c r="N1021" s="237"/>
      <c r="O1021" s="237"/>
      <c r="P1021" s="237"/>
      <c r="Q1021" s="237"/>
      <c r="R1021" s="237"/>
    </row>
    <row r="1022" spans="8:8" ht="15.75" customHeight="1">
      <c r="G1022" s="241" t="b">
        <v>0</v>
      </c>
      <c r="I1022" s="275"/>
      <c r="J1022" s="275"/>
      <c r="K1022" s="275"/>
      <c r="L1022" s="240"/>
      <c r="M1022" s="237"/>
      <c r="N1022" s="237"/>
      <c r="O1022" s="237"/>
      <c r="P1022" s="237"/>
      <c r="Q1022" s="237"/>
      <c r="R1022" s="237"/>
    </row>
    <row r="1023" spans="8:8" ht="15.75" customHeight="1">
      <c r="G1023" s="241" t="b">
        <v>0</v>
      </c>
      <c r="I1023" s="275"/>
      <c r="J1023" s="275"/>
      <c r="K1023" s="275"/>
      <c r="L1023" s="240"/>
      <c r="M1023" s="237"/>
      <c r="N1023" s="237"/>
      <c r="O1023" s="237"/>
      <c r="P1023" s="237"/>
      <c r="Q1023" s="237"/>
      <c r="R1023" s="237"/>
    </row>
    <row r="1024" spans="8:8" ht="15.75" customHeight="1">
      <c r="G1024" s="241" t="b">
        <v>0</v>
      </c>
      <c r="I1024" s="275"/>
      <c r="J1024" s="275"/>
      <c r="K1024" s="275"/>
      <c r="L1024" s="276"/>
      <c r="M1024" s="237"/>
      <c r="N1024" s="237"/>
      <c r="O1024" s="237"/>
      <c r="P1024" s="237"/>
      <c r="Q1024" s="237"/>
      <c r="R1024" s="237"/>
    </row>
    <row r="1025" spans="8:8" ht="15.75" customHeight="1">
      <c r="G1025" s="241" t="b">
        <v>0</v>
      </c>
      <c r="I1025" s="275"/>
      <c r="J1025" s="275"/>
      <c r="K1025" s="275"/>
      <c r="L1025" s="240"/>
      <c r="M1025" s="237"/>
      <c r="N1025" s="237"/>
      <c r="O1025" s="237"/>
      <c r="P1025" s="237"/>
      <c r="Q1025" s="237"/>
      <c r="R1025" s="237"/>
    </row>
    <row r="1026" spans="8:8" ht="15.75" customHeight="1">
      <c r="G1026" s="241" t="b">
        <v>0</v>
      </c>
      <c r="I1026" s="275"/>
      <c r="J1026" s="275"/>
      <c r="K1026" s="275"/>
      <c r="L1026" s="240"/>
      <c r="M1026" s="237"/>
      <c r="N1026" s="237"/>
      <c r="O1026" s="237"/>
      <c r="P1026" s="237"/>
      <c r="Q1026" s="237"/>
      <c r="R1026" s="237"/>
    </row>
    <row r="1027" spans="8:8" ht="15.75" customHeight="1">
      <c r="G1027" s="241" t="b">
        <v>0</v>
      </c>
      <c r="I1027" s="275"/>
      <c r="J1027" s="275"/>
      <c r="K1027" s="275"/>
      <c r="L1027" s="240"/>
      <c r="M1027" s="237"/>
      <c r="N1027" s="237"/>
      <c r="O1027" s="237"/>
      <c r="P1027" s="237"/>
      <c r="Q1027" s="237"/>
      <c r="R1027" s="237"/>
    </row>
    <row r="1028" spans="8:8" ht="15.75" customHeight="1">
      <c r="G1028" s="241" t="b">
        <v>0</v>
      </c>
      <c r="I1028" s="275"/>
      <c r="J1028" s="275"/>
      <c r="K1028" s="275"/>
      <c r="L1028" s="240"/>
      <c r="M1028" s="237"/>
      <c r="N1028" s="237"/>
      <c r="O1028" s="237"/>
      <c r="P1028" s="237"/>
      <c r="Q1028" s="237"/>
      <c r="R1028" s="237"/>
    </row>
    <row r="1029" spans="8:8" ht="15.75" customHeight="1">
      <c r="G1029" s="241" t="b">
        <v>0</v>
      </c>
      <c r="I1029" s="275"/>
      <c r="J1029" s="275"/>
      <c r="K1029" s="275"/>
      <c r="L1029" s="240"/>
      <c r="M1029" s="237"/>
      <c r="N1029" s="237"/>
      <c r="O1029" s="237"/>
      <c r="P1029" s="237"/>
      <c r="Q1029" s="237"/>
      <c r="R1029" s="237"/>
    </row>
    <row r="1030" spans="8:8" ht="15.75" customHeight="1">
      <c r="G1030" s="241" t="b">
        <v>0</v>
      </c>
      <c r="I1030" s="275"/>
      <c r="J1030" s="275"/>
      <c r="K1030" s="275"/>
      <c r="L1030" s="240"/>
      <c r="M1030" s="237"/>
      <c r="N1030" s="237"/>
      <c r="O1030" s="237"/>
      <c r="P1030" s="237"/>
      <c r="Q1030" s="237"/>
      <c r="R1030" s="237"/>
    </row>
    <row r="1031" spans="8:8" ht="15.75" customHeight="1">
      <c r="G1031" s="241" t="b">
        <v>0</v>
      </c>
      <c r="I1031" s="275"/>
      <c r="J1031" s="275"/>
      <c r="K1031" s="275"/>
      <c r="L1031" s="240"/>
      <c r="M1031" s="237"/>
      <c r="N1031" s="237"/>
      <c r="O1031" s="237"/>
      <c r="P1031" s="237"/>
      <c r="Q1031" s="237"/>
      <c r="R1031" s="237"/>
    </row>
    <row r="1032" spans="8:8" ht="15.75" customHeight="1">
      <c r="G1032" s="241" t="b">
        <v>0</v>
      </c>
      <c r="I1032" s="275"/>
      <c r="J1032" s="275"/>
      <c r="K1032" s="275"/>
      <c r="L1032" s="240"/>
      <c r="M1032" s="237"/>
      <c r="N1032" s="237"/>
      <c r="O1032" s="237"/>
      <c r="P1032" s="237"/>
      <c r="Q1032" s="237"/>
      <c r="R1032" s="237"/>
    </row>
    <row r="1033" spans="8:8" ht="15.75" customHeight="1">
      <c r="G1033" s="241" t="b">
        <v>0</v>
      </c>
      <c r="I1033" s="275"/>
      <c r="J1033" s="275"/>
      <c r="K1033" s="275"/>
      <c r="L1033" s="240"/>
      <c r="M1033" s="237"/>
      <c r="N1033" s="237"/>
      <c r="O1033" s="237"/>
      <c r="P1033" s="237"/>
      <c r="Q1033" s="237"/>
      <c r="R1033" s="237"/>
    </row>
    <row r="1034" spans="8:8" ht="15.75" customHeight="1">
      <c r="G1034" s="241" t="b">
        <v>0</v>
      </c>
      <c r="I1034" s="275"/>
      <c r="J1034" s="275"/>
      <c r="K1034" s="275"/>
      <c r="L1034" s="240"/>
      <c r="M1034" s="237"/>
      <c r="N1034" s="237"/>
      <c r="O1034" s="237"/>
      <c r="P1034" s="237"/>
      <c r="Q1034" s="237"/>
      <c r="R1034" s="237"/>
    </row>
    <row r="1035" spans="8:8" ht="15.75" customHeight="1">
      <c r="G1035" s="241" t="b">
        <v>0</v>
      </c>
      <c r="I1035" s="275"/>
      <c r="J1035" s="275"/>
      <c r="K1035" s="275"/>
      <c r="L1035" s="240"/>
      <c r="M1035" s="237"/>
      <c r="N1035" s="237"/>
      <c r="O1035" s="237"/>
      <c r="P1035" s="237"/>
      <c r="Q1035" s="237"/>
      <c r="R1035" s="237"/>
    </row>
    <row r="1036" spans="8:8" ht="15.75" customHeight="1">
      <c r="G1036" s="241" t="b">
        <v>0</v>
      </c>
      <c r="I1036" s="275"/>
      <c r="J1036" s="275"/>
      <c r="K1036" s="275"/>
      <c r="L1036" s="240"/>
      <c r="M1036" s="237"/>
      <c r="N1036" s="237"/>
      <c r="O1036" s="237"/>
      <c r="P1036" s="237"/>
      <c r="Q1036" s="237"/>
      <c r="R1036" s="237"/>
    </row>
    <row r="1037" spans="8:8" ht="15.75" customHeight="1">
      <c r="G1037" s="241" t="b">
        <v>0</v>
      </c>
      <c r="I1037" s="275"/>
      <c r="J1037" s="275"/>
      <c r="K1037" s="275"/>
      <c r="L1037" s="240"/>
      <c r="M1037" s="237"/>
      <c r="N1037" s="237"/>
      <c r="O1037" s="237"/>
      <c r="P1037" s="237"/>
      <c r="Q1037" s="237"/>
      <c r="R1037" s="237"/>
    </row>
    <row r="1038" spans="8:8" ht="15.75" customHeight="1">
      <c r="G1038" s="241" t="b">
        <v>0</v>
      </c>
      <c r="I1038" s="275"/>
      <c r="J1038" s="275"/>
      <c r="K1038" s="275"/>
      <c r="L1038" s="240"/>
      <c r="M1038" s="237"/>
      <c r="N1038" s="237"/>
      <c r="O1038" s="237"/>
      <c r="P1038" s="237"/>
      <c r="Q1038" s="237"/>
      <c r="R1038" s="237"/>
    </row>
    <row r="1039" spans="8:8" ht="15.75" customHeight="1">
      <c r="G1039" s="241" t="b">
        <v>0</v>
      </c>
      <c r="I1039" s="275"/>
      <c r="J1039" s="275"/>
      <c r="K1039" s="275"/>
      <c r="L1039" s="240"/>
      <c r="M1039" s="237"/>
      <c r="N1039" s="237"/>
      <c r="O1039" s="237"/>
      <c r="P1039" s="237"/>
      <c r="Q1039" s="237"/>
      <c r="R1039" s="237"/>
    </row>
    <row r="1040" spans="8:8" ht="15.75" customHeight="1">
      <c r="G1040" s="241" t="b">
        <v>0</v>
      </c>
      <c r="I1040" s="275"/>
      <c r="J1040" s="275"/>
      <c r="K1040" s="275"/>
      <c r="L1040" s="240"/>
      <c r="M1040" s="237"/>
      <c r="N1040" s="237"/>
      <c r="O1040" s="237"/>
      <c r="P1040" s="237"/>
      <c r="Q1040" s="237"/>
      <c r="R1040" s="237"/>
    </row>
    <row r="1041" spans="8:8" ht="15.75" customHeight="1">
      <c r="G1041" s="241" t="b">
        <v>0</v>
      </c>
      <c r="I1041" s="275"/>
      <c r="J1041" s="275"/>
      <c r="K1041" s="275"/>
      <c r="L1041" s="240"/>
      <c r="M1041" s="237"/>
      <c r="N1041" s="237"/>
      <c r="O1041" s="237"/>
      <c r="P1041" s="237"/>
      <c r="Q1041" s="237"/>
      <c r="R1041" s="237"/>
    </row>
    <row r="1042" spans="8:8" ht="15.75" customHeight="1">
      <c r="G1042" s="241" t="b">
        <v>0</v>
      </c>
      <c r="I1042" s="275"/>
      <c r="J1042" s="275"/>
      <c r="K1042" s="275"/>
      <c r="L1042" s="240"/>
      <c r="M1042" s="237"/>
      <c r="N1042" s="237"/>
      <c r="O1042" s="237"/>
      <c r="P1042" s="237"/>
      <c r="Q1042" s="237"/>
      <c r="R1042" s="237"/>
    </row>
    <row r="1043" spans="8:8" ht="15.75" customHeight="1">
      <c r="G1043" s="241" t="b">
        <v>0</v>
      </c>
      <c r="I1043" s="275"/>
      <c r="J1043" s="275"/>
      <c r="K1043" s="275"/>
      <c r="L1043" s="240"/>
      <c r="M1043" s="237"/>
      <c r="N1043" s="237"/>
      <c r="O1043" s="237"/>
      <c r="P1043" s="237"/>
      <c r="Q1043" s="237"/>
      <c r="R1043" s="237"/>
    </row>
    <row r="1044" spans="8:8" ht="15.75" customHeight="1">
      <c r="G1044" s="241" t="b">
        <v>0</v>
      </c>
      <c r="I1044" s="275"/>
      <c r="J1044" s="275"/>
      <c r="K1044" s="275"/>
      <c r="L1044" s="240"/>
      <c r="M1044" s="237"/>
      <c r="N1044" s="237"/>
      <c r="O1044" s="237"/>
      <c r="P1044" s="237"/>
      <c r="Q1044" s="237"/>
      <c r="R1044" s="237"/>
    </row>
    <row r="1045" spans="8:8" ht="15.75" customHeight="1">
      <c r="G1045" s="241" t="b">
        <v>0</v>
      </c>
      <c r="I1045" s="275"/>
      <c r="J1045" s="275"/>
      <c r="K1045" s="275"/>
      <c r="L1045" s="240"/>
      <c r="M1045" s="237"/>
      <c r="N1045" s="237"/>
      <c r="O1045" s="237"/>
      <c r="P1045" s="237"/>
      <c r="Q1045" s="237"/>
      <c r="R1045" s="237"/>
    </row>
    <row r="1046" spans="8:8" ht="15.75" customHeight="1">
      <c r="G1046" s="241" t="b">
        <v>0</v>
      </c>
      <c r="I1046" s="275"/>
      <c r="J1046" s="275"/>
      <c r="K1046" s="275"/>
      <c r="L1046" s="240"/>
      <c r="M1046" s="237"/>
      <c r="N1046" s="237"/>
      <c r="O1046" s="237"/>
      <c r="P1046" s="237"/>
      <c r="Q1046" s="237"/>
      <c r="R1046" s="237"/>
    </row>
    <row r="1047" spans="8:8" ht="15.75" customHeight="1">
      <c r="G1047" s="241" t="b">
        <v>0</v>
      </c>
      <c r="I1047" s="275"/>
      <c r="J1047" s="275"/>
      <c r="K1047" s="275"/>
      <c r="L1047" s="276"/>
      <c r="M1047" s="237"/>
      <c r="N1047" s="237"/>
      <c r="O1047" s="237"/>
      <c r="P1047" s="237"/>
      <c r="Q1047" s="237"/>
      <c r="R1047" s="237"/>
    </row>
    <row r="1048" spans="8:8" ht="15.75" customHeight="1">
      <c r="G1048" s="241" t="b">
        <v>0</v>
      </c>
      <c r="I1048" s="275"/>
      <c r="J1048" s="275"/>
      <c r="K1048" s="275"/>
      <c r="L1048" s="240"/>
      <c r="M1048" s="237"/>
      <c r="N1048" s="237"/>
      <c r="O1048" s="237"/>
      <c r="P1048" s="237"/>
      <c r="Q1048" s="237"/>
      <c r="R1048" s="237"/>
    </row>
    <row r="1049" spans="8:8" ht="15.75" customHeight="1">
      <c r="G1049" s="241" t="b">
        <v>0</v>
      </c>
      <c r="I1049" s="275"/>
      <c r="J1049" s="275"/>
      <c r="K1049" s="275"/>
      <c r="L1049" s="240"/>
      <c r="M1049" s="237"/>
      <c r="N1049" s="237"/>
      <c r="O1049" s="237"/>
      <c r="P1049" s="237"/>
      <c r="Q1049" s="237"/>
      <c r="R1049" s="237"/>
    </row>
    <row r="1050" spans="8:8" ht="15.75" customHeight="1">
      <c r="G1050" s="241" t="b">
        <v>0</v>
      </c>
      <c r="I1050" s="275"/>
      <c r="J1050" s="275"/>
      <c r="K1050" s="275"/>
      <c r="L1050" s="240"/>
      <c r="M1050" s="237"/>
      <c r="N1050" s="237"/>
      <c r="O1050" s="237"/>
      <c r="P1050" s="237"/>
      <c r="Q1050" s="237"/>
      <c r="R1050" s="237"/>
    </row>
    <row r="1051" spans="8:8" ht="15.75" customHeight="1">
      <c r="G1051" s="241" t="b">
        <v>0</v>
      </c>
      <c r="I1051" s="275"/>
      <c r="J1051" s="275"/>
      <c r="K1051" s="275"/>
      <c r="L1051" s="240"/>
      <c r="M1051" s="237"/>
      <c r="N1051" s="237"/>
      <c r="O1051" s="237"/>
      <c r="P1051" s="237"/>
      <c r="Q1051" s="237"/>
      <c r="R1051" s="237"/>
    </row>
    <row r="1052" spans="8:8" ht="15.75" customHeight="1">
      <c r="G1052" s="241" t="b">
        <v>0</v>
      </c>
      <c r="I1052" s="275"/>
      <c r="J1052" s="275"/>
      <c r="K1052" s="275"/>
      <c r="L1052" s="240"/>
      <c r="M1052" s="237"/>
      <c r="N1052" s="237"/>
      <c r="O1052" s="237"/>
      <c r="P1052" s="237"/>
      <c r="Q1052" s="237"/>
      <c r="R1052" s="237"/>
    </row>
    <row r="1053" spans="8:8" ht="15.75" customHeight="1">
      <c r="G1053" s="241" t="b">
        <v>0</v>
      </c>
      <c r="I1053" s="275"/>
      <c r="J1053" s="275"/>
      <c r="K1053" s="275"/>
      <c r="L1053" s="240"/>
      <c r="M1053" s="237"/>
      <c r="N1053" s="237"/>
      <c r="O1053" s="237"/>
      <c r="P1053" s="237"/>
      <c r="Q1053" s="237"/>
      <c r="R1053" s="237"/>
    </row>
    <row r="1054" spans="8:8" ht="15.75" customHeight="1">
      <c r="G1054" s="241" t="b">
        <v>0</v>
      </c>
      <c r="I1054" s="275"/>
      <c r="J1054" s="275"/>
      <c r="K1054" s="275"/>
      <c r="L1054" s="240"/>
      <c r="M1054" s="237"/>
      <c r="N1054" s="237"/>
      <c r="O1054" s="237"/>
      <c r="P1054" s="237"/>
      <c r="Q1054" s="237"/>
      <c r="R1054" s="237"/>
    </row>
    <row r="1055" spans="8:8" ht="15.75" customHeight="1">
      <c r="G1055" s="241" t="b">
        <v>0</v>
      </c>
      <c r="I1055" s="275"/>
      <c r="J1055" s="275"/>
      <c r="K1055" s="275"/>
      <c r="L1055" s="240"/>
      <c r="M1055" s="237"/>
      <c r="N1055" s="237"/>
      <c r="O1055" s="237"/>
      <c r="P1055" s="237"/>
      <c r="Q1055" s="237"/>
      <c r="R1055" s="237"/>
    </row>
    <row r="1056" spans="8:8" ht="15.75" customHeight="1">
      <c r="G1056" s="241" t="b">
        <v>0</v>
      </c>
      <c r="I1056" s="275"/>
      <c r="J1056" s="275"/>
      <c r="K1056" s="275"/>
      <c r="L1056" s="240"/>
      <c r="M1056" s="237"/>
      <c r="N1056" s="237"/>
      <c r="O1056" s="237"/>
      <c r="P1056" s="237"/>
      <c r="Q1056" s="237"/>
      <c r="R1056" s="237"/>
    </row>
    <row r="1057" spans="8:8" ht="15.75" customHeight="1">
      <c r="G1057" s="241" t="b">
        <v>0</v>
      </c>
      <c r="I1057" s="275"/>
      <c r="J1057" s="275"/>
      <c r="K1057" s="275"/>
      <c r="L1057" s="240"/>
      <c r="M1057" s="237"/>
      <c r="N1057" s="237"/>
      <c r="O1057" s="237"/>
      <c r="P1057" s="237"/>
      <c r="Q1057" s="237"/>
      <c r="R1057" s="237"/>
    </row>
    <row r="1058" spans="8:8" ht="15.75" customHeight="1">
      <c r="G1058" s="241" t="b">
        <v>0</v>
      </c>
      <c r="I1058" s="275"/>
      <c r="J1058" s="275"/>
      <c r="K1058" s="275"/>
      <c r="L1058" s="240"/>
      <c r="M1058" s="237"/>
      <c r="N1058" s="237"/>
      <c r="O1058" s="237"/>
      <c r="P1058" s="237"/>
      <c r="Q1058" s="237"/>
      <c r="R1058" s="237"/>
    </row>
    <row r="1059" spans="8:8" ht="15.75" customHeight="1">
      <c r="G1059" s="241" t="b">
        <v>0</v>
      </c>
      <c r="I1059" s="275"/>
      <c r="J1059" s="275"/>
      <c r="K1059" s="275"/>
      <c r="L1059" s="240"/>
      <c r="M1059" s="237"/>
      <c r="N1059" s="237"/>
      <c r="O1059" s="237"/>
      <c r="P1059" s="237"/>
      <c r="Q1059" s="237"/>
      <c r="R1059" s="237"/>
    </row>
    <row r="1060" spans="8:8" ht="15.75" customHeight="1">
      <c r="G1060" s="241" t="b">
        <v>0</v>
      </c>
      <c r="I1060" s="275"/>
      <c r="J1060" s="275"/>
      <c r="K1060" s="275"/>
      <c r="L1060" s="240"/>
      <c r="M1060" s="237"/>
      <c r="N1060" s="237"/>
      <c r="O1060" s="237"/>
      <c r="P1060" s="237"/>
      <c r="Q1060" s="237"/>
      <c r="R1060" s="237"/>
    </row>
    <row r="1061" spans="8:8" ht="15.75" customHeight="1">
      <c r="G1061" s="241" t="b">
        <v>0</v>
      </c>
      <c r="I1061" s="275"/>
      <c r="J1061" s="275"/>
      <c r="K1061" s="275"/>
      <c r="L1061" s="240"/>
      <c r="M1061" s="237"/>
      <c r="N1061" s="237"/>
      <c r="O1061" s="237"/>
      <c r="P1061" s="237"/>
      <c r="Q1061" s="237"/>
      <c r="R1061" s="237"/>
    </row>
    <row r="1062" spans="8:8" ht="15.75" customHeight="1">
      <c r="G1062" s="241" t="b">
        <v>0</v>
      </c>
      <c r="I1062" s="275"/>
      <c r="J1062" s="275"/>
      <c r="K1062" s="275"/>
      <c r="L1062" s="240"/>
      <c r="M1062" s="237"/>
      <c r="N1062" s="237"/>
      <c r="O1062" s="237"/>
      <c r="P1062" s="237"/>
      <c r="Q1062" s="237"/>
      <c r="R1062" s="237"/>
    </row>
    <row r="1063" spans="8:8" ht="15.75" customHeight="1">
      <c r="G1063" s="241" t="b">
        <v>0</v>
      </c>
      <c r="I1063" s="275"/>
      <c r="J1063" s="275"/>
      <c r="K1063" s="275"/>
      <c r="L1063" s="240"/>
      <c r="M1063" s="237"/>
      <c r="N1063" s="237"/>
      <c r="O1063" s="237"/>
      <c r="P1063" s="237"/>
      <c r="Q1063" s="237"/>
      <c r="R1063" s="237"/>
    </row>
    <row r="1064" spans="8:8" ht="15.75" customHeight="1">
      <c r="G1064" s="241" t="b">
        <v>0</v>
      </c>
      <c r="I1064" s="275"/>
      <c r="J1064" s="275"/>
      <c r="K1064" s="243"/>
      <c r="L1064" s="240"/>
      <c r="M1064" s="237"/>
      <c r="N1064" s="237"/>
      <c r="O1064" s="237"/>
      <c r="P1064" s="237"/>
      <c r="Q1064" s="237"/>
      <c r="R1064" s="237"/>
    </row>
    <row r="1065" spans="8:8" ht="15.75" customHeight="1">
      <c r="G1065" s="241" t="b">
        <v>0</v>
      </c>
      <c r="I1065" s="275"/>
      <c r="J1065" s="275"/>
      <c r="K1065" s="275"/>
      <c r="L1065" s="240"/>
      <c r="M1065" s="237"/>
      <c r="N1065" s="237"/>
      <c r="O1065" s="237"/>
      <c r="P1065" s="237"/>
      <c r="Q1065" s="237"/>
      <c r="R1065" s="237"/>
    </row>
    <row r="1066" spans="8:8" ht="15.75" customHeight="1">
      <c r="G1066" s="241" t="b">
        <v>0</v>
      </c>
      <c r="I1066" s="275"/>
      <c r="J1066" s="275"/>
      <c r="K1066" s="275"/>
      <c r="L1066" s="240"/>
      <c r="M1066" s="237"/>
      <c r="N1066" s="237"/>
      <c r="O1066" s="237"/>
      <c r="P1066" s="237"/>
      <c r="Q1066" s="237"/>
      <c r="R1066" s="237"/>
    </row>
    <row r="1067" spans="8:8" ht="15.75" customHeight="1">
      <c r="G1067" s="241" t="b">
        <v>0</v>
      </c>
      <c r="I1067" s="275"/>
      <c r="J1067" s="275"/>
      <c r="K1067" s="275"/>
      <c r="L1067" s="240"/>
      <c r="M1067" s="237"/>
      <c r="N1067" s="237"/>
      <c r="O1067" s="237"/>
      <c r="P1067" s="237"/>
      <c r="Q1067" s="237"/>
      <c r="R1067" s="237"/>
    </row>
    <row r="1068" spans="8:8" ht="15.75" customHeight="1">
      <c r="G1068" s="241" t="b">
        <v>0</v>
      </c>
      <c r="I1068" s="275"/>
      <c r="J1068" s="275"/>
      <c r="K1068" s="275"/>
      <c r="L1068" s="240"/>
      <c r="M1068" s="237"/>
      <c r="N1068" s="237"/>
      <c r="O1068" s="237"/>
      <c r="P1068" s="237"/>
      <c r="Q1068" s="237"/>
      <c r="R1068" s="237"/>
    </row>
    <row r="1069" spans="8:8" ht="15.75" customHeight="1">
      <c r="G1069" s="241" t="b">
        <v>0</v>
      </c>
      <c r="I1069" s="275"/>
      <c r="J1069" s="275"/>
      <c r="K1069" s="275"/>
      <c r="L1069" s="276"/>
      <c r="M1069" s="237"/>
      <c r="N1069" s="237"/>
      <c r="O1069" s="237"/>
      <c r="P1069" s="237"/>
      <c r="Q1069" s="237"/>
      <c r="R1069" s="237"/>
    </row>
    <row r="1070" spans="8:8" ht="15.75" customHeight="1">
      <c r="G1070" s="241" t="b">
        <v>0</v>
      </c>
      <c r="I1070" s="275"/>
      <c r="J1070" s="275"/>
      <c r="K1070" s="275"/>
      <c r="L1070" s="240"/>
      <c r="M1070" s="237"/>
      <c r="N1070" s="237"/>
      <c r="O1070" s="237"/>
      <c r="P1070" s="237"/>
      <c r="Q1070" s="237"/>
      <c r="R1070" s="237"/>
    </row>
    <row r="1071" spans="8:8" ht="15.75" customHeight="1">
      <c r="G1071" s="241" t="b">
        <v>0</v>
      </c>
      <c r="I1071" s="275"/>
      <c r="J1071" s="275"/>
      <c r="K1071" s="275"/>
      <c r="L1071" s="240"/>
      <c r="M1071" s="237"/>
      <c r="N1071" s="237"/>
      <c r="O1071" s="237"/>
      <c r="P1071" s="237"/>
      <c r="Q1071" s="237"/>
      <c r="R1071" s="237"/>
    </row>
    <row r="1072" spans="8:8" ht="15.75" customHeight="1">
      <c r="G1072" s="241" t="b">
        <v>0</v>
      </c>
      <c r="I1072" s="275"/>
      <c r="J1072" s="275"/>
      <c r="K1072" s="275"/>
      <c r="L1072" s="240"/>
      <c r="M1072" s="237"/>
      <c r="N1072" s="237"/>
      <c r="O1072" s="237"/>
      <c r="P1072" s="237"/>
      <c r="Q1072" s="237"/>
      <c r="R1072" s="237"/>
    </row>
    <row r="1073" spans="8:8" ht="15.75" customHeight="1">
      <c r="G1073" s="241" t="b">
        <v>0</v>
      </c>
      <c r="I1073" s="275"/>
      <c r="J1073" s="275"/>
      <c r="K1073" s="275"/>
      <c r="L1073" s="240"/>
      <c r="M1073" s="237"/>
      <c r="N1073" s="237"/>
      <c r="O1073" s="237"/>
      <c r="P1073" s="237"/>
      <c r="Q1073" s="237"/>
      <c r="R1073" s="237"/>
    </row>
    <row r="1074" spans="8:8" ht="15.75" customHeight="1">
      <c r="G1074" s="241" t="b">
        <v>0</v>
      </c>
      <c r="I1074" s="275"/>
      <c r="J1074" s="275"/>
      <c r="K1074" s="275"/>
      <c r="L1074" s="240"/>
      <c r="M1074" s="237"/>
      <c r="N1074" s="237"/>
      <c r="O1074" s="237"/>
      <c r="P1074" s="237"/>
      <c r="Q1074" s="237"/>
      <c r="R1074" s="237"/>
    </row>
    <row r="1075" spans="8:8" ht="15.75" customHeight="1">
      <c r="G1075" s="241" t="b">
        <v>0</v>
      </c>
      <c r="I1075" s="275"/>
      <c r="J1075" s="275"/>
      <c r="K1075" s="275"/>
      <c r="L1075" s="240"/>
      <c r="M1075" s="237"/>
      <c r="N1075" s="237"/>
      <c r="O1075" s="237"/>
      <c r="P1075" s="237"/>
      <c r="Q1075" s="237"/>
      <c r="R1075" s="237"/>
    </row>
    <row r="1076" spans="8:8" ht="15.75" customHeight="1">
      <c r="G1076" s="241" t="b">
        <v>0</v>
      </c>
      <c r="I1076" s="275"/>
      <c r="J1076" s="275"/>
      <c r="K1076" s="275"/>
      <c r="L1076" s="240"/>
      <c r="M1076" s="237"/>
      <c r="N1076" s="237"/>
      <c r="O1076" s="237"/>
      <c r="P1076" s="237"/>
      <c r="Q1076" s="237"/>
      <c r="R1076" s="237"/>
    </row>
    <row r="1077" spans="8:8" ht="15.75" customHeight="1">
      <c r="G1077" s="241" t="b">
        <v>0</v>
      </c>
      <c r="I1077" s="275"/>
      <c r="J1077" s="275"/>
      <c r="K1077" s="275"/>
      <c r="L1077" s="240"/>
      <c r="M1077" s="237"/>
      <c r="N1077" s="237"/>
      <c r="O1077" s="237"/>
      <c r="P1077" s="237"/>
      <c r="Q1077" s="237"/>
      <c r="R1077" s="237"/>
    </row>
    <row r="1078" spans="8:8" ht="15.75" customHeight="1">
      <c r="G1078" s="241" t="b">
        <v>0</v>
      </c>
      <c r="I1078" s="275"/>
      <c r="J1078" s="275"/>
      <c r="K1078" s="275"/>
      <c r="L1078" s="240"/>
      <c r="M1078" s="237"/>
      <c r="N1078" s="237"/>
      <c r="O1078" s="237"/>
      <c r="P1078" s="237"/>
      <c r="Q1078" s="237"/>
      <c r="R1078" s="237"/>
    </row>
    <row r="1079" spans="8:8" ht="15.75" customHeight="1">
      <c r="G1079" s="241" t="b">
        <v>0</v>
      </c>
      <c r="I1079" s="275"/>
      <c r="J1079" s="275"/>
      <c r="K1079" s="275"/>
      <c r="L1079" s="240"/>
      <c r="M1079" s="237"/>
      <c r="N1079" s="237"/>
      <c r="O1079" s="237"/>
      <c r="P1079" s="237"/>
      <c r="Q1079" s="237"/>
      <c r="R1079" s="237"/>
    </row>
    <row r="1080" spans="8:8" ht="15.75" customHeight="1">
      <c r="G1080" s="241" t="b">
        <v>0</v>
      </c>
      <c r="I1080" s="275"/>
      <c r="J1080" s="275"/>
      <c r="K1080" s="275"/>
      <c r="L1080" s="240"/>
      <c r="M1080" s="237"/>
      <c r="N1080" s="237"/>
      <c r="O1080" s="237"/>
      <c r="P1080" s="237"/>
      <c r="Q1080" s="237"/>
      <c r="R1080" s="237"/>
    </row>
    <row r="1081" spans="8:8" ht="15.75" customHeight="1">
      <c r="G1081" s="241" t="b">
        <v>0</v>
      </c>
      <c r="I1081" s="275"/>
      <c r="J1081" s="275"/>
      <c r="K1081" s="275"/>
      <c r="L1081" s="240"/>
      <c r="M1081" s="237"/>
      <c r="N1081" s="237"/>
      <c r="O1081" s="237"/>
      <c r="P1081" s="237"/>
      <c r="Q1081" s="237"/>
      <c r="R1081" s="237"/>
    </row>
    <row r="1082" spans="8:8" ht="15.75" customHeight="1">
      <c r="G1082" s="241" t="b">
        <v>0</v>
      </c>
      <c r="I1082" s="275"/>
      <c r="J1082" s="275"/>
      <c r="K1082" s="275"/>
      <c r="L1082" s="240"/>
      <c r="M1082" s="237"/>
      <c r="N1082" s="237"/>
      <c r="O1082" s="237"/>
      <c r="P1082" s="237"/>
      <c r="Q1082" s="237"/>
      <c r="R1082" s="237"/>
    </row>
    <row r="1083" spans="8:8" ht="15.75" customHeight="1">
      <c r="G1083" s="241" t="b">
        <v>0</v>
      </c>
      <c r="I1083" s="275"/>
      <c r="J1083" s="275"/>
      <c r="K1083" s="275"/>
      <c r="L1083" s="240"/>
      <c r="M1083" s="237"/>
      <c r="N1083" s="237"/>
      <c r="O1083" s="237"/>
      <c r="P1083" s="237"/>
      <c r="Q1083" s="237"/>
      <c r="R1083" s="237"/>
    </row>
    <row r="1084" spans="8:8" ht="15.75" customHeight="1">
      <c r="G1084" s="241" t="b">
        <v>0</v>
      </c>
      <c r="I1084" s="275"/>
      <c r="J1084" s="275"/>
      <c r="K1084" s="275"/>
      <c r="L1084" s="240"/>
      <c r="M1084" s="237"/>
      <c r="N1084" s="237"/>
      <c r="O1084" s="237"/>
      <c r="P1084" s="237"/>
      <c r="Q1084" s="237"/>
      <c r="R1084" s="237"/>
    </row>
    <row r="1085" spans="8:8" ht="15.75" customHeight="1">
      <c r="G1085" s="241" t="b">
        <v>0</v>
      </c>
      <c r="I1085" s="275"/>
      <c r="J1085" s="275"/>
      <c r="K1085" s="275"/>
      <c r="L1085" s="240"/>
      <c r="M1085" s="237"/>
      <c r="N1085" s="237"/>
      <c r="O1085" s="237"/>
      <c r="P1085" s="237"/>
      <c r="Q1085" s="237"/>
      <c r="R1085" s="237"/>
    </row>
    <row r="1086" spans="8:8" ht="15.75" customHeight="1">
      <c r="G1086" s="241" t="b">
        <v>0</v>
      </c>
      <c r="I1086" s="275"/>
      <c r="J1086" s="275"/>
      <c r="K1086" s="275"/>
      <c r="L1086" s="240"/>
      <c r="M1086" s="237"/>
      <c r="N1086" s="237"/>
      <c r="O1086" s="237"/>
      <c r="P1086" s="237"/>
      <c r="Q1086" s="237"/>
      <c r="R1086" s="237"/>
    </row>
    <row r="1087" spans="8:8" ht="15.75" customHeight="1">
      <c r="G1087" s="241" t="b">
        <v>0</v>
      </c>
      <c r="I1087" s="275"/>
      <c r="J1087" s="275"/>
      <c r="K1087" s="275"/>
      <c r="L1087" s="240"/>
      <c r="M1087" s="237"/>
      <c r="N1087" s="237"/>
      <c r="O1087" s="237"/>
      <c r="P1087" s="237"/>
      <c r="Q1087" s="237"/>
      <c r="R1087" s="237"/>
    </row>
    <row r="1088" spans="8:8" ht="15.75" customHeight="1">
      <c r="G1088" s="241" t="b">
        <v>0</v>
      </c>
      <c r="I1088" s="275"/>
      <c r="J1088" s="275"/>
      <c r="K1088" s="275"/>
      <c r="L1088" s="240"/>
      <c r="M1088" s="237"/>
      <c r="N1088" s="237"/>
      <c r="O1088" s="237"/>
      <c r="P1088" s="237"/>
      <c r="Q1088" s="237"/>
      <c r="R1088" s="237"/>
    </row>
    <row r="1089" spans="8:8" ht="15.75" customHeight="1">
      <c r="G1089" s="241" t="b">
        <v>0</v>
      </c>
      <c r="I1089" s="275"/>
      <c r="J1089" s="275"/>
      <c r="K1089" s="275"/>
      <c r="L1089" s="240"/>
      <c r="M1089" s="237"/>
      <c r="N1089" s="237"/>
      <c r="O1089" s="237"/>
      <c r="P1089" s="237"/>
      <c r="Q1089" s="237"/>
      <c r="R1089" s="237"/>
    </row>
    <row r="1090" spans="8:8" ht="15.75" customHeight="1">
      <c r="G1090" s="241" t="b">
        <v>0</v>
      </c>
      <c r="I1090" s="275"/>
      <c r="J1090" s="275"/>
      <c r="K1090" s="275"/>
      <c r="L1090" s="240"/>
      <c r="M1090" s="237"/>
      <c r="N1090" s="237"/>
      <c r="O1090" s="237"/>
      <c r="P1090" s="237"/>
      <c r="Q1090" s="237"/>
      <c r="R1090" s="237"/>
    </row>
    <row r="1091" spans="8:8" ht="15.75" customHeight="1">
      <c r="G1091" s="241" t="b">
        <v>0</v>
      </c>
      <c r="I1091" s="275"/>
      <c r="J1091" s="275"/>
      <c r="K1091" s="275"/>
      <c r="L1091" s="276"/>
      <c r="M1091" s="237"/>
      <c r="N1091" s="237"/>
      <c r="O1091" s="237"/>
      <c r="P1091" s="237"/>
      <c r="Q1091" s="237"/>
      <c r="R1091" s="237"/>
    </row>
    <row r="1092" spans="8:8" ht="15.75" customHeight="1">
      <c r="G1092" s="241" t="b">
        <v>0</v>
      </c>
      <c r="I1092" s="275"/>
      <c r="J1092" s="275"/>
      <c r="K1092" s="275"/>
      <c r="L1092" s="240"/>
      <c r="M1092" s="237"/>
      <c r="N1092" s="237"/>
      <c r="O1092" s="237"/>
      <c r="P1092" s="237"/>
      <c r="Q1092" s="237"/>
      <c r="R1092" s="237"/>
    </row>
    <row r="1093" spans="8:8" ht="15.75" customHeight="1">
      <c r="G1093" s="241" t="b">
        <v>0</v>
      </c>
      <c r="I1093" s="275"/>
      <c r="J1093" s="275"/>
      <c r="K1093" s="275"/>
      <c r="L1093" s="240"/>
      <c r="M1093" s="237"/>
      <c r="N1093" s="237"/>
      <c r="O1093" s="237"/>
      <c r="P1093" s="237"/>
      <c r="Q1093" s="237"/>
      <c r="R1093" s="237"/>
    </row>
    <row r="1094" spans="8:8" ht="15.75" customHeight="1">
      <c r="G1094" s="241" t="b">
        <v>0</v>
      </c>
      <c r="I1094" s="275"/>
      <c r="J1094" s="275"/>
      <c r="K1094" s="275"/>
      <c r="L1094" s="240"/>
      <c r="M1094" s="237"/>
      <c r="N1094" s="237"/>
      <c r="O1094" s="237"/>
      <c r="P1094" s="237"/>
      <c r="Q1094" s="237"/>
      <c r="R1094" s="237"/>
    </row>
    <row r="1095" spans="8:8" ht="15.75" customHeight="1">
      <c r="G1095" s="241" t="b">
        <v>0</v>
      </c>
      <c r="I1095" s="275"/>
      <c r="J1095" s="275"/>
      <c r="K1095" s="275"/>
      <c r="L1095" s="240"/>
      <c r="M1095" s="237"/>
      <c r="N1095" s="237"/>
      <c r="O1095" s="237"/>
      <c r="P1095" s="237"/>
      <c r="Q1095" s="237"/>
      <c r="R1095" s="237"/>
    </row>
    <row r="1096" spans="8:8" ht="15.75" customHeight="1">
      <c r="G1096" s="241" t="b">
        <v>0</v>
      </c>
      <c r="I1096" s="275"/>
      <c r="J1096" s="275"/>
      <c r="K1096" s="275"/>
      <c r="L1096" s="240"/>
      <c r="M1096" s="237"/>
      <c r="N1096" s="237"/>
      <c r="O1096" s="237"/>
      <c r="P1096" s="237"/>
      <c r="Q1096" s="237"/>
      <c r="R1096" s="237"/>
    </row>
    <row r="1097" spans="8:8" ht="15.75" customHeight="1">
      <c r="G1097" s="241" t="b">
        <v>0</v>
      </c>
      <c r="I1097" s="275"/>
      <c r="J1097" s="275"/>
      <c r="K1097" s="275"/>
      <c r="L1097" s="240"/>
      <c r="M1097" s="237"/>
      <c r="N1097" s="237"/>
      <c r="O1097" s="237"/>
      <c r="P1097" s="237"/>
      <c r="Q1097" s="237"/>
      <c r="R1097" s="237"/>
    </row>
    <row r="1098" spans="8:8" ht="15.75" customHeight="1">
      <c r="G1098" s="241" t="b">
        <v>0</v>
      </c>
      <c r="I1098" s="275"/>
      <c r="J1098" s="275"/>
      <c r="K1098" s="275"/>
      <c r="L1098" s="240"/>
      <c r="M1098" s="237"/>
      <c r="N1098" s="237"/>
      <c r="O1098" s="237"/>
      <c r="P1098" s="237"/>
      <c r="Q1098" s="237"/>
      <c r="R1098" s="237"/>
    </row>
    <row r="1099" spans="8:8" ht="15.75" customHeight="1">
      <c r="G1099" s="241" t="b">
        <v>0</v>
      </c>
      <c r="I1099" s="275"/>
      <c r="J1099" s="275"/>
      <c r="K1099" s="275"/>
      <c r="L1099" s="240"/>
      <c r="M1099" s="237"/>
      <c r="N1099" s="237"/>
      <c r="O1099" s="237"/>
      <c r="P1099" s="237"/>
      <c r="Q1099" s="237"/>
      <c r="R1099" s="237"/>
    </row>
    <row r="1100" spans="8:8" ht="15.75" customHeight="1">
      <c r="G1100" s="241" t="b">
        <v>0</v>
      </c>
      <c r="I1100" s="275"/>
      <c r="J1100" s="275"/>
      <c r="K1100" s="275"/>
      <c r="L1100" s="240"/>
      <c r="M1100" s="237"/>
      <c r="N1100" s="237"/>
      <c r="O1100" s="237"/>
      <c r="P1100" s="237"/>
      <c r="Q1100" s="237"/>
      <c r="R1100" s="237"/>
    </row>
    <row r="1101" spans="8:8" ht="15.75" customHeight="1">
      <c r="G1101" s="241" t="b">
        <v>0</v>
      </c>
      <c r="I1101" s="275"/>
      <c r="J1101" s="275"/>
      <c r="K1101" s="275"/>
      <c r="L1101" s="240"/>
      <c r="M1101" s="237"/>
      <c r="N1101" s="237"/>
      <c r="O1101" s="237"/>
      <c r="P1101" s="237"/>
      <c r="Q1101" s="237"/>
      <c r="R1101" s="237"/>
    </row>
    <row r="1102" spans="8:8" ht="15.75" customHeight="1">
      <c r="G1102" s="241" t="b">
        <v>0</v>
      </c>
      <c r="I1102" s="275"/>
      <c r="J1102" s="275"/>
      <c r="K1102" s="275"/>
      <c r="L1102" s="240"/>
      <c r="M1102" s="237"/>
      <c r="N1102" s="237"/>
      <c r="O1102" s="237"/>
      <c r="P1102" s="237"/>
      <c r="Q1102" s="237"/>
      <c r="R1102" s="237"/>
    </row>
    <row r="1103" spans="8:8" ht="15.75" customHeight="1">
      <c r="G1103" s="241" t="b">
        <v>0</v>
      </c>
      <c r="I1103" s="275"/>
      <c r="J1103" s="275"/>
      <c r="K1103" s="275"/>
      <c r="L1103" s="240"/>
      <c r="M1103" s="237"/>
      <c r="N1103" s="237"/>
      <c r="O1103" s="237"/>
      <c r="P1103" s="237"/>
      <c r="Q1103" s="237"/>
      <c r="R1103" s="237"/>
    </row>
    <row r="1104" spans="8:8" ht="15.75" customHeight="1">
      <c r="G1104" s="241" t="b">
        <v>0</v>
      </c>
      <c r="I1104" s="275"/>
      <c r="J1104" s="275"/>
      <c r="K1104" s="275"/>
      <c r="L1104" s="240"/>
      <c r="M1104" s="237"/>
      <c r="N1104" s="237"/>
      <c r="O1104" s="237"/>
      <c r="P1104" s="237"/>
      <c r="Q1104" s="237"/>
      <c r="R1104" s="237"/>
    </row>
    <row r="1105" spans="8:8" ht="15.75" customHeight="1">
      <c r="G1105" s="241" t="b">
        <v>0</v>
      </c>
      <c r="I1105" s="275"/>
      <c r="J1105" s="275"/>
      <c r="K1105" s="275"/>
      <c r="L1105" s="240"/>
      <c r="M1105" s="237"/>
      <c r="N1105" s="237"/>
      <c r="O1105" s="237"/>
      <c r="P1105" s="237"/>
      <c r="Q1105" s="237"/>
      <c r="R1105" s="237"/>
    </row>
    <row r="1106" spans="8:8" ht="15.75" customHeight="1">
      <c r="G1106" s="241" t="b">
        <v>0</v>
      </c>
      <c r="I1106" s="275"/>
      <c r="J1106" s="275"/>
      <c r="K1106" s="275"/>
      <c r="L1106" s="240"/>
      <c r="M1106" s="237"/>
      <c r="N1106" s="237"/>
      <c r="O1106" s="237"/>
      <c r="P1106" s="237"/>
      <c r="Q1106" s="237"/>
      <c r="R1106" s="237"/>
    </row>
    <row r="1107" spans="8:8" ht="15.75" customHeight="1">
      <c r="G1107" s="241" t="b">
        <v>0</v>
      </c>
      <c r="I1107" s="275"/>
      <c r="J1107" s="275"/>
      <c r="K1107" s="275"/>
      <c r="L1107" s="240"/>
      <c r="M1107" s="237"/>
      <c r="N1107" s="237"/>
      <c r="O1107" s="237"/>
      <c r="P1107" s="237"/>
      <c r="Q1107" s="237"/>
      <c r="R1107" s="237"/>
    </row>
    <row r="1108" spans="8:8" ht="15.75" customHeight="1">
      <c r="G1108" s="241" t="b">
        <v>0</v>
      </c>
      <c r="I1108" s="275"/>
      <c r="J1108" s="275"/>
      <c r="K1108" s="275"/>
      <c r="L1108" s="240"/>
      <c r="M1108" s="237"/>
      <c r="N1108" s="237"/>
      <c r="O1108" s="237"/>
      <c r="P1108" s="237"/>
      <c r="Q1108" s="237"/>
      <c r="R1108" s="237"/>
    </row>
    <row r="1109" spans="8:8" ht="15.75" customHeight="1">
      <c r="G1109" s="241" t="b">
        <v>0</v>
      </c>
      <c r="I1109" s="275"/>
      <c r="J1109" s="275"/>
      <c r="K1109" s="275"/>
      <c r="L1109" s="240"/>
      <c r="M1109" s="237"/>
      <c r="N1109" s="237"/>
      <c r="O1109" s="237"/>
      <c r="P1109" s="237"/>
      <c r="Q1109" s="237"/>
      <c r="R1109" s="237"/>
    </row>
    <row r="1110" spans="8:8" ht="15.75" customHeight="1">
      <c r="G1110" s="241" t="b">
        <v>0</v>
      </c>
      <c r="I1110" s="275"/>
      <c r="J1110" s="275"/>
      <c r="K1110" s="275"/>
      <c r="L1110" s="240"/>
      <c r="M1110" s="237"/>
      <c r="N1110" s="237"/>
      <c r="O1110" s="237"/>
      <c r="P1110" s="237"/>
      <c r="Q1110" s="237"/>
      <c r="R1110" s="237"/>
    </row>
    <row r="1111" spans="8:8" ht="15.75" customHeight="1">
      <c r="G1111" s="241" t="b">
        <v>0</v>
      </c>
      <c r="I1111" s="275"/>
      <c r="J1111" s="275"/>
      <c r="K1111" s="275"/>
      <c r="L1111" s="240"/>
      <c r="M1111" s="237"/>
      <c r="N1111" s="237"/>
      <c r="O1111" s="237"/>
      <c r="P1111" s="237"/>
      <c r="Q1111" s="237"/>
      <c r="R1111" s="237"/>
    </row>
    <row r="1112" spans="8:8" ht="15.75" customHeight="1">
      <c r="G1112" s="241" t="b">
        <v>0</v>
      </c>
      <c r="I1112" s="275"/>
      <c r="J1112" s="275"/>
      <c r="K1112" s="275"/>
      <c r="L1112" s="240"/>
      <c r="M1112" s="237"/>
      <c r="N1112" s="237"/>
      <c r="O1112" s="237"/>
      <c r="P1112" s="237"/>
      <c r="Q1112" s="237"/>
      <c r="R1112" s="237"/>
    </row>
    <row r="1113" spans="8:8" ht="15.75" customHeight="1">
      <c r="G1113" s="241" t="b">
        <v>0</v>
      </c>
      <c r="I1113" s="275"/>
      <c r="J1113" s="275"/>
      <c r="K1113" s="275"/>
      <c r="L1113" s="276"/>
      <c r="M1113" s="237"/>
      <c r="N1113" s="237"/>
      <c r="O1113" s="237"/>
      <c r="P1113" s="237"/>
      <c r="Q1113" s="237"/>
      <c r="R1113" s="237"/>
    </row>
    <row r="1114" spans="8:8" ht="15.75" customHeight="1">
      <c r="G1114" s="241" t="b">
        <v>0</v>
      </c>
      <c r="I1114" s="275"/>
      <c r="J1114" s="275"/>
      <c r="K1114" s="275"/>
      <c r="L1114" s="240"/>
      <c r="M1114" s="237"/>
      <c r="N1114" s="237"/>
      <c r="O1114" s="237"/>
      <c r="P1114" s="237"/>
      <c r="Q1114" s="237"/>
      <c r="R1114" s="237"/>
    </row>
    <row r="1115" spans="8:8" ht="15.75" customHeight="1">
      <c r="G1115" s="241" t="b">
        <v>0</v>
      </c>
      <c r="I1115" s="275"/>
      <c r="J1115" s="275"/>
      <c r="K1115" s="275"/>
      <c r="L1115" s="240"/>
      <c r="M1115" s="237"/>
      <c r="N1115" s="237"/>
      <c r="O1115" s="237"/>
      <c r="P1115" s="237"/>
      <c r="Q1115" s="237"/>
      <c r="R1115" s="237"/>
    </row>
    <row r="1116" spans="8:8" ht="15.75" customHeight="1">
      <c r="G1116" s="241" t="b">
        <v>0</v>
      </c>
      <c r="I1116" s="275"/>
      <c r="J1116" s="275"/>
      <c r="K1116" s="275"/>
      <c r="L1116" s="240"/>
      <c r="M1116" s="237"/>
      <c r="N1116" s="237"/>
      <c r="O1116" s="237"/>
      <c r="P1116" s="237"/>
      <c r="Q1116" s="237"/>
      <c r="R1116" s="237"/>
    </row>
    <row r="1117" spans="8:8" ht="15.75" customHeight="1">
      <c r="G1117" s="241" t="b">
        <v>0</v>
      </c>
      <c r="I1117" s="275"/>
      <c r="J1117" s="275"/>
      <c r="K1117" s="275"/>
      <c r="L1117" s="240"/>
      <c r="M1117" s="237"/>
      <c r="N1117" s="237"/>
      <c r="O1117" s="237"/>
      <c r="P1117" s="237"/>
      <c r="Q1117" s="237"/>
      <c r="R1117" s="237"/>
    </row>
    <row r="1118" spans="8:8" ht="15.75" customHeight="1">
      <c r="G1118" s="241" t="b">
        <v>0</v>
      </c>
      <c r="I1118" s="275"/>
      <c r="J1118" s="275"/>
      <c r="K1118" s="275"/>
      <c r="L1118" s="240"/>
      <c r="M1118" s="237"/>
      <c r="N1118" s="237"/>
      <c r="O1118" s="237"/>
      <c r="P1118" s="237"/>
      <c r="Q1118" s="237"/>
      <c r="R1118" s="237"/>
    </row>
    <row r="1119" spans="8:8" ht="15.75" customHeight="1">
      <c r="G1119" s="241" t="b">
        <v>0</v>
      </c>
      <c r="I1119" s="275"/>
      <c r="J1119" s="275"/>
      <c r="K1119" s="275"/>
      <c r="L1119" s="240"/>
      <c r="M1119" s="237"/>
      <c r="N1119" s="237"/>
      <c r="O1119" s="237"/>
      <c r="P1119" s="237"/>
      <c r="Q1119" s="237"/>
      <c r="R1119" s="237"/>
    </row>
    <row r="1120" spans="8:8" ht="15.75" customHeight="1">
      <c r="G1120" s="241" t="b">
        <v>0</v>
      </c>
      <c r="I1120" s="275"/>
      <c r="J1120" s="275"/>
      <c r="K1120" s="275"/>
      <c r="L1120" s="240"/>
      <c r="M1120" s="237"/>
      <c r="N1120" s="237"/>
      <c r="O1120" s="237"/>
      <c r="P1120" s="237"/>
      <c r="Q1120" s="237"/>
      <c r="R1120" s="237"/>
    </row>
    <row r="1121" spans="8:8" ht="15.75" customHeight="1">
      <c r="G1121" s="241" t="b">
        <v>0</v>
      </c>
      <c r="I1121" s="275"/>
      <c r="J1121" s="275"/>
      <c r="K1121" s="275"/>
      <c r="L1121" s="240"/>
      <c r="M1121" s="237"/>
      <c r="N1121" s="237"/>
      <c r="O1121" s="237"/>
      <c r="P1121" s="237"/>
      <c r="Q1121" s="237"/>
      <c r="R1121" s="237"/>
    </row>
    <row r="1122" spans="8:8" ht="15.75" customHeight="1">
      <c r="G1122" s="241" t="b">
        <v>0</v>
      </c>
      <c r="I1122" s="275"/>
      <c r="J1122" s="275"/>
      <c r="K1122" s="275"/>
      <c r="L1122" s="240"/>
      <c r="M1122" s="237"/>
      <c r="N1122" s="237"/>
      <c r="O1122" s="237"/>
      <c r="P1122" s="237"/>
      <c r="Q1122" s="237"/>
      <c r="R1122" s="237"/>
    </row>
    <row r="1123" spans="8:8" ht="15.75" customHeight="1">
      <c r="G1123" s="241" t="b">
        <v>0</v>
      </c>
      <c r="I1123" s="275"/>
      <c r="J1123" s="275"/>
      <c r="K1123" s="275"/>
      <c r="L1123" s="240"/>
      <c r="M1123" s="237"/>
      <c r="N1123" s="237"/>
      <c r="O1123" s="237"/>
      <c r="P1123" s="237"/>
      <c r="Q1123" s="237"/>
      <c r="R1123" s="237"/>
    </row>
    <row r="1124" spans="8:8" ht="15.75" customHeight="1">
      <c r="G1124" s="241" t="b">
        <v>0</v>
      </c>
      <c r="I1124" s="275"/>
      <c r="J1124" s="275"/>
      <c r="K1124" s="275"/>
      <c r="L1124" s="240"/>
      <c r="M1124" s="237"/>
      <c r="N1124" s="237"/>
      <c r="O1124" s="237"/>
      <c r="P1124" s="237"/>
      <c r="Q1124" s="237"/>
      <c r="R1124" s="237"/>
    </row>
    <row r="1125" spans="8:8" ht="15.75" customHeight="1">
      <c r="G1125" s="241" t="b">
        <v>0</v>
      </c>
      <c r="I1125" s="275"/>
      <c r="J1125" s="275"/>
      <c r="K1125" s="275"/>
      <c r="L1125" s="240"/>
      <c r="M1125" s="237"/>
      <c r="N1125" s="237"/>
      <c r="O1125" s="237"/>
      <c r="P1125" s="237"/>
      <c r="Q1125" s="237"/>
      <c r="R1125" s="237"/>
    </row>
    <row r="1126" spans="8:8" ht="15.75" customHeight="1">
      <c r="G1126" s="241" t="b">
        <v>0</v>
      </c>
      <c r="I1126" s="275"/>
      <c r="J1126" s="275"/>
      <c r="K1126" s="275"/>
      <c r="L1126" s="240"/>
      <c r="M1126" s="237"/>
      <c r="N1126" s="237"/>
      <c r="O1126" s="237"/>
      <c r="P1126" s="237"/>
      <c r="Q1126" s="237"/>
      <c r="R1126" s="237"/>
    </row>
    <row r="1127" spans="8:8" ht="15.75" customHeight="1">
      <c r="G1127" s="241" t="b">
        <v>0</v>
      </c>
      <c r="I1127" s="275"/>
      <c r="J1127" s="275"/>
      <c r="K1127" s="275"/>
      <c r="L1127" s="240"/>
      <c r="M1127" s="237"/>
      <c r="N1127" s="237"/>
      <c r="O1127" s="237"/>
      <c r="P1127" s="237"/>
      <c r="Q1127" s="237"/>
      <c r="R1127" s="237"/>
    </row>
    <row r="1128" spans="8:8" ht="15.75" customHeight="1">
      <c r="G1128" s="241" t="b">
        <v>0</v>
      </c>
      <c r="I1128" s="275"/>
      <c r="J1128" s="275"/>
      <c r="K1128" s="275"/>
      <c r="L1128" s="240"/>
      <c r="M1128" s="237"/>
      <c r="N1128" s="237"/>
      <c r="O1128" s="237"/>
      <c r="P1128" s="237"/>
      <c r="Q1128" s="237"/>
      <c r="R1128" s="237"/>
    </row>
    <row r="1129" spans="8:8" ht="15.75" customHeight="1">
      <c r="G1129" s="241" t="b">
        <v>0</v>
      </c>
      <c r="I1129" s="275"/>
      <c r="J1129" s="275"/>
      <c r="K1129" s="275"/>
      <c r="L1129" s="240"/>
      <c r="M1129" s="237"/>
      <c r="N1129" s="237"/>
      <c r="O1129" s="237"/>
      <c r="P1129" s="237"/>
      <c r="Q1129" s="237"/>
      <c r="R1129" s="237"/>
    </row>
    <row r="1130" spans="8:8" ht="15.75" customHeight="1">
      <c r="G1130" s="241" t="b">
        <v>0</v>
      </c>
      <c r="I1130" s="275"/>
      <c r="J1130" s="275"/>
      <c r="K1130" s="275"/>
      <c r="L1130" s="240"/>
      <c r="M1130" s="237"/>
      <c r="N1130" s="237"/>
      <c r="O1130" s="237"/>
      <c r="P1130" s="237"/>
      <c r="Q1130" s="237"/>
      <c r="R1130" s="237"/>
    </row>
    <row r="1131" spans="8:8" ht="15.75" customHeight="1">
      <c r="G1131" s="241" t="b">
        <v>0</v>
      </c>
      <c r="I1131" s="275"/>
      <c r="J1131" s="275"/>
      <c r="K1131" s="275"/>
      <c r="L1131" s="240"/>
      <c r="M1131" s="237"/>
      <c r="N1131" s="237"/>
      <c r="O1131" s="237"/>
      <c r="P1131" s="237"/>
      <c r="Q1131" s="237"/>
      <c r="R1131" s="237"/>
    </row>
    <row r="1132" spans="8:8" ht="15.75" customHeight="1">
      <c r="G1132" s="241" t="b">
        <v>0</v>
      </c>
      <c r="I1132" s="275"/>
      <c r="J1132" s="275"/>
      <c r="K1132" s="275"/>
      <c r="L1132" s="240"/>
      <c r="M1132" s="237"/>
      <c r="N1132" s="237"/>
      <c r="O1132" s="237"/>
      <c r="P1132" s="237"/>
      <c r="Q1132" s="237"/>
      <c r="R1132" s="237"/>
    </row>
    <row r="1133" spans="8:8" ht="15.75" customHeight="1">
      <c r="G1133" s="241" t="b">
        <v>0</v>
      </c>
      <c r="I1133" s="275"/>
      <c r="J1133" s="275"/>
      <c r="K1133" s="275"/>
      <c r="L1133" s="240"/>
      <c r="M1133" s="237"/>
      <c r="N1133" s="237"/>
      <c r="O1133" s="237"/>
      <c r="P1133" s="237"/>
      <c r="Q1133" s="237"/>
      <c r="R1133" s="237"/>
    </row>
    <row r="1134" spans="8:8" ht="15.75" customHeight="1">
      <c r="G1134" s="241" t="b">
        <v>0</v>
      </c>
      <c r="I1134" s="275"/>
      <c r="J1134" s="275"/>
      <c r="K1134" s="275"/>
      <c r="L1134" s="240"/>
      <c r="M1134" s="237"/>
      <c r="N1134" s="237"/>
      <c r="O1134" s="237"/>
      <c r="P1134" s="237"/>
      <c r="Q1134" s="237"/>
      <c r="R1134" s="237"/>
    </row>
    <row r="1135" spans="8:8" ht="15.75" customHeight="1">
      <c r="G1135" s="241" t="b">
        <v>0</v>
      </c>
      <c r="I1135" s="275"/>
      <c r="J1135" s="275"/>
      <c r="K1135" s="275"/>
      <c r="L1135" s="240"/>
      <c r="M1135" s="237"/>
      <c r="N1135" s="237"/>
      <c r="O1135" s="237"/>
      <c r="P1135" s="237"/>
      <c r="Q1135" s="237"/>
      <c r="R1135" s="237"/>
    </row>
    <row r="1136" spans="8:8" ht="15.75" customHeight="1">
      <c r="G1136" s="241" t="b">
        <v>0</v>
      </c>
      <c r="I1136" s="275"/>
      <c r="J1136" s="275"/>
      <c r="K1136" s="275"/>
      <c r="L1136" s="276"/>
      <c r="M1136" s="237"/>
      <c r="N1136" s="237"/>
      <c r="O1136" s="237"/>
      <c r="P1136" s="237"/>
      <c r="Q1136" s="237"/>
      <c r="R1136" s="237"/>
    </row>
    <row r="1137" spans="8:8" ht="15.75" customHeight="1">
      <c r="G1137" s="241" t="b">
        <v>0</v>
      </c>
      <c r="I1137" s="275"/>
      <c r="J1137" s="275"/>
      <c r="K1137" s="275"/>
      <c r="L1137" s="240"/>
      <c r="M1137" s="237"/>
      <c r="N1137" s="237"/>
      <c r="O1137" s="237"/>
      <c r="P1137" s="237"/>
      <c r="Q1137" s="237"/>
      <c r="R1137" s="237"/>
    </row>
    <row r="1138" spans="8:8" ht="15.75" customHeight="1">
      <c r="G1138" s="241" t="b">
        <v>0</v>
      </c>
      <c r="I1138" s="275"/>
      <c r="J1138" s="275"/>
      <c r="K1138" s="275"/>
      <c r="L1138" s="240"/>
      <c r="M1138" s="237"/>
      <c r="N1138" s="237"/>
      <c r="O1138" s="237"/>
      <c r="P1138" s="237"/>
      <c r="Q1138" s="237"/>
      <c r="R1138" s="237"/>
    </row>
    <row r="1139" spans="8:8" ht="15.75" customHeight="1">
      <c r="G1139" s="241" t="b">
        <v>0</v>
      </c>
      <c r="I1139" s="275"/>
      <c r="J1139" s="275"/>
      <c r="K1139" s="275"/>
      <c r="L1139" s="240"/>
      <c r="M1139" s="237"/>
      <c r="N1139" s="237"/>
      <c r="O1139" s="237"/>
      <c r="P1139" s="237"/>
      <c r="Q1139" s="237"/>
      <c r="R1139" s="237"/>
    </row>
    <row r="1140" spans="8:8" ht="15.75" customHeight="1">
      <c r="G1140" s="241" t="b">
        <v>0</v>
      </c>
      <c r="I1140" s="275"/>
      <c r="J1140" s="275"/>
      <c r="K1140" s="275"/>
      <c r="L1140" s="240"/>
      <c r="M1140" s="237"/>
      <c r="N1140" s="237"/>
      <c r="O1140" s="237"/>
      <c r="P1140" s="237"/>
      <c r="Q1140" s="237"/>
      <c r="R1140" s="237"/>
    </row>
    <row r="1141" spans="8:8" ht="15.75" customHeight="1">
      <c r="G1141" s="241" t="b">
        <v>0</v>
      </c>
      <c r="I1141" s="275"/>
      <c r="J1141" s="275"/>
      <c r="K1141" s="275"/>
      <c r="L1141" s="240"/>
      <c r="M1141" s="237"/>
      <c r="N1141" s="237"/>
      <c r="O1141" s="237"/>
      <c r="P1141" s="237"/>
      <c r="Q1141" s="237"/>
      <c r="R1141" s="237"/>
    </row>
    <row r="1142" spans="8:8" ht="15.75" customHeight="1">
      <c r="G1142" s="241" t="b">
        <v>0</v>
      </c>
      <c r="I1142" s="275"/>
      <c r="J1142" s="275"/>
      <c r="K1142" s="275"/>
      <c r="L1142" s="240"/>
      <c r="M1142" s="237"/>
      <c r="N1142" s="237"/>
      <c r="O1142" s="237"/>
      <c r="P1142" s="237"/>
      <c r="Q1142" s="237"/>
      <c r="R1142" s="237"/>
    </row>
    <row r="1143" spans="8:8" ht="15.75" customHeight="1">
      <c r="G1143" s="241" t="b">
        <v>0</v>
      </c>
      <c r="I1143" s="275"/>
      <c r="J1143" s="275"/>
      <c r="K1143" s="275"/>
      <c r="L1143" s="240"/>
      <c r="M1143" s="237"/>
      <c r="N1143" s="237"/>
      <c r="O1143" s="237"/>
      <c r="P1143" s="237"/>
      <c r="Q1143" s="237"/>
      <c r="R1143" s="237"/>
    </row>
    <row r="1144" spans="8:8" ht="15.75" customHeight="1">
      <c r="G1144" s="241" t="b">
        <v>0</v>
      </c>
      <c r="I1144" s="275"/>
      <c r="J1144" s="275"/>
      <c r="K1144" s="275"/>
      <c r="L1144" s="240"/>
      <c r="M1144" s="237"/>
      <c r="N1144" s="237"/>
      <c r="O1144" s="237"/>
      <c r="P1144" s="237"/>
      <c r="Q1144" s="237"/>
      <c r="R1144" s="237"/>
    </row>
    <row r="1145" spans="8:8" ht="15.75" customHeight="1">
      <c r="G1145" s="241" t="b">
        <v>0</v>
      </c>
      <c r="I1145" s="275"/>
      <c r="J1145" s="275"/>
      <c r="K1145" s="275"/>
      <c r="L1145" s="240"/>
      <c r="M1145" s="237"/>
      <c r="N1145" s="237"/>
      <c r="O1145" s="237"/>
      <c r="P1145" s="237"/>
      <c r="Q1145" s="237"/>
      <c r="R1145" s="237"/>
    </row>
    <row r="1146" spans="8:8" ht="15.75" customHeight="1">
      <c r="G1146" s="241" t="b">
        <v>0</v>
      </c>
      <c r="I1146" s="275"/>
      <c r="J1146" s="275"/>
      <c r="K1146" s="275"/>
      <c r="L1146" s="240"/>
      <c r="M1146" s="237"/>
      <c r="N1146" s="237"/>
      <c r="O1146" s="237"/>
      <c r="P1146" s="237"/>
      <c r="Q1146" s="237"/>
      <c r="R1146" s="237"/>
    </row>
    <row r="1147" spans="8:8" ht="15.75" customHeight="1">
      <c r="G1147" s="241" t="b">
        <v>0</v>
      </c>
      <c r="I1147" s="275"/>
      <c r="J1147" s="275"/>
      <c r="K1147" s="275"/>
      <c r="L1147" s="240"/>
      <c r="M1147" s="237"/>
      <c r="N1147" s="237"/>
      <c r="O1147" s="237"/>
      <c r="P1147" s="237"/>
      <c r="Q1147" s="237"/>
      <c r="R1147" s="237"/>
    </row>
    <row r="1148" spans="8:8" ht="15.75" customHeight="1">
      <c r="G1148" s="241" t="b">
        <v>0</v>
      </c>
      <c r="I1148" s="275"/>
      <c r="J1148" s="275"/>
      <c r="K1148" s="275"/>
      <c r="L1148" s="240"/>
      <c r="M1148" s="237"/>
      <c r="N1148" s="237"/>
      <c r="O1148" s="237"/>
      <c r="P1148" s="237"/>
      <c r="Q1148" s="237"/>
      <c r="R1148" s="237"/>
    </row>
    <row r="1149" spans="8:8" ht="15.75" customHeight="1">
      <c r="G1149" s="241" t="b">
        <v>0</v>
      </c>
      <c r="I1149" s="275"/>
      <c r="J1149" s="275"/>
      <c r="K1149" s="275"/>
      <c r="L1149" s="240"/>
      <c r="M1149" s="237"/>
      <c r="N1149" s="237"/>
      <c r="O1149" s="237"/>
      <c r="P1149" s="237"/>
      <c r="Q1149" s="237"/>
      <c r="R1149" s="237"/>
    </row>
    <row r="1150" spans="8:8" ht="15.75" customHeight="1">
      <c r="G1150" s="241" t="b">
        <v>0</v>
      </c>
      <c r="I1150" s="275"/>
      <c r="J1150" s="275"/>
      <c r="K1150" s="275"/>
      <c r="L1150" s="240"/>
      <c r="M1150" s="237"/>
      <c r="N1150" s="237"/>
      <c r="O1150" s="237"/>
      <c r="P1150" s="237"/>
      <c r="Q1150" s="237"/>
      <c r="R1150" s="237"/>
    </row>
    <row r="1151" spans="8:8" ht="15.75" customHeight="1">
      <c r="G1151" s="241" t="b">
        <v>0</v>
      </c>
      <c r="I1151" s="275"/>
      <c r="J1151" s="275"/>
      <c r="K1151" s="275"/>
      <c r="L1151" s="240"/>
      <c r="M1151" s="237"/>
      <c r="N1151" s="237"/>
      <c r="O1151" s="237"/>
      <c r="P1151" s="237"/>
      <c r="Q1151" s="237"/>
      <c r="R1151" s="237"/>
    </row>
    <row r="1152" spans="8:8" ht="15.75" customHeight="1">
      <c r="G1152" s="241" t="b">
        <v>0</v>
      </c>
      <c r="I1152" s="275"/>
      <c r="J1152" s="275"/>
      <c r="K1152" s="275"/>
      <c r="L1152" s="240"/>
      <c r="M1152" s="237"/>
      <c r="N1152" s="237"/>
      <c r="O1152" s="237"/>
      <c r="P1152" s="237"/>
      <c r="Q1152" s="237"/>
      <c r="R1152" s="237"/>
    </row>
    <row r="1153" spans="8:8" ht="15.75" customHeight="1">
      <c r="G1153" s="241" t="b">
        <v>0</v>
      </c>
      <c r="I1153" s="275"/>
      <c r="J1153" s="275"/>
      <c r="K1153" s="275"/>
      <c r="L1153" s="240"/>
      <c r="M1153" s="237"/>
      <c r="N1153" s="237"/>
      <c r="O1153" s="237"/>
      <c r="P1153" s="237"/>
      <c r="Q1153" s="237"/>
      <c r="R1153" s="237"/>
    </row>
    <row r="1154" spans="8:8" ht="15.75" customHeight="1">
      <c r="G1154" s="241" t="b">
        <v>0</v>
      </c>
      <c r="I1154" s="275"/>
      <c r="J1154" s="275"/>
      <c r="K1154" s="275"/>
      <c r="L1154" s="240"/>
      <c r="M1154" s="237"/>
      <c r="N1154" s="237"/>
      <c r="O1154" s="237"/>
      <c r="P1154" s="237"/>
      <c r="Q1154" s="237"/>
      <c r="R1154" s="237"/>
    </row>
    <row r="1155" spans="8:8" ht="15.75" customHeight="1">
      <c r="G1155" s="241" t="b">
        <v>0</v>
      </c>
      <c r="I1155" s="275"/>
      <c r="J1155" s="275"/>
      <c r="K1155" s="275"/>
      <c r="L1155" s="240"/>
      <c r="M1155" s="237"/>
      <c r="N1155" s="237"/>
      <c r="O1155" s="237"/>
      <c r="P1155" s="237"/>
      <c r="Q1155" s="237"/>
      <c r="R1155" s="237"/>
    </row>
    <row r="1156" spans="8:8" ht="15.75" customHeight="1">
      <c r="G1156" s="241" t="b">
        <v>0</v>
      </c>
      <c r="I1156" s="275"/>
      <c r="J1156" s="275"/>
      <c r="K1156" s="275"/>
      <c r="L1156" s="240"/>
      <c r="M1156" s="237"/>
      <c r="N1156" s="237"/>
      <c r="O1156" s="237"/>
      <c r="P1156" s="237"/>
      <c r="Q1156" s="237"/>
      <c r="R1156" s="237"/>
    </row>
    <row r="1157" spans="8:8" ht="15.75" customHeight="1">
      <c r="G1157" s="241" t="b">
        <v>0</v>
      </c>
      <c r="I1157" s="275"/>
      <c r="J1157" s="275"/>
      <c r="K1157" s="275"/>
      <c r="L1157" s="240"/>
      <c r="M1157" s="237"/>
      <c r="N1157" s="237"/>
      <c r="O1157" s="237"/>
      <c r="P1157" s="237"/>
      <c r="Q1157" s="237"/>
      <c r="R1157" s="237"/>
    </row>
    <row r="1158" spans="8:8" ht="15.75" customHeight="1">
      <c r="G1158" s="241" t="b">
        <v>0</v>
      </c>
      <c r="I1158" s="275"/>
      <c r="J1158" s="275"/>
      <c r="K1158" s="275"/>
      <c r="L1158" s="240"/>
      <c r="M1158" s="237"/>
      <c r="N1158" s="237"/>
      <c r="O1158" s="237"/>
      <c r="P1158" s="237"/>
      <c r="Q1158" s="237"/>
      <c r="R1158" s="237"/>
    </row>
    <row r="1159" spans="8:8" ht="15.75" customHeight="1">
      <c r="G1159" s="241" t="b">
        <v>0</v>
      </c>
      <c r="I1159" s="275"/>
      <c r="J1159" s="275"/>
      <c r="K1159" s="275"/>
      <c r="L1159" s="276"/>
      <c r="M1159" s="237"/>
      <c r="N1159" s="237"/>
      <c r="O1159" s="237"/>
      <c r="P1159" s="237"/>
      <c r="Q1159" s="237"/>
      <c r="R1159" s="237"/>
    </row>
    <row r="1160" spans="8:8" ht="15.75" customHeight="1">
      <c r="G1160" s="241" t="b">
        <v>0</v>
      </c>
      <c r="I1160" s="275"/>
      <c r="J1160" s="275"/>
      <c r="K1160" s="275"/>
      <c r="L1160" s="240"/>
      <c r="M1160" s="237"/>
      <c r="N1160" s="237"/>
      <c r="O1160" s="237"/>
      <c r="P1160" s="237"/>
      <c r="Q1160" s="237"/>
      <c r="R1160" s="237"/>
    </row>
    <row r="1161" spans="8:8" ht="15.75" customHeight="1">
      <c r="G1161" s="241" t="b">
        <v>0</v>
      </c>
      <c r="I1161" s="275"/>
      <c r="J1161" s="275"/>
      <c r="K1161" s="275"/>
      <c r="L1161" s="240"/>
      <c r="M1161" s="237"/>
      <c r="N1161" s="237"/>
      <c r="O1161" s="237"/>
      <c r="P1161" s="237"/>
      <c r="Q1161" s="237"/>
      <c r="R1161" s="237"/>
    </row>
    <row r="1162" spans="8:8" ht="15.75" customHeight="1">
      <c r="G1162" s="241" t="b">
        <v>0</v>
      </c>
      <c r="I1162" s="275"/>
      <c r="J1162" s="275"/>
      <c r="K1162" s="275"/>
      <c r="L1162" s="240"/>
      <c r="M1162" s="237"/>
      <c r="N1162" s="237"/>
      <c r="O1162" s="237"/>
      <c r="P1162" s="237"/>
      <c r="Q1162" s="237"/>
      <c r="R1162" s="237"/>
    </row>
    <row r="1163" spans="8:8" ht="15.75" customHeight="1">
      <c r="G1163" s="241" t="b">
        <v>0</v>
      </c>
      <c r="I1163" s="275"/>
      <c r="J1163" s="275"/>
      <c r="K1163" s="275"/>
      <c r="L1163" s="240"/>
      <c r="M1163" s="237"/>
      <c r="N1163" s="237"/>
      <c r="O1163" s="237"/>
      <c r="P1163" s="237"/>
      <c r="Q1163" s="237"/>
      <c r="R1163" s="237"/>
    </row>
    <row r="1164" spans="8:8" ht="15.75" customHeight="1">
      <c r="G1164" s="241" t="b">
        <v>0</v>
      </c>
      <c r="I1164" s="275"/>
      <c r="J1164" s="275"/>
      <c r="K1164" s="275"/>
      <c r="L1164" s="240"/>
      <c r="M1164" s="237"/>
      <c r="N1164" s="237"/>
      <c r="O1164" s="237"/>
      <c r="P1164" s="237"/>
      <c r="Q1164" s="237"/>
      <c r="R1164" s="237"/>
    </row>
    <row r="1165" spans="8:8" ht="15.75" customHeight="1">
      <c r="G1165" s="241" t="b">
        <v>0</v>
      </c>
      <c r="I1165" s="275"/>
      <c r="J1165" s="275"/>
      <c r="K1165" s="275"/>
      <c r="L1165" s="240"/>
      <c r="M1165" s="237"/>
      <c r="N1165" s="237"/>
      <c r="O1165" s="237"/>
      <c r="P1165" s="237"/>
      <c r="Q1165" s="237"/>
      <c r="R1165" s="237"/>
    </row>
    <row r="1166" spans="8:8" ht="15.75" customHeight="1">
      <c r="G1166" s="241" t="b">
        <v>0</v>
      </c>
      <c r="I1166" s="275"/>
      <c r="J1166" s="275"/>
      <c r="K1166" s="275"/>
      <c r="L1166" s="240"/>
      <c r="M1166" s="237"/>
      <c r="N1166" s="237"/>
      <c r="O1166" s="237"/>
      <c r="P1166" s="237"/>
      <c r="Q1166" s="237"/>
      <c r="R1166" s="237"/>
    </row>
    <row r="1167" spans="8:8" ht="15.75" customHeight="1">
      <c r="G1167" s="241" t="b">
        <v>0</v>
      </c>
      <c r="I1167" s="275"/>
      <c r="J1167" s="275"/>
      <c r="K1167" s="275"/>
      <c r="L1167" s="240"/>
      <c r="M1167" s="237"/>
      <c r="N1167" s="237"/>
      <c r="O1167" s="237"/>
      <c r="P1167" s="237"/>
      <c r="Q1167" s="237"/>
      <c r="R1167" s="237"/>
    </row>
    <row r="1168" spans="8:8" ht="15.75" customHeight="1">
      <c r="G1168" s="241" t="b">
        <v>0</v>
      </c>
      <c r="I1168" s="275"/>
      <c r="J1168" s="275"/>
      <c r="K1168" s="275"/>
      <c r="L1168" s="240"/>
      <c r="M1168" s="237"/>
      <c r="N1168" s="237"/>
      <c r="O1168" s="237"/>
      <c r="P1168" s="237"/>
      <c r="Q1168" s="237"/>
      <c r="R1168" s="237"/>
    </row>
    <row r="1169" spans="8:8" ht="15.75" customHeight="1">
      <c r="G1169" s="241" t="b">
        <v>0</v>
      </c>
      <c r="I1169" s="275"/>
      <c r="J1169" s="275"/>
      <c r="K1169" s="275"/>
      <c r="L1169" s="240"/>
      <c r="M1169" s="237"/>
      <c r="N1169" s="237"/>
      <c r="O1169" s="237"/>
      <c r="P1169" s="237"/>
      <c r="Q1169" s="237"/>
      <c r="R1169" s="237"/>
    </row>
    <row r="1170" spans="8:8" ht="15.75" customHeight="1">
      <c r="G1170" s="241" t="b">
        <v>0</v>
      </c>
      <c r="I1170" s="275"/>
      <c r="J1170" s="275"/>
      <c r="K1170" s="275"/>
      <c r="L1170" s="240"/>
      <c r="M1170" s="237"/>
      <c r="N1170" s="237"/>
      <c r="O1170" s="237"/>
      <c r="P1170" s="237"/>
      <c r="Q1170" s="237"/>
      <c r="R1170" s="237"/>
    </row>
    <row r="1171" spans="8:8" ht="15.75" customHeight="1">
      <c r="G1171" s="241" t="b">
        <v>0</v>
      </c>
      <c r="I1171" s="275"/>
      <c r="J1171" s="275"/>
      <c r="K1171" s="275"/>
      <c r="L1171" s="240"/>
      <c r="M1171" s="237"/>
      <c r="N1171" s="237"/>
      <c r="O1171" s="237"/>
      <c r="P1171" s="237"/>
      <c r="Q1171" s="237"/>
      <c r="R1171" s="237"/>
    </row>
    <row r="1172" spans="8:8" ht="15.75" customHeight="1">
      <c r="G1172" s="241" t="b">
        <v>0</v>
      </c>
      <c r="I1172" s="275"/>
      <c r="J1172" s="275"/>
      <c r="K1172" s="275"/>
      <c r="L1172" s="240"/>
      <c r="M1172" s="237"/>
      <c r="N1172" s="237"/>
      <c r="O1172" s="237"/>
      <c r="P1172" s="237"/>
      <c r="Q1172" s="237"/>
      <c r="R1172" s="237"/>
    </row>
    <row r="1173" spans="8:8" ht="15.75" customHeight="1">
      <c r="G1173" s="241" t="b">
        <v>0</v>
      </c>
      <c r="I1173" s="275"/>
      <c r="J1173" s="275"/>
      <c r="K1173" s="275"/>
      <c r="L1173" s="240"/>
      <c r="M1173" s="237"/>
      <c r="N1173" s="237"/>
      <c r="O1173" s="237"/>
      <c r="P1173" s="237"/>
      <c r="Q1173" s="237"/>
      <c r="R1173" s="237"/>
    </row>
    <row r="1174" spans="8:8" ht="15.75" customHeight="1">
      <c r="G1174" s="241" t="b">
        <v>0</v>
      </c>
      <c r="I1174" s="275"/>
      <c r="J1174" s="275"/>
      <c r="K1174" s="275"/>
      <c r="L1174" s="240"/>
      <c r="M1174" s="237"/>
      <c r="N1174" s="237"/>
      <c r="O1174" s="237"/>
      <c r="P1174" s="237"/>
      <c r="Q1174" s="237"/>
      <c r="R1174" s="237"/>
    </row>
    <row r="1175" spans="8:8" ht="15.75" customHeight="1">
      <c r="G1175" s="241" t="b">
        <v>0</v>
      </c>
      <c r="I1175" s="275"/>
      <c r="J1175" s="275"/>
      <c r="K1175" s="275"/>
      <c r="L1175" s="240"/>
      <c r="M1175" s="237"/>
      <c r="N1175" s="237"/>
      <c r="O1175" s="237"/>
      <c r="P1175" s="237"/>
      <c r="Q1175" s="237"/>
      <c r="R1175" s="237"/>
    </row>
    <row r="1176" spans="8:8" ht="15.75" customHeight="1">
      <c r="G1176" s="241" t="b">
        <v>0</v>
      </c>
      <c r="I1176" s="275"/>
      <c r="J1176" s="275"/>
      <c r="K1176" s="275"/>
      <c r="L1176" s="240"/>
      <c r="M1176" s="237"/>
      <c r="N1176" s="237"/>
      <c r="O1176" s="237"/>
      <c r="P1176" s="237"/>
      <c r="Q1176" s="237"/>
      <c r="R1176" s="237"/>
    </row>
    <row r="1177" spans="8:8" ht="15.75" customHeight="1">
      <c r="G1177" s="241" t="b">
        <v>0</v>
      </c>
      <c r="I1177" s="275"/>
      <c r="J1177" s="275"/>
      <c r="K1177" s="275"/>
      <c r="L1177" s="240"/>
      <c r="M1177" s="237"/>
      <c r="N1177" s="237"/>
      <c r="O1177" s="237"/>
      <c r="P1177" s="237"/>
      <c r="Q1177" s="237"/>
      <c r="R1177" s="237"/>
    </row>
    <row r="1178" spans="8:8" ht="15.75" customHeight="1">
      <c r="G1178" s="241" t="b">
        <v>0</v>
      </c>
      <c r="I1178" s="275"/>
      <c r="J1178" s="275"/>
      <c r="K1178" s="275"/>
      <c r="L1178" s="240"/>
      <c r="M1178" s="237"/>
      <c r="N1178" s="237"/>
      <c r="O1178" s="237"/>
      <c r="P1178" s="237"/>
      <c r="Q1178" s="237"/>
      <c r="R1178" s="237"/>
    </row>
    <row r="1179" spans="8:8" ht="15.75" customHeight="1">
      <c r="G1179" s="241" t="b">
        <v>0</v>
      </c>
      <c r="I1179" s="275"/>
      <c r="J1179" s="275"/>
      <c r="K1179" s="275"/>
      <c r="L1179" s="240"/>
      <c r="M1179" s="237"/>
      <c r="N1179" s="237"/>
      <c r="O1179" s="237"/>
      <c r="P1179" s="237"/>
      <c r="Q1179" s="237"/>
      <c r="R1179" s="237"/>
    </row>
    <row r="1180" spans="8:8" ht="15.75" customHeight="1">
      <c r="G1180" s="241" t="b">
        <v>0</v>
      </c>
      <c r="I1180" s="275"/>
      <c r="J1180" s="275"/>
      <c r="K1180" s="275"/>
      <c r="L1180" s="240"/>
      <c r="M1180" s="237"/>
      <c r="N1180" s="237"/>
      <c r="O1180" s="237"/>
      <c r="P1180" s="237"/>
      <c r="Q1180" s="237"/>
      <c r="R1180" s="237"/>
    </row>
    <row r="1181" spans="8:8" ht="15.75" customHeight="1">
      <c r="G1181" s="241" t="b">
        <v>0</v>
      </c>
      <c r="I1181" s="275"/>
      <c r="J1181" s="275"/>
      <c r="K1181" s="275"/>
      <c r="L1181" s="240"/>
      <c r="M1181" s="237"/>
      <c r="N1181" s="237"/>
      <c r="O1181" s="237"/>
      <c r="P1181" s="237"/>
      <c r="Q1181" s="237"/>
      <c r="R1181" s="237"/>
    </row>
    <row r="1182" spans="8:8" ht="15.75" customHeight="1">
      <c r="G1182" s="241" t="b">
        <v>0</v>
      </c>
      <c r="I1182" s="275"/>
      <c r="J1182" s="275"/>
      <c r="K1182" s="275"/>
      <c r="L1182" s="276"/>
      <c r="M1182" s="237"/>
      <c r="N1182" s="237"/>
      <c r="O1182" s="237"/>
      <c r="P1182" s="237"/>
      <c r="Q1182" s="237"/>
      <c r="R1182" s="237"/>
    </row>
    <row r="1183" spans="8:8" ht="15.75" customHeight="1">
      <c r="G1183" s="241" t="b">
        <v>0</v>
      </c>
      <c r="I1183" s="275"/>
      <c r="J1183" s="275"/>
      <c r="K1183" s="275"/>
      <c r="L1183" s="240"/>
      <c r="M1183" s="237"/>
      <c r="N1183" s="237"/>
      <c r="O1183" s="237"/>
      <c r="P1183" s="237"/>
      <c r="Q1183" s="237"/>
      <c r="R1183" s="237"/>
    </row>
    <row r="1184" spans="8:8" ht="15.75" customHeight="1">
      <c r="G1184" s="241" t="b">
        <v>0</v>
      </c>
      <c r="I1184" s="275"/>
      <c r="J1184" s="275"/>
      <c r="K1184" s="275"/>
      <c r="L1184" s="240"/>
      <c r="M1184" s="237"/>
      <c r="N1184" s="237"/>
      <c r="O1184" s="237"/>
      <c r="P1184" s="237"/>
      <c r="Q1184" s="237"/>
      <c r="R1184" s="237"/>
    </row>
    <row r="1185" spans="8:8" ht="15.75" customHeight="1">
      <c r="G1185" s="241" t="b">
        <v>0</v>
      </c>
      <c r="I1185" s="275"/>
      <c r="J1185" s="275"/>
      <c r="K1185" s="275"/>
      <c r="L1185" s="240"/>
      <c r="M1185" s="237"/>
      <c r="N1185" s="237"/>
      <c r="O1185" s="237"/>
      <c r="P1185" s="237"/>
      <c r="Q1185" s="237"/>
      <c r="R1185" s="237"/>
    </row>
    <row r="1186" spans="8:8" ht="15.75" customHeight="1">
      <c r="G1186" s="241" t="b">
        <v>0</v>
      </c>
      <c r="I1186" s="275"/>
      <c r="J1186" s="275"/>
      <c r="K1186" s="275"/>
      <c r="L1186" s="240"/>
      <c r="M1186" s="237"/>
      <c r="N1186" s="237"/>
      <c r="O1186" s="237"/>
      <c r="P1186" s="237"/>
      <c r="Q1186" s="237"/>
      <c r="R1186" s="237"/>
    </row>
    <row r="1187" spans="8:8" ht="15.75" customHeight="1">
      <c r="G1187" s="241" t="b">
        <v>0</v>
      </c>
      <c r="I1187" s="275"/>
      <c r="J1187" s="275"/>
      <c r="K1187" s="275"/>
      <c r="L1187" s="240"/>
      <c r="M1187" s="237"/>
      <c r="N1187" s="237"/>
      <c r="O1187" s="237"/>
      <c r="P1187" s="237"/>
      <c r="Q1187" s="237"/>
      <c r="R1187" s="237"/>
    </row>
    <row r="1188" spans="8:8" ht="15.75" customHeight="1">
      <c r="G1188" s="241" t="b">
        <v>0</v>
      </c>
      <c r="I1188" s="275"/>
      <c r="J1188" s="275"/>
      <c r="K1188" s="275"/>
      <c r="L1188" s="240"/>
      <c r="M1188" s="237"/>
      <c r="N1188" s="237"/>
      <c r="O1188" s="237"/>
      <c r="P1188" s="237"/>
      <c r="Q1188" s="237"/>
      <c r="R1188" s="237"/>
    </row>
    <row r="1189" spans="8:8" ht="15.75" customHeight="1">
      <c r="G1189" s="241" t="b">
        <v>0</v>
      </c>
      <c r="I1189" s="275"/>
      <c r="J1189" s="275"/>
      <c r="K1189" s="275"/>
      <c r="L1189" s="240"/>
      <c r="M1189" s="237"/>
      <c r="N1189" s="237"/>
      <c r="O1189" s="237"/>
      <c r="P1189" s="237"/>
      <c r="Q1189" s="237"/>
      <c r="R1189" s="237"/>
    </row>
    <row r="1190" spans="8:8" ht="15.75" customHeight="1">
      <c r="G1190" s="241" t="b">
        <v>0</v>
      </c>
      <c r="I1190" s="275"/>
      <c r="J1190" s="275"/>
      <c r="K1190" s="275"/>
      <c r="L1190" s="240"/>
      <c r="M1190" s="237"/>
      <c r="N1190" s="237"/>
      <c r="O1190" s="237"/>
      <c r="P1190" s="237"/>
      <c r="Q1190" s="237"/>
      <c r="R1190" s="237"/>
    </row>
    <row r="1191" spans="8:8" ht="15.75" customHeight="1">
      <c r="G1191" s="241" t="b">
        <v>0</v>
      </c>
      <c r="I1191" s="275"/>
      <c r="J1191" s="275"/>
      <c r="K1191" s="275"/>
      <c r="L1191" s="240"/>
      <c r="M1191" s="237"/>
      <c r="N1191" s="237"/>
      <c r="O1191" s="237"/>
      <c r="P1191" s="237"/>
      <c r="Q1191" s="237"/>
      <c r="R1191" s="237"/>
    </row>
    <row r="1192" spans="8:8" ht="15.75" customHeight="1">
      <c r="G1192" s="241" t="b">
        <v>0</v>
      </c>
      <c r="I1192" s="275"/>
      <c r="J1192" s="275"/>
      <c r="K1192" s="275"/>
      <c r="L1192" s="240"/>
      <c r="M1192" s="237"/>
      <c r="N1192" s="237"/>
      <c r="O1192" s="237"/>
      <c r="P1192" s="237"/>
      <c r="Q1192" s="237"/>
      <c r="R1192" s="237"/>
    </row>
    <row r="1193" spans="8:8" ht="15.75" customHeight="1">
      <c r="G1193" s="241" t="b">
        <v>0</v>
      </c>
      <c r="I1193" s="275"/>
      <c r="J1193" s="275"/>
      <c r="K1193" s="275"/>
      <c r="L1193" s="240"/>
      <c r="M1193" s="237"/>
      <c r="N1193" s="237"/>
      <c r="O1193" s="237"/>
      <c r="P1193" s="237"/>
      <c r="Q1193" s="237"/>
      <c r="R1193" s="237"/>
    </row>
    <row r="1194" spans="8:8" ht="15.75" customHeight="1">
      <c r="G1194" s="241" t="b">
        <v>0</v>
      </c>
      <c r="I1194" s="275"/>
      <c r="J1194" s="275"/>
      <c r="K1194" s="275"/>
      <c r="L1194" s="240"/>
      <c r="M1194" s="237"/>
      <c r="N1194" s="237"/>
      <c r="O1194" s="237"/>
      <c r="P1194" s="237"/>
      <c r="Q1194" s="237"/>
      <c r="R1194" s="237"/>
    </row>
    <row r="1195" spans="8:8" ht="15.75" customHeight="1">
      <c r="G1195" s="241" t="b">
        <v>0</v>
      </c>
      <c r="I1195" s="275"/>
      <c r="J1195" s="275"/>
      <c r="K1195" s="275"/>
      <c r="L1195" s="240"/>
      <c r="M1195" s="237"/>
      <c r="N1195" s="237"/>
      <c r="O1195" s="237"/>
      <c r="P1195" s="237"/>
      <c r="Q1195" s="237"/>
      <c r="R1195" s="237"/>
    </row>
    <row r="1196" spans="8:8" ht="15.75" customHeight="1">
      <c r="G1196" s="241" t="b">
        <v>0</v>
      </c>
      <c r="I1196" s="275"/>
      <c r="J1196" s="275"/>
      <c r="K1196" s="275"/>
      <c r="L1196" s="240"/>
      <c r="M1196" s="237"/>
      <c r="N1196" s="237"/>
      <c r="O1196" s="237"/>
      <c r="P1196" s="237"/>
      <c r="Q1196" s="237"/>
      <c r="R1196" s="237"/>
    </row>
    <row r="1197" spans="8:8" ht="15.75" customHeight="1">
      <c r="G1197" s="241" t="b">
        <v>0</v>
      </c>
      <c r="I1197" s="275"/>
      <c r="J1197" s="275"/>
      <c r="K1197" s="275"/>
      <c r="L1197" s="240"/>
      <c r="M1197" s="237"/>
      <c r="N1197" s="237"/>
      <c r="O1197" s="237"/>
      <c r="P1197" s="237"/>
      <c r="Q1197" s="237"/>
      <c r="R1197" s="237"/>
    </row>
    <row r="1198" spans="8:8" ht="15.75" customHeight="1">
      <c r="G1198" s="241" t="b">
        <v>0</v>
      </c>
      <c r="I1198" s="275"/>
      <c r="J1198" s="275"/>
      <c r="K1198" s="275"/>
      <c r="L1198" s="240"/>
      <c r="M1198" s="237"/>
      <c r="N1198" s="237"/>
      <c r="O1198" s="237"/>
      <c r="P1198" s="237"/>
      <c r="Q1198" s="237"/>
      <c r="R1198" s="237"/>
    </row>
    <row r="1199" spans="8:8" ht="15.75" customHeight="1">
      <c r="G1199" s="241" t="b">
        <v>0</v>
      </c>
      <c r="I1199" s="275"/>
      <c r="J1199" s="275"/>
      <c r="K1199" s="275"/>
      <c r="L1199" s="240"/>
      <c r="M1199" s="237"/>
      <c r="N1199" s="237"/>
      <c r="O1199" s="237"/>
      <c r="P1199" s="237"/>
      <c r="Q1199" s="237"/>
      <c r="R1199" s="237"/>
    </row>
    <row r="1200" spans="8:8" ht="15.75" customHeight="1">
      <c r="G1200" s="241" t="b">
        <v>0</v>
      </c>
      <c r="I1200" s="275"/>
      <c r="J1200" s="275"/>
      <c r="K1200" s="275"/>
      <c r="L1200" s="240"/>
      <c r="M1200" s="237"/>
      <c r="N1200" s="237"/>
      <c r="O1200" s="237"/>
      <c r="P1200" s="237"/>
      <c r="Q1200" s="237"/>
      <c r="R1200" s="237"/>
    </row>
    <row r="1201" spans="8:8" ht="15.75" customHeight="1">
      <c r="G1201" s="241" t="b">
        <v>0</v>
      </c>
      <c r="I1201" s="275"/>
      <c r="J1201" s="275"/>
      <c r="K1201" s="275"/>
      <c r="L1201" s="240"/>
      <c r="M1201" s="237"/>
      <c r="N1201" s="237"/>
      <c r="O1201" s="237"/>
      <c r="P1201" s="237"/>
      <c r="Q1201" s="237"/>
      <c r="R1201" s="237"/>
    </row>
    <row r="1202" spans="8:8" ht="15.75" customHeight="1">
      <c r="G1202" s="241" t="b">
        <v>0</v>
      </c>
      <c r="I1202" s="275"/>
      <c r="J1202" s="275"/>
      <c r="K1202" s="275"/>
      <c r="L1202" s="240"/>
      <c r="M1202" s="237"/>
      <c r="N1202" s="237"/>
      <c r="O1202" s="237"/>
      <c r="P1202" s="237"/>
      <c r="Q1202" s="237"/>
      <c r="R1202" s="237"/>
    </row>
    <row r="1203" spans="8:8" ht="15.75" customHeight="1">
      <c r="G1203" s="241" t="b">
        <v>0</v>
      </c>
      <c r="I1203" s="275"/>
      <c r="J1203" s="275"/>
      <c r="K1203" s="275"/>
      <c r="L1203" s="240"/>
      <c r="M1203" s="237"/>
      <c r="N1203" s="237"/>
      <c r="O1203" s="237"/>
      <c r="P1203" s="237"/>
      <c r="Q1203" s="237"/>
      <c r="R1203" s="237"/>
    </row>
    <row r="1204" spans="8:8" ht="15.75" customHeight="1">
      <c r="G1204" s="241" t="b">
        <v>0</v>
      </c>
      <c r="I1204" s="275"/>
      <c r="J1204" s="275"/>
      <c r="K1204" s="275"/>
      <c r="L1204" s="240"/>
      <c r="M1204" s="237"/>
      <c r="N1204" s="237"/>
      <c r="O1204" s="237"/>
      <c r="P1204" s="237"/>
      <c r="Q1204" s="237"/>
      <c r="R1204" s="237"/>
    </row>
    <row r="1205" spans="8:8" ht="15.75" customHeight="1">
      <c r="G1205" s="241" t="b">
        <v>0</v>
      </c>
      <c r="I1205" s="275"/>
      <c r="J1205" s="275"/>
      <c r="K1205" s="275"/>
      <c r="L1205" s="240"/>
      <c r="M1205" s="237"/>
      <c r="N1205" s="237"/>
      <c r="O1205" s="237"/>
      <c r="P1205" s="237"/>
      <c r="Q1205" s="237"/>
      <c r="R1205" s="237"/>
    </row>
    <row r="1206" spans="8:8" ht="15.75" customHeight="1">
      <c r="G1206" s="241" t="b">
        <v>0</v>
      </c>
      <c r="I1206" s="275"/>
      <c r="J1206" s="275"/>
      <c r="K1206" s="275"/>
      <c r="L1206" s="240"/>
      <c r="M1206" s="237"/>
      <c r="N1206" s="237"/>
      <c r="O1206" s="237"/>
      <c r="P1206" s="237"/>
      <c r="Q1206" s="237"/>
      <c r="R1206" s="237"/>
    </row>
    <row r="1207" spans="8:8" ht="15.75" customHeight="1">
      <c r="G1207" s="241" t="b">
        <v>0</v>
      </c>
      <c r="I1207" s="275"/>
      <c r="J1207" s="275"/>
      <c r="K1207" s="275"/>
      <c r="L1207" s="276"/>
      <c r="M1207" s="237"/>
      <c r="N1207" s="237"/>
      <c r="O1207" s="237"/>
      <c r="P1207" s="237"/>
      <c r="Q1207" s="237"/>
      <c r="R1207" s="237"/>
    </row>
    <row r="1208" spans="8:8" ht="15.75" customHeight="1">
      <c r="G1208" s="241" t="b">
        <v>0</v>
      </c>
      <c r="I1208" s="275"/>
      <c r="J1208" s="275"/>
      <c r="K1208" s="275"/>
      <c r="L1208" s="240"/>
      <c r="M1208" s="237"/>
      <c r="N1208" s="237"/>
      <c r="O1208" s="237"/>
      <c r="P1208" s="237"/>
      <c r="Q1208" s="237"/>
      <c r="R1208" s="237"/>
    </row>
    <row r="1209" spans="8:8" ht="15.75" customHeight="1">
      <c r="G1209" s="241" t="b">
        <v>0</v>
      </c>
      <c r="I1209" s="275"/>
      <c r="J1209" s="275"/>
      <c r="K1209" s="275"/>
      <c r="L1209" s="240"/>
      <c r="M1209" s="237"/>
      <c r="N1209" s="237"/>
      <c r="O1209" s="237"/>
      <c r="P1209" s="237"/>
      <c r="Q1209" s="237"/>
      <c r="R1209" s="237"/>
    </row>
    <row r="1210" spans="8:8" ht="15.75" customHeight="1">
      <c r="G1210" s="241" t="b">
        <v>0</v>
      </c>
      <c r="I1210" s="275"/>
      <c r="J1210" s="275"/>
      <c r="K1210" s="275"/>
      <c r="L1210" s="240"/>
      <c r="M1210" s="237"/>
      <c r="N1210" s="237"/>
      <c r="O1210" s="237"/>
      <c r="P1210" s="237"/>
      <c r="Q1210" s="237"/>
      <c r="R1210" s="237"/>
    </row>
    <row r="1211" spans="8:8" ht="15.75" customHeight="1">
      <c r="G1211" s="241" t="b">
        <v>0</v>
      </c>
      <c r="I1211" s="275"/>
      <c r="J1211" s="275"/>
      <c r="K1211" s="275"/>
      <c r="L1211" s="240"/>
      <c r="M1211" s="237"/>
      <c r="N1211" s="237"/>
      <c r="O1211" s="237"/>
      <c r="P1211" s="237"/>
      <c r="Q1211" s="237"/>
      <c r="R1211" s="237"/>
    </row>
    <row r="1212" spans="8:8" ht="15.75" customHeight="1">
      <c r="G1212" s="241" t="b">
        <v>0</v>
      </c>
      <c r="I1212" s="275"/>
      <c r="J1212" s="275"/>
      <c r="K1212" s="275"/>
      <c r="L1212" s="240"/>
      <c r="M1212" s="237"/>
      <c r="N1212" s="237"/>
      <c r="O1212" s="237"/>
      <c r="P1212" s="237"/>
      <c r="Q1212" s="237"/>
      <c r="R1212" s="237"/>
    </row>
    <row r="1213" spans="8:8" ht="15.75" customHeight="1">
      <c r="G1213" s="241" t="b">
        <v>0</v>
      </c>
      <c r="I1213" s="275"/>
      <c r="J1213" s="275"/>
      <c r="K1213" s="275"/>
      <c r="L1213" s="240"/>
      <c r="M1213" s="237"/>
      <c r="N1213" s="237"/>
      <c r="O1213" s="237"/>
      <c r="P1213" s="237"/>
      <c r="Q1213" s="237"/>
      <c r="R1213" s="237"/>
    </row>
    <row r="1214" spans="8:8" ht="15.75" customHeight="1">
      <c r="G1214" s="241" t="b">
        <v>0</v>
      </c>
      <c r="I1214" s="275"/>
      <c r="J1214" s="275"/>
      <c r="K1214" s="275"/>
      <c r="L1214" s="240"/>
      <c r="M1214" s="237"/>
      <c r="N1214" s="237"/>
      <c r="O1214" s="237"/>
      <c r="P1214" s="237"/>
      <c r="Q1214" s="237"/>
      <c r="R1214" s="237"/>
    </row>
    <row r="1215" spans="8:8" ht="15.75" customHeight="1">
      <c r="G1215" s="241" t="b">
        <v>0</v>
      </c>
      <c r="I1215" s="275"/>
      <c r="J1215" s="275"/>
      <c r="K1215" s="275"/>
      <c r="L1215" s="240"/>
      <c r="M1215" s="237"/>
      <c r="N1215" s="237"/>
      <c r="O1215" s="237"/>
      <c r="P1215" s="237"/>
      <c r="Q1215" s="237"/>
      <c r="R1215" s="237"/>
    </row>
    <row r="1216" spans="8:8" ht="15.75" customHeight="1">
      <c r="G1216" s="241" t="b">
        <v>0</v>
      </c>
      <c r="I1216" s="275"/>
      <c r="J1216" s="275"/>
      <c r="K1216" s="275"/>
      <c r="L1216" s="240"/>
      <c r="M1216" s="237"/>
      <c r="N1216" s="237"/>
      <c r="O1216" s="237"/>
      <c r="P1216" s="237"/>
      <c r="Q1216" s="237"/>
      <c r="R1216" s="237"/>
    </row>
    <row r="1217" spans="8:8" ht="15.75" customHeight="1">
      <c r="G1217" s="241" t="b">
        <v>0</v>
      </c>
      <c r="I1217" s="275"/>
      <c r="J1217" s="275"/>
      <c r="K1217" s="275"/>
      <c r="L1217" s="240"/>
      <c r="M1217" s="237"/>
      <c r="N1217" s="237"/>
      <c r="O1217" s="237"/>
      <c r="P1217" s="237"/>
      <c r="Q1217" s="237"/>
      <c r="R1217" s="237"/>
    </row>
    <row r="1218" spans="8:8" ht="15.75" customHeight="1">
      <c r="G1218" s="241" t="b">
        <v>0</v>
      </c>
      <c r="I1218" s="275"/>
      <c r="J1218" s="275"/>
      <c r="K1218" s="275"/>
      <c r="L1218" s="240"/>
      <c r="M1218" s="237"/>
      <c r="N1218" s="237"/>
      <c r="O1218" s="237"/>
      <c r="P1218" s="237"/>
      <c r="Q1218" s="237"/>
      <c r="R1218" s="237"/>
    </row>
    <row r="1219" spans="8:8" ht="15.75" customHeight="1">
      <c r="G1219" s="241" t="b">
        <v>0</v>
      </c>
      <c r="I1219" s="275"/>
      <c r="J1219" s="275"/>
      <c r="K1219" s="275"/>
      <c r="L1219" s="240"/>
      <c r="M1219" s="237"/>
      <c r="N1219" s="237"/>
      <c r="O1219" s="237"/>
      <c r="P1219" s="237"/>
      <c r="Q1219" s="237"/>
      <c r="R1219" s="237"/>
    </row>
    <row r="1220" spans="8:8" ht="15.75" customHeight="1">
      <c r="G1220" s="241" t="b">
        <v>0</v>
      </c>
      <c r="I1220" s="275"/>
      <c r="J1220" s="275"/>
      <c r="K1220" s="275"/>
      <c r="L1220" s="240"/>
      <c r="M1220" s="237"/>
      <c r="N1220" s="237"/>
      <c r="O1220" s="237"/>
      <c r="P1220" s="237"/>
      <c r="Q1220" s="237"/>
      <c r="R1220" s="237"/>
    </row>
    <row r="1221" spans="8:8" ht="15.75" customHeight="1">
      <c r="G1221" s="241" t="b">
        <v>0</v>
      </c>
      <c r="I1221" s="275"/>
      <c r="J1221" s="275"/>
      <c r="K1221" s="275"/>
      <c r="L1221" s="240"/>
      <c r="M1221" s="237"/>
      <c r="N1221" s="237"/>
      <c r="O1221" s="237"/>
      <c r="P1221" s="237"/>
      <c r="Q1221" s="237"/>
      <c r="R1221" s="237"/>
    </row>
    <row r="1222" spans="8:8" ht="15.75" customHeight="1">
      <c r="G1222" s="241" t="b">
        <v>0</v>
      </c>
      <c r="I1222" s="275"/>
      <c r="J1222" s="275"/>
      <c r="K1222" s="275"/>
      <c r="L1222" s="240"/>
      <c r="M1222" s="237"/>
      <c r="N1222" s="237"/>
      <c r="O1222" s="237"/>
      <c r="P1222" s="237"/>
      <c r="Q1222" s="237"/>
      <c r="R1222" s="237"/>
    </row>
    <row r="1223" spans="8:8" ht="15.75" customHeight="1">
      <c r="G1223" s="241" t="b">
        <v>0</v>
      </c>
      <c r="I1223" s="275"/>
      <c r="J1223" s="275"/>
      <c r="K1223" s="275"/>
      <c r="L1223" s="240"/>
      <c r="M1223" s="237"/>
      <c r="N1223" s="237"/>
      <c r="O1223" s="237"/>
      <c r="P1223" s="237"/>
      <c r="Q1223" s="237"/>
      <c r="R1223" s="237"/>
    </row>
    <row r="1224" spans="8:8" ht="15.75" customHeight="1">
      <c r="G1224" s="241" t="b">
        <v>0</v>
      </c>
      <c r="I1224" s="275"/>
      <c r="J1224" s="275"/>
      <c r="K1224" s="275"/>
      <c r="L1224" s="240"/>
      <c r="M1224" s="237"/>
      <c r="N1224" s="237"/>
      <c r="O1224" s="237"/>
      <c r="P1224" s="237"/>
      <c r="Q1224" s="237"/>
      <c r="R1224" s="237"/>
    </row>
    <row r="1225" spans="8:8" ht="15.75" customHeight="1">
      <c r="G1225" s="241" t="b">
        <v>0</v>
      </c>
      <c r="I1225" s="275"/>
      <c r="J1225" s="275"/>
      <c r="K1225" s="275"/>
      <c r="L1225" s="240"/>
      <c r="M1225" s="237"/>
      <c r="N1225" s="237"/>
      <c r="O1225" s="237"/>
      <c r="P1225" s="237"/>
      <c r="Q1225" s="237"/>
      <c r="R1225" s="237"/>
    </row>
    <row r="1226" spans="8:8" ht="15.75" customHeight="1">
      <c r="G1226" s="241" t="b">
        <v>0</v>
      </c>
      <c r="I1226" s="275"/>
      <c r="J1226" s="275"/>
      <c r="K1226" s="275"/>
      <c r="L1226" s="240"/>
      <c r="M1226" s="237"/>
      <c r="N1226" s="237"/>
      <c r="O1226" s="237"/>
      <c r="P1226" s="237"/>
      <c r="Q1226" s="237"/>
      <c r="R1226" s="237"/>
    </row>
    <row r="1227" spans="8:8" ht="15.75" customHeight="1">
      <c r="G1227" s="241" t="b">
        <v>0</v>
      </c>
      <c r="I1227" s="275"/>
      <c r="J1227" s="275"/>
      <c r="K1227" s="275"/>
      <c r="L1227" s="240"/>
      <c r="M1227" s="237"/>
      <c r="N1227" s="237"/>
      <c r="O1227" s="237"/>
      <c r="P1227" s="237"/>
      <c r="Q1227" s="237"/>
      <c r="R1227" s="237"/>
    </row>
    <row r="1228" spans="8:8" ht="15.75" customHeight="1">
      <c r="G1228" s="241" t="b">
        <v>0</v>
      </c>
      <c r="I1228" s="275"/>
      <c r="J1228" s="275"/>
      <c r="K1228" s="275"/>
      <c r="L1228" s="240"/>
      <c r="M1228" s="237"/>
      <c r="N1228" s="237"/>
      <c r="O1228" s="237"/>
      <c r="P1228" s="237"/>
      <c r="Q1228" s="237"/>
      <c r="R1228" s="237"/>
    </row>
    <row r="1229" spans="8:8" ht="15.75" customHeight="1">
      <c r="G1229" s="241" t="b">
        <v>0</v>
      </c>
      <c r="I1229" s="275"/>
      <c r="J1229" s="275"/>
      <c r="K1229" s="275"/>
      <c r="L1229" s="240"/>
      <c r="M1229" s="237"/>
      <c r="N1229" s="237"/>
      <c r="O1229" s="237"/>
      <c r="P1229" s="237"/>
      <c r="Q1229" s="237"/>
      <c r="R1229" s="237"/>
    </row>
    <row r="1230" spans="8:8" ht="15.75" customHeight="1">
      <c r="G1230" s="241" t="b">
        <v>0</v>
      </c>
      <c r="I1230" s="275"/>
      <c r="J1230" s="275"/>
      <c r="K1230" s="275"/>
      <c r="L1230" s="240"/>
      <c r="M1230" s="237"/>
      <c r="N1230" s="237"/>
      <c r="O1230" s="237"/>
      <c r="P1230" s="237"/>
      <c r="Q1230" s="237"/>
      <c r="R1230" s="237"/>
    </row>
    <row r="1231" spans="8:8" ht="15.75" customHeight="1">
      <c r="G1231" s="241" t="b">
        <v>0</v>
      </c>
      <c r="I1231" s="275"/>
      <c r="J1231" s="275"/>
      <c r="K1231" s="275"/>
      <c r="L1231" s="240"/>
      <c r="M1231" s="237"/>
      <c r="N1231" s="237"/>
      <c r="O1231" s="237"/>
      <c r="P1231" s="237"/>
      <c r="Q1231" s="237"/>
      <c r="R1231" s="237"/>
    </row>
    <row r="1232" spans="8:8" ht="15.75" customHeight="1">
      <c r="G1232" s="241" t="b">
        <v>0</v>
      </c>
      <c r="I1232" s="275"/>
      <c r="J1232" s="275"/>
      <c r="K1232" s="275"/>
      <c r="L1232" s="240"/>
      <c r="M1232" s="237"/>
      <c r="N1232" s="237"/>
      <c r="O1232" s="237"/>
      <c r="P1232" s="237"/>
      <c r="Q1232" s="237"/>
      <c r="R1232" s="237"/>
    </row>
    <row r="1233" spans="8:8" ht="15.75" customHeight="1">
      <c r="G1233" s="241" t="b">
        <v>0</v>
      </c>
      <c r="I1233" s="275"/>
      <c r="J1233" s="275"/>
      <c r="K1233" s="275"/>
      <c r="L1233" s="281"/>
      <c r="M1233" s="237"/>
      <c r="N1233" s="237"/>
      <c r="O1233" s="237"/>
      <c r="P1233" s="237"/>
      <c r="Q1233" s="237"/>
      <c r="R1233" s="237"/>
    </row>
    <row r="1234" spans="8:8" ht="15.75" customHeight="1">
      <c r="G1234" s="241" t="b">
        <v>0</v>
      </c>
      <c r="I1234" s="275"/>
      <c r="J1234" s="275"/>
      <c r="K1234" s="275"/>
      <c r="L1234" s="282"/>
      <c r="M1234" s="237"/>
      <c r="N1234" s="237"/>
      <c r="O1234" s="237"/>
      <c r="P1234" s="237"/>
      <c r="Q1234" s="237"/>
      <c r="R1234" s="237"/>
    </row>
    <row r="1235" spans="8:8" ht="15.75" customHeight="1">
      <c r="G1235" s="241" t="b">
        <v>0</v>
      </c>
      <c r="I1235" s="275"/>
      <c r="J1235" s="275"/>
      <c r="K1235" s="275"/>
      <c r="L1235" s="240"/>
      <c r="M1235" s="237"/>
      <c r="N1235" s="237"/>
      <c r="O1235" s="237"/>
      <c r="P1235" s="237"/>
      <c r="Q1235" s="237"/>
      <c r="R1235" s="237"/>
    </row>
    <row r="1236" spans="8:8" ht="15.75" customHeight="1">
      <c r="G1236" s="241" t="b">
        <v>0</v>
      </c>
      <c r="I1236" s="275"/>
      <c r="J1236" s="275"/>
      <c r="K1236" s="275"/>
      <c r="L1236" s="240"/>
      <c r="M1236" s="237"/>
      <c r="N1236" s="237"/>
      <c r="O1236" s="237"/>
      <c r="P1236" s="237"/>
      <c r="Q1236" s="237"/>
      <c r="R1236" s="237"/>
    </row>
    <row r="1237" spans="8:8" ht="15.75" customHeight="1">
      <c r="G1237" s="241" t="b">
        <v>0</v>
      </c>
      <c r="I1237" s="275"/>
      <c r="J1237" s="275"/>
      <c r="K1237" s="275"/>
      <c r="L1237" s="240"/>
      <c r="M1237" s="237"/>
      <c r="N1237" s="237"/>
      <c r="O1237" s="237"/>
      <c r="P1237" s="237"/>
      <c r="Q1237" s="237"/>
      <c r="R1237" s="237"/>
    </row>
    <row r="1238" spans="8:8" ht="15.75" customHeight="1">
      <c r="G1238" s="241" t="b">
        <v>0</v>
      </c>
      <c r="I1238" s="275"/>
      <c r="J1238" s="275"/>
      <c r="K1238" s="275"/>
      <c r="L1238" s="240"/>
      <c r="M1238" s="237"/>
      <c r="N1238" s="237"/>
      <c r="O1238" s="237"/>
      <c r="P1238" s="237"/>
      <c r="Q1238" s="237"/>
      <c r="R1238" s="237"/>
    </row>
    <row r="1239" spans="8:8" ht="15.75" customHeight="1">
      <c r="G1239" s="241" t="b">
        <v>0</v>
      </c>
      <c r="I1239" s="275"/>
      <c r="J1239" s="275"/>
      <c r="K1239" s="275"/>
      <c r="L1239" s="240"/>
      <c r="M1239" s="237"/>
      <c r="N1239" s="237"/>
      <c r="O1239" s="237"/>
      <c r="P1239" s="237"/>
      <c r="Q1239" s="237"/>
      <c r="R1239" s="237"/>
    </row>
    <row r="1240" spans="8:8" ht="15.75" customHeight="1">
      <c r="G1240" s="241" t="b">
        <v>0</v>
      </c>
      <c r="I1240" s="275"/>
      <c r="J1240" s="275"/>
      <c r="K1240" s="275"/>
      <c r="L1240" s="240"/>
      <c r="M1240" s="237"/>
      <c r="N1240" s="237"/>
      <c r="O1240" s="237"/>
      <c r="P1240" s="237"/>
      <c r="Q1240" s="237"/>
      <c r="R1240" s="237"/>
    </row>
    <row r="1241" spans="8:8" ht="15.75" customHeight="1">
      <c r="G1241" s="241" t="b">
        <v>0</v>
      </c>
      <c r="I1241" s="275"/>
      <c r="J1241" s="275"/>
      <c r="K1241" s="275"/>
      <c r="L1241" s="240"/>
      <c r="M1241" s="237"/>
      <c r="N1241" s="237"/>
      <c r="O1241" s="237"/>
      <c r="P1241" s="237"/>
      <c r="Q1241" s="237"/>
      <c r="R1241" s="237"/>
    </row>
    <row r="1242" spans="8:8" ht="15.75" customHeight="1">
      <c r="G1242" s="241" t="b">
        <v>0</v>
      </c>
      <c r="I1242" s="275"/>
      <c r="J1242" s="275"/>
      <c r="K1242" s="275"/>
      <c r="L1242" s="240"/>
      <c r="M1242" s="237"/>
      <c r="N1242" s="237"/>
      <c r="O1242" s="237"/>
      <c r="P1242" s="237"/>
      <c r="Q1242" s="237"/>
      <c r="R1242" s="237"/>
    </row>
    <row r="1243" spans="8:8" ht="15.75" customHeight="1">
      <c r="G1243" s="241" t="b">
        <v>0</v>
      </c>
      <c r="I1243" s="275"/>
      <c r="J1243" s="275"/>
      <c r="K1243" s="275"/>
      <c r="L1243" s="240"/>
      <c r="M1243" s="237"/>
      <c r="N1243" s="237"/>
      <c r="O1243" s="237"/>
      <c r="P1243" s="237"/>
      <c r="Q1243" s="237"/>
      <c r="R1243" s="237"/>
    </row>
    <row r="1244" spans="8:8" ht="15.75" customHeight="1">
      <c r="G1244" s="241" t="b">
        <v>0</v>
      </c>
      <c r="I1244" s="275"/>
      <c r="J1244" s="275"/>
      <c r="K1244" s="275"/>
      <c r="L1244" s="240"/>
      <c r="M1244" s="237"/>
      <c r="N1244" s="237"/>
      <c r="O1244" s="237"/>
      <c r="P1244" s="237"/>
      <c r="Q1244" s="237"/>
      <c r="R1244" s="237"/>
    </row>
    <row r="1245" spans="8:8" ht="15.75" customHeight="1">
      <c r="G1245" s="241" t="b">
        <v>0</v>
      </c>
      <c r="I1245" s="275"/>
      <c r="J1245" s="275"/>
      <c r="K1245" s="275"/>
      <c r="L1245" s="240"/>
      <c r="M1245" s="237"/>
      <c r="N1245" s="237"/>
      <c r="O1245" s="237"/>
      <c r="P1245" s="237"/>
      <c r="Q1245" s="237"/>
      <c r="R1245" s="237"/>
    </row>
    <row r="1246" spans="8:8" ht="15.75" customHeight="1">
      <c r="G1246" s="241" t="b">
        <v>0</v>
      </c>
      <c r="I1246" s="275"/>
      <c r="J1246" s="275"/>
      <c r="K1246" s="275"/>
      <c r="L1246" s="240"/>
      <c r="M1246" s="237"/>
      <c r="N1246" s="237"/>
      <c r="O1246" s="237"/>
      <c r="P1246" s="237"/>
      <c r="Q1246" s="237"/>
      <c r="R1246" s="237"/>
    </row>
    <row r="1247" spans="8:8" ht="15.75" customHeight="1">
      <c r="G1247" s="241" t="b">
        <v>0</v>
      </c>
      <c r="I1247" s="275"/>
      <c r="J1247" s="275"/>
      <c r="K1247" s="275"/>
      <c r="L1247" s="240"/>
      <c r="M1247" s="237"/>
      <c r="N1247" s="237"/>
      <c r="O1247" s="237"/>
      <c r="P1247" s="237"/>
      <c r="Q1247" s="237"/>
      <c r="R1247" s="237"/>
    </row>
    <row r="1248" spans="8:8" ht="15.75" customHeight="1">
      <c r="G1248" s="241" t="b">
        <v>0</v>
      </c>
      <c r="I1248" s="275"/>
      <c r="J1248" s="275"/>
      <c r="K1248" s="275"/>
      <c r="L1248" s="240"/>
      <c r="M1248" s="237"/>
      <c r="N1248" s="237"/>
      <c r="O1248" s="237"/>
      <c r="P1248" s="237"/>
      <c r="Q1248" s="237"/>
      <c r="R1248" s="237"/>
    </row>
    <row r="1249" spans="8:8" ht="15.75" customHeight="1">
      <c r="G1249" s="241" t="b">
        <v>0</v>
      </c>
      <c r="I1249" s="275"/>
      <c r="J1249" s="275"/>
      <c r="K1249" s="275"/>
      <c r="L1249" s="240"/>
      <c r="M1249" s="237"/>
      <c r="N1249" s="237"/>
      <c r="O1249" s="237"/>
      <c r="P1249" s="237"/>
      <c r="Q1249" s="237"/>
      <c r="R1249" s="237"/>
    </row>
    <row r="1250" spans="8:8" ht="15.75" customHeight="1">
      <c r="G1250" s="241" t="b">
        <v>0</v>
      </c>
      <c r="I1250" s="275"/>
      <c r="J1250" s="275"/>
      <c r="K1250" s="243"/>
      <c r="L1250" s="240"/>
      <c r="M1250" s="237"/>
      <c r="N1250" s="237"/>
      <c r="O1250" s="237"/>
      <c r="P1250" s="237"/>
      <c r="Q1250" s="237"/>
      <c r="R1250" s="237"/>
    </row>
    <row r="1251" spans="8:8" ht="15.75" customHeight="1">
      <c r="G1251" s="241" t="b">
        <v>0</v>
      </c>
      <c r="I1251" s="275"/>
      <c r="J1251" s="275"/>
      <c r="K1251" s="275"/>
      <c r="L1251" s="240"/>
      <c r="M1251" s="237"/>
      <c r="N1251" s="237"/>
      <c r="O1251" s="237"/>
      <c r="P1251" s="237"/>
      <c r="Q1251" s="237"/>
      <c r="R1251" s="237"/>
    </row>
    <row r="1252" spans="8:8" ht="15.75" customHeight="1">
      <c r="G1252" s="241" t="b">
        <v>0</v>
      </c>
      <c r="I1252" s="275"/>
      <c r="J1252" s="275"/>
      <c r="K1252" s="275"/>
      <c r="L1252" s="240"/>
      <c r="M1252" s="237"/>
      <c r="N1252" s="237"/>
      <c r="O1252" s="237"/>
      <c r="P1252" s="237"/>
      <c r="Q1252" s="237"/>
      <c r="R1252" s="237"/>
    </row>
    <row r="1253" spans="8:8" ht="15.75" customHeight="1">
      <c r="G1253" s="241" t="b">
        <v>0</v>
      </c>
      <c r="I1253" s="275"/>
      <c r="J1253" s="275"/>
      <c r="K1253" s="275"/>
      <c r="L1253" s="240"/>
      <c r="M1253" s="237"/>
      <c r="N1253" s="237"/>
      <c r="O1253" s="237"/>
      <c r="P1253" s="237"/>
      <c r="Q1253" s="237"/>
      <c r="R1253" s="237"/>
    </row>
    <row r="1254" spans="8:8" ht="15.75" customHeight="1">
      <c r="G1254" s="241" t="b">
        <v>0</v>
      </c>
      <c r="I1254" s="275"/>
      <c r="J1254" s="275"/>
      <c r="K1254" s="275"/>
      <c r="L1254" s="240"/>
      <c r="M1254" s="237"/>
      <c r="N1254" s="237"/>
      <c r="O1254" s="237"/>
      <c r="P1254" s="237"/>
      <c r="Q1254" s="237"/>
      <c r="R1254" s="237"/>
    </row>
    <row r="1255" spans="8:8" ht="15.75" customHeight="1">
      <c r="G1255" s="241" t="b">
        <v>0</v>
      </c>
      <c r="I1255" s="275"/>
      <c r="J1255" s="275"/>
      <c r="K1255" s="275"/>
      <c r="L1255" s="240"/>
      <c r="M1255" s="237"/>
      <c r="N1255" s="237"/>
      <c r="O1255" s="237"/>
      <c r="P1255" s="237"/>
      <c r="Q1255" s="237"/>
      <c r="R1255" s="237"/>
    </row>
    <row r="1256" spans="8:8" ht="15.75" customHeight="1">
      <c r="G1256" s="241" t="b">
        <v>0</v>
      </c>
      <c r="I1256" s="283"/>
      <c r="J1256" s="283"/>
      <c r="K1256" s="283"/>
      <c r="L1256" s="240"/>
      <c r="M1256" s="237"/>
      <c r="N1256" s="237"/>
      <c r="O1256" s="237"/>
      <c r="P1256" s="237"/>
      <c r="Q1256" s="237"/>
      <c r="R1256" s="237"/>
    </row>
    <row r="1257" spans="8:8" ht="15.75" customHeight="1">
      <c r="G1257" s="241" t="b">
        <v>0</v>
      </c>
      <c r="I1257" s="275"/>
      <c r="J1257" s="275"/>
      <c r="K1257" s="275"/>
      <c r="L1257" s="240"/>
      <c r="M1257" s="237"/>
      <c r="N1257" s="237"/>
      <c r="O1257" s="237"/>
      <c r="P1257" s="237"/>
      <c r="Q1257" s="237"/>
      <c r="R1257" s="237"/>
    </row>
    <row r="1258" spans="8:8" ht="15.75" customHeight="1">
      <c r="G1258" s="241" t="b">
        <v>0</v>
      </c>
      <c r="I1258" s="275"/>
      <c r="J1258" s="275"/>
      <c r="K1258" s="275"/>
      <c r="L1258" s="240"/>
      <c r="M1258" s="237"/>
      <c r="N1258" s="237"/>
      <c r="O1258" s="237"/>
      <c r="P1258" s="237"/>
      <c r="Q1258" s="237"/>
      <c r="R1258" s="237"/>
    </row>
    <row r="1259" spans="8:8" ht="15.75" customHeight="1">
      <c r="G1259" s="241" t="b">
        <v>0</v>
      </c>
      <c r="I1259" s="275"/>
      <c r="J1259" s="275"/>
      <c r="K1259" s="275"/>
      <c r="L1259" s="276"/>
      <c r="M1259" s="237"/>
      <c r="N1259" s="237"/>
      <c r="O1259" s="237"/>
      <c r="P1259" s="237"/>
      <c r="Q1259" s="237"/>
      <c r="R1259" s="237"/>
    </row>
    <row r="1260" spans="8:8" ht="15.75" customHeight="1">
      <c r="G1260" s="241" t="b">
        <v>0</v>
      </c>
      <c r="I1260" s="275"/>
      <c r="J1260" s="275"/>
      <c r="K1260" s="275"/>
      <c r="L1260" s="240"/>
      <c r="M1260" s="237"/>
      <c r="N1260" s="237"/>
      <c r="O1260" s="237"/>
      <c r="P1260" s="237"/>
      <c r="Q1260" s="237"/>
      <c r="R1260" s="237"/>
    </row>
    <row r="1261" spans="8:8" ht="15.75" customHeight="1">
      <c r="G1261" s="241" t="b">
        <v>0</v>
      </c>
      <c r="I1261" s="275"/>
      <c r="J1261" s="275"/>
      <c r="K1261" s="275"/>
      <c r="L1261" s="240"/>
      <c r="M1261" s="237"/>
      <c r="N1261" s="237"/>
      <c r="O1261" s="237"/>
      <c r="P1261" s="237"/>
      <c r="Q1261" s="237"/>
      <c r="R1261" s="237"/>
    </row>
    <row r="1262" spans="8:8" ht="15.75" customHeight="1">
      <c r="G1262" s="241" t="b">
        <v>0</v>
      </c>
      <c r="I1262" s="275"/>
      <c r="J1262" s="275"/>
      <c r="K1262" s="275"/>
      <c r="L1262" s="240"/>
      <c r="M1262" s="237"/>
      <c r="N1262" s="237"/>
      <c r="O1262" s="237"/>
      <c r="P1262" s="237"/>
      <c r="Q1262" s="237"/>
      <c r="R1262" s="237"/>
    </row>
    <row r="1263" spans="8:8" ht="15.75" customHeight="1">
      <c r="G1263" s="241" t="b">
        <v>0</v>
      </c>
      <c r="I1263" s="275"/>
      <c r="J1263" s="275"/>
      <c r="K1263" s="275"/>
      <c r="L1263" s="240"/>
      <c r="M1263" s="237"/>
      <c r="N1263" s="237"/>
      <c r="O1263" s="237"/>
      <c r="P1263" s="237"/>
      <c r="Q1263" s="237"/>
      <c r="R1263" s="237"/>
    </row>
    <row r="1264" spans="8:8" ht="15.75" customHeight="1">
      <c r="G1264" s="241" t="b">
        <v>0</v>
      </c>
      <c r="I1264" s="275"/>
      <c r="J1264" s="275"/>
      <c r="K1264" s="275"/>
      <c r="L1264" s="240"/>
      <c r="M1264" s="237"/>
      <c r="N1264" s="237"/>
      <c r="O1264" s="237"/>
      <c r="P1264" s="237"/>
      <c r="Q1264" s="237"/>
      <c r="R1264" s="237"/>
    </row>
    <row r="1265" spans="8:8" ht="15.75" customHeight="1">
      <c r="G1265" s="241" t="b">
        <v>0</v>
      </c>
      <c r="I1265" s="275"/>
      <c r="J1265" s="275"/>
      <c r="K1265" s="275"/>
      <c r="L1265" s="240"/>
      <c r="M1265" s="237"/>
      <c r="N1265" s="237"/>
      <c r="O1265" s="237"/>
      <c r="P1265" s="237"/>
      <c r="Q1265" s="237"/>
      <c r="R1265" s="237"/>
    </row>
    <row r="1266" spans="8:8" ht="15.75" customHeight="1">
      <c r="G1266" s="241" t="b">
        <v>0</v>
      </c>
      <c r="I1266" s="275"/>
      <c r="J1266" s="275"/>
      <c r="K1266" s="275"/>
      <c r="L1266" s="240"/>
      <c r="M1266" s="237"/>
      <c r="N1266" s="237"/>
      <c r="O1266" s="237"/>
      <c r="P1266" s="237"/>
      <c r="Q1266" s="237"/>
      <c r="R1266" s="237"/>
    </row>
    <row r="1267" spans="8:8" ht="15.75" customHeight="1">
      <c r="G1267" s="241" t="b">
        <v>0</v>
      </c>
      <c r="I1267" s="275"/>
      <c r="J1267" s="275"/>
      <c r="K1267" s="275"/>
      <c r="L1267" s="240"/>
      <c r="M1267" s="237"/>
      <c r="N1267" s="237"/>
      <c r="O1267" s="237"/>
      <c r="P1267" s="237"/>
      <c r="Q1267" s="237"/>
      <c r="R1267" s="237"/>
    </row>
    <row r="1268" spans="8:8" ht="15.75" customHeight="1">
      <c r="G1268" s="241" t="b">
        <v>0</v>
      </c>
      <c r="I1268" s="275"/>
      <c r="J1268" s="275"/>
      <c r="K1268" s="275"/>
      <c r="L1268" s="240"/>
      <c r="M1268" s="237"/>
      <c r="N1268" s="237"/>
      <c r="O1268" s="237"/>
      <c r="P1268" s="237"/>
      <c r="Q1268" s="237"/>
      <c r="R1268" s="237"/>
    </row>
    <row r="1269" spans="8:8" ht="15.75" customHeight="1">
      <c r="G1269" s="241" t="b">
        <v>0</v>
      </c>
      <c r="I1269" s="275"/>
      <c r="J1269" s="275"/>
      <c r="K1269" s="275"/>
      <c r="L1269" s="281"/>
      <c r="M1269" s="237"/>
      <c r="N1269" s="237"/>
      <c r="O1269" s="237"/>
      <c r="P1269" s="237"/>
      <c r="Q1269" s="237"/>
      <c r="R1269" s="237"/>
    </row>
    <row r="1270" spans="8:8" ht="15.75" customHeight="1">
      <c r="G1270" s="241" t="b">
        <v>0</v>
      </c>
      <c r="I1270" s="275"/>
      <c r="J1270" s="275"/>
      <c r="K1270" s="275"/>
      <c r="L1270" s="240"/>
      <c r="M1270" s="237"/>
      <c r="N1270" s="237"/>
      <c r="O1270" s="237"/>
      <c r="P1270" s="237"/>
      <c r="Q1270" s="237"/>
      <c r="R1270" s="237"/>
    </row>
    <row r="1271" spans="8:8" ht="15.75" customHeight="1">
      <c r="G1271" s="241" t="b">
        <v>0</v>
      </c>
      <c r="I1271" s="275"/>
      <c r="J1271" s="275"/>
      <c r="K1271" s="275"/>
      <c r="L1271" s="240"/>
      <c r="M1271" s="237"/>
      <c r="N1271" s="237"/>
      <c r="O1271" s="237"/>
      <c r="P1271" s="237"/>
      <c r="Q1271" s="237"/>
      <c r="R1271" s="237"/>
    </row>
    <row r="1272" spans="8:8" ht="15.75" customHeight="1">
      <c r="G1272" s="241" t="b">
        <v>0</v>
      </c>
      <c r="I1272" s="275"/>
      <c r="J1272" s="275"/>
      <c r="K1272" s="275"/>
      <c r="L1272" s="240"/>
      <c r="M1272" s="237"/>
      <c r="N1272" s="237"/>
      <c r="O1272" s="237"/>
      <c r="P1272" s="237"/>
      <c r="Q1272" s="237"/>
      <c r="R1272" s="237"/>
    </row>
    <row r="1273" spans="8:8" ht="15.75" customHeight="1">
      <c r="G1273" s="241" t="b">
        <v>0</v>
      </c>
      <c r="I1273" s="275"/>
      <c r="J1273" s="275"/>
      <c r="K1273" s="275"/>
      <c r="L1273" s="240"/>
      <c r="M1273" s="237"/>
      <c r="N1273" s="237"/>
      <c r="O1273" s="237"/>
      <c r="P1273" s="237"/>
      <c r="Q1273" s="237"/>
      <c r="R1273" s="237"/>
    </row>
    <row r="1274" spans="8:8" ht="15.75" customHeight="1">
      <c r="G1274" s="241" t="b">
        <v>0</v>
      </c>
      <c r="I1274" s="240"/>
      <c r="J1274" s="240"/>
      <c r="K1274" s="240"/>
      <c r="L1274" s="240"/>
      <c r="M1274" s="237"/>
      <c r="N1274" s="237"/>
      <c r="O1274" s="237"/>
      <c r="P1274" s="237"/>
      <c r="Q1274" s="237"/>
      <c r="R1274" s="237"/>
    </row>
    <row r="1275" spans="8:8" ht="15.75" customHeight="1">
      <c r="G1275" s="241" t="b">
        <v>0</v>
      </c>
      <c r="I1275" s="240"/>
      <c r="J1275" s="240"/>
      <c r="K1275" s="240"/>
      <c r="L1275" s="240"/>
      <c r="M1275" s="237"/>
      <c r="N1275" s="237"/>
      <c r="O1275" s="237"/>
      <c r="P1275" s="237"/>
      <c r="Q1275" s="237"/>
      <c r="R1275" s="237"/>
    </row>
    <row r="1276" spans="8:8" ht="15.75" customHeight="1">
      <c r="G1276" s="241" t="b">
        <v>0</v>
      </c>
      <c r="I1276" s="240"/>
      <c r="J1276" s="240"/>
      <c r="K1276" s="240"/>
      <c r="L1276" s="240"/>
      <c r="M1276" s="237"/>
      <c r="N1276" s="237"/>
      <c r="O1276" s="237"/>
      <c r="P1276" s="237"/>
      <c r="Q1276" s="237"/>
      <c r="R1276" s="237"/>
    </row>
    <row r="1277" spans="8:8" ht="15.75" customHeight="1">
      <c r="G1277" s="241" t="b">
        <v>0</v>
      </c>
      <c r="I1277" s="240"/>
      <c r="J1277" s="240"/>
      <c r="K1277" s="240"/>
      <c r="L1277" s="240"/>
      <c r="M1277" s="237"/>
      <c r="N1277" s="237"/>
      <c r="O1277" s="237"/>
      <c r="P1277" s="237"/>
      <c r="Q1277" s="237"/>
      <c r="R1277" s="237"/>
    </row>
    <row r="1278" spans="8:8" ht="15.75" customHeight="1">
      <c r="G1278" s="241" t="b">
        <v>0</v>
      </c>
      <c r="I1278" s="240"/>
      <c r="J1278" s="240"/>
      <c r="K1278" s="240"/>
      <c r="L1278" s="240"/>
      <c r="M1278" s="237"/>
      <c r="N1278" s="237"/>
      <c r="O1278" s="237"/>
      <c r="P1278" s="237"/>
      <c r="Q1278" s="237"/>
      <c r="R1278" s="237"/>
    </row>
    <row r="1279" spans="8:8" ht="15.75" customHeight="1">
      <c r="G1279" s="241" t="b">
        <v>0</v>
      </c>
      <c r="I1279" s="281"/>
      <c r="J1279" s="281"/>
      <c r="K1279" s="281"/>
      <c r="L1279" s="281"/>
      <c r="M1279" s="237"/>
      <c r="N1279" s="237"/>
      <c r="O1279" s="237"/>
      <c r="P1279" s="237"/>
      <c r="Q1279" s="237"/>
      <c r="R1279" s="237"/>
    </row>
    <row r="1280" spans="8:8" ht="15.75" customHeight="1">
      <c r="G1280" s="241" t="b">
        <v>0</v>
      </c>
      <c r="I1280" s="240"/>
      <c r="J1280" s="240"/>
      <c r="K1280" s="240"/>
      <c r="L1280" s="240"/>
      <c r="M1280" s="237"/>
      <c r="N1280" s="237"/>
      <c r="O1280" s="237"/>
      <c r="P1280" s="237"/>
      <c r="Q1280" s="237"/>
      <c r="R1280" s="237"/>
    </row>
    <row r="1281" spans="8:8" ht="15.75" customHeight="1">
      <c r="G1281" s="241" t="b">
        <v>0</v>
      </c>
      <c r="I1281" s="240"/>
      <c r="J1281" s="240"/>
      <c r="K1281" s="240"/>
      <c r="L1281" s="240"/>
      <c r="M1281" s="237"/>
      <c r="N1281" s="237"/>
      <c r="O1281" s="237"/>
      <c r="P1281" s="237"/>
      <c r="Q1281" s="237"/>
      <c r="R1281" s="237"/>
    </row>
    <row r="1282" spans="8:8" ht="15.75" customHeight="1">
      <c r="G1282" s="241" t="b">
        <v>0</v>
      </c>
      <c r="I1282" s="240"/>
      <c r="J1282" s="240"/>
      <c r="K1282" s="240"/>
      <c r="L1282" s="240"/>
      <c r="M1282" s="237"/>
      <c r="N1282" s="237"/>
      <c r="O1282" s="237"/>
      <c r="P1282" s="237"/>
      <c r="Q1282" s="237"/>
      <c r="R1282" s="237"/>
    </row>
    <row r="1283" spans="8:8" ht="15.75" customHeight="1">
      <c r="G1283" s="241" t="b">
        <v>0</v>
      </c>
      <c r="I1283" s="240"/>
      <c r="J1283" s="240"/>
      <c r="K1283" s="240"/>
      <c r="L1283" s="240"/>
      <c r="M1283" s="237"/>
      <c r="N1283" s="237"/>
      <c r="O1283" s="237"/>
      <c r="P1283" s="237"/>
      <c r="Q1283" s="237"/>
      <c r="R1283" s="237"/>
    </row>
    <row r="1284" spans="8:8" ht="15.75" customHeight="1">
      <c r="G1284" s="241" t="b">
        <v>0</v>
      </c>
      <c r="I1284" s="240"/>
      <c r="J1284" s="240"/>
      <c r="K1284" s="240"/>
      <c r="L1284" s="240"/>
      <c r="M1284" s="237"/>
      <c r="N1284" s="237"/>
      <c r="O1284" s="237"/>
      <c r="P1284" s="237"/>
      <c r="Q1284" s="237"/>
      <c r="R1284" s="237"/>
    </row>
    <row r="1285" spans="8:8" ht="15.75" customHeight="1">
      <c r="G1285" s="241" t="b">
        <v>0</v>
      </c>
      <c r="I1285" s="240"/>
      <c r="J1285" s="240"/>
      <c r="K1285" s="240"/>
      <c r="L1285" s="240"/>
      <c r="M1285" s="237"/>
      <c r="N1285" s="237"/>
      <c r="O1285" s="237"/>
      <c r="P1285" s="237"/>
      <c r="Q1285" s="237"/>
      <c r="R1285" s="237"/>
    </row>
    <row r="1286" spans="8:8" ht="15.75" customHeight="1">
      <c r="G1286" s="241" t="b">
        <v>0</v>
      </c>
      <c r="I1286" s="284"/>
      <c r="J1286" s="285"/>
      <c r="K1286" s="285"/>
      <c r="L1286" s="276"/>
      <c r="M1286" s="237"/>
      <c r="N1286" s="237"/>
      <c r="O1286" s="237"/>
      <c r="P1286" s="237"/>
      <c r="Q1286" s="237"/>
      <c r="R1286" s="237"/>
    </row>
    <row r="1287" spans="8:8" ht="15.75" customHeight="1">
      <c r="G1287" s="241" t="b">
        <v>0</v>
      </c>
      <c r="I1287" s="240"/>
      <c r="J1287" s="240"/>
      <c r="K1287" s="240"/>
      <c r="L1287" s="240"/>
      <c r="M1287" s="237"/>
      <c r="N1287" s="237"/>
      <c r="O1287" s="237"/>
      <c r="P1287" s="237"/>
      <c r="Q1287" s="237"/>
      <c r="R1287" s="237"/>
    </row>
    <row r="1288" spans="8:8" ht="15.75" customHeight="1">
      <c r="G1288" s="241" t="b">
        <v>0</v>
      </c>
      <c r="I1288" s="240"/>
      <c r="J1288" s="240"/>
      <c r="K1288" s="240"/>
      <c r="L1288" s="240"/>
      <c r="M1288" s="237"/>
      <c r="N1288" s="237"/>
      <c r="O1288" s="237"/>
      <c r="P1288" s="237"/>
      <c r="Q1288" s="237"/>
      <c r="R1288" s="237"/>
    </row>
    <row r="1289" spans="8:8" ht="15.75" customHeight="1">
      <c r="G1289" s="241" t="b">
        <v>0</v>
      </c>
      <c r="I1289" s="240"/>
      <c r="J1289" s="240"/>
      <c r="K1289" s="240"/>
      <c r="L1289" s="240"/>
      <c r="M1289" s="237"/>
      <c r="N1289" s="237"/>
      <c r="O1289" s="237"/>
      <c r="P1289" s="237"/>
      <c r="Q1289" s="237"/>
      <c r="R1289" s="237"/>
    </row>
    <row r="1290" spans="8:8" ht="15.75" customHeight="1">
      <c r="G1290" s="241" t="b">
        <v>0</v>
      </c>
      <c r="I1290" s="240"/>
      <c r="J1290" s="240"/>
      <c r="K1290" s="240"/>
      <c r="L1290" s="240"/>
      <c r="M1290" s="237"/>
      <c r="N1290" s="237"/>
      <c r="O1290" s="237"/>
      <c r="P1290" s="237"/>
      <c r="Q1290" s="237"/>
      <c r="R1290" s="237"/>
    </row>
    <row r="1291" spans="8:8" ht="15.75" customHeight="1">
      <c r="G1291" s="241" t="b">
        <v>0</v>
      </c>
      <c r="I1291" s="240"/>
      <c r="J1291" s="240"/>
      <c r="K1291" s="240"/>
      <c r="L1291" s="240"/>
      <c r="M1291" s="237"/>
      <c r="N1291" s="237"/>
      <c r="O1291" s="237"/>
      <c r="P1291" s="237"/>
      <c r="Q1291" s="237"/>
      <c r="R1291" s="237"/>
    </row>
    <row r="1292" spans="8:8" ht="15.75" customHeight="1">
      <c r="G1292" s="241" t="b">
        <v>0</v>
      </c>
      <c r="I1292" s="240"/>
      <c r="J1292" s="240"/>
      <c r="K1292" s="240"/>
      <c r="L1292" s="240"/>
      <c r="M1292" s="237"/>
      <c r="N1292" s="237"/>
      <c r="O1292" s="237"/>
      <c r="P1292" s="237"/>
      <c r="Q1292" s="237"/>
      <c r="R1292" s="237"/>
    </row>
    <row r="1293" spans="8:8" ht="15.75" customHeight="1">
      <c r="G1293" s="241" t="b">
        <v>0</v>
      </c>
      <c r="I1293" s="240"/>
      <c r="J1293" s="240"/>
      <c r="K1293" s="240"/>
      <c r="L1293" s="240"/>
      <c r="M1293" s="237"/>
      <c r="N1293" s="237"/>
      <c r="O1293" s="237"/>
      <c r="P1293" s="237"/>
      <c r="Q1293" s="237"/>
      <c r="R1293" s="237"/>
    </row>
    <row r="1294" spans="8:8" ht="15.75" customHeight="1">
      <c r="G1294" s="241" t="b">
        <v>0</v>
      </c>
      <c r="I1294" s="240"/>
      <c r="J1294" s="240"/>
      <c r="K1294" s="240"/>
      <c r="L1294" s="240"/>
      <c r="M1294" s="237"/>
      <c r="N1294" s="237"/>
      <c r="O1294" s="237"/>
      <c r="P1294" s="237"/>
      <c r="Q1294" s="237"/>
      <c r="R1294" s="237"/>
    </row>
    <row r="1295" spans="8:8" ht="15.75" customHeight="1">
      <c r="G1295" s="241" t="b">
        <v>0</v>
      </c>
      <c r="I1295" s="240"/>
      <c r="J1295" s="240"/>
      <c r="K1295" s="240"/>
      <c r="L1295" s="240"/>
      <c r="M1295" s="237"/>
      <c r="N1295" s="237"/>
      <c r="O1295" s="237"/>
      <c r="P1295" s="237"/>
      <c r="Q1295" s="237"/>
      <c r="R1295" s="237"/>
    </row>
    <row r="1296" spans="8:8" ht="15.75" customHeight="1">
      <c r="G1296" s="241" t="b">
        <v>0</v>
      </c>
      <c r="I1296" s="240"/>
      <c r="J1296" s="240"/>
      <c r="K1296" s="240"/>
      <c r="L1296" s="240"/>
      <c r="M1296" s="237"/>
      <c r="N1296" s="237"/>
      <c r="O1296" s="237"/>
      <c r="P1296" s="237"/>
      <c r="Q1296" s="237"/>
      <c r="R1296" s="237"/>
    </row>
    <row r="1297" spans="8:8" ht="15.75" customHeight="1">
      <c r="G1297" s="241" t="b">
        <v>0</v>
      </c>
      <c r="I1297" s="240"/>
      <c r="J1297" s="240"/>
      <c r="K1297" s="240"/>
      <c r="L1297" s="240"/>
      <c r="M1297" s="237"/>
      <c r="N1297" s="237"/>
      <c r="O1297" s="237"/>
      <c r="P1297" s="237"/>
      <c r="Q1297" s="237"/>
      <c r="R1297" s="237"/>
    </row>
    <row r="1298" spans="8:8" ht="15.75" customHeight="1">
      <c r="G1298" s="241" t="b">
        <v>0</v>
      </c>
      <c r="I1298" s="240"/>
      <c r="J1298" s="240"/>
      <c r="K1298" s="240"/>
      <c r="L1298" s="240"/>
      <c r="M1298" s="237"/>
      <c r="N1298" s="237"/>
      <c r="O1298" s="237"/>
      <c r="P1298" s="237"/>
      <c r="Q1298" s="237"/>
      <c r="R1298" s="237"/>
    </row>
    <row r="1299" spans="8:8" ht="15.75" customHeight="1">
      <c r="G1299" s="241" t="b">
        <v>0</v>
      </c>
      <c r="I1299" s="240"/>
      <c r="J1299" s="240"/>
      <c r="K1299" s="240"/>
      <c r="L1299" s="240"/>
      <c r="M1299" s="237"/>
      <c r="N1299" s="237"/>
      <c r="O1299" s="237"/>
      <c r="P1299" s="237"/>
      <c r="Q1299" s="237"/>
      <c r="R1299" s="237"/>
    </row>
    <row r="1300" spans="8:8" ht="15.75" customHeight="1">
      <c r="G1300" s="241" t="b">
        <v>0</v>
      </c>
      <c r="I1300" s="240"/>
      <c r="J1300" s="240"/>
      <c r="K1300" s="240"/>
      <c r="L1300" s="240"/>
      <c r="M1300" s="237"/>
      <c r="N1300" s="237"/>
      <c r="O1300" s="237"/>
      <c r="P1300" s="237"/>
      <c r="Q1300" s="237"/>
      <c r="R1300" s="237"/>
    </row>
    <row r="1301" spans="8:8" ht="15.75" customHeight="1">
      <c r="G1301" s="241" t="b">
        <v>0</v>
      </c>
      <c r="I1301" s="240"/>
      <c r="J1301" s="240"/>
      <c r="K1301" s="240"/>
      <c r="L1301" s="240"/>
      <c r="M1301" s="237"/>
      <c r="N1301" s="237"/>
      <c r="O1301" s="237"/>
      <c r="P1301" s="237"/>
      <c r="Q1301" s="237"/>
      <c r="R1301" s="237"/>
    </row>
    <row r="1302" spans="8:8" ht="15.75" customHeight="1">
      <c r="G1302" s="241" t="b">
        <v>0</v>
      </c>
      <c r="I1302" s="240"/>
      <c r="J1302" s="240"/>
      <c r="K1302" s="240"/>
      <c r="L1302" s="240"/>
      <c r="M1302" s="237"/>
      <c r="N1302" s="237"/>
      <c r="O1302" s="237"/>
      <c r="P1302" s="237"/>
      <c r="Q1302" s="237"/>
      <c r="R1302" s="237"/>
    </row>
    <row r="1303" spans="8:8" ht="15.75" customHeight="1">
      <c r="G1303" s="241" t="b">
        <v>0</v>
      </c>
      <c r="I1303" s="240"/>
      <c r="J1303" s="240"/>
      <c r="K1303" s="240"/>
      <c r="L1303" s="240"/>
      <c r="M1303" s="237"/>
      <c r="N1303" s="237"/>
      <c r="O1303" s="237"/>
      <c r="P1303" s="237"/>
      <c r="Q1303" s="237"/>
      <c r="R1303" s="237"/>
    </row>
    <row r="1304" spans="8:8" ht="15.75" customHeight="1">
      <c r="G1304" s="241" t="b">
        <v>0</v>
      </c>
      <c r="I1304" s="240"/>
      <c r="J1304" s="240"/>
      <c r="K1304" s="240"/>
      <c r="L1304" s="240"/>
      <c r="M1304" s="237"/>
      <c r="N1304" s="237"/>
      <c r="O1304" s="237"/>
      <c r="P1304" s="237"/>
      <c r="Q1304" s="237"/>
      <c r="R1304" s="237"/>
    </row>
    <row r="1305" spans="8:8" ht="15.75" customHeight="1">
      <c r="G1305" s="241" t="b">
        <v>0</v>
      </c>
      <c r="I1305" s="240"/>
      <c r="J1305" s="240"/>
      <c r="K1305" s="240"/>
      <c r="L1305" s="240"/>
      <c r="M1305" s="237"/>
      <c r="N1305" s="237"/>
      <c r="O1305" s="237"/>
      <c r="P1305" s="237"/>
      <c r="Q1305" s="237"/>
      <c r="R1305" s="237"/>
    </row>
    <row r="1306" spans="8:8" ht="15.75" customHeight="1">
      <c r="G1306" s="241" t="b">
        <v>0</v>
      </c>
      <c r="I1306" s="240"/>
      <c r="J1306" s="240"/>
      <c r="K1306" s="240"/>
      <c r="L1306" s="240"/>
      <c r="M1306" s="237"/>
      <c r="N1306" s="237"/>
      <c r="O1306" s="237"/>
      <c r="P1306" s="237"/>
      <c r="Q1306" s="237"/>
      <c r="R1306" s="237"/>
    </row>
    <row r="1307" spans="8:8" ht="15.75" customHeight="1">
      <c r="G1307" s="241" t="b">
        <v>0</v>
      </c>
      <c r="I1307" s="240"/>
      <c r="J1307" s="240"/>
      <c r="K1307" s="240"/>
      <c r="L1307" s="240"/>
      <c r="M1307" s="237"/>
      <c r="N1307" s="237"/>
      <c r="O1307" s="237"/>
      <c r="P1307" s="237"/>
      <c r="Q1307" s="237"/>
      <c r="R1307" s="237"/>
    </row>
    <row r="1308" spans="8:8" ht="15.75" customHeight="1">
      <c r="G1308" s="241" t="b">
        <v>0</v>
      </c>
      <c r="I1308" s="240"/>
      <c r="J1308" s="240"/>
      <c r="K1308" s="240"/>
      <c r="L1308" s="240"/>
      <c r="M1308" s="237"/>
      <c r="N1308" s="237"/>
      <c r="O1308" s="237"/>
      <c r="P1308" s="237"/>
      <c r="Q1308" s="237"/>
      <c r="R1308" s="237"/>
    </row>
    <row r="1309" spans="8:8" ht="15.75" customHeight="1">
      <c r="G1309" s="241" t="b">
        <v>0</v>
      </c>
      <c r="I1309" s="240"/>
      <c r="J1309" s="240"/>
      <c r="K1309" s="240"/>
      <c r="L1309" s="240"/>
      <c r="M1309" s="237"/>
      <c r="N1309" s="237"/>
      <c r="O1309" s="237"/>
      <c r="P1309" s="237"/>
      <c r="Q1309" s="237"/>
      <c r="R1309" s="237"/>
    </row>
    <row r="1310" spans="8:8" ht="15.75" customHeight="1">
      <c r="G1310" s="241" t="b">
        <v>0</v>
      </c>
      <c r="I1310" s="240"/>
      <c r="J1310" s="240"/>
      <c r="K1310" s="240"/>
      <c r="L1310" s="240"/>
      <c r="M1310" s="237"/>
      <c r="N1310" s="237"/>
      <c r="O1310" s="237"/>
      <c r="P1310" s="237"/>
      <c r="Q1310" s="237"/>
      <c r="R1310" s="237"/>
    </row>
    <row r="1311" spans="8:8" ht="15.75" customHeight="1">
      <c r="G1311" s="241" t="b">
        <v>0</v>
      </c>
      <c r="I1311" s="240"/>
      <c r="J1311" s="240"/>
      <c r="K1311" s="240"/>
      <c r="L1311" s="240"/>
      <c r="M1311" s="237"/>
      <c r="N1311" s="237"/>
      <c r="O1311" s="237"/>
      <c r="P1311" s="237"/>
      <c r="Q1311" s="237"/>
      <c r="R1311" s="237"/>
    </row>
    <row r="1312" spans="8:8" ht="15.75" customHeight="1">
      <c r="G1312" s="241" t="b">
        <v>0</v>
      </c>
      <c r="I1312" s="240"/>
      <c r="J1312" s="240"/>
      <c r="K1312" s="240"/>
      <c r="L1312" s="240"/>
      <c r="M1312" s="237"/>
      <c r="N1312" s="237"/>
      <c r="O1312" s="237"/>
      <c r="P1312" s="237"/>
      <c r="Q1312" s="237"/>
      <c r="R1312" s="237"/>
    </row>
    <row r="1313" spans="8:8" ht="15.75" customHeight="1">
      <c r="G1313" s="241" t="b">
        <v>0</v>
      </c>
      <c r="I1313" s="284"/>
      <c r="J1313" s="285"/>
      <c r="K1313" s="285"/>
      <c r="L1313" s="276"/>
      <c r="M1313" s="237"/>
      <c r="N1313" s="237"/>
      <c r="O1313" s="237"/>
      <c r="P1313" s="237"/>
      <c r="Q1313" s="237"/>
      <c r="R1313" s="237"/>
    </row>
    <row r="1314" spans="8:8" ht="15.75" customHeight="1">
      <c r="G1314" s="241" t="b">
        <v>0</v>
      </c>
      <c r="I1314" s="240"/>
      <c r="J1314" s="240"/>
      <c r="K1314" s="240"/>
      <c r="L1314" s="240"/>
      <c r="M1314" s="237"/>
      <c r="N1314" s="237"/>
      <c r="O1314" s="237"/>
      <c r="P1314" s="237"/>
      <c r="Q1314" s="237"/>
      <c r="R1314" s="237"/>
    </row>
    <row r="1315" spans="8:8" ht="15.75" customHeight="1">
      <c r="G1315" s="241" t="b">
        <v>0</v>
      </c>
      <c r="I1315" s="240"/>
      <c r="J1315" s="240"/>
      <c r="K1315" s="240"/>
      <c r="L1315" s="240"/>
      <c r="M1315" s="237"/>
      <c r="N1315" s="237"/>
      <c r="O1315" s="237"/>
      <c r="P1315" s="237"/>
      <c r="Q1315" s="237"/>
      <c r="R1315" s="237"/>
    </row>
    <row r="1316" spans="8:8" ht="15.75" customHeight="1">
      <c r="G1316" s="241" t="b">
        <v>0</v>
      </c>
      <c r="I1316" s="240"/>
      <c r="J1316" s="240"/>
      <c r="K1316" s="240"/>
      <c r="L1316" s="240"/>
      <c r="M1316" s="237"/>
      <c r="N1316" s="237"/>
      <c r="O1316" s="237"/>
      <c r="P1316" s="237"/>
      <c r="Q1316" s="237"/>
      <c r="R1316" s="237"/>
    </row>
    <row r="1317" spans="8:8" ht="15.75" customHeight="1">
      <c r="G1317" s="241" t="b">
        <v>0</v>
      </c>
      <c r="I1317" s="240"/>
      <c r="J1317" s="240"/>
      <c r="K1317" s="240"/>
      <c r="L1317" s="240"/>
      <c r="M1317" s="237"/>
      <c r="N1317" s="237"/>
      <c r="O1317" s="237"/>
      <c r="P1317" s="237"/>
      <c r="Q1317" s="237"/>
      <c r="R1317" s="237"/>
    </row>
    <row r="1318" spans="8:8" ht="15.75" customHeight="1">
      <c r="G1318" s="241" t="b">
        <v>0</v>
      </c>
      <c r="I1318" s="240"/>
      <c r="J1318" s="240"/>
      <c r="K1318" s="240"/>
      <c r="L1318" s="240"/>
      <c r="M1318" s="237"/>
      <c r="N1318" s="237"/>
      <c r="O1318" s="237"/>
      <c r="P1318" s="237"/>
      <c r="Q1318" s="237"/>
      <c r="R1318" s="237"/>
    </row>
    <row r="1319" spans="8:8" ht="15.75" customHeight="1">
      <c r="G1319" s="241" t="b">
        <v>0</v>
      </c>
      <c r="I1319" s="240"/>
      <c r="J1319" s="240"/>
      <c r="K1319" s="240"/>
      <c r="L1319" s="240"/>
      <c r="M1319" s="237"/>
      <c r="N1319" s="237"/>
      <c r="O1319" s="237"/>
      <c r="P1319" s="237"/>
      <c r="Q1319" s="237"/>
      <c r="R1319" s="237"/>
    </row>
    <row r="1320" spans="8:8" ht="15.75" customHeight="1">
      <c r="G1320" s="241" t="b">
        <v>0</v>
      </c>
      <c r="I1320" s="240"/>
      <c r="J1320" s="240"/>
      <c r="K1320" s="240"/>
      <c r="L1320" s="240"/>
      <c r="M1320" s="237"/>
      <c r="N1320" s="237"/>
      <c r="O1320" s="237"/>
      <c r="P1320" s="237"/>
      <c r="Q1320" s="237"/>
      <c r="R1320" s="237"/>
    </row>
    <row r="1321" spans="8:8" ht="15.75" customHeight="1">
      <c r="G1321" s="241" t="b">
        <v>0</v>
      </c>
      <c r="I1321" s="240"/>
      <c r="J1321" s="240"/>
      <c r="K1321" s="240"/>
      <c r="L1321" s="240"/>
      <c r="M1321" s="237"/>
      <c r="N1321" s="237"/>
      <c r="O1321" s="237"/>
      <c r="P1321" s="237"/>
      <c r="Q1321" s="237"/>
      <c r="R1321" s="237"/>
    </row>
    <row r="1322" spans="8:8" ht="15.75" customHeight="1">
      <c r="G1322" s="241" t="b">
        <v>0</v>
      </c>
      <c r="I1322" s="240"/>
      <c r="J1322" s="240"/>
      <c r="K1322" s="240"/>
      <c r="L1322" s="240"/>
      <c r="M1322" s="237"/>
      <c r="N1322" s="237"/>
      <c r="O1322" s="237"/>
      <c r="P1322" s="237"/>
      <c r="Q1322" s="237"/>
      <c r="R1322" s="237"/>
    </row>
    <row r="1323" spans="8:8" ht="15.75" customHeight="1">
      <c r="G1323" s="241" t="b">
        <v>0</v>
      </c>
      <c r="I1323" s="240"/>
      <c r="J1323" s="240"/>
      <c r="K1323" s="240"/>
      <c r="L1323" s="240"/>
      <c r="M1323" s="237"/>
      <c r="N1323" s="237"/>
      <c r="O1323" s="237"/>
      <c r="P1323" s="237"/>
      <c r="Q1323" s="237"/>
      <c r="R1323" s="237"/>
    </row>
    <row r="1324" spans="8:8" ht="15.75" customHeight="1">
      <c r="G1324" s="241" t="b">
        <v>0</v>
      </c>
      <c r="I1324" s="240"/>
      <c r="J1324" s="240"/>
      <c r="K1324" s="240"/>
      <c r="L1324" s="240"/>
      <c r="M1324" s="237"/>
      <c r="N1324" s="237"/>
      <c r="O1324" s="237"/>
      <c r="P1324" s="237"/>
      <c r="Q1324" s="237"/>
      <c r="R1324" s="237"/>
    </row>
    <row r="1325" spans="8:8" ht="15.75" customHeight="1">
      <c r="G1325" s="241" t="b">
        <v>0</v>
      </c>
      <c r="I1325" s="240"/>
      <c r="J1325" s="240"/>
      <c r="K1325" s="240"/>
      <c r="L1325" s="240"/>
      <c r="M1325" s="237"/>
      <c r="N1325" s="237"/>
      <c r="O1325" s="237"/>
      <c r="P1325" s="237"/>
      <c r="Q1325" s="237"/>
      <c r="R1325" s="237"/>
    </row>
    <row r="1326" spans="8:8" ht="15.75" customHeight="1">
      <c r="G1326" s="241" t="b">
        <v>0</v>
      </c>
      <c r="I1326" s="240"/>
      <c r="J1326" s="240"/>
      <c r="K1326" s="240"/>
      <c r="L1326" s="240"/>
      <c r="M1326" s="237"/>
      <c r="N1326" s="237"/>
      <c r="O1326" s="237"/>
      <c r="P1326" s="237"/>
      <c r="Q1326" s="237"/>
      <c r="R1326" s="237"/>
    </row>
    <row r="1327" spans="8:8" ht="15.75" customHeight="1">
      <c r="G1327" s="241" t="b">
        <v>0</v>
      </c>
      <c r="I1327" s="240"/>
      <c r="J1327" s="240"/>
      <c r="K1327" s="240"/>
      <c r="L1327" s="240"/>
      <c r="M1327" s="237"/>
      <c r="N1327" s="237"/>
      <c r="O1327" s="237"/>
      <c r="P1327" s="237"/>
      <c r="Q1327" s="237"/>
      <c r="R1327" s="237"/>
    </row>
    <row r="1328" spans="8:8" ht="15.75" customHeight="1">
      <c r="G1328" s="241" t="b">
        <v>0</v>
      </c>
      <c r="I1328" s="240"/>
      <c r="J1328" s="240"/>
      <c r="K1328" s="240"/>
      <c r="L1328" s="240"/>
      <c r="M1328" s="237"/>
      <c r="N1328" s="237"/>
      <c r="O1328" s="237"/>
      <c r="P1328" s="237"/>
      <c r="Q1328" s="237"/>
      <c r="R1328" s="237"/>
    </row>
    <row r="1329" spans="8:8" ht="15.75" customHeight="1">
      <c r="G1329" s="241" t="b">
        <v>0</v>
      </c>
      <c r="I1329" s="240"/>
      <c r="J1329" s="240"/>
      <c r="K1329" s="240"/>
      <c r="L1329" s="240"/>
      <c r="M1329" s="237"/>
      <c r="N1329" s="237"/>
      <c r="O1329" s="237"/>
      <c r="P1329" s="237"/>
      <c r="Q1329" s="237"/>
      <c r="R1329" s="237"/>
    </row>
    <row r="1330" spans="8:8" ht="15.75" customHeight="1">
      <c r="G1330" s="241" t="b">
        <v>0</v>
      </c>
      <c r="I1330" s="240"/>
      <c r="J1330" s="240"/>
      <c r="K1330" s="240"/>
      <c r="L1330" s="240"/>
      <c r="M1330" s="237"/>
      <c r="N1330" s="237"/>
      <c r="O1330" s="237"/>
      <c r="P1330" s="237"/>
      <c r="Q1330" s="237"/>
      <c r="R1330" s="237"/>
    </row>
    <row r="1331" spans="8:8" ht="15.75" customHeight="1">
      <c r="G1331" s="241" t="b">
        <v>0</v>
      </c>
      <c r="I1331" s="240"/>
      <c r="J1331" s="240"/>
      <c r="K1331" s="240"/>
      <c r="L1331" s="240"/>
      <c r="M1331" s="237"/>
      <c r="N1331" s="237"/>
      <c r="O1331" s="237"/>
      <c r="P1331" s="237"/>
      <c r="Q1331" s="237"/>
      <c r="R1331" s="237"/>
    </row>
    <row r="1332" spans="8:8" ht="15.75" customHeight="1">
      <c r="G1332" s="241" t="b">
        <v>0</v>
      </c>
      <c r="I1332" s="240"/>
      <c r="J1332" s="240"/>
      <c r="K1332" s="240"/>
      <c r="L1332" s="240"/>
      <c r="M1332" s="237"/>
      <c r="N1332" s="237"/>
      <c r="O1332" s="237"/>
      <c r="P1332" s="237"/>
      <c r="Q1332" s="237"/>
      <c r="R1332" s="237"/>
    </row>
    <row r="1333" spans="8:8" ht="15.75" customHeight="1">
      <c r="G1333" s="241" t="b">
        <v>0</v>
      </c>
      <c r="I1333" s="240"/>
      <c r="J1333" s="240"/>
      <c r="K1333" s="240"/>
      <c r="L1333" s="240"/>
      <c r="M1333" s="237"/>
      <c r="N1333" s="237"/>
      <c r="O1333" s="237"/>
      <c r="P1333" s="237"/>
      <c r="Q1333" s="237"/>
      <c r="R1333" s="237"/>
    </row>
    <row r="1334" spans="8:8" ht="15.75" customHeight="1">
      <c r="G1334" s="241" t="b">
        <v>0</v>
      </c>
      <c r="I1334" s="240"/>
      <c r="J1334" s="240"/>
      <c r="K1334" s="240"/>
      <c r="L1334" s="240"/>
      <c r="M1334" s="237"/>
      <c r="N1334" s="237"/>
      <c r="O1334" s="237"/>
      <c r="P1334" s="237"/>
      <c r="Q1334" s="237"/>
      <c r="R1334" s="237"/>
    </row>
    <row r="1335" spans="8:8" ht="15.75" customHeight="1">
      <c r="G1335" s="241" t="b">
        <v>0</v>
      </c>
      <c r="I1335" s="240"/>
      <c r="J1335" s="240"/>
      <c r="K1335" s="240"/>
      <c r="L1335" s="240"/>
      <c r="M1335" s="237"/>
      <c r="N1335" s="237"/>
      <c r="O1335" s="237"/>
      <c r="P1335" s="237"/>
      <c r="Q1335" s="237"/>
      <c r="R1335" s="237"/>
    </row>
    <row r="1336" spans="8:8" ht="15.75" customHeight="1">
      <c r="G1336" s="241" t="b">
        <v>0</v>
      </c>
      <c r="I1336" s="240"/>
      <c r="J1336" s="240"/>
      <c r="K1336" s="240"/>
      <c r="L1336" s="240"/>
      <c r="M1336" s="237"/>
      <c r="N1336" s="237"/>
      <c r="O1336" s="237"/>
      <c r="P1336" s="237"/>
      <c r="Q1336" s="237"/>
      <c r="R1336" s="237"/>
    </row>
    <row r="1337" spans="8:8" ht="15.75" customHeight="1">
      <c r="G1337" s="241" t="b">
        <v>0</v>
      </c>
      <c r="I1337" s="240"/>
      <c r="J1337" s="240"/>
      <c r="K1337" s="240"/>
      <c r="L1337" s="240"/>
      <c r="M1337" s="237"/>
      <c r="N1337" s="237"/>
      <c r="O1337" s="237"/>
      <c r="P1337" s="237"/>
      <c r="Q1337" s="237"/>
      <c r="R1337" s="237"/>
    </row>
    <row r="1338" spans="8:8" ht="15.75" customHeight="1">
      <c r="G1338" s="241" t="b">
        <v>0</v>
      </c>
      <c r="I1338" s="240"/>
      <c r="J1338" s="240"/>
      <c r="K1338" s="240"/>
      <c r="L1338" s="240"/>
      <c r="M1338" s="237"/>
      <c r="N1338" s="237"/>
      <c r="O1338" s="237"/>
      <c r="P1338" s="237"/>
      <c r="Q1338" s="237"/>
      <c r="R1338" s="237"/>
    </row>
    <row r="1339" spans="8:8" ht="15.75" customHeight="1">
      <c r="G1339" s="241" t="b">
        <v>0</v>
      </c>
      <c r="I1339" s="240"/>
      <c r="J1339" s="240"/>
      <c r="K1339" s="240"/>
      <c r="L1339" s="240"/>
      <c r="M1339" s="237"/>
      <c r="N1339" s="237"/>
      <c r="O1339" s="237"/>
      <c r="P1339" s="237"/>
      <c r="Q1339" s="237"/>
      <c r="R1339" s="237"/>
    </row>
    <row r="1340" spans="8:8" ht="15.75" customHeight="1">
      <c r="G1340" s="241" t="b">
        <v>0</v>
      </c>
      <c r="I1340" s="240"/>
      <c r="J1340" s="240"/>
      <c r="K1340" s="240"/>
      <c r="L1340" s="240"/>
      <c r="M1340" s="237"/>
      <c r="N1340" s="237"/>
      <c r="O1340" s="237"/>
      <c r="P1340" s="237"/>
      <c r="Q1340" s="237"/>
      <c r="R1340" s="237"/>
    </row>
    <row r="1341" spans="8:8" ht="15.75" customHeight="1">
      <c r="G1341" s="241" t="b">
        <v>0</v>
      </c>
      <c r="I1341" s="267"/>
      <c r="J1341" s="267"/>
      <c r="K1341" s="267"/>
      <c r="L1341" s="267"/>
      <c r="M1341" s="237"/>
      <c r="N1341" s="237"/>
      <c r="O1341" s="237"/>
      <c r="P1341" s="237"/>
      <c r="Q1341" s="237"/>
      <c r="R1341" s="237"/>
    </row>
    <row r="1342" spans="8:8" ht="15.75" customHeight="1">
      <c r="G1342" s="241" t="b">
        <v>0</v>
      </c>
      <c r="I1342" s="284"/>
      <c r="J1342" s="285"/>
      <c r="K1342" s="285"/>
      <c r="L1342" s="276"/>
      <c r="M1342" s="237"/>
      <c r="N1342" s="237"/>
      <c r="O1342" s="237"/>
      <c r="P1342" s="237"/>
      <c r="Q1342" s="237"/>
      <c r="R1342" s="237"/>
    </row>
    <row r="1343" spans="8:8" ht="15.75" customHeight="1">
      <c r="G1343" s="241" t="b">
        <v>0</v>
      </c>
      <c r="I1343" s="240"/>
      <c r="J1343" s="240"/>
      <c r="K1343" s="240"/>
      <c r="L1343" s="240"/>
      <c r="M1343" s="237"/>
      <c r="N1343" s="237"/>
      <c r="O1343" s="237"/>
      <c r="P1343" s="237"/>
      <c r="Q1343" s="237"/>
      <c r="R1343" s="237"/>
    </row>
    <row r="1344" spans="8:8" ht="15.75" customHeight="1">
      <c r="G1344" s="241" t="b">
        <v>0</v>
      </c>
      <c r="I1344" s="240"/>
      <c r="J1344" s="240"/>
      <c r="K1344" s="240"/>
      <c r="L1344" s="240"/>
      <c r="M1344" s="237"/>
      <c r="N1344" s="237"/>
      <c r="O1344" s="237"/>
      <c r="P1344" s="237"/>
      <c r="Q1344" s="237"/>
      <c r="R1344" s="237"/>
    </row>
    <row r="1345" spans="8:8" ht="15.75" customHeight="1">
      <c r="G1345" s="241" t="b">
        <v>0</v>
      </c>
      <c r="I1345" s="240"/>
      <c r="J1345" s="240"/>
      <c r="K1345" s="240"/>
      <c r="L1345" s="240"/>
      <c r="M1345" s="237"/>
      <c r="N1345" s="237"/>
      <c r="O1345" s="237"/>
      <c r="P1345" s="237"/>
      <c r="Q1345" s="237"/>
      <c r="R1345" s="237"/>
    </row>
    <row r="1346" spans="8:8" ht="15.75" customHeight="1">
      <c r="G1346" s="241" t="b">
        <v>0</v>
      </c>
      <c r="I1346" s="240"/>
      <c r="J1346" s="240"/>
      <c r="K1346" s="240"/>
      <c r="L1346" s="240"/>
      <c r="M1346" s="237"/>
      <c r="N1346" s="237"/>
      <c r="O1346" s="237"/>
      <c r="P1346" s="237"/>
      <c r="Q1346" s="237"/>
      <c r="R1346" s="237"/>
    </row>
    <row r="1347" spans="8:8" ht="15.75" customHeight="1">
      <c r="G1347" s="241" t="b">
        <v>0</v>
      </c>
      <c r="I1347" s="240"/>
      <c r="J1347" s="240"/>
      <c r="K1347" s="240"/>
      <c r="L1347" s="240"/>
      <c r="M1347" s="237"/>
      <c r="N1347" s="237"/>
      <c r="O1347" s="237"/>
      <c r="P1347" s="237"/>
      <c r="Q1347" s="237"/>
      <c r="R1347" s="237"/>
    </row>
    <row r="1348" spans="8:8" ht="15.75" customHeight="1">
      <c r="G1348" s="241" t="b">
        <v>0</v>
      </c>
      <c r="I1348" s="240"/>
      <c r="J1348" s="240"/>
      <c r="K1348" s="240"/>
      <c r="L1348" s="240"/>
      <c r="M1348" s="237"/>
      <c r="N1348" s="237"/>
      <c r="O1348" s="237"/>
      <c r="P1348" s="237"/>
      <c r="Q1348" s="237"/>
      <c r="R1348" s="237"/>
    </row>
    <row r="1349" spans="8:8" ht="15.75" customHeight="1">
      <c r="G1349" s="241" t="b">
        <v>0</v>
      </c>
      <c r="I1349" s="240"/>
      <c r="J1349" s="240"/>
      <c r="K1349" s="240"/>
      <c r="L1349" s="240"/>
      <c r="M1349" s="237"/>
      <c r="N1349" s="237"/>
      <c r="O1349" s="237"/>
      <c r="P1349" s="237"/>
      <c r="Q1349" s="237"/>
      <c r="R1349" s="237"/>
    </row>
    <row r="1350" spans="8:8" ht="15.75" customHeight="1">
      <c r="G1350" s="241" t="b">
        <v>0</v>
      </c>
      <c r="I1350" s="240"/>
      <c r="J1350" s="240"/>
      <c r="K1350" s="240"/>
      <c r="L1350" s="240"/>
      <c r="M1350" s="237"/>
      <c r="N1350" s="237"/>
      <c r="O1350" s="237"/>
      <c r="P1350" s="237"/>
      <c r="Q1350" s="237"/>
      <c r="R1350" s="237"/>
    </row>
    <row r="1351" spans="8:8" ht="15.75" customHeight="1">
      <c r="G1351" s="241" t="b">
        <v>0</v>
      </c>
      <c r="I1351" s="240"/>
      <c r="J1351" s="240"/>
      <c r="K1351" s="240"/>
      <c r="L1351" s="240"/>
      <c r="M1351" s="237"/>
      <c r="N1351" s="237"/>
      <c r="O1351" s="237"/>
      <c r="P1351" s="237"/>
      <c r="Q1351" s="237"/>
      <c r="R1351" s="237"/>
    </row>
    <row r="1352" spans="8:8" ht="15.75" customHeight="1">
      <c r="G1352" s="241" t="b">
        <v>0</v>
      </c>
      <c r="I1352" s="240"/>
      <c r="J1352" s="240"/>
      <c r="K1352" s="240"/>
      <c r="L1352" s="240"/>
      <c r="M1352" s="237"/>
      <c r="N1352" s="237"/>
      <c r="O1352" s="237"/>
      <c r="P1352" s="237"/>
      <c r="Q1352" s="237"/>
      <c r="R1352" s="237"/>
    </row>
    <row r="1353" spans="8:8" ht="15.75" customHeight="1">
      <c r="G1353" s="241" t="b">
        <v>0</v>
      </c>
      <c r="I1353" s="240"/>
      <c r="J1353" s="240"/>
      <c r="K1353" s="240"/>
      <c r="L1353" s="240"/>
      <c r="M1353" s="237"/>
      <c r="N1353" s="237"/>
      <c r="O1353" s="237"/>
      <c r="P1353" s="237"/>
      <c r="Q1353" s="237"/>
      <c r="R1353" s="237"/>
    </row>
    <row r="1354" spans="8:8" ht="15.75" customHeight="1">
      <c r="G1354" s="241" t="b">
        <v>0</v>
      </c>
      <c r="I1354" s="240"/>
      <c r="J1354" s="240"/>
      <c r="K1354" s="240"/>
      <c r="L1354" s="240"/>
      <c r="M1354" s="237"/>
      <c r="N1354" s="237"/>
      <c r="O1354" s="237"/>
      <c r="P1354" s="237"/>
      <c r="Q1354" s="237"/>
      <c r="R1354" s="237"/>
    </row>
    <row r="1355" spans="8:8" ht="15.75" customHeight="1">
      <c r="G1355" s="241" t="b">
        <v>0</v>
      </c>
      <c r="I1355" s="240"/>
      <c r="J1355" s="240"/>
      <c r="K1355" s="240"/>
      <c r="L1355" s="240"/>
      <c r="M1355" s="237"/>
      <c r="N1355" s="237"/>
      <c r="O1355" s="237"/>
      <c r="P1355" s="237"/>
      <c r="Q1355" s="237"/>
      <c r="R1355" s="237"/>
    </row>
    <row r="1356" spans="8:8" ht="15.75" customHeight="1">
      <c r="G1356" s="241" t="b">
        <v>0</v>
      </c>
      <c r="I1356" s="240"/>
      <c r="J1356" s="240"/>
      <c r="K1356" s="240"/>
      <c r="L1356" s="240"/>
      <c r="M1356" s="237"/>
      <c r="N1356" s="237"/>
      <c r="O1356" s="237"/>
      <c r="P1356" s="237"/>
      <c r="Q1356" s="237"/>
      <c r="R1356" s="237"/>
    </row>
    <row r="1357" spans="8:8" ht="15.75" customHeight="1">
      <c r="G1357" s="241" t="b">
        <v>0</v>
      </c>
      <c r="I1357" s="240"/>
      <c r="J1357" s="240"/>
      <c r="K1357" s="240"/>
      <c r="L1357" s="240"/>
      <c r="M1357" s="237"/>
      <c r="N1357" s="237"/>
      <c r="O1357" s="237"/>
      <c r="P1357" s="237"/>
      <c r="Q1357" s="237"/>
      <c r="R1357" s="237"/>
    </row>
    <row r="1358" spans="8:8" ht="15.75" customHeight="1">
      <c r="G1358" s="241" t="b">
        <v>0</v>
      </c>
      <c r="I1358" s="240"/>
      <c r="J1358" s="240"/>
      <c r="K1358" s="240"/>
      <c r="L1358" s="240"/>
      <c r="M1358" s="237"/>
      <c r="N1358" s="237"/>
      <c r="O1358" s="237"/>
      <c r="P1358" s="237"/>
      <c r="Q1358" s="237"/>
      <c r="R1358" s="237"/>
    </row>
    <row r="1359" spans="8:8" ht="15.75" customHeight="1">
      <c r="G1359" s="241" t="b">
        <v>0</v>
      </c>
      <c r="I1359" s="240"/>
      <c r="J1359" s="240"/>
      <c r="K1359" s="240"/>
      <c r="L1359" s="240"/>
      <c r="M1359" s="237"/>
      <c r="N1359" s="237"/>
      <c r="O1359" s="237"/>
      <c r="P1359" s="237"/>
      <c r="Q1359" s="237"/>
      <c r="R1359" s="237"/>
    </row>
    <row r="1360" spans="8:8" ht="15.75" customHeight="1">
      <c r="G1360" s="241" t="b">
        <v>0</v>
      </c>
      <c r="I1360" s="240"/>
      <c r="J1360" s="240"/>
      <c r="K1360" s="240"/>
      <c r="L1360" s="240"/>
      <c r="M1360" s="237"/>
      <c r="N1360" s="237"/>
      <c r="O1360" s="237"/>
      <c r="P1360" s="237"/>
      <c r="Q1360" s="237"/>
      <c r="R1360" s="237"/>
    </row>
    <row r="1361" spans="8:8" ht="15.75" customHeight="1">
      <c r="G1361" s="241" t="b">
        <v>0</v>
      </c>
      <c r="I1361" s="240"/>
      <c r="J1361" s="240"/>
      <c r="K1361" s="240"/>
      <c r="L1361" s="240"/>
      <c r="M1361" s="237"/>
      <c r="N1361" s="237"/>
      <c r="O1361" s="237"/>
      <c r="P1361" s="237"/>
      <c r="Q1361" s="237"/>
      <c r="R1361" s="237"/>
    </row>
    <row r="1362" spans="8:8" ht="15.75" customHeight="1">
      <c r="G1362" s="241" t="b">
        <v>0</v>
      </c>
      <c r="I1362" s="240"/>
      <c r="J1362" s="240"/>
      <c r="K1362" s="240"/>
      <c r="L1362" s="240"/>
      <c r="M1362" s="237"/>
      <c r="N1362" s="237"/>
      <c r="O1362" s="237"/>
      <c r="P1362" s="237"/>
      <c r="Q1362" s="237"/>
      <c r="R1362" s="237"/>
    </row>
    <row r="1363" spans="8:8" ht="15.75" customHeight="1">
      <c r="G1363" s="241" t="b">
        <v>0</v>
      </c>
      <c r="I1363" s="240"/>
      <c r="J1363" s="240"/>
      <c r="K1363" s="240"/>
      <c r="L1363" s="240"/>
      <c r="M1363" s="237"/>
      <c r="N1363" s="237"/>
      <c r="O1363" s="237"/>
      <c r="P1363" s="237"/>
      <c r="Q1363" s="237"/>
      <c r="R1363" s="237"/>
    </row>
    <row r="1364" spans="8:8" ht="15.75" customHeight="1">
      <c r="G1364" s="241" t="b">
        <v>0</v>
      </c>
      <c r="I1364" s="240"/>
      <c r="J1364" s="240"/>
      <c r="K1364" s="240"/>
      <c r="L1364" s="240"/>
      <c r="M1364" s="237"/>
      <c r="N1364" s="237"/>
      <c r="O1364" s="237"/>
      <c r="P1364" s="237"/>
      <c r="Q1364" s="237"/>
      <c r="R1364" s="237"/>
    </row>
    <row r="1365" spans="8:8" ht="15.75" customHeight="1">
      <c r="G1365" s="241" t="b">
        <v>0</v>
      </c>
      <c r="I1365" s="240"/>
      <c r="J1365" s="240"/>
      <c r="K1365" s="240"/>
      <c r="L1365" s="240"/>
      <c r="M1365" s="237"/>
      <c r="N1365" s="237"/>
      <c r="O1365" s="237"/>
      <c r="P1365" s="237"/>
      <c r="Q1365" s="237"/>
      <c r="R1365" s="237"/>
    </row>
    <row r="1366" spans="8:8" ht="15.75" customHeight="1">
      <c r="G1366" s="241" t="b">
        <v>0</v>
      </c>
      <c r="I1366" s="240"/>
      <c r="J1366" s="240"/>
      <c r="K1366" s="240"/>
      <c r="L1366" s="240"/>
      <c r="M1366" s="237"/>
      <c r="N1366" s="237"/>
      <c r="O1366" s="237"/>
      <c r="P1366" s="237"/>
      <c r="Q1366" s="237"/>
      <c r="R1366" s="237"/>
    </row>
    <row r="1367" spans="8:8" ht="15.75" customHeight="1">
      <c r="G1367" s="241" t="b">
        <v>0</v>
      </c>
      <c r="I1367" s="284"/>
      <c r="J1367" s="285"/>
      <c r="K1367" s="285"/>
      <c r="L1367" s="276"/>
      <c r="M1367" s="237"/>
      <c r="N1367" s="237"/>
      <c r="O1367" s="237"/>
      <c r="P1367" s="237"/>
      <c r="Q1367" s="237"/>
      <c r="R1367" s="237"/>
    </row>
    <row r="1368" spans="8:8" ht="15.75" customHeight="1">
      <c r="G1368" s="241" t="b">
        <v>0</v>
      </c>
      <c r="I1368" s="240"/>
      <c r="J1368" s="240"/>
      <c r="K1368" s="240"/>
      <c r="L1368" s="240"/>
      <c r="M1368" s="237"/>
      <c r="N1368" s="237"/>
      <c r="O1368" s="237"/>
      <c r="P1368" s="237"/>
      <c r="Q1368" s="237"/>
      <c r="R1368" s="237"/>
    </row>
    <row r="1369" spans="8:8" ht="15.75" customHeight="1">
      <c r="G1369" s="241" t="b">
        <v>0</v>
      </c>
      <c r="I1369" s="240"/>
      <c r="J1369" s="240"/>
      <c r="K1369" s="240"/>
      <c r="L1369" s="240"/>
      <c r="M1369" s="237"/>
      <c r="N1369" s="237"/>
      <c r="O1369" s="237"/>
      <c r="P1369" s="237"/>
      <c r="Q1369" s="237"/>
      <c r="R1369" s="237"/>
    </row>
    <row r="1370" spans="8:8" ht="15.75" customHeight="1">
      <c r="G1370" s="241" t="b">
        <v>0</v>
      </c>
      <c r="I1370" s="240"/>
      <c r="J1370" s="240"/>
      <c r="K1370" s="240"/>
      <c r="L1370" s="240"/>
      <c r="M1370" s="237"/>
      <c r="N1370" s="237"/>
      <c r="O1370" s="237"/>
      <c r="P1370" s="237"/>
      <c r="Q1370" s="237"/>
      <c r="R1370" s="237"/>
    </row>
    <row r="1371" spans="8:8" ht="15.75" customHeight="1">
      <c r="G1371" s="241" t="b">
        <v>0</v>
      </c>
      <c r="I1371" s="240"/>
      <c r="J1371" s="240"/>
      <c r="K1371" s="240"/>
      <c r="L1371" s="240"/>
      <c r="M1371" s="237"/>
      <c r="N1371" s="237"/>
      <c r="O1371" s="237"/>
      <c r="P1371" s="237"/>
      <c r="Q1371" s="237"/>
      <c r="R1371" s="237"/>
    </row>
    <row r="1372" spans="8:8" ht="15.75" customHeight="1">
      <c r="G1372" s="241" t="b">
        <v>0</v>
      </c>
      <c r="I1372" s="240"/>
      <c r="J1372" s="240"/>
      <c r="K1372" s="240"/>
      <c r="L1372" s="240"/>
      <c r="M1372" s="237"/>
      <c r="N1372" s="237"/>
      <c r="O1372" s="237"/>
      <c r="P1372" s="237"/>
      <c r="Q1372" s="237"/>
      <c r="R1372" s="237"/>
    </row>
    <row r="1373" spans="8:8" ht="15.75" customHeight="1">
      <c r="G1373" s="241" t="b">
        <v>0</v>
      </c>
      <c r="I1373" s="240"/>
      <c r="J1373" s="240"/>
      <c r="K1373" s="240"/>
      <c r="L1373" s="240"/>
      <c r="M1373" s="237"/>
      <c r="N1373" s="237"/>
      <c r="O1373" s="237"/>
      <c r="P1373" s="237"/>
      <c r="Q1373" s="237"/>
      <c r="R1373" s="237"/>
    </row>
    <row r="1374" spans="8:8" ht="15.75" customHeight="1">
      <c r="G1374" s="241" t="b">
        <v>0</v>
      </c>
      <c r="I1374" s="240"/>
      <c r="J1374" s="240"/>
      <c r="K1374" s="240"/>
      <c r="L1374" s="240"/>
      <c r="M1374" s="237"/>
      <c r="N1374" s="237"/>
      <c r="O1374" s="237"/>
      <c r="P1374" s="237"/>
      <c r="Q1374" s="237"/>
      <c r="R1374" s="237"/>
    </row>
    <row r="1375" spans="8:8" ht="15.75" customHeight="1">
      <c r="G1375" s="241" t="b">
        <v>0</v>
      </c>
      <c r="I1375" s="240"/>
      <c r="J1375" s="240"/>
      <c r="K1375" s="240"/>
      <c r="L1375" s="240"/>
      <c r="M1375" s="237"/>
      <c r="N1375" s="237"/>
      <c r="O1375" s="237"/>
      <c r="P1375" s="237"/>
      <c r="Q1375" s="237"/>
      <c r="R1375" s="237"/>
    </row>
    <row r="1376" spans="8:8" ht="15.75" customHeight="1">
      <c r="G1376" s="241" t="b">
        <v>0</v>
      </c>
      <c r="I1376" s="240"/>
      <c r="J1376" s="240"/>
      <c r="K1376" s="240"/>
      <c r="L1376" s="240"/>
      <c r="M1376" s="237"/>
      <c r="N1376" s="237"/>
      <c r="O1376" s="237"/>
      <c r="P1376" s="237"/>
      <c r="Q1376" s="237"/>
      <c r="R1376" s="237"/>
    </row>
    <row r="1377" spans="8:8" ht="15.75" customHeight="1">
      <c r="G1377" s="241" t="b">
        <v>0</v>
      </c>
      <c r="I1377" s="240"/>
      <c r="J1377" s="240"/>
      <c r="K1377" s="240"/>
      <c r="L1377" s="240"/>
      <c r="M1377" s="237"/>
      <c r="N1377" s="237"/>
      <c r="O1377" s="237"/>
      <c r="P1377" s="237"/>
      <c r="Q1377" s="237"/>
      <c r="R1377" s="237"/>
    </row>
    <row r="1378" spans="8:8" ht="15.75" customHeight="1">
      <c r="G1378" s="241" t="b">
        <v>0</v>
      </c>
      <c r="I1378" s="240"/>
      <c r="J1378" s="240"/>
      <c r="K1378" s="240"/>
      <c r="L1378" s="240"/>
      <c r="M1378" s="237"/>
      <c r="N1378" s="237"/>
      <c r="O1378" s="237"/>
      <c r="P1378" s="237"/>
      <c r="Q1378" s="237"/>
      <c r="R1378" s="237"/>
    </row>
    <row r="1379" spans="8:8" ht="15.75" customHeight="1">
      <c r="G1379" s="241" t="b">
        <v>0</v>
      </c>
      <c r="I1379" s="240"/>
      <c r="J1379" s="240"/>
      <c r="K1379" s="240"/>
      <c r="L1379" s="240"/>
      <c r="M1379" s="237"/>
      <c r="N1379" s="237"/>
      <c r="O1379" s="237"/>
      <c r="P1379" s="237"/>
      <c r="Q1379" s="237"/>
      <c r="R1379" s="237"/>
    </row>
    <row r="1380" spans="8:8" ht="15.75" customHeight="1">
      <c r="G1380" s="241" t="b">
        <v>0</v>
      </c>
      <c r="I1380" s="240"/>
      <c r="J1380" s="240"/>
      <c r="K1380" s="240"/>
      <c r="L1380" s="240"/>
      <c r="M1380" s="237"/>
      <c r="N1380" s="237"/>
      <c r="O1380" s="237"/>
      <c r="P1380" s="237"/>
      <c r="Q1380" s="237"/>
      <c r="R1380" s="237"/>
    </row>
    <row r="1381" spans="8:8" ht="15.75" customHeight="1">
      <c r="G1381" s="241" t="b">
        <v>0</v>
      </c>
      <c r="I1381" s="240"/>
      <c r="J1381" s="240"/>
      <c r="K1381" s="240"/>
      <c r="L1381" s="240"/>
      <c r="M1381" s="237"/>
      <c r="N1381" s="237"/>
      <c r="O1381" s="237"/>
      <c r="P1381" s="237"/>
      <c r="Q1381" s="237"/>
      <c r="R1381" s="237"/>
    </row>
    <row r="1382" spans="8:8" ht="15.75" customHeight="1">
      <c r="G1382" s="241" t="b">
        <v>0</v>
      </c>
      <c r="I1382" s="240"/>
      <c r="J1382" s="240"/>
      <c r="K1382" s="240"/>
      <c r="L1382" s="240"/>
      <c r="M1382" s="237"/>
      <c r="N1382" s="237"/>
      <c r="O1382" s="237"/>
      <c r="P1382" s="237"/>
      <c r="Q1382" s="237"/>
      <c r="R1382" s="237"/>
    </row>
    <row r="1383" spans="8:8" ht="15.75" customHeight="1">
      <c r="G1383" s="241" t="b">
        <v>0</v>
      </c>
      <c r="I1383" s="240"/>
      <c r="J1383" s="240"/>
      <c r="K1383" s="240"/>
      <c r="L1383" s="240"/>
      <c r="M1383" s="237"/>
      <c r="N1383" s="237"/>
      <c r="O1383" s="237"/>
      <c r="P1383" s="237"/>
      <c r="Q1383" s="237"/>
      <c r="R1383" s="237"/>
    </row>
    <row r="1384" spans="8:8" ht="15.75" customHeight="1">
      <c r="G1384" s="241" t="b">
        <v>0</v>
      </c>
      <c r="I1384" s="240"/>
      <c r="J1384" s="240"/>
      <c r="K1384" s="240"/>
      <c r="L1384" s="240"/>
      <c r="M1384" s="237"/>
      <c r="N1384" s="237"/>
      <c r="O1384" s="237"/>
      <c r="P1384" s="237"/>
      <c r="Q1384" s="237"/>
      <c r="R1384" s="237"/>
    </row>
    <row r="1385" spans="8:8" ht="15.75" customHeight="1">
      <c r="G1385" s="241" t="b">
        <v>0</v>
      </c>
      <c r="I1385" s="240"/>
      <c r="J1385" s="240"/>
      <c r="K1385" s="240"/>
      <c r="L1385" s="240"/>
      <c r="M1385" s="237"/>
      <c r="N1385" s="237"/>
      <c r="O1385" s="237"/>
      <c r="P1385" s="237"/>
      <c r="Q1385" s="237"/>
      <c r="R1385" s="237"/>
    </row>
    <row r="1386" spans="8:8" ht="15.75" customHeight="1">
      <c r="G1386" s="241" t="b">
        <v>0</v>
      </c>
      <c r="I1386" s="240"/>
      <c r="J1386" s="240"/>
      <c r="K1386" s="240"/>
      <c r="L1386" s="240"/>
      <c r="M1386" s="237"/>
      <c r="N1386" s="237"/>
      <c r="O1386" s="237"/>
      <c r="P1386" s="237"/>
      <c r="Q1386" s="237"/>
      <c r="R1386" s="237"/>
    </row>
    <row r="1387" spans="8:8" ht="15.75" customHeight="1">
      <c r="G1387" s="241" t="b">
        <v>0</v>
      </c>
      <c r="I1387" s="240"/>
      <c r="J1387" s="240"/>
      <c r="K1387" s="240"/>
      <c r="L1387" s="240"/>
      <c r="M1387" s="237"/>
      <c r="N1387" s="237"/>
      <c r="O1387" s="237"/>
      <c r="P1387" s="237"/>
      <c r="Q1387" s="237"/>
      <c r="R1387" s="237"/>
    </row>
    <row r="1388" spans="8:8" ht="15.75" customHeight="1">
      <c r="G1388" s="241" t="b">
        <v>0</v>
      </c>
      <c r="I1388" s="240"/>
      <c r="J1388" s="240"/>
      <c r="K1388" s="240"/>
      <c r="L1388" s="240"/>
      <c r="M1388" s="237"/>
      <c r="N1388" s="237"/>
      <c r="O1388" s="237"/>
      <c r="P1388" s="237"/>
      <c r="Q1388" s="237"/>
      <c r="R1388" s="237"/>
    </row>
    <row r="1389" spans="8:8" ht="15.75" customHeight="1">
      <c r="G1389" s="241" t="b">
        <v>0</v>
      </c>
      <c r="I1389" s="240"/>
      <c r="J1389" s="240"/>
      <c r="K1389" s="240"/>
      <c r="L1389" s="240"/>
      <c r="M1389" s="237"/>
      <c r="N1389" s="237"/>
      <c r="O1389" s="237"/>
      <c r="P1389" s="237"/>
      <c r="Q1389" s="237"/>
      <c r="R1389" s="237"/>
    </row>
    <row r="1390" spans="8:8" ht="15.75" customHeight="1">
      <c r="G1390" s="241" t="b">
        <v>0</v>
      </c>
      <c r="I1390" s="240"/>
      <c r="J1390" s="240"/>
      <c r="K1390" s="240"/>
      <c r="L1390" s="240"/>
      <c r="M1390" s="237"/>
      <c r="N1390" s="237"/>
      <c r="O1390" s="237"/>
      <c r="P1390" s="237"/>
      <c r="Q1390" s="237"/>
      <c r="R1390" s="237"/>
    </row>
    <row r="1391" spans="8:8" ht="15.75" customHeight="1">
      <c r="G1391" s="241" t="b">
        <v>0</v>
      </c>
      <c r="I1391" s="240"/>
      <c r="J1391" s="240"/>
      <c r="K1391" s="240"/>
      <c r="L1391" s="240"/>
      <c r="M1391" s="237"/>
      <c r="N1391" s="237"/>
      <c r="O1391" s="237"/>
      <c r="P1391" s="237"/>
      <c r="Q1391" s="237"/>
      <c r="R1391" s="237"/>
    </row>
    <row r="1392" spans="8:8" ht="15.75" customHeight="1">
      <c r="G1392" s="241" t="b">
        <v>0</v>
      </c>
      <c r="I1392" s="284"/>
      <c r="J1392" s="285"/>
      <c r="K1392" s="285"/>
      <c r="L1392" s="276"/>
      <c r="M1392" s="237"/>
      <c r="N1392" s="237"/>
      <c r="O1392" s="237"/>
      <c r="P1392" s="237"/>
      <c r="Q1392" s="237"/>
      <c r="R1392" s="237"/>
    </row>
    <row r="1393" spans="8:8" ht="15.75" customHeight="1">
      <c r="G1393" s="241" t="b">
        <v>0</v>
      </c>
      <c r="I1393" s="240"/>
      <c r="J1393" s="240"/>
      <c r="K1393" s="240"/>
      <c r="L1393" s="240"/>
      <c r="M1393" s="237"/>
      <c r="N1393" s="237"/>
      <c r="O1393" s="237"/>
      <c r="P1393" s="237"/>
      <c r="Q1393" s="237"/>
      <c r="R1393" s="237"/>
    </row>
    <row r="1394" spans="8:8" ht="15.75" customHeight="1">
      <c r="G1394" s="241" t="b">
        <v>0</v>
      </c>
      <c r="I1394" s="240"/>
      <c r="J1394" s="240"/>
      <c r="K1394" s="240"/>
      <c r="L1394" s="240"/>
      <c r="M1394" s="237"/>
      <c r="N1394" s="237"/>
      <c r="O1394" s="237"/>
      <c r="P1394" s="237"/>
      <c r="Q1394" s="237"/>
      <c r="R1394" s="237"/>
    </row>
    <row r="1395" spans="8:8" ht="15.75" customHeight="1">
      <c r="G1395" s="241" t="b">
        <v>0</v>
      </c>
      <c r="I1395" s="240"/>
      <c r="J1395" s="240"/>
      <c r="K1395" s="240"/>
      <c r="L1395" s="240"/>
      <c r="M1395" s="237"/>
      <c r="N1395" s="237"/>
      <c r="O1395" s="237"/>
      <c r="P1395" s="237"/>
      <c r="Q1395" s="237"/>
      <c r="R1395" s="237"/>
    </row>
    <row r="1396" spans="8:8" ht="15.75" customHeight="1">
      <c r="G1396" s="241" t="b">
        <v>0</v>
      </c>
      <c r="I1396" s="240"/>
      <c r="J1396" s="240"/>
      <c r="K1396" s="240"/>
      <c r="L1396" s="240"/>
      <c r="M1396" s="237"/>
      <c r="N1396" s="237"/>
      <c r="O1396" s="237"/>
      <c r="P1396" s="237"/>
      <c r="Q1396" s="237"/>
      <c r="R1396" s="237"/>
    </row>
    <row r="1397" spans="8:8" ht="15.75" customHeight="1">
      <c r="G1397" s="241" t="b">
        <v>0</v>
      </c>
      <c r="I1397" s="240"/>
      <c r="J1397" s="240"/>
      <c r="K1397" s="240"/>
      <c r="L1397" s="240"/>
      <c r="M1397" s="237"/>
      <c r="N1397" s="237"/>
      <c r="O1397" s="237"/>
      <c r="P1397" s="237"/>
      <c r="Q1397" s="237"/>
      <c r="R1397" s="237"/>
    </row>
    <row r="1398" spans="8:8" ht="15.75" customHeight="1">
      <c r="G1398" s="241" t="b">
        <v>0</v>
      </c>
      <c r="I1398" s="240"/>
      <c r="J1398" s="240"/>
      <c r="K1398" s="240"/>
      <c r="L1398" s="240"/>
      <c r="M1398" s="237"/>
      <c r="N1398" s="237"/>
      <c r="O1398" s="237"/>
      <c r="P1398" s="237"/>
      <c r="Q1398" s="237"/>
      <c r="R1398" s="237"/>
    </row>
    <row r="1399" spans="8:8" ht="15.75" customHeight="1">
      <c r="G1399" s="241" t="b">
        <v>0</v>
      </c>
      <c r="I1399" s="240"/>
      <c r="J1399" s="240"/>
      <c r="K1399" s="240"/>
      <c r="L1399" s="240"/>
      <c r="M1399" s="237"/>
      <c r="N1399" s="237"/>
      <c r="O1399" s="237"/>
      <c r="P1399" s="237"/>
      <c r="Q1399" s="237"/>
      <c r="R1399" s="237"/>
    </row>
    <row r="1400" spans="8:8" ht="15.75" customHeight="1">
      <c r="G1400" s="241" t="b">
        <v>0</v>
      </c>
      <c r="I1400" s="240"/>
      <c r="J1400" s="240"/>
      <c r="K1400" s="240"/>
      <c r="L1400" s="240"/>
      <c r="M1400" s="237"/>
      <c r="N1400" s="237"/>
      <c r="O1400" s="237"/>
      <c r="P1400" s="237"/>
      <c r="Q1400" s="237"/>
      <c r="R1400" s="237"/>
    </row>
    <row r="1401" spans="8:8" ht="15.75" customHeight="1">
      <c r="G1401" s="241" t="b">
        <v>0</v>
      </c>
      <c r="I1401" s="240"/>
      <c r="J1401" s="240"/>
      <c r="K1401" s="240"/>
      <c r="L1401" s="240"/>
      <c r="M1401" s="237"/>
      <c r="N1401" s="237"/>
      <c r="O1401" s="237"/>
      <c r="P1401" s="237"/>
      <c r="Q1401" s="237"/>
      <c r="R1401" s="237"/>
    </row>
    <row r="1402" spans="8:8" ht="15.75" customHeight="1">
      <c r="G1402" s="241" t="b">
        <v>0</v>
      </c>
      <c r="I1402" s="240"/>
      <c r="J1402" s="240"/>
      <c r="K1402" s="240"/>
      <c r="L1402" s="240"/>
      <c r="M1402" s="237"/>
      <c r="N1402" s="237"/>
      <c r="O1402" s="237"/>
      <c r="P1402" s="237"/>
      <c r="Q1402" s="237"/>
      <c r="R1402" s="237"/>
    </row>
    <row r="1403" spans="8:8" ht="15.75" customHeight="1">
      <c r="G1403" s="241" t="b">
        <v>0</v>
      </c>
      <c r="I1403" s="240"/>
      <c r="J1403" s="240"/>
      <c r="K1403" s="240"/>
      <c r="L1403" s="240"/>
      <c r="M1403" s="237"/>
      <c r="N1403" s="237"/>
      <c r="O1403" s="237"/>
      <c r="P1403" s="237"/>
      <c r="Q1403" s="237"/>
      <c r="R1403" s="237"/>
    </row>
    <row r="1404" spans="8:8" ht="15.75" customHeight="1">
      <c r="G1404" s="241" t="b">
        <v>0</v>
      </c>
      <c r="I1404" s="240"/>
      <c r="J1404" s="240"/>
      <c r="K1404" s="240"/>
      <c r="L1404" s="240"/>
      <c r="M1404" s="237"/>
      <c r="N1404" s="237"/>
      <c r="O1404" s="237"/>
      <c r="P1404" s="237"/>
      <c r="Q1404" s="237"/>
      <c r="R1404" s="237"/>
    </row>
    <row r="1405" spans="8:8" ht="15.75" customHeight="1">
      <c r="G1405" s="241" t="b">
        <v>0</v>
      </c>
      <c r="I1405" s="240"/>
      <c r="J1405" s="240"/>
      <c r="K1405" s="240"/>
      <c r="L1405" s="240"/>
      <c r="M1405" s="237"/>
      <c r="N1405" s="237"/>
      <c r="O1405" s="237"/>
      <c r="P1405" s="237"/>
      <c r="Q1405" s="237"/>
      <c r="R1405" s="237"/>
    </row>
    <row r="1406" spans="8:8" ht="15.75" customHeight="1">
      <c r="G1406" s="241" t="b">
        <v>0</v>
      </c>
      <c r="I1406" s="240"/>
      <c r="J1406" s="240"/>
      <c r="K1406" s="240"/>
      <c r="L1406" s="240"/>
      <c r="M1406" s="237"/>
      <c r="N1406" s="237"/>
      <c r="O1406" s="237"/>
      <c r="P1406" s="237"/>
      <c r="Q1406" s="237"/>
      <c r="R1406" s="237"/>
    </row>
    <row r="1407" spans="8:8" ht="15.75" customHeight="1">
      <c r="G1407" s="241" t="b">
        <v>0</v>
      </c>
      <c r="I1407" s="240"/>
      <c r="J1407" s="240"/>
      <c r="K1407" s="240"/>
      <c r="L1407" s="240"/>
      <c r="M1407" s="237"/>
      <c r="N1407" s="237"/>
      <c r="O1407" s="237"/>
      <c r="P1407" s="237"/>
      <c r="Q1407" s="237"/>
      <c r="R1407" s="237"/>
    </row>
    <row r="1408" spans="8:8" ht="15.75" customHeight="1">
      <c r="G1408" s="241" t="b">
        <v>0</v>
      </c>
      <c r="I1408" s="240"/>
      <c r="J1408" s="240"/>
      <c r="K1408" s="240"/>
      <c r="L1408" s="240"/>
      <c r="M1408" s="237"/>
      <c r="N1408" s="237"/>
      <c r="O1408" s="237"/>
      <c r="P1408" s="237"/>
      <c r="Q1408" s="237"/>
      <c r="R1408" s="237"/>
    </row>
    <row r="1409" spans="8:8" ht="15.75" customHeight="1">
      <c r="G1409" s="241" t="b">
        <v>0</v>
      </c>
      <c r="I1409" s="240"/>
      <c r="J1409" s="240"/>
      <c r="K1409" s="240"/>
      <c r="L1409" s="240"/>
      <c r="M1409" s="237"/>
      <c r="N1409" s="237"/>
      <c r="O1409" s="237"/>
      <c r="P1409" s="237"/>
      <c r="Q1409" s="237"/>
      <c r="R1409" s="237"/>
    </row>
    <row r="1410" spans="8:8" ht="15.75" customHeight="1">
      <c r="G1410" s="241" t="b">
        <v>0</v>
      </c>
      <c r="I1410" s="240"/>
      <c r="J1410" s="240"/>
      <c r="K1410" s="240"/>
      <c r="L1410" s="240"/>
      <c r="M1410" s="237"/>
      <c r="N1410" s="237"/>
      <c r="O1410" s="237"/>
      <c r="P1410" s="237"/>
      <c r="Q1410" s="237"/>
      <c r="R1410" s="237"/>
    </row>
    <row r="1411" spans="8:8" ht="15.75" customHeight="1">
      <c r="G1411" s="241" t="b">
        <v>0</v>
      </c>
      <c r="I1411" s="240"/>
      <c r="J1411" s="240"/>
      <c r="K1411" s="240"/>
      <c r="L1411" s="240"/>
      <c r="M1411" s="237"/>
      <c r="N1411" s="237"/>
      <c r="O1411" s="237"/>
      <c r="P1411" s="237"/>
      <c r="Q1411" s="237"/>
      <c r="R1411" s="237"/>
    </row>
    <row r="1412" spans="8:8" ht="15.75" customHeight="1">
      <c r="G1412" s="241" t="b">
        <v>0</v>
      </c>
      <c r="I1412" s="240"/>
      <c r="J1412" s="240"/>
      <c r="K1412" s="240"/>
      <c r="L1412" s="240"/>
      <c r="M1412" s="237"/>
      <c r="N1412" s="237"/>
      <c r="O1412" s="237"/>
      <c r="P1412" s="237"/>
      <c r="Q1412" s="237"/>
      <c r="R1412" s="237"/>
    </row>
    <row r="1413" spans="8:8" ht="15.75" customHeight="1">
      <c r="G1413" s="241" t="b">
        <v>0</v>
      </c>
      <c r="I1413" s="240"/>
      <c r="J1413" s="240"/>
      <c r="K1413" s="240"/>
      <c r="L1413" s="240"/>
      <c r="M1413" s="237"/>
      <c r="N1413" s="237"/>
      <c r="O1413" s="237"/>
      <c r="P1413" s="237"/>
      <c r="Q1413" s="237"/>
      <c r="R1413" s="237"/>
    </row>
    <row r="1414" spans="8:8" ht="15.75" customHeight="1">
      <c r="G1414" s="241" t="b">
        <v>0</v>
      </c>
      <c r="I1414" s="240"/>
      <c r="J1414" s="240"/>
      <c r="K1414" s="240"/>
      <c r="L1414" s="240"/>
      <c r="M1414" s="237"/>
      <c r="N1414" s="237"/>
      <c r="O1414" s="237"/>
      <c r="P1414" s="237"/>
      <c r="Q1414" s="237"/>
      <c r="R1414" s="237"/>
    </row>
    <row r="1415" spans="8:8" ht="15.75" customHeight="1">
      <c r="G1415" s="241" t="b">
        <v>0</v>
      </c>
      <c r="I1415" s="284"/>
      <c r="J1415" s="285"/>
      <c r="K1415" s="285"/>
      <c r="L1415" s="276"/>
      <c r="M1415" s="237"/>
      <c r="N1415" s="237"/>
      <c r="O1415" s="237"/>
      <c r="P1415" s="237"/>
      <c r="Q1415" s="237"/>
      <c r="R1415" s="237"/>
    </row>
    <row r="1416" spans="8:8" ht="15.75" customHeight="1">
      <c r="G1416" s="241" t="b">
        <v>0</v>
      </c>
      <c r="I1416" s="240"/>
      <c r="J1416" s="240"/>
      <c r="K1416" s="240"/>
      <c r="L1416" s="240"/>
      <c r="M1416" s="237"/>
      <c r="N1416" s="237"/>
      <c r="O1416" s="237"/>
      <c r="P1416" s="237"/>
      <c r="Q1416" s="237"/>
      <c r="R1416" s="237"/>
    </row>
    <row r="1417" spans="8:8" ht="15.75" customHeight="1">
      <c r="G1417" s="241" t="b">
        <v>0</v>
      </c>
      <c r="I1417" s="240"/>
      <c r="J1417" s="240"/>
      <c r="K1417" s="240"/>
      <c r="L1417" s="240"/>
      <c r="M1417" s="237"/>
      <c r="N1417" s="237"/>
      <c r="O1417" s="237"/>
      <c r="P1417" s="237"/>
      <c r="Q1417" s="237"/>
      <c r="R1417" s="237"/>
    </row>
    <row r="1418" spans="8:8" ht="15.75" customHeight="1">
      <c r="G1418" s="241" t="b">
        <v>0</v>
      </c>
      <c r="I1418" s="240"/>
      <c r="J1418" s="240"/>
      <c r="K1418" s="240"/>
      <c r="L1418" s="240"/>
      <c r="M1418" s="237"/>
      <c r="N1418" s="237"/>
      <c r="O1418" s="237"/>
      <c r="P1418" s="237"/>
      <c r="Q1418" s="237"/>
      <c r="R1418" s="237"/>
    </row>
    <row r="1419" spans="8:8" ht="15.75" customHeight="1">
      <c r="G1419" s="241" t="b">
        <v>0</v>
      </c>
      <c r="I1419" s="240"/>
      <c r="J1419" s="240"/>
      <c r="K1419" s="240"/>
      <c r="L1419" s="240"/>
      <c r="M1419" s="237"/>
      <c r="N1419" s="237"/>
      <c r="O1419" s="237"/>
      <c r="P1419" s="237"/>
      <c r="Q1419" s="237"/>
      <c r="R1419" s="237"/>
    </row>
    <row r="1420" spans="8:8" ht="15.75" customHeight="1">
      <c r="G1420" s="241" t="b">
        <v>0</v>
      </c>
      <c r="I1420" s="240"/>
      <c r="J1420" s="240"/>
      <c r="K1420" s="240"/>
      <c r="L1420" s="240"/>
      <c r="M1420" s="237"/>
      <c r="N1420" s="237"/>
      <c r="O1420" s="237"/>
      <c r="P1420" s="237"/>
      <c r="Q1420" s="237"/>
      <c r="R1420" s="237"/>
    </row>
    <row r="1421" spans="8:8" ht="15.75" customHeight="1">
      <c r="G1421" s="241" t="b">
        <v>0</v>
      </c>
      <c r="I1421" s="240"/>
      <c r="J1421" s="240"/>
      <c r="K1421" s="240"/>
      <c r="L1421" s="240"/>
      <c r="M1421" s="237"/>
      <c r="N1421" s="237"/>
      <c r="O1421" s="237"/>
      <c r="P1421" s="237"/>
      <c r="Q1421" s="237"/>
      <c r="R1421" s="237"/>
    </row>
    <row r="1422" spans="8:8" ht="15.75" customHeight="1">
      <c r="G1422" s="241" t="b">
        <v>0</v>
      </c>
      <c r="I1422" s="240"/>
      <c r="J1422" s="240"/>
      <c r="K1422" s="240"/>
      <c r="L1422" s="240"/>
      <c r="M1422" s="237"/>
      <c r="N1422" s="237"/>
      <c r="O1422" s="237"/>
      <c r="P1422" s="237"/>
      <c r="Q1422" s="237"/>
      <c r="R1422" s="237"/>
    </row>
    <row r="1423" spans="8:8" ht="15.75" customHeight="1">
      <c r="G1423" s="241" t="b">
        <v>0</v>
      </c>
      <c r="I1423" s="240"/>
      <c r="J1423" s="240"/>
      <c r="K1423" s="240"/>
      <c r="L1423" s="240"/>
      <c r="M1423" s="237"/>
      <c r="N1423" s="237"/>
      <c r="O1423" s="237"/>
      <c r="P1423" s="237"/>
      <c r="Q1423" s="237"/>
      <c r="R1423" s="237"/>
    </row>
    <row r="1424" spans="8:8" ht="15.75" customHeight="1">
      <c r="G1424" s="241" t="b">
        <v>0</v>
      </c>
      <c r="I1424" s="240"/>
      <c r="J1424" s="240"/>
      <c r="K1424" s="240"/>
      <c r="L1424" s="240"/>
      <c r="M1424" s="237"/>
      <c r="N1424" s="237"/>
      <c r="O1424" s="237"/>
      <c r="P1424" s="237"/>
      <c r="Q1424" s="237"/>
      <c r="R1424" s="237"/>
    </row>
    <row r="1425" spans="8:8" ht="15.75" customHeight="1">
      <c r="G1425" s="241" t="b">
        <v>0</v>
      </c>
      <c r="I1425" s="240"/>
      <c r="J1425" s="240"/>
      <c r="K1425" s="240"/>
      <c r="L1425" s="240"/>
      <c r="M1425" s="237"/>
      <c r="N1425" s="237"/>
      <c r="O1425" s="237"/>
      <c r="P1425" s="237"/>
      <c r="Q1425" s="237"/>
      <c r="R1425" s="237"/>
    </row>
    <row r="1426" spans="8:8" ht="15.75" customHeight="1">
      <c r="G1426" s="241" t="b">
        <v>0</v>
      </c>
      <c r="I1426" s="240"/>
      <c r="J1426" s="240"/>
      <c r="K1426" s="240"/>
      <c r="L1426" s="240"/>
      <c r="M1426" s="237"/>
      <c r="N1426" s="237"/>
      <c r="O1426" s="237"/>
      <c r="P1426" s="237"/>
      <c r="Q1426" s="237"/>
      <c r="R1426" s="237"/>
    </row>
    <row r="1427" spans="8:8" ht="15.75" customHeight="1">
      <c r="G1427" s="241" t="b">
        <v>0</v>
      </c>
      <c r="I1427" s="240"/>
      <c r="J1427" s="240"/>
      <c r="K1427" s="240"/>
      <c r="L1427" s="240"/>
      <c r="M1427" s="237"/>
      <c r="N1427" s="237"/>
      <c r="O1427" s="237"/>
      <c r="P1427" s="237"/>
      <c r="Q1427" s="237"/>
      <c r="R1427" s="237"/>
    </row>
    <row r="1428" spans="8:8" ht="15.75" customHeight="1">
      <c r="G1428" s="241" t="b">
        <v>0</v>
      </c>
      <c r="I1428" s="240"/>
      <c r="J1428" s="240"/>
      <c r="K1428" s="240"/>
      <c r="L1428" s="240"/>
      <c r="M1428" s="237"/>
      <c r="N1428" s="237"/>
      <c r="O1428" s="237"/>
      <c r="P1428" s="237"/>
      <c r="Q1428" s="237"/>
      <c r="R1428" s="237"/>
    </row>
    <row r="1429" spans="8:8" ht="15.75" customHeight="1">
      <c r="G1429" s="241" t="b">
        <v>0</v>
      </c>
      <c r="I1429" s="240"/>
      <c r="J1429" s="240"/>
      <c r="K1429" s="240"/>
      <c r="L1429" s="240"/>
      <c r="M1429" s="237"/>
      <c r="N1429" s="237"/>
      <c r="O1429" s="237"/>
      <c r="P1429" s="237"/>
      <c r="Q1429" s="237"/>
      <c r="R1429" s="237"/>
    </row>
    <row r="1430" spans="8:8" ht="15.75" customHeight="1">
      <c r="G1430" s="241" t="b">
        <v>0</v>
      </c>
      <c r="I1430" s="240"/>
      <c r="J1430" s="240"/>
      <c r="K1430" s="240"/>
      <c r="L1430" s="240"/>
      <c r="M1430" s="237"/>
      <c r="N1430" s="237"/>
      <c r="O1430" s="237"/>
      <c r="P1430" s="237"/>
      <c r="Q1430" s="237"/>
      <c r="R1430" s="237"/>
    </row>
    <row r="1431" spans="8:8" ht="15.75" customHeight="1">
      <c r="G1431" s="241" t="b">
        <v>0</v>
      </c>
      <c r="I1431" s="240"/>
      <c r="J1431" s="240"/>
      <c r="K1431" s="240"/>
      <c r="L1431" s="240"/>
      <c r="M1431" s="237"/>
      <c r="N1431" s="237"/>
      <c r="O1431" s="237"/>
      <c r="P1431" s="237"/>
      <c r="Q1431" s="237"/>
      <c r="R1431" s="237"/>
    </row>
    <row r="1432" spans="8:8" ht="15.75" customHeight="1">
      <c r="G1432" s="241" t="b">
        <v>0</v>
      </c>
      <c r="I1432" s="240"/>
      <c r="J1432" s="240"/>
      <c r="K1432" s="240"/>
      <c r="L1432" s="240"/>
      <c r="M1432" s="237"/>
      <c r="N1432" s="237"/>
      <c r="O1432" s="237"/>
      <c r="P1432" s="237"/>
      <c r="Q1432" s="237"/>
      <c r="R1432" s="237"/>
    </row>
    <row r="1433" spans="8:8" ht="15.75" customHeight="1">
      <c r="G1433" s="241" t="b">
        <v>0</v>
      </c>
      <c r="I1433" s="240"/>
      <c r="J1433" s="240"/>
      <c r="K1433" s="240"/>
      <c r="L1433" s="240"/>
      <c r="M1433" s="237"/>
      <c r="N1433" s="237"/>
      <c r="O1433" s="237"/>
      <c r="P1433" s="237"/>
      <c r="Q1433" s="237"/>
      <c r="R1433" s="237"/>
    </row>
    <row r="1434" spans="8:8" ht="15.75" customHeight="1">
      <c r="G1434" s="241" t="b">
        <v>0</v>
      </c>
      <c r="I1434" s="240"/>
      <c r="J1434" s="240"/>
      <c r="K1434" s="240"/>
      <c r="L1434" s="240"/>
      <c r="M1434" s="237"/>
      <c r="N1434" s="237"/>
      <c r="O1434" s="237"/>
      <c r="P1434" s="237"/>
      <c r="Q1434" s="237"/>
      <c r="R1434" s="237"/>
    </row>
    <row r="1435" spans="8:8" ht="15.75" customHeight="1">
      <c r="G1435" s="241" t="b">
        <v>0</v>
      </c>
      <c r="I1435" s="240"/>
      <c r="J1435" s="240"/>
      <c r="K1435" s="240"/>
      <c r="L1435" s="240"/>
      <c r="M1435" s="237"/>
      <c r="N1435" s="237"/>
      <c r="O1435" s="237"/>
      <c r="P1435" s="237"/>
      <c r="Q1435" s="237"/>
      <c r="R1435" s="237"/>
    </row>
    <row r="1436" spans="8:8" ht="15.75" customHeight="1">
      <c r="G1436" s="241" t="b">
        <v>0</v>
      </c>
      <c r="I1436" s="240"/>
      <c r="J1436" s="240"/>
      <c r="K1436" s="240"/>
      <c r="L1436" s="240"/>
      <c r="M1436" s="237"/>
      <c r="N1436" s="237"/>
      <c r="O1436" s="237"/>
      <c r="P1436" s="237"/>
      <c r="Q1436" s="237"/>
      <c r="R1436" s="237"/>
    </row>
    <row r="1437" spans="8:8" ht="15.75" customHeight="1">
      <c r="G1437" s="241" t="b">
        <v>0</v>
      </c>
      <c r="I1437" s="240"/>
      <c r="J1437" s="240"/>
      <c r="K1437" s="240"/>
      <c r="L1437" s="240"/>
      <c r="M1437" s="237"/>
      <c r="N1437" s="237"/>
      <c r="O1437" s="237"/>
      <c r="P1437" s="237"/>
      <c r="Q1437" s="237"/>
      <c r="R1437" s="237"/>
    </row>
    <row r="1438" spans="8:8" ht="15.75" customHeight="1">
      <c r="G1438" s="241" t="b">
        <v>0</v>
      </c>
      <c r="I1438" s="240"/>
      <c r="J1438" s="240"/>
      <c r="K1438" s="240"/>
      <c r="L1438" s="240"/>
      <c r="M1438" s="237"/>
      <c r="N1438" s="237"/>
      <c r="O1438" s="237"/>
      <c r="P1438" s="237"/>
      <c r="Q1438" s="237"/>
      <c r="R1438" s="237"/>
    </row>
    <row r="1439" spans="8:8" ht="15.75" customHeight="1">
      <c r="G1439" s="241" t="b">
        <v>0</v>
      </c>
      <c r="I1439" s="240"/>
      <c r="J1439" s="240"/>
      <c r="K1439" s="240"/>
      <c r="L1439" s="240"/>
      <c r="M1439" s="237"/>
      <c r="N1439" s="237"/>
      <c r="O1439" s="237"/>
      <c r="P1439" s="237"/>
      <c r="Q1439" s="237"/>
      <c r="R1439" s="237"/>
    </row>
    <row r="1440" spans="8:8" ht="15.75" customHeight="1">
      <c r="G1440" s="241" t="b">
        <v>0</v>
      </c>
      <c r="I1440" s="284"/>
      <c r="J1440" s="285"/>
      <c r="K1440" s="285"/>
      <c r="L1440" s="276"/>
      <c r="M1440" s="237"/>
      <c r="N1440" s="237"/>
      <c r="O1440" s="237"/>
      <c r="P1440" s="237"/>
      <c r="Q1440" s="237"/>
      <c r="R1440" s="237"/>
    </row>
  </sheetData>
  <conditionalFormatting sqref="C21">
    <cfRule type="expression" priority="93" dxfId="137">
      <formula>COUNTIF(#REF!,C21)&gt;0</formula>
    </cfRule>
  </conditionalFormatting>
  <conditionalFormatting sqref="C3">
    <cfRule type="expression" priority="108" dxfId="138">
      <formula>COUNTIF(#REF!,C3)&gt;0</formula>
    </cfRule>
  </conditionalFormatting>
  <conditionalFormatting sqref="C59:C60">
    <cfRule type="expression" priority="59" dxfId="139">
      <formula>COUNTIF(#REF!,C59)&gt;0</formula>
    </cfRule>
  </conditionalFormatting>
  <conditionalFormatting sqref="C5">
    <cfRule type="expression" priority="106" dxfId="140">
      <formula>COUNTIF(#REF!,C5)&gt;0</formula>
    </cfRule>
  </conditionalFormatting>
  <conditionalFormatting sqref="C40">
    <cfRule type="expression" priority="77" dxfId="141">
      <formula>COUNTIF(#REF!,C40)&gt;0</formula>
    </cfRule>
  </conditionalFormatting>
  <conditionalFormatting sqref="C33:C35">
    <cfRule type="expression" priority="82" dxfId="142">
      <formula>COUNTIF(#REF!,C33)&gt;0</formula>
    </cfRule>
  </conditionalFormatting>
  <conditionalFormatting sqref="C25:C26">
    <cfRule type="expression" priority="89" dxfId="143">
      <formula>COUNTIF(#REF!,C25)&gt;0</formula>
    </cfRule>
  </conditionalFormatting>
  <conditionalFormatting sqref="C64">
    <cfRule type="expression" priority="56" dxfId="144">
      <formula>COUNTIF(#REF!,C64)&gt;0</formula>
    </cfRule>
  </conditionalFormatting>
  <conditionalFormatting sqref="C15">
    <cfRule type="expression" priority="99" dxfId="145">
      <formula>COUNTIF(#REF!,C15)&gt;0</formula>
    </cfRule>
  </conditionalFormatting>
  <conditionalFormatting sqref="C17">
    <cfRule type="expression" priority="97" dxfId="146">
      <formula>COUNTIF(#REF!,C17)&gt;0</formula>
    </cfRule>
  </conditionalFormatting>
  <conditionalFormatting sqref="C36">
    <cfRule type="expression" priority="81" dxfId="147">
      <formula>COUNTIF(#REF!,C36)&gt;0</formula>
    </cfRule>
  </conditionalFormatting>
  <conditionalFormatting sqref="C77">
    <cfRule type="expression" priority="44" dxfId="148">
      <formula>COUNTIF(#REF!,C77)&gt;0</formula>
    </cfRule>
  </conditionalFormatting>
  <conditionalFormatting sqref="C23">
    <cfRule type="expression" priority="91" dxfId="149">
      <formula>COUNTIF(#REF!,C23)&gt;0</formula>
    </cfRule>
  </conditionalFormatting>
  <conditionalFormatting sqref="C93">
    <cfRule type="expression" priority="29" dxfId="150">
      <formula>COUNTIF(#REF!,C93)&gt;0</formula>
    </cfRule>
  </conditionalFormatting>
  <conditionalFormatting sqref="C18">
    <cfRule type="expression" priority="96" dxfId="151">
      <formula>COUNTIF(#REF!,C18)&gt;0</formula>
    </cfRule>
  </conditionalFormatting>
  <conditionalFormatting sqref="C38">
    <cfRule type="expression" priority="79" dxfId="152">
      <formula>COUNTIF(#REF!,C38)&gt;0</formula>
    </cfRule>
  </conditionalFormatting>
  <conditionalFormatting sqref="C56">
    <cfRule type="expression" priority="62" dxfId="153">
      <formula>COUNTIF(#REF!,C56)&gt;0</formula>
    </cfRule>
  </conditionalFormatting>
  <conditionalFormatting sqref="C8:C10">
    <cfRule type="expression" priority="103" dxfId="154">
      <formula>COUNTIF(#REF!,C8)&gt;0</formula>
    </cfRule>
  </conditionalFormatting>
  <conditionalFormatting sqref="C81">
    <cfRule type="expression" priority="40" dxfId="155">
      <formula>COUNTIF(#REF!,C81)&gt;0</formula>
    </cfRule>
  </conditionalFormatting>
  <conditionalFormatting sqref="C103">
    <cfRule type="expression" priority="19" dxfId="156">
      <formula>COUNTIF(#REF!,C103)&gt;0</formula>
    </cfRule>
  </conditionalFormatting>
  <conditionalFormatting sqref="C114">
    <cfRule type="expression" priority="10" dxfId="157">
      <formula>COUNTIF(#REF!,C114)&gt;0</formula>
    </cfRule>
  </conditionalFormatting>
  <conditionalFormatting sqref="C74">
    <cfRule type="expression" priority="47" dxfId="158">
      <formula>COUNTIF(#REF!,C74)&gt;0</formula>
    </cfRule>
  </conditionalFormatting>
  <conditionalFormatting sqref="C6">
    <cfRule type="expression" priority="105" dxfId="159">
      <formula>COUNTIF(#REF!,C6)&gt;0</formula>
    </cfRule>
  </conditionalFormatting>
  <conditionalFormatting sqref="C1">
    <cfRule type="expression" priority="110" dxfId="160">
      <formula>COUNTIF(#REF!,C1)&gt;0</formula>
    </cfRule>
  </conditionalFormatting>
  <conditionalFormatting sqref="C115">
    <cfRule type="expression" priority="9" dxfId="161">
      <formula>COUNTIF(#REF!,C115)&gt;0</formula>
    </cfRule>
  </conditionalFormatting>
  <conditionalFormatting sqref="C62:C63">
    <cfRule type="expression" priority="57" dxfId="162">
      <formula>COUNTIF(#REF!,C62)&gt;0</formula>
    </cfRule>
  </conditionalFormatting>
  <conditionalFormatting sqref="C41">
    <cfRule type="expression" priority="76" dxfId="163">
      <formula>COUNTIF(#REF!,C41)&gt;0</formula>
    </cfRule>
  </conditionalFormatting>
  <conditionalFormatting sqref="C61">
    <cfRule type="expression" priority="58" dxfId="164">
      <formula>COUNTIF(#REF!,C61)&gt;0</formula>
    </cfRule>
  </conditionalFormatting>
  <conditionalFormatting sqref="C111">
    <cfRule type="expression" priority="13" dxfId="165">
      <formula>COUNTIF(#REF!,C111)&gt;0</formula>
    </cfRule>
  </conditionalFormatting>
  <conditionalFormatting sqref="C37">
    <cfRule type="expression" priority="80" dxfId="166">
      <formula>COUNTIF(#REF!,C37)&gt;0</formula>
    </cfRule>
  </conditionalFormatting>
  <conditionalFormatting sqref="C107:C108">
    <cfRule type="expression" priority="15" dxfId="167">
      <formula>COUNTIF(#REF!,C107)&gt;0</formula>
    </cfRule>
  </conditionalFormatting>
  <conditionalFormatting sqref="C94">
    <cfRule type="expression" priority="28" dxfId="168">
      <formula>COUNTIF(#REF!,C94)&gt;0</formula>
    </cfRule>
  </conditionalFormatting>
  <conditionalFormatting sqref="C69:C70">
    <cfRule type="expression" priority="51" dxfId="169">
      <formula>COUNTIF(#REF!,C69)&gt;0</formula>
    </cfRule>
  </conditionalFormatting>
  <conditionalFormatting sqref="C2">
    <cfRule type="expression" priority="109" dxfId="170">
      <formula>COUNTIF(#REF!,C2)&gt;0</formula>
    </cfRule>
  </conditionalFormatting>
  <conditionalFormatting sqref="C86">
    <cfRule type="expression" priority="35" dxfId="171">
      <formula>COUNTIF(#REF!,C86)&gt;0</formula>
    </cfRule>
  </conditionalFormatting>
  <conditionalFormatting sqref="C90">
    <cfRule type="expression" priority="31" dxfId="172">
      <formula>COUNTIF(#REF!,C90)&gt;0</formula>
    </cfRule>
  </conditionalFormatting>
  <conditionalFormatting sqref="C84">
    <cfRule type="expression" priority="37" dxfId="173">
      <formula>COUNTIF(#REF!,C84)&gt;0</formula>
    </cfRule>
  </conditionalFormatting>
  <conditionalFormatting sqref="C96">
    <cfRule type="expression" priority="26" dxfId="174">
      <formula>COUNTIF(#REF!,C96)&gt;0</formula>
    </cfRule>
  </conditionalFormatting>
  <conditionalFormatting sqref="C97">
    <cfRule type="expression" priority="25" dxfId="175">
      <formula>COUNTIF(#REF!,C97)&gt;0</formula>
    </cfRule>
  </conditionalFormatting>
  <conditionalFormatting sqref="C28">
    <cfRule type="expression" priority="87" dxfId="176">
      <formula>COUNTIF(#REF!,C28)&gt;0</formula>
    </cfRule>
  </conditionalFormatting>
  <conditionalFormatting sqref="C4">
    <cfRule type="expression" priority="107" dxfId="177">
      <formula>COUNTIF(#REF!,C4)&gt;0</formula>
    </cfRule>
  </conditionalFormatting>
  <conditionalFormatting sqref="C19">
    <cfRule type="expression" priority="95" dxfId="178">
      <formula>COUNTIF(#REF!,C19)&gt;0</formula>
    </cfRule>
  </conditionalFormatting>
  <conditionalFormatting sqref="C30">
    <cfRule type="expression" priority="85" dxfId="179">
      <formula>COUNTIF(#REF!,C30)&gt;0</formula>
    </cfRule>
  </conditionalFormatting>
  <conditionalFormatting sqref="C7">
    <cfRule type="expression" priority="104" dxfId="180">
      <formula>COUNTIF(#REF!,C7)&gt;0</formula>
    </cfRule>
  </conditionalFormatting>
  <conditionalFormatting sqref="C65">
    <cfRule type="expression" priority="55" dxfId="181">
      <formula>COUNTIF(#REF!,C65)&gt;0</formula>
    </cfRule>
  </conditionalFormatting>
  <conditionalFormatting sqref="C27">
    <cfRule type="expression" priority="88" dxfId="182">
      <formula>COUNTIF(#REF!,C27)&gt;0</formula>
    </cfRule>
  </conditionalFormatting>
  <conditionalFormatting sqref="C14">
    <cfRule type="expression" priority="100" dxfId="183">
      <formula>COUNTIF(#REF!,C14)&gt;0</formula>
    </cfRule>
  </conditionalFormatting>
  <conditionalFormatting sqref="C45">
    <cfRule type="expression" priority="72" dxfId="184">
      <formula>COUNTIF(#REF!,C45)&gt;0</formula>
    </cfRule>
  </conditionalFormatting>
  <conditionalFormatting sqref="C54">
    <cfRule type="expression" priority="64" dxfId="185">
      <formula>COUNTIF(#REF!,C54)&gt;0</formula>
    </cfRule>
  </conditionalFormatting>
  <conditionalFormatting sqref="C116">
    <cfRule type="expression" priority="8" dxfId="186">
      <formula>COUNTIF(#REF!,C116)&gt;0</formula>
    </cfRule>
  </conditionalFormatting>
  <conditionalFormatting sqref="C78">
    <cfRule type="expression" priority="43" dxfId="187">
      <formula>COUNTIF(#REF!,C78)&gt;0</formula>
    </cfRule>
  </conditionalFormatting>
  <conditionalFormatting sqref="C124">
    <cfRule type="expression" priority="3" dxfId="188">
      <formula>COUNTIF(#REF!,C124)&gt;0</formula>
    </cfRule>
  </conditionalFormatting>
  <conditionalFormatting sqref="C83">
    <cfRule type="expression" priority="38" dxfId="189">
      <formula>COUNTIF(#REF!,C83)&gt;0</formula>
    </cfRule>
  </conditionalFormatting>
  <conditionalFormatting sqref="C68">
    <cfRule type="expression" priority="52" dxfId="190">
      <formula>COUNTIF(#REF!,C68)&gt;0</formula>
    </cfRule>
  </conditionalFormatting>
  <conditionalFormatting sqref="C100">
    <cfRule type="expression" priority="22" dxfId="191">
      <formula>COUNTIF(#REF!,C100)&gt;0</formula>
    </cfRule>
  </conditionalFormatting>
  <conditionalFormatting sqref="C47">
    <cfRule type="expression" priority="70" dxfId="192">
      <formula>COUNTIF(#REF!,C47)&gt;0</formula>
    </cfRule>
  </conditionalFormatting>
  <conditionalFormatting sqref="C75">
    <cfRule type="expression" priority="46" dxfId="193">
      <formula>COUNTIF(#REF!,C75)&gt;0</formula>
    </cfRule>
  </conditionalFormatting>
  <conditionalFormatting sqref="C102">
    <cfRule type="expression" priority="20" dxfId="194">
      <formula>COUNTIF(#REF!,C102)&gt;0</formula>
    </cfRule>
  </conditionalFormatting>
  <conditionalFormatting sqref="C20">
    <cfRule type="expression" priority="94" dxfId="195">
      <formula>COUNTIF(#REF!,C20)&gt;0</formula>
    </cfRule>
  </conditionalFormatting>
  <conditionalFormatting sqref="C117:C119">
    <cfRule type="expression" priority="7" dxfId="196">
      <formula>COUNTIF(#REF!,C117)&gt;0</formula>
    </cfRule>
  </conditionalFormatting>
  <conditionalFormatting sqref="C46">
    <cfRule type="expression" priority="71" dxfId="197">
      <formula>COUNTIF(#REF!,C46)&gt;0</formula>
    </cfRule>
  </conditionalFormatting>
  <conditionalFormatting sqref="C48">
    <cfRule type="expression" priority="69" dxfId="198">
      <formula>COUNTIF(#REF!,C48)&gt;0</formula>
    </cfRule>
  </conditionalFormatting>
  <conditionalFormatting sqref="C113">
    <cfRule type="expression" priority="11" dxfId="199">
      <formula>COUNTIF(#REF!,C113)&gt;0</formula>
    </cfRule>
  </conditionalFormatting>
  <conditionalFormatting sqref="C53">
    <cfRule type="expression" priority="65" dxfId="200">
      <formula>COUNTIF(#REF!,C53)&gt;0</formula>
    </cfRule>
  </conditionalFormatting>
  <conditionalFormatting sqref="C51">
    <cfRule type="expression" priority="67" dxfId="201">
      <formula>COUNTIF(#REF!,C51)&gt;0</formula>
    </cfRule>
  </conditionalFormatting>
  <conditionalFormatting sqref="C71">
    <cfRule type="expression" priority="50" dxfId="202">
      <formula>COUNTIF(#REF!,C71)&gt;0</formula>
    </cfRule>
  </conditionalFormatting>
  <conditionalFormatting sqref="C89">
    <cfRule type="expression" priority="32" dxfId="203">
      <formula>COUNTIF(#REF!,C89)&gt;0</formula>
    </cfRule>
  </conditionalFormatting>
  <conditionalFormatting sqref="C49:C50">
    <cfRule type="expression" priority="68" dxfId="204">
      <formula>COUNTIF(#REF!,C49)&gt;0</formula>
    </cfRule>
  </conditionalFormatting>
  <conditionalFormatting sqref="C120:C121">
    <cfRule type="expression" priority="6" dxfId="205">
      <formula>COUNTIF(#REF!,C120)&gt;0</formula>
    </cfRule>
  </conditionalFormatting>
  <conditionalFormatting sqref="C109:C110">
    <cfRule type="expression" priority="14" dxfId="206">
      <formula>COUNTIF(#REF!,C109)&gt;0</formula>
    </cfRule>
  </conditionalFormatting>
  <conditionalFormatting sqref="C82">
    <cfRule type="expression" priority="39" dxfId="207">
      <formula>COUNTIF(#REF!,C82)&gt;0</formula>
    </cfRule>
  </conditionalFormatting>
  <conditionalFormatting sqref="C85">
    <cfRule type="expression" priority="36" dxfId="208">
      <formula>COUNTIF(#REF!,C85)&gt;0</formula>
    </cfRule>
  </conditionalFormatting>
  <conditionalFormatting sqref="C55">
    <cfRule type="expression" priority="63" dxfId="209">
      <formula>COUNTIF(#REF!,C55)&gt;0</formula>
    </cfRule>
  </conditionalFormatting>
  <conditionalFormatting sqref="C57">
    <cfRule type="expression" priority="61" dxfId="210">
      <formula>COUNTIF(#REF!,C57)&gt;0</formula>
    </cfRule>
  </conditionalFormatting>
  <conditionalFormatting sqref="C95">
    <cfRule type="expression" priority="27" dxfId="211">
      <formula>COUNTIF(#REF!,C95)&gt;0</formula>
    </cfRule>
  </conditionalFormatting>
  <conditionalFormatting sqref="C43">
    <cfRule type="expression" priority="74" dxfId="212">
      <formula>COUNTIF(#REF!,C43)&gt;0</formula>
    </cfRule>
  </conditionalFormatting>
  <conditionalFormatting sqref="C12:C13">
    <cfRule type="expression" priority="101" dxfId="213">
      <formula>COUNTIF(#REF!,C12)&gt;0</formula>
    </cfRule>
  </conditionalFormatting>
  <conditionalFormatting sqref="C42">
    <cfRule type="expression" priority="75" dxfId="214">
      <formula>COUNTIF(#REF!,C42)&gt;0</formula>
    </cfRule>
  </conditionalFormatting>
  <conditionalFormatting sqref="C99">
    <cfRule type="expression" priority="23" dxfId="215">
      <formula>COUNTIF(#REF!,C99)&gt;0</formula>
    </cfRule>
  </conditionalFormatting>
  <conditionalFormatting sqref="C101">
    <cfRule type="expression" priority="21" dxfId="216">
      <formula>COUNTIF(#REF!,C101)&gt;0</formula>
    </cfRule>
  </conditionalFormatting>
  <conditionalFormatting sqref="C104">
    <cfRule type="expression" priority="18" dxfId="217">
      <formula>COUNTIF(#REF!,C104)&gt;0</formula>
    </cfRule>
  </conditionalFormatting>
  <conditionalFormatting sqref="C24">
    <cfRule type="expression" priority="90" dxfId="218">
      <formula>COUNTIF(#REF!,C24)&gt;0</formula>
    </cfRule>
  </conditionalFormatting>
  <conditionalFormatting sqref="C16">
    <cfRule type="expression" priority="98" dxfId="219">
      <formula>COUNTIF(#REF!,C16)&gt;0</formula>
    </cfRule>
  </conditionalFormatting>
  <conditionalFormatting sqref="C73">
    <cfRule type="expression" priority="48" dxfId="220">
      <formula>COUNTIF(#REF!,C73)&gt;0</formula>
    </cfRule>
  </conditionalFormatting>
  <conditionalFormatting sqref="C72">
    <cfRule type="expression" priority="49" dxfId="221">
      <formula>COUNTIF(#REF!,C72)&gt;0</formula>
    </cfRule>
  </conditionalFormatting>
  <conditionalFormatting sqref="C44">
    <cfRule type="expression" priority="73" dxfId="222">
      <formula>COUNTIF(#REF!,C44)&gt;0</formula>
    </cfRule>
  </conditionalFormatting>
  <conditionalFormatting sqref="C79">
    <cfRule type="expression" priority="42" dxfId="223">
      <formula>COUNTIF(#REF!,C79)&gt;0</formula>
    </cfRule>
  </conditionalFormatting>
  <conditionalFormatting sqref="C91:C92">
    <cfRule type="expression" priority="30" dxfId="224">
      <formula>COUNTIF(#REF!,C91)&gt;0</formula>
    </cfRule>
  </conditionalFormatting>
  <conditionalFormatting sqref="C125">
    <cfRule type="expression" priority="2" dxfId="225">
      <formula>COUNTIF(#REF!,C125)&gt;0</formula>
    </cfRule>
  </conditionalFormatting>
  <conditionalFormatting sqref="C105">
    <cfRule type="expression" priority="17" dxfId="226">
      <formula>COUNTIF(#REF!,C105)&gt;0</formula>
    </cfRule>
  </conditionalFormatting>
  <conditionalFormatting sqref="C122">
    <cfRule type="expression" priority="5" dxfId="227">
      <formula>COUNTIF(#REF!,C122)&gt;0</formula>
    </cfRule>
  </conditionalFormatting>
  <conditionalFormatting sqref="C88">
    <cfRule type="expression" priority="33" dxfId="228">
      <formula>COUNTIF(#REF!,C88)&gt;0</formula>
    </cfRule>
  </conditionalFormatting>
  <conditionalFormatting sqref="C66">
    <cfRule type="expression" priority="54" dxfId="229">
      <formula>COUNTIF(#REF!,C66)&gt;0</formula>
    </cfRule>
  </conditionalFormatting>
  <conditionalFormatting sqref="C80">
    <cfRule type="expression" priority="41" dxfId="230">
      <formula>COUNTIF(#REF!,C80)&gt;0</formula>
    </cfRule>
  </conditionalFormatting>
  <conditionalFormatting sqref="C106">
    <cfRule type="expression" priority="16" dxfId="231">
      <formula>COUNTIF(#REF!,C106)&gt;0</formula>
    </cfRule>
  </conditionalFormatting>
  <conditionalFormatting sqref="C11">
    <cfRule type="expression" priority="102" dxfId="232">
      <formula>COUNTIF(#REF!,C11)&gt;0</formula>
    </cfRule>
  </conditionalFormatting>
  <conditionalFormatting sqref="C123">
    <cfRule type="expression" priority="4" dxfId="233">
      <formula>COUNTIF(#REF!,C123)&gt;0</formula>
    </cfRule>
  </conditionalFormatting>
  <conditionalFormatting sqref="C67">
    <cfRule type="expression" priority="53" dxfId="234">
      <formula>COUNTIF(#REF!,C67)&gt;0</formula>
    </cfRule>
  </conditionalFormatting>
  <conditionalFormatting sqref="C32">
    <cfRule type="expression" priority="83" dxfId="235">
      <formula>COUNTIF(#REF!,C32)&gt;0</formula>
    </cfRule>
  </conditionalFormatting>
  <conditionalFormatting sqref="C31">
    <cfRule type="expression" priority="84" dxfId="236">
      <formula>COUNTIF(#REF!,C31)&gt;0</formula>
    </cfRule>
  </conditionalFormatting>
  <conditionalFormatting sqref="C52">
    <cfRule type="expression" priority="66" dxfId="237">
      <formula>COUNTIF(#REF!,C52)&gt;0</formula>
    </cfRule>
  </conditionalFormatting>
  <conditionalFormatting sqref="C22">
    <cfRule type="expression" priority="92" dxfId="238">
      <formula>COUNTIF(#REF!,C22)&gt;0</formula>
    </cfRule>
  </conditionalFormatting>
  <conditionalFormatting sqref="C98">
    <cfRule type="expression" priority="24" dxfId="239">
      <formula>COUNTIF(#REF!,C98)&gt;0</formula>
    </cfRule>
  </conditionalFormatting>
  <conditionalFormatting sqref="C76">
    <cfRule type="expression" priority="45" dxfId="240">
      <formula>COUNTIF(#REF!,C76)&gt;0</formula>
    </cfRule>
  </conditionalFormatting>
  <conditionalFormatting sqref="C29">
    <cfRule type="expression" priority="86" dxfId="241">
      <formula>COUNTIF(#REF!,C29)&gt;0</formula>
    </cfRule>
  </conditionalFormatting>
  <conditionalFormatting sqref="C112">
    <cfRule type="expression" priority="12" dxfId="242">
      <formula>COUNTIF(#REF!,C112)&gt;0</formula>
    </cfRule>
  </conditionalFormatting>
  <conditionalFormatting sqref="C87">
    <cfRule type="expression" priority="34" dxfId="243">
      <formula>COUNTIF(#REF!,C87)&gt;0</formula>
    </cfRule>
  </conditionalFormatting>
  <conditionalFormatting sqref="C126:C128">
    <cfRule type="expression" priority="1" dxfId="244">
      <formula>COUNTIF(#REF!,C126)&gt;0</formula>
    </cfRule>
  </conditionalFormatting>
  <conditionalFormatting sqref="C39">
    <cfRule type="expression" priority="78" dxfId="245">
      <formula>COUNTIF(#REF!,C39)&gt;0</formula>
    </cfRule>
  </conditionalFormatting>
  <conditionalFormatting sqref="C58">
    <cfRule type="expression" priority="60" dxfId="246">
      <formula>COUNTIF(#REF!,C58)&gt;0</formula>
    </cfRule>
  </conditionalFormatting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N1000"/>
  <sheetViews>
    <sheetView workbookViewId="0">
      <selection activeCell="A1" sqref="A1"/>
    </sheetView>
  </sheetViews>
  <sheetFormatPr defaultRowHeight="15.0" customHeight="1" defaultColWidth="12"/>
  <cols>
    <col min="1" max="3" customWidth="1" width="25.878906" style="0"/>
    <col min="4" max="4" customWidth="1" width="22.128906" style="0"/>
    <col min="5" max="5" customWidth="1" width="18.628906" style="0"/>
    <col min="9" max="9" customWidth="1" width="34.5" style="0"/>
  </cols>
  <sheetData>
    <row r="1" spans="8:8" ht="15.75" customHeight="1">
      <c r="A1" s="286"/>
      <c r="B1" s="287"/>
      <c r="C1" s="287" t="s">
        <v>5010</v>
      </c>
      <c r="D1" s="287"/>
      <c r="E1" s="287"/>
      <c r="F1" s="241" t="b">
        <v>0</v>
      </c>
      <c r="H1" s="237"/>
      <c r="I1" s="237"/>
      <c r="J1" s="237"/>
      <c r="K1" s="237"/>
      <c r="L1" s="237"/>
    </row>
    <row r="2" spans="8:8" ht="15.75" customHeight="1">
      <c r="A2" s="286"/>
      <c r="B2" s="288" t="s">
        <v>4017</v>
      </c>
      <c r="C2" s="287">
        <v>252873.0</v>
      </c>
      <c r="D2" s="288" t="s">
        <v>5011</v>
      </c>
      <c r="E2" s="287" t="s">
        <v>28</v>
      </c>
      <c r="F2" s="241" t="b">
        <v>1</v>
      </c>
      <c r="H2" s="237"/>
      <c r="I2" s="287"/>
      <c r="J2" s="287"/>
      <c r="K2" s="287"/>
      <c r="L2" s="287"/>
    </row>
    <row r="3" spans="8:8" ht="15.75" customHeight="1">
      <c r="A3" s="286"/>
      <c r="B3" s="288" t="s">
        <v>4892</v>
      </c>
      <c r="C3" s="287">
        <v>252876.0</v>
      </c>
      <c r="D3" s="288" t="s">
        <v>5011</v>
      </c>
      <c r="E3" s="287" t="s">
        <v>28</v>
      </c>
      <c r="F3" s="241" t="b">
        <v>1</v>
      </c>
      <c r="H3" s="237"/>
      <c r="I3" s="268" t="s">
        <v>4017</v>
      </c>
      <c r="J3" s="269">
        <v>252873.0</v>
      </c>
      <c r="K3" s="268" t="s">
        <v>5011</v>
      </c>
      <c r="L3" s="269" t="s">
        <v>28</v>
      </c>
    </row>
    <row r="4" spans="8:8" ht="15.75" customHeight="1">
      <c r="A4" s="286"/>
      <c r="B4" s="288" t="s">
        <v>4713</v>
      </c>
      <c r="C4" s="287">
        <v>251994.0</v>
      </c>
      <c r="D4" s="288" t="s">
        <v>5012</v>
      </c>
      <c r="E4" s="287" t="s">
        <v>28</v>
      </c>
      <c r="F4" s="241" t="b">
        <v>1</v>
      </c>
      <c r="H4" s="237"/>
      <c r="I4" s="268" t="s">
        <v>4892</v>
      </c>
      <c r="J4" s="269">
        <v>252876.0</v>
      </c>
      <c r="K4" s="268" t="s">
        <v>5011</v>
      </c>
      <c r="L4" s="269" t="s">
        <v>28</v>
      </c>
    </row>
    <row r="5" spans="8:8" ht="15.75" customHeight="1">
      <c r="A5" s="286"/>
      <c r="B5" s="288" t="s">
        <v>4893</v>
      </c>
      <c r="C5" s="287">
        <v>251995.0</v>
      </c>
      <c r="D5" s="288" t="s">
        <v>5012</v>
      </c>
      <c r="E5" s="287" t="s">
        <v>28</v>
      </c>
      <c r="F5" s="241" t="b">
        <v>1</v>
      </c>
      <c r="H5" s="237"/>
      <c r="I5" s="268" t="s">
        <v>4713</v>
      </c>
      <c r="J5" s="269">
        <v>251994.0</v>
      </c>
      <c r="K5" s="268" t="s">
        <v>5012</v>
      </c>
      <c r="L5" s="269" t="s">
        <v>28</v>
      </c>
    </row>
    <row r="6" spans="8:8" ht="15.75" customHeight="1">
      <c r="A6" s="286"/>
      <c r="B6" s="288" t="s">
        <v>4894</v>
      </c>
      <c r="C6" s="287">
        <v>252010.0</v>
      </c>
      <c r="D6" s="288" t="s">
        <v>5012</v>
      </c>
      <c r="E6" s="287" t="s">
        <v>28</v>
      </c>
      <c r="F6" s="241" t="b">
        <v>1</v>
      </c>
      <c r="H6" s="237"/>
      <c r="I6" s="268" t="s">
        <v>4893</v>
      </c>
      <c r="J6" s="269">
        <v>251995.0</v>
      </c>
      <c r="K6" s="268" t="s">
        <v>5012</v>
      </c>
      <c r="L6" s="269" t="s">
        <v>28</v>
      </c>
    </row>
    <row r="7" spans="8:8" ht="15.75" customHeight="1">
      <c r="A7" s="286"/>
      <c r="B7" s="288" t="s">
        <v>4025</v>
      </c>
      <c r="C7" s="287">
        <v>252940.0</v>
      </c>
      <c r="D7" s="288" t="s">
        <v>5013</v>
      </c>
      <c r="E7" s="287" t="s">
        <v>28</v>
      </c>
      <c r="F7" s="241" t="b">
        <v>1</v>
      </c>
      <c r="H7" s="237"/>
      <c r="I7" s="268" t="s">
        <v>4894</v>
      </c>
      <c r="J7" s="269">
        <v>252010.0</v>
      </c>
      <c r="K7" s="268" t="s">
        <v>5012</v>
      </c>
      <c r="L7" s="269" t="s">
        <v>28</v>
      </c>
    </row>
    <row r="8" spans="8:8" ht="15.75" customHeight="1">
      <c r="A8" s="286"/>
      <c r="B8" s="288" t="s">
        <v>4895</v>
      </c>
      <c r="C8" s="287">
        <v>252044.0</v>
      </c>
      <c r="D8" s="288" t="s">
        <v>5014</v>
      </c>
      <c r="E8" s="287" t="s">
        <v>28</v>
      </c>
      <c r="F8" s="241" t="b">
        <v>1</v>
      </c>
      <c r="H8" s="237"/>
      <c r="I8" s="268" t="s">
        <v>4025</v>
      </c>
      <c r="J8" s="269">
        <v>252940.0</v>
      </c>
      <c r="K8" s="268" t="s">
        <v>5013</v>
      </c>
      <c r="L8" s="269" t="s">
        <v>28</v>
      </c>
    </row>
    <row r="9" spans="8:8" ht="15.75" customHeight="1">
      <c r="A9" s="286"/>
      <c r="B9" s="288" t="s">
        <v>1865</v>
      </c>
      <c r="C9" s="287">
        <v>252120.0</v>
      </c>
      <c r="D9" s="288" t="s">
        <v>5015</v>
      </c>
      <c r="E9" s="287" t="s">
        <v>28</v>
      </c>
      <c r="F9" s="241" t="b">
        <v>1</v>
      </c>
      <c r="H9" s="237"/>
      <c r="I9" s="268" t="s">
        <v>4895</v>
      </c>
      <c r="J9" s="269">
        <v>252044.0</v>
      </c>
      <c r="K9" s="288" t="s">
        <v>5014</v>
      </c>
      <c r="L9" s="269" t="s">
        <v>28</v>
      </c>
    </row>
    <row r="10" spans="8:8" ht="15.75" customHeight="1">
      <c r="A10" s="286"/>
      <c r="B10" s="288" t="s">
        <v>4721</v>
      </c>
      <c r="C10" s="287">
        <v>252787.0</v>
      </c>
      <c r="D10" s="288" t="s">
        <v>5016</v>
      </c>
      <c r="E10" s="287" t="s">
        <v>28</v>
      </c>
      <c r="F10" s="241" t="b">
        <v>1</v>
      </c>
      <c r="H10" s="237"/>
      <c r="I10" s="268" t="s">
        <v>1865</v>
      </c>
      <c r="J10" s="269">
        <v>252120.0</v>
      </c>
      <c r="K10" s="288" t="s">
        <v>5015</v>
      </c>
      <c r="L10" s="269" t="s">
        <v>28</v>
      </c>
    </row>
    <row r="11" spans="8:8" ht="15.75" customHeight="1">
      <c r="A11" s="286"/>
      <c r="B11" s="288" t="s">
        <v>4722</v>
      </c>
      <c r="C11" s="287">
        <v>252596.0</v>
      </c>
      <c r="D11" s="288" t="s">
        <v>5017</v>
      </c>
      <c r="E11" s="287" t="s">
        <v>28</v>
      </c>
      <c r="F11" s="241" t="b">
        <v>1</v>
      </c>
      <c r="H11" s="237"/>
      <c r="I11" s="268" t="s">
        <v>4721</v>
      </c>
      <c r="J11" s="269">
        <v>252787.0</v>
      </c>
      <c r="K11" s="268" t="s">
        <v>5016</v>
      </c>
      <c r="L11" s="269" t="s">
        <v>28</v>
      </c>
    </row>
    <row r="12" spans="8:8" ht="15.75" customHeight="1">
      <c r="A12" s="289"/>
      <c r="B12" s="266" t="s">
        <v>1866</v>
      </c>
      <c r="C12" s="267">
        <v>252758.0</v>
      </c>
      <c r="D12" s="266" t="s">
        <v>5018</v>
      </c>
      <c r="E12" s="287" t="s">
        <v>28</v>
      </c>
      <c r="F12" s="241" t="b">
        <v>1</v>
      </c>
      <c r="H12" s="237"/>
      <c r="I12" s="268" t="s">
        <v>4722</v>
      </c>
      <c r="J12" s="269">
        <v>252596.0</v>
      </c>
      <c r="K12" s="288" t="s">
        <v>5017</v>
      </c>
      <c r="L12" s="269" t="s">
        <v>28</v>
      </c>
    </row>
    <row r="13" spans="8:8" ht="15.75" customHeight="1">
      <c r="A13" s="286"/>
      <c r="B13" s="288" t="s">
        <v>4024</v>
      </c>
      <c r="C13" s="287">
        <v>252038.0</v>
      </c>
      <c r="D13" s="288" t="s">
        <v>5012</v>
      </c>
      <c r="E13" s="287" t="s">
        <v>28</v>
      </c>
      <c r="F13" s="241" t="b">
        <v>1</v>
      </c>
      <c r="H13" s="237"/>
      <c r="I13" s="268" t="s">
        <v>1866</v>
      </c>
      <c r="J13" s="269">
        <v>252758.0</v>
      </c>
      <c r="K13" s="268" t="s">
        <v>5018</v>
      </c>
      <c r="L13" s="269" t="s">
        <v>28</v>
      </c>
    </row>
    <row r="14" spans="8:8" ht="15.75" customHeight="1">
      <c r="A14" s="286"/>
      <c r="B14" s="288" t="s">
        <v>1639</v>
      </c>
      <c r="C14" s="287">
        <v>252055.0</v>
      </c>
      <c r="D14" s="288" t="s">
        <v>5012</v>
      </c>
      <c r="E14" s="287" t="s">
        <v>28</v>
      </c>
      <c r="F14" s="241" t="b">
        <v>1</v>
      </c>
      <c r="H14" s="237"/>
      <c r="I14" s="268" t="s">
        <v>4024</v>
      </c>
      <c r="J14" s="269">
        <v>252038.0</v>
      </c>
      <c r="K14" s="268" t="s">
        <v>5012</v>
      </c>
      <c r="L14" s="269" t="s">
        <v>28</v>
      </c>
    </row>
    <row r="15" spans="8:8" ht="15.75" customHeight="1">
      <c r="A15" s="286"/>
      <c r="B15" s="288" t="s">
        <v>4724</v>
      </c>
      <c r="C15" s="287">
        <v>252067.0</v>
      </c>
      <c r="D15" s="288" t="s">
        <v>5012</v>
      </c>
      <c r="E15" s="287" t="s">
        <v>28</v>
      </c>
      <c r="F15" s="241" t="b">
        <v>1</v>
      </c>
      <c r="H15" s="237"/>
      <c r="I15" s="268" t="s">
        <v>1639</v>
      </c>
      <c r="J15" s="269">
        <v>252055.0</v>
      </c>
      <c r="K15" s="268" t="s">
        <v>5012</v>
      </c>
      <c r="L15" s="269" t="s">
        <v>28</v>
      </c>
    </row>
    <row r="16" spans="8:8" ht="15.75" customHeight="1">
      <c r="A16" s="286"/>
      <c r="B16" s="288" t="s">
        <v>4027</v>
      </c>
      <c r="C16" s="287">
        <v>252756.0</v>
      </c>
      <c r="D16" s="288" t="s">
        <v>5019</v>
      </c>
      <c r="E16" s="287" t="s">
        <v>28</v>
      </c>
      <c r="F16" s="241" t="b">
        <v>1</v>
      </c>
      <c r="H16" s="237"/>
      <c r="I16" s="268" t="s">
        <v>4724</v>
      </c>
      <c r="J16" s="269">
        <v>252067.0</v>
      </c>
      <c r="K16" s="268" t="s">
        <v>5012</v>
      </c>
      <c r="L16" s="269" t="s">
        <v>28</v>
      </c>
    </row>
    <row r="17" spans="8:8" ht="15.75" customHeight="1">
      <c r="A17" s="286"/>
      <c r="B17" s="288" t="s">
        <v>4725</v>
      </c>
      <c r="C17" s="287">
        <v>252950.0</v>
      </c>
      <c r="D17" s="288" t="s">
        <v>5020</v>
      </c>
      <c r="E17" s="287" t="s">
        <v>28</v>
      </c>
      <c r="F17" s="241" t="b">
        <v>1</v>
      </c>
      <c r="H17" s="237"/>
      <c r="I17" s="268" t="s">
        <v>4027</v>
      </c>
      <c r="J17" s="269">
        <v>252756.0</v>
      </c>
      <c r="K17" s="268" t="s">
        <v>5019</v>
      </c>
      <c r="L17" s="269" t="s">
        <v>28</v>
      </c>
    </row>
    <row r="18" spans="8:8" ht="15.75" customHeight="1">
      <c r="A18" s="286"/>
      <c r="B18" s="288" t="s">
        <v>3217</v>
      </c>
      <c r="C18" s="287">
        <v>252074.0</v>
      </c>
      <c r="D18" s="288" t="s">
        <v>5012</v>
      </c>
      <c r="E18" s="287" t="s">
        <v>28</v>
      </c>
      <c r="F18" s="241" t="b">
        <v>1</v>
      </c>
      <c r="H18" s="237"/>
      <c r="I18" s="268" t="s">
        <v>4725</v>
      </c>
      <c r="J18" s="269">
        <v>252950.0</v>
      </c>
      <c r="K18" s="268" t="s">
        <v>5020</v>
      </c>
      <c r="L18" s="269" t="s">
        <v>28</v>
      </c>
    </row>
    <row r="19" spans="8:8" ht="15.75" customHeight="1">
      <c r="A19" s="286"/>
      <c r="B19" s="288" t="s">
        <v>4896</v>
      </c>
      <c r="C19" s="287">
        <v>252087.0</v>
      </c>
      <c r="D19" s="288" t="s">
        <v>5012</v>
      </c>
      <c r="E19" s="287" t="s">
        <v>28</v>
      </c>
      <c r="F19" s="241" t="b">
        <v>1</v>
      </c>
      <c r="H19" s="237"/>
      <c r="I19" s="268" t="s">
        <v>3217</v>
      </c>
      <c r="J19" s="269">
        <v>252074.0</v>
      </c>
      <c r="K19" s="268" t="s">
        <v>5012</v>
      </c>
      <c r="L19" s="269" t="s">
        <v>28</v>
      </c>
    </row>
    <row r="20" spans="8:8" ht="15.75" customHeight="1">
      <c r="A20" s="286"/>
      <c r="B20" s="288" t="s">
        <v>4498</v>
      </c>
      <c r="C20" s="287">
        <v>252090.0</v>
      </c>
      <c r="D20" s="288" t="s">
        <v>5012</v>
      </c>
      <c r="E20" s="287" t="s">
        <v>28</v>
      </c>
      <c r="F20" s="241" t="b">
        <v>1</v>
      </c>
      <c r="H20" s="237"/>
      <c r="I20" s="268" t="s">
        <v>4896</v>
      </c>
      <c r="J20" s="269">
        <v>252087.0</v>
      </c>
      <c r="K20" s="268" t="s">
        <v>5012</v>
      </c>
      <c r="L20" s="269" t="s">
        <v>28</v>
      </c>
    </row>
    <row r="21" spans="8:8" ht="15.75" customHeight="1">
      <c r="A21" s="286"/>
      <c r="B21" s="288" t="s">
        <v>4422</v>
      </c>
      <c r="C21" s="287">
        <v>252110.0</v>
      </c>
      <c r="D21" s="288" t="s">
        <v>5012</v>
      </c>
      <c r="E21" s="287" t="s">
        <v>28</v>
      </c>
      <c r="F21" s="241" t="b">
        <v>1</v>
      </c>
      <c r="H21" s="237"/>
      <c r="I21" s="268" t="s">
        <v>4498</v>
      </c>
      <c r="J21" s="269">
        <v>252090.0</v>
      </c>
      <c r="K21" s="268" t="s">
        <v>5012</v>
      </c>
      <c r="L21" s="269" t="s">
        <v>28</v>
      </c>
    </row>
    <row r="22" spans="8:8" ht="15.75" customHeight="1">
      <c r="A22" s="286"/>
      <c r="B22" s="288" t="s">
        <v>2502</v>
      </c>
      <c r="C22" s="287">
        <v>252761.0</v>
      </c>
      <c r="D22" s="288" t="s">
        <v>5019</v>
      </c>
      <c r="E22" s="287" t="s">
        <v>28</v>
      </c>
      <c r="F22" s="241" t="b">
        <v>1</v>
      </c>
      <c r="H22" s="237"/>
      <c r="I22" s="268" t="s">
        <v>4422</v>
      </c>
      <c r="J22" s="269">
        <v>252110.0</v>
      </c>
      <c r="K22" s="268" t="s">
        <v>5012</v>
      </c>
      <c r="L22" s="269" t="s">
        <v>28</v>
      </c>
    </row>
    <row r="23" spans="8:8" ht="15.75" customHeight="1">
      <c r="A23" s="286"/>
      <c r="B23" s="288" t="s">
        <v>4758</v>
      </c>
      <c r="C23" s="287">
        <v>252154.0</v>
      </c>
      <c r="D23" s="288" t="s">
        <v>5021</v>
      </c>
      <c r="E23" s="287" t="s">
        <v>28</v>
      </c>
      <c r="F23" s="241" t="b">
        <v>1</v>
      </c>
      <c r="H23" s="237"/>
      <c r="I23" s="268" t="s">
        <v>2502</v>
      </c>
      <c r="J23" s="269">
        <v>252761.0</v>
      </c>
      <c r="K23" s="268" t="s">
        <v>5019</v>
      </c>
      <c r="L23" s="269" t="s">
        <v>28</v>
      </c>
    </row>
    <row r="24" spans="8:8" ht="15.75" customHeight="1">
      <c r="A24" s="286"/>
      <c r="B24" s="288" t="s">
        <v>2916</v>
      </c>
      <c r="C24" s="287">
        <v>252884.0</v>
      </c>
      <c r="D24" s="288" t="s">
        <v>4860</v>
      </c>
      <c r="E24" s="287" t="s">
        <v>28</v>
      </c>
      <c r="F24" s="241" t="b">
        <v>1</v>
      </c>
      <c r="H24" s="237"/>
      <c r="I24" s="268" t="s">
        <v>4758</v>
      </c>
      <c r="J24" s="269">
        <v>252154.0</v>
      </c>
      <c r="K24" s="288" t="s">
        <v>5021</v>
      </c>
      <c r="L24" s="269" t="s">
        <v>28</v>
      </c>
    </row>
    <row r="25" spans="8:8" ht="15.75" customHeight="1">
      <c r="A25" s="286"/>
      <c r="B25" s="288" t="s">
        <v>4959</v>
      </c>
      <c r="C25" s="287">
        <v>252945.0</v>
      </c>
      <c r="D25" s="288" t="s">
        <v>5022</v>
      </c>
      <c r="E25" s="287" t="s">
        <v>28</v>
      </c>
      <c r="F25" s="241" t="b">
        <v>1</v>
      </c>
      <c r="H25" s="237"/>
      <c r="I25" s="268" t="s">
        <v>2916</v>
      </c>
      <c r="J25" s="269">
        <v>252884.0</v>
      </c>
      <c r="K25" s="288" t="s">
        <v>4860</v>
      </c>
      <c r="L25" s="269" t="s">
        <v>28</v>
      </c>
    </row>
    <row r="26" spans="8:8" ht="15.75" customHeight="1">
      <c r="A26" s="289"/>
      <c r="B26" s="266" t="s">
        <v>4759</v>
      </c>
      <c r="C26" s="267">
        <v>251833.0</v>
      </c>
      <c r="D26" s="266" t="s">
        <v>5023</v>
      </c>
      <c r="E26" s="287" t="s">
        <v>28</v>
      </c>
      <c r="F26" s="241" t="b">
        <v>1</v>
      </c>
      <c r="H26" s="237"/>
      <c r="I26" s="268" t="s">
        <v>4959</v>
      </c>
      <c r="J26" s="269">
        <v>252945.0</v>
      </c>
      <c r="K26" s="268" t="s">
        <v>5022</v>
      </c>
      <c r="L26" s="269" t="s">
        <v>28</v>
      </c>
    </row>
    <row r="27" spans="8:8" ht="15.75" customHeight="1">
      <c r="A27" s="286"/>
      <c r="B27" s="288" t="s">
        <v>4415</v>
      </c>
      <c r="C27" s="287">
        <v>252936.0</v>
      </c>
      <c r="D27" s="288" t="s">
        <v>5011</v>
      </c>
      <c r="E27" s="287" t="s">
        <v>28</v>
      </c>
      <c r="F27" s="241" t="b">
        <v>1</v>
      </c>
      <c r="H27" s="237"/>
      <c r="I27" s="266" t="s">
        <v>4759</v>
      </c>
      <c r="J27" s="269">
        <v>251833.0</v>
      </c>
      <c r="K27" s="266" t="s">
        <v>5023</v>
      </c>
      <c r="L27" s="269" t="s">
        <v>28</v>
      </c>
    </row>
    <row r="28" spans="8:8" ht="15.75" customHeight="1">
      <c r="A28" s="286"/>
      <c r="B28" s="288" t="s">
        <v>4509</v>
      </c>
      <c r="C28" s="287">
        <v>252125.0</v>
      </c>
      <c r="D28" s="288" t="s">
        <v>5012</v>
      </c>
      <c r="E28" s="287" t="s">
        <v>28</v>
      </c>
      <c r="F28" s="241" t="b">
        <v>1</v>
      </c>
      <c r="H28" s="237"/>
      <c r="I28" s="268" t="s">
        <v>4415</v>
      </c>
      <c r="J28" s="269">
        <v>252936.0</v>
      </c>
      <c r="K28" s="268" t="s">
        <v>5011</v>
      </c>
      <c r="L28" s="269" t="s">
        <v>28</v>
      </c>
    </row>
    <row r="29" spans="8:8" ht="15.75" customHeight="1">
      <c r="A29" s="286"/>
      <c r="B29" s="288" t="s">
        <v>4421</v>
      </c>
      <c r="C29" s="287">
        <v>252127.0</v>
      </c>
      <c r="D29" s="288" t="s">
        <v>5012</v>
      </c>
      <c r="E29" s="287" t="s">
        <v>28</v>
      </c>
      <c r="F29" s="241" t="b">
        <v>1</v>
      </c>
      <c r="H29" s="237"/>
      <c r="I29" s="268" t="s">
        <v>4509</v>
      </c>
      <c r="J29" s="269">
        <v>252125.0</v>
      </c>
      <c r="K29" s="268" t="s">
        <v>5012</v>
      </c>
      <c r="L29" s="269" t="s">
        <v>28</v>
      </c>
    </row>
    <row r="30" spans="8:8" ht="15.75" customHeight="1">
      <c r="A30" s="286"/>
      <c r="B30" s="288" t="s">
        <v>4766</v>
      </c>
      <c r="C30" s="287">
        <v>252129.0</v>
      </c>
      <c r="D30" s="288" t="s">
        <v>5012</v>
      </c>
      <c r="E30" s="287" t="s">
        <v>28</v>
      </c>
      <c r="F30" s="241" t="b">
        <v>1</v>
      </c>
      <c r="H30" s="237"/>
      <c r="I30" s="268" t="s">
        <v>4421</v>
      </c>
      <c r="J30" s="269">
        <v>252127.0</v>
      </c>
      <c r="K30" s="268" t="s">
        <v>5012</v>
      </c>
      <c r="L30" s="269" t="s">
        <v>28</v>
      </c>
    </row>
    <row r="31" spans="8:8" ht="15.75" customHeight="1">
      <c r="A31" s="286"/>
      <c r="B31" s="288" t="s">
        <v>2907</v>
      </c>
      <c r="C31" s="287">
        <v>252130.0</v>
      </c>
      <c r="D31" s="288" t="s">
        <v>5012</v>
      </c>
      <c r="E31" s="287" t="s">
        <v>28</v>
      </c>
      <c r="F31" s="241" t="b">
        <v>1</v>
      </c>
      <c r="H31" s="237"/>
      <c r="I31" s="268" t="s">
        <v>4766</v>
      </c>
      <c r="J31" s="269">
        <v>252129.0</v>
      </c>
      <c r="K31" s="268" t="s">
        <v>5012</v>
      </c>
      <c r="L31" s="269" t="s">
        <v>28</v>
      </c>
    </row>
    <row r="32" spans="8:8" ht="15.75" customHeight="1">
      <c r="A32" s="286"/>
      <c r="B32" s="288" t="s">
        <v>4416</v>
      </c>
      <c r="C32" s="287">
        <v>252134.0</v>
      </c>
      <c r="D32" s="288" t="s">
        <v>5012</v>
      </c>
      <c r="E32" s="287" t="s">
        <v>28</v>
      </c>
      <c r="F32" s="241" t="b">
        <v>1</v>
      </c>
      <c r="H32" s="237"/>
      <c r="I32" s="268" t="s">
        <v>2907</v>
      </c>
      <c r="J32" s="269">
        <v>252130.0</v>
      </c>
      <c r="K32" s="268" t="s">
        <v>5012</v>
      </c>
      <c r="L32" s="269" t="s">
        <v>28</v>
      </c>
    </row>
    <row r="33" spans="8:8" ht="15.75" customHeight="1">
      <c r="A33" s="286"/>
      <c r="B33" s="288" t="s">
        <v>4417</v>
      </c>
      <c r="C33" s="287">
        <v>252141.0</v>
      </c>
      <c r="D33" s="288" t="s">
        <v>5012</v>
      </c>
      <c r="E33" s="287" t="s">
        <v>28</v>
      </c>
      <c r="F33" s="241" t="b">
        <v>1</v>
      </c>
      <c r="H33" s="237"/>
      <c r="I33" s="268" t="s">
        <v>4416</v>
      </c>
      <c r="J33" s="269">
        <v>252134.0</v>
      </c>
      <c r="K33" s="268" t="s">
        <v>5012</v>
      </c>
      <c r="L33" s="269" t="s">
        <v>28</v>
      </c>
    </row>
    <row r="34" spans="8:8" ht="15.75" customHeight="1">
      <c r="A34" s="286"/>
      <c r="B34" s="288" t="s">
        <v>4514</v>
      </c>
      <c r="C34" s="287">
        <v>252149.0</v>
      </c>
      <c r="D34" s="288" t="s">
        <v>5012</v>
      </c>
      <c r="E34" s="287" t="s">
        <v>28</v>
      </c>
      <c r="F34" s="241" t="b">
        <v>1</v>
      </c>
      <c r="H34" s="237"/>
      <c r="I34" s="268" t="s">
        <v>4417</v>
      </c>
      <c r="J34" s="269">
        <v>252141.0</v>
      </c>
      <c r="K34" s="268" t="s">
        <v>5012</v>
      </c>
      <c r="L34" s="269" t="s">
        <v>28</v>
      </c>
    </row>
    <row r="35" spans="8:8" ht="15.75" customHeight="1">
      <c r="A35" s="286"/>
      <c r="B35" s="288" t="s">
        <v>2917</v>
      </c>
      <c r="C35" s="287">
        <v>253088.0</v>
      </c>
      <c r="D35" s="288" t="s">
        <v>5022</v>
      </c>
      <c r="E35" s="287" t="s">
        <v>28</v>
      </c>
      <c r="F35" s="241" t="b">
        <v>1</v>
      </c>
      <c r="H35" s="237"/>
      <c r="I35" s="268" t="s">
        <v>4514</v>
      </c>
      <c r="J35" s="269">
        <v>252149.0</v>
      </c>
      <c r="K35" s="268" t="s">
        <v>5012</v>
      </c>
      <c r="L35" s="269" t="s">
        <v>28</v>
      </c>
    </row>
    <row r="36" spans="8:8" ht="15.75" customHeight="1">
      <c r="A36" s="286"/>
      <c r="B36" s="288" t="s">
        <v>3205</v>
      </c>
      <c r="C36" s="287">
        <v>252994.0</v>
      </c>
      <c r="D36" s="288" t="s">
        <v>5013</v>
      </c>
      <c r="E36" s="287" t="s">
        <v>28</v>
      </c>
      <c r="F36" s="241" t="b">
        <v>1</v>
      </c>
      <c r="H36" s="237"/>
      <c r="I36" s="268" t="s">
        <v>2917</v>
      </c>
      <c r="J36" s="269">
        <v>253088.0</v>
      </c>
      <c r="K36" s="268" t="s">
        <v>5022</v>
      </c>
      <c r="L36" s="269" t="s">
        <v>28</v>
      </c>
    </row>
    <row r="37" spans="8:8" ht="15.75" customHeight="1">
      <c r="A37" s="289"/>
      <c r="B37" s="266" t="s">
        <v>3206</v>
      </c>
      <c r="C37" s="267">
        <v>252581.0</v>
      </c>
      <c r="D37" s="266" t="s">
        <v>5013</v>
      </c>
      <c r="E37" s="287" t="s">
        <v>28</v>
      </c>
      <c r="F37" s="241" t="b">
        <v>1</v>
      </c>
      <c r="H37" s="237"/>
      <c r="I37" s="288" t="s">
        <v>3205</v>
      </c>
      <c r="J37" s="269">
        <v>252994.0</v>
      </c>
      <c r="K37" s="268" t="s">
        <v>5013</v>
      </c>
      <c r="L37" s="269" t="s">
        <v>28</v>
      </c>
    </row>
    <row r="38" spans="8:8" ht="15.75" customHeight="1">
      <c r="A38" s="286"/>
      <c r="B38" s="288" t="s">
        <v>4674</v>
      </c>
      <c r="C38" s="287">
        <v>252861.0</v>
      </c>
      <c r="D38" s="288" t="s">
        <v>5024</v>
      </c>
      <c r="E38" s="287" t="s">
        <v>28</v>
      </c>
      <c r="F38" s="241" t="b">
        <v>1</v>
      </c>
      <c r="H38" s="237"/>
      <c r="I38" s="268" t="s">
        <v>3206</v>
      </c>
      <c r="J38" s="269">
        <v>252581.0</v>
      </c>
      <c r="K38" s="268" t="s">
        <v>5013</v>
      </c>
      <c r="L38" s="269" t="s">
        <v>28</v>
      </c>
    </row>
    <row r="39" spans="8:8" ht="15.75" customHeight="1">
      <c r="A39" s="286"/>
      <c r="B39" s="288" t="s">
        <v>5025</v>
      </c>
      <c r="C39" s="287">
        <v>253167.0</v>
      </c>
      <c r="D39" s="288" t="s">
        <v>4860</v>
      </c>
      <c r="E39" s="287" t="s">
        <v>28</v>
      </c>
      <c r="F39" s="241" t="b">
        <v>1</v>
      </c>
      <c r="H39" s="237"/>
      <c r="I39" s="268" t="s">
        <v>4674</v>
      </c>
      <c r="J39" s="269">
        <v>252861.0</v>
      </c>
      <c r="K39" s="268" t="s">
        <v>5024</v>
      </c>
      <c r="L39" s="269" t="s">
        <v>28</v>
      </c>
    </row>
    <row r="40" spans="8:8" ht="15.75" customHeight="1">
      <c r="A40" s="286"/>
      <c r="B40" s="288" t="s">
        <v>2919</v>
      </c>
      <c r="C40" s="287">
        <v>252961.0</v>
      </c>
      <c r="D40" s="288" t="s">
        <v>5011</v>
      </c>
      <c r="E40" s="287" t="s">
        <v>28</v>
      </c>
      <c r="F40" s="241" t="b">
        <v>1</v>
      </c>
      <c r="H40" s="237"/>
      <c r="I40" s="290" t="s">
        <v>5025</v>
      </c>
      <c r="J40" s="291">
        <v>253167.0</v>
      </c>
      <c r="K40" s="292" t="s">
        <v>4860</v>
      </c>
      <c r="L40" s="293" t="s">
        <v>28</v>
      </c>
    </row>
    <row r="41" spans="8:8" ht="15.75" customHeight="1">
      <c r="A41" s="286"/>
      <c r="B41" s="288" t="s">
        <v>2913</v>
      </c>
      <c r="C41" s="287">
        <v>252347.0</v>
      </c>
      <c r="D41" s="288" t="s">
        <v>5011</v>
      </c>
      <c r="E41" s="287" t="s">
        <v>28</v>
      </c>
      <c r="F41" s="241" t="b">
        <v>1</v>
      </c>
      <c r="H41" s="237"/>
      <c r="I41" s="268" t="s">
        <v>2919</v>
      </c>
      <c r="J41" s="269">
        <v>252961.0</v>
      </c>
      <c r="K41" s="268" t="s">
        <v>5011</v>
      </c>
      <c r="L41" s="269" t="s">
        <v>28</v>
      </c>
    </row>
    <row r="42" spans="8:8" ht="15.75" customHeight="1">
      <c r="A42" s="286"/>
      <c r="B42" s="288" t="s">
        <v>5026</v>
      </c>
      <c r="C42" s="287">
        <v>252348.0</v>
      </c>
      <c r="D42" s="288" t="s">
        <v>5011</v>
      </c>
      <c r="E42" s="287" t="s">
        <v>28</v>
      </c>
      <c r="F42" s="241" t="b">
        <v>1</v>
      </c>
      <c r="H42" s="237"/>
      <c r="I42" s="268" t="s">
        <v>2913</v>
      </c>
      <c r="J42" s="269">
        <v>252347.0</v>
      </c>
      <c r="K42" s="268" t="s">
        <v>5011</v>
      </c>
      <c r="L42" s="269" t="s">
        <v>28</v>
      </c>
    </row>
    <row r="43" spans="8:8" ht="15.75" customHeight="1">
      <c r="A43" s="286"/>
      <c r="B43" s="288" t="s">
        <v>5027</v>
      </c>
      <c r="C43" s="287">
        <v>252953.0</v>
      </c>
      <c r="D43" s="288" t="s">
        <v>5028</v>
      </c>
      <c r="E43" s="287" t="s">
        <v>28</v>
      </c>
      <c r="F43" s="241" t="b">
        <v>1</v>
      </c>
      <c r="H43" s="237"/>
      <c r="I43" s="268" t="s">
        <v>5026</v>
      </c>
      <c r="J43" s="269">
        <v>252348.0</v>
      </c>
      <c r="K43" s="268" t="s">
        <v>5011</v>
      </c>
      <c r="L43" s="269" t="s">
        <v>28</v>
      </c>
    </row>
    <row r="44" spans="8:8" ht="15.75" customHeight="1">
      <c r="A44" s="286"/>
      <c r="B44" s="288" t="s">
        <v>3207</v>
      </c>
      <c r="C44" s="287">
        <v>252471.0</v>
      </c>
      <c r="D44" s="288" t="s">
        <v>5011</v>
      </c>
      <c r="E44" s="287" t="s">
        <v>28</v>
      </c>
      <c r="F44" s="241" t="b">
        <v>1</v>
      </c>
      <c r="H44" s="237"/>
      <c r="I44" s="268" t="s">
        <v>5027</v>
      </c>
      <c r="J44" s="269">
        <v>252953.0</v>
      </c>
      <c r="K44" s="288" t="s">
        <v>5028</v>
      </c>
      <c r="L44" s="269" t="s">
        <v>28</v>
      </c>
    </row>
    <row r="45" spans="8:8" ht="15.75" customHeight="1">
      <c r="A45" s="286"/>
      <c r="B45" s="288" t="s">
        <v>3208</v>
      </c>
      <c r="C45" s="287">
        <v>252444.0</v>
      </c>
      <c r="D45" s="288" t="s">
        <v>5011</v>
      </c>
      <c r="E45" s="287" t="s">
        <v>28</v>
      </c>
      <c r="F45" s="241" t="b">
        <v>1</v>
      </c>
      <c r="H45" s="237"/>
      <c r="I45" s="268" t="s">
        <v>3207</v>
      </c>
      <c r="J45" s="269">
        <v>252471.0</v>
      </c>
      <c r="K45" s="268" t="s">
        <v>5011</v>
      </c>
      <c r="L45" s="269" t="s">
        <v>28</v>
      </c>
    </row>
    <row r="46" spans="8:8" ht="15.75" customHeight="1">
      <c r="A46" s="286"/>
      <c r="B46" s="288" t="s">
        <v>4675</v>
      </c>
      <c r="C46" s="287">
        <v>252485.0</v>
      </c>
      <c r="D46" s="288" t="s">
        <v>5029</v>
      </c>
      <c r="E46" s="287" t="s">
        <v>28</v>
      </c>
      <c r="F46" s="241" t="b">
        <v>1</v>
      </c>
      <c r="H46" s="237"/>
      <c r="I46" s="268" t="s">
        <v>3208</v>
      </c>
      <c r="J46" s="269">
        <v>252444.0</v>
      </c>
      <c r="K46" s="268" t="s">
        <v>5011</v>
      </c>
      <c r="L46" s="269" t="s">
        <v>28</v>
      </c>
    </row>
    <row r="47" spans="8:8" ht="15.75" customHeight="1">
      <c r="A47" s="286"/>
      <c r="B47" s="288" t="s">
        <v>3209</v>
      </c>
      <c r="C47" s="287">
        <v>252750.0</v>
      </c>
      <c r="D47" s="288" t="s">
        <v>5019</v>
      </c>
      <c r="E47" s="287" t="s">
        <v>28</v>
      </c>
      <c r="F47" s="241" t="b">
        <v>1</v>
      </c>
      <c r="H47" s="237"/>
      <c r="I47" s="268" t="s">
        <v>4675</v>
      </c>
      <c r="J47" s="269">
        <v>252485.0</v>
      </c>
      <c r="K47" s="268" t="s">
        <v>5029</v>
      </c>
      <c r="L47" s="269" t="s">
        <v>28</v>
      </c>
    </row>
    <row r="48" spans="8:8" ht="15.75" customHeight="1">
      <c r="A48" s="286"/>
      <c r="B48" s="288" t="s">
        <v>4676</v>
      </c>
      <c r="C48" s="287">
        <v>252757.0</v>
      </c>
      <c r="D48" s="288" t="s">
        <v>5022</v>
      </c>
      <c r="E48" s="287" t="s">
        <v>28</v>
      </c>
      <c r="F48" s="241" t="b">
        <v>1</v>
      </c>
      <c r="H48" s="237"/>
      <c r="I48" s="268" t="s">
        <v>3209</v>
      </c>
      <c r="J48" s="269">
        <v>252750.0</v>
      </c>
      <c r="K48" s="268" t="s">
        <v>5019</v>
      </c>
      <c r="L48" s="269" t="s">
        <v>28</v>
      </c>
    </row>
    <row r="49" spans="8:8" ht="15.75" customHeight="1">
      <c r="A49" s="289"/>
      <c r="B49" s="266" t="s">
        <v>2915</v>
      </c>
      <c r="C49" s="267">
        <v>253089.0</v>
      </c>
      <c r="D49" s="266" t="s">
        <v>5020</v>
      </c>
      <c r="E49" s="287" t="s">
        <v>28</v>
      </c>
      <c r="F49" s="241" t="b">
        <v>1</v>
      </c>
      <c r="H49" s="237"/>
      <c r="I49" s="268" t="s">
        <v>4676</v>
      </c>
      <c r="J49" s="269">
        <v>252757.0</v>
      </c>
      <c r="K49" s="268" t="s">
        <v>5022</v>
      </c>
      <c r="L49" s="269" t="s">
        <v>28</v>
      </c>
    </row>
    <row r="50" spans="8:8" ht="15.75" customHeight="1">
      <c r="A50" s="286"/>
      <c r="B50" s="288" t="s">
        <v>3210</v>
      </c>
      <c r="C50" s="287">
        <v>252836.0</v>
      </c>
      <c r="D50" s="288" t="s">
        <v>5029</v>
      </c>
      <c r="E50" s="287" t="s">
        <v>28</v>
      </c>
      <c r="F50" s="241" t="b">
        <v>1</v>
      </c>
      <c r="H50" s="237"/>
      <c r="I50" s="268" t="s">
        <v>2915</v>
      </c>
      <c r="J50" s="269">
        <v>253089.0</v>
      </c>
      <c r="K50" s="268" t="s">
        <v>5020</v>
      </c>
      <c r="L50" s="269" t="s">
        <v>28</v>
      </c>
    </row>
    <row r="51" spans="8:8" ht="15.75" customHeight="1">
      <c r="A51" s="286"/>
      <c r="B51" s="288" t="s">
        <v>4026</v>
      </c>
      <c r="C51" s="287">
        <v>252536.0</v>
      </c>
      <c r="D51" s="288" t="s">
        <v>5029</v>
      </c>
      <c r="E51" s="287" t="s">
        <v>28</v>
      </c>
      <c r="F51" s="241" t="b">
        <v>1</v>
      </c>
      <c r="H51" s="237"/>
      <c r="I51" s="268" t="s">
        <v>3210</v>
      </c>
      <c r="J51" s="269">
        <v>252836.0</v>
      </c>
      <c r="K51" s="268" t="s">
        <v>5029</v>
      </c>
      <c r="L51" s="269" t="s">
        <v>28</v>
      </c>
    </row>
    <row r="52" spans="8:8" ht="15.75" customHeight="1">
      <c r="A52" s="286"/>
      <c r="B52" s="288" t="s">
        <v>4616</v>
      </c>
      <c r="C52" s="287">
        <v>252737.0</v>
      </c>
      <c r="D52" s="288" t="s">
        <v>5019</v>
      </c>
      <c r="E52" s="287" t="s">
        <v>28</v>
      </c>
      <c r="F52" s="241" t="b">
        <v>1</v>
      </c>
      <c r="H52" s="237"/>
      <c r="I52" s="268" t="s">
        <v>4026</v>
      </c>
      <c r="J52" s="269">
        <v>252536.0</v>
      </c>
      <c r="K52" s="268" t="s">
        <v>5029</v>
      </c>
      <c r="L52" s="269" t="s">
        <v>28</v>
      </c>
    </row>
    <row r="53" spans="8:8" ht="15.75" customHeight="1">
      <c r="A53" s="286"/>
      <c r="B53" s="288" t="s">
        <v>4638</v>
      </c>
      <c r="C53" s="287">
        <v>253067.0</v>
      </c>
      <c r="D53" s="288" t="s">
        <v>5030</v>
      </c>
      <c r="E53" s="287" t="s">
        <v>28</v>
      </c>
      <c r="F53" s="241" t="b">
        <v>1</v>
      </c>
      <c r="H53" s="237"/>
      <c r="I53" s="268" t="s">
        <v>4616</v>
      </c>
      <c r="J53" s="269">
        <v>252737.0</v>
      </c>
      <c r="K53" s="268" t="s">
        <v>5019</v>
      </c>
      <c r="L53" s="269" t="s">
        <v>28</v>
      </c>
    </row>
    <row r="54" spans="8:8" ht="15.75" customHeight="1">
      <c r="A54" s="286"/>
      <c r="B54" s="288" t="s">
        <v>5031</v>
      </c>
      <c r="C54" s="287">
        <v>252511.0</v>
      </c>
      <c r="D54" s="288" t="s">
        <v>5032</v>
      </c>
      <c r="E54" s="287" t="s">
        <v>28</v>
      </c>
      <c r="F54" s="241" t="b">
        <v>1</v>
      </c>
      <c r="H54" s="237"/>
      <c r="I54" s="268" t="s">
        <v>4638</v>
      </c>
      <c r="J54" s="269">
        <v>253067.0</v>
      </c>
      <c r="K54" s="268" t="s">
        <v>5030</v>
      </c>
      <c r="L54" s="269" t="s">
        <v>28</v>
      </c>
    </row>
    <row r="55" spans="8:8" ht="15.75" customHeight="1">
      <c r="A55" s="286"/>
      <c r="B55" s="288" t="s">
        <v>4639</v>
      </c>
      <c r="C55" s="287">
        <v>252943.0</v>
      </c>
      <c r="D55" s="288" t="s">
        <v>5029</v>
      </c>
      <c r="E55" s="287" t="s">
        <v>28</v>
      </c>
      <c r="F55" s="241" t="b">
        <v>1</v>
      </c>
      <c r="H55" s="237"/>
      <c r="I55" s="268" t="s">
        <v>5031</v>
      </c>
      <c r="J55" s="269">
        <v>252511.0</v>
      </c>
      <c r="K55" s="288" t="s">
        <v>5032</v>
      </c>
      <c r="L55" s="269" t="s">
        <v>28</v>
      </c>
    </row>
    <row r="56" spans="8:8" ht="15.75" customHeight="1">
      <c r="A56" s="286"/>
      <c r="B56" s="288" t="s">
        <v>4640</v>
      </c>
      <c r="C56" s="287">
        <v>252554.0</v>
      </c>
      <c r="D56" s="288" t="s">
        <v>5029</v>
      </c>
      <c r="E56" s="287" t="s">
        <v>28</v>
      </c>
      <c r="F56" s="241" t="b">
        <v>1</v>
      </c>
      <c r="H56" s="237"/>
      <c r="I56" s="268" t="s">
        <v>4639</v>
      </c>
      <c r="J56" s="269">
        <v>252943.0</v>
      </c>
      <c r="K56" s="268" t="s">
        <v>5029</v>
      </c>
      <c r="L56" s="269" t="s">
        <v>28</v>
      </c>
    </row>
    <row r="57" spans="8:8" ht="15.75" customHeight="1">
      <c r="A57" s="286"/>
      <c r="B57" s="288" t="s">
        <v>5033</v>
      </c>
      <c r="C57" s="287">
        <v>252550.0</v>
      </c>
      <c r="D57" s="288" t="s">
        <v>5029</v>
      </c>
      <c r="E57" s="287" t="s">
        <v>28</v>
      </c>
      <c r="F57" s="241" t="b">
        <v>1</v>
      </c>
      <c r="H57" s="237"/>
      <c r="I57" s="268" t="s">
        <v>4640</v>
      </c>
      <c r="J57" s="269">
        <v>252554.0</v>
      </c>
      <c r="K57" s="268" t="s">
        <v>5029</v>
      </c>
      <c r="L57" s="269" t="s">
        <v>28</v>
      </c>
    </row>
    <row r="58" spans="8:8" ht="15.75" customHeight="1">
      <c r="A58" s="286"/>
      <c r="B58" s="288" t="s">
        <v>2489</v>
      </c>
      <c r="C58" s="267">
        <v>252089.0</v>
      </c>
      <c r="D58" s="266" t="s">
        <v>5034</v>
      </c>
      <c r="E58" s="287" t="s">
        <v>28</v>
      </c>
      <c r="F58" s="241" t="b">
        <v>1</v>
      </c>
      <c r="H58" s="237"/>
      <c r="I58" s="268" t="s">
        <v>5033</v>
      </c>
      <c r="J58" s="269">
        <v>252550.0</v>
      </c>
      <c r="K58" s="268" t="s">
        <v>5029</v>
      </c>
      <c r="L58" s="269" t="s">
        <v>28</v>
      </c>
    </row>
    <row r="59" spans="8:8" ht="15.75" customHeight="1">
      <c r="A59" s="286"/>
      <c r="B59" s="288" t="s">
        <v>4615</v>
      </c>
      <c r="C59" s="287">
        <v>252002.0</v>
      </c>
      <c r="D59" s="266" t="s">
        <v>5035</v>
      </c>
      <c r="E59" s="287" t="s">
        <v>28</v>
      </c>
      <c r="F59" s="241" t="b">
        <v>1</v>
      </c>
      <c r="H59" s="237"/>
      <c r="I59" s="288" t="s">
        <v>2489</v>
      </c>
      <c r="J59" s="269">
        <v>252089.0</v>
      </c>
      <c r="K59" s="268" t="s">
        <v>5034</v>
      </c>
      <c r="L59" s="269" t="s">
        <v>28</v>
      </c>
    </row>
    <row r="60" spans="8:8" ht="15.75" customHeight="1">
      <c r="A60" s="286"/>
      <c r="B60" s="288" t="s">
        <v>4617</v>
      </c>
      <c r="C60" s="287">
        <v>251936.0</v>
      </c>
      <c r="D60" s="266" t="s">
        <v>5035</v>
      </c>
      <c r="E60" s="287" t="s">
        <v>28</v>
      </c>
      <c r="F60" s="241" t="b">
        <v>1</v>
      </c>
      <c r="H60" s="237"/>
      <c r="I60" s="268" t="s">
        <v>4615</v>
      </c>
      <c r="J60" s="269">
        <v>252002.0</v>
      </c>
      <c r="K60" s="268" t="s">
        <v>5035</v>
      </c>
      <c r="L60" s="269" t="s">
        <v>28</v>
      </c>
    </row>
    <row r="61" spans="8:8" ht="15.75" customHeight="1">
      <c r="A61" s="286"/>
      <c r="B61" s="288" t="s">
        <v>2923</v>
      </c>
      <c r="C61" s="287">
        <v>252575.0</v>
      </c>
      <c r="D61" s="288" t="s">
        <v>5029</v>
      </c>
      <c r="E61" s="287" t="s">
        <v>28</v>
      </c>
      <c r="F61" s="241" t="b">
        <v>1</v>
      </c>
      <c r="H61" s="237"/>
      <c r="I61" s="288" t="s">
        <v>4617</v>
      </c>
      <c r="J61" s="269">
        <v>251936.0</v>
      </c>
      <c r="K61" s="268" t="s">
        <v>5035</v>
      </c>
      <c r="L61" s="269" t="s">
        <v>28</v>
      </c>
    </row>
    <row r="62" spans="8:8" ht="15.75" customHeight="1">
      <c r="A62" s="286"/>
      <c r="B62" s="288" t="s">
        <v>4611</v>
      </c>
      <c r="C62" s="287">
        <v>252579.0</v>
      </c>
      <c r="D62" s="288" t="s">
        <v>5029</v>
      </c>
      <c r="E62" s="287" t="s">
        <v>28</v>
      </c>
      <c r="F62" s="241" t="b">
        <v>1</v>
      </c>
      <c r="H62" s="237"/>
      <c r="I62" s="268" t="s">
        <v>2923</v>
      </c>
      <c r="J62" s="269">
        <v>252575.0</v>
      </c>
      <c r="K62" s="268" t="s">
        <v>5029</v>
      </c>
      <c r="L62" s="269" t="s">
        <v>28</v>
      </c>
    </row>
    <row r="63" spans="8:8" ht="15.75" customHeight="1">
      <c r="A63" s="286"/>
      <c r="B63" s="288" t="s">
        <v>2896</v>
      </c>
      <c r="C63" s="287">
        <v>252989.0</v>
      </c>
      <c r="D63" s="288" t="s">
        <v>5029</v>
      </c>
      <c r="E63" s="287" t="s">
        <v>28</v>
      </c>
      <c r="F63" s="241" t="b">
        <v>1</v>
      </c>
      <c r="H63" s="237"/>
      <c r="I63" s="268" t="s">
        <v>4611</v>
      </c>
      <c r="J63" s="269">
        <v>252579.0</v>
      </c>
      <c r="K63" s="268" t="s">
        <v>5029</v>
      </c>
      <c r="L63" s="269" t="s">
        <v>28</v>
      </c>
    </row>
    <row r="64" spans="8:8" ht="15.75" customHeight="1">
      <c r="A64" s="286"/>
      <c r="B64" s="288" t="s">
        <v>2490</v>
      </c>
      <c r="C64" s="287">
        <v>252593.0</v>
      </c>
      <c r="D64" s="288" t="s">
        <v>5029</v>
      </c>
      <c r="E64" s="287" t="s">
        <v>28</v>
      </c>
      <c r="F64" s="241" t="b">
        <v>1</v>
      </c>
      <c r="H64" s="237"/>
      <c r="I64" s="268" t="s">
        <v>2896</v>
      </c>
      <c r="J64" s="269">
        <v>252989.0</v>
      </c>
      <c r="K64" s="268" t="s">
        <v>5029</v>
      </c>
      <c r="L64" s="269" t="s">
        <v>28</v>
      </c>
    </row>
    <row r="65" spans="8:8" ht="15.75" customHeight="1">
      <c r="A65" s="286"/>
      <c r="B65" s="288" t="s">
        <v>2955</v>
      </c>
      <c r="C65" s="287">
        <v>252597.0</v>
      </c>
      <c r="D65" s="288" t="s">
        <v>5029</v>
      </c>
      <c r="E65" s="287" t="s">
        <v>28</v>
      </c>
      <c r="F65" s="241" t="b">
        <v>1</v>
      </c>
      <c r="H65" s="237"/>
      <c r="I65" s="268" t="s">
        <v>2490</v>
      </c>
      <c r="J65" s="269">
        <v>252593.0</v>
      </c>
      <c r="K65" s="268" t="s">
        <v>5029</v>
      </c>
      <c r="L65" s="269" t="s">
        <v>28</v>
      </c>
    </row>
    <row r="66" spans="8:8" ht="15.75" customHeight="1">
      <c r="A66" s="286"/>
      <c r="B66" s="288" t="s">
        <v>2491</v>
      </c>
      <c r="C66" s="287">
        <v>252608.0</v>
      </c>
      <c r="D66" s="288" t="s">
        <v>5029</v>
      </c>
      <c r="E66" s="287" t="s">
        <v>28</v>
      </c>
      <c r="F66" s="241" t="b">
        <v>0</v>
      </c>
      <c r="H66" s="237"/>
      <c r="I66" s="268" t="s">
        <v>2955</v>
      </c>
      <c r="J66" s="269">
        <v>252597.0</v>
      </c>
      <c r="K66" s="268" t="s">
        <v>5029</v>
      </c>
      <c r="L66" s="269" t="s">
        <v>28</v>
      </c>
    </row>
    <row r="67" spans="8:8" ht="15.75" customHeight="1">
      <c r="A67" s="286"/>
      <c r="B67" s="288" t="s">
        <v>4636</v>
      </c>
      <c r="C67" s="287">
        <v>253040.0</v>
      </c>
      <c r="D67" s="288" t="s">
        <v>5013</v>
      </c>
      <c r="E67" s="287" t="s">
        <v>28</v>
      </c>
      <c r="F67" s="241" t="b">
        <v>1</v>
      </c>
      <c r="H67" s="237"/>
      <c r="I67" s="268" t="s">
        <v>2491</v>
      </c>
      <c r="J67" s="269">
        <v>252608.0</v>
      </c>
      <c r="K67" s="268" t="s">
        <v>5029</v>
      </c>
      <c r="L67" s="269" t="s">
        <v>28</v>
      </c>
    </row>
    <row r="68" spans="8:8" ht="15.75" customHeight="1">
      <c r="A68" s="286"/>
      <c r="B68" s="288" t="s">
        <v>4637</v>
      </c>
      <c r="C68" s="287">
        <v>252653.0</v>
      </c>
      <c r="D68" s="288" t="s">
        <v>5036</v>
      </c>
      <c r="E68" s="287" t="s">
        <v>28</v>
      </c>
      <c r="F68" s="241" t="b">
        <v>1</v>
      </c>
      <c r="H68" s="237"/>
      <c r="I68" s="268" t="s">
        <v>4636</v>
      </c>
      <c r="J68" s="269">
        <v>253040.0</v>
      </c>
      <c r="K68" s="268" t="s">
        <v>5013</v>
      </c>
      <c r="L68" s="269" t="s">
        <v>28</v>
      </c>
    </row>
    <row r="69" spans="8:8" ht="15.75" customHeight="1">
      <c r="A69" s="289"/>
      <c r="B69" s="266" t="s">
        <v>2909</v>
      </c>
      <c r="C69" s="267">
        <v>253020.0</v>
      </c>
      <c r="D69" s="266" t="s">
        <v>5037</v>
      </c>
      <c r="E69" s="287" t="s">
        <v>28</v>
      </c>
      <c r="F69" s="241" t="b">
        <v>1</v>
      </c>
      <c r="H69" s="237"/>
      <c r="I69" s="288" t="s">
        <v>4637</v>
      </c>
      <c r="J69" s="269">
        <v>252653.0</v>
      </c>
      <c r="K69" s="268" t="s">
        <v>5036</v>
      </c>
      <c r="L69" s="269" t="s">
        <v>28</v>
      </c>
    </row>
    <row r="70" spans="8:8" ht="15.75" customHeight="1">
      <c r="A70" s="289"/>
      <c r="B70" s="266" t="s">
        <v>2924</v>
      </c>
      <c r="C70" s="267">
        <v>252998.0</v>
      </c>
      <c r="D70" s="266" t="s">
        <v>5037</v>
      </c>
      <c r="E70" s="287" t="s">
        <v>28</v>
      </c>
      <c r="F70" s="241" t="b">
        <v>1</v>
      </c>
      <c r="H70" s="237"/>
      <c r="I70" s="268" t="s">
        <v>2909</v>
      </c>
      <c r="J70" s="269">
        <v>253020.0</v>
      </c>
      <c r="K70" s="268" t="s">
        <v>5037</v>
      </c>
      <c r="L70" s="269" t="s">
        <v>28</v>
      </c>
    </row>
    <row r="71" spans="8:8" ht="15.75" customHeight="1">
      <c r="A71" s="289"/>
      <c r="B71" s="266" t="s">
        <v>2492</v>
      </c>
      <c r="C71" s="267">
        <v>252793.0</v>
      </c>
      <c r="D71" s="266" t="s">
        <v>5038</v>
      </c>
      <c r="E71" s="287" t="s">
        <v>28</v>
      </c>
      <c r="F71" s="241" t="b">
        <v>1</v>
      </c>
      <c r="H71" s="237"/>
      <c r="I71" s="268" t="s">
        <v>2924</v>
      </c>
      <c r="J71" s="269">
        <v>252998.0</v>
      </c>
      <c r="K71" s="268" t="s">
        <v>5037</v>
      </c>
      <c r="L71" s="269" t="s">
        <v>28</v>
      </c>
    </row>
    <row r="72" spans="8:8" ht="15.75" customHeight="1">
      <c r="A72" s="286"/>
      <c r="B72" s="288" t="s">
        <v>2493</v>
      </c>
      <c r="C72" s="287">
        <v>252647.0</v>
      </c>
      <c r="D72" s="288" t="s">
        <v>5038</v>
      </c>
      <c r="E72" s="287" t="s">
        <v>28</v>
      </c>
      <c r="F72" s="241" t="b">
        <v>1</v>
      </c>
      <c r="H72" s="237"/>
      <c r="I72" s="294" t="s">
        <v>2492</v>
      </c>
      <c r="J72" s="291">
        <v>252793.0</v>
      </c>
      <c r="K72" s="292" t="s">
        <v>5038</v>
      </c>
      <c r="L72" s="293" t="s">
        <v>28</v>
      </c>
    </row>
    <row r="73" spans="8:8" ht="15.75" customHeight="1">
      <c r="A73" s="286"/>
      <c r="B73" s="288" t="s">
        <v>2494</v>
      </c>
      <c r="C73" s="287">
        <v>252642.0</v>
      </c>
      <c r="D73" s="288" t="s">
        <v>5038</v>
      </c>
      <c r="E73" s="287" t="s">
        <v>28</v>
      </c>
      <c r="F73" s="241" t="b">
        <v>1</v>
      </c>
      <c r="H73" s="237"/>
      <c r="I73" s="268" t="s">
        <v>2493</v>
      </c>
      <c r="J73" s="269">
        <v>252647.0</v>
      </c>
      <c r="K73" s="268" t="s">
        <v>5038</v>
      </c>
      <c r="L73" s="269" t="s">
        <v>28</v>
      </c>
    </row>
    <row r="74" spans="8:8" ht="15.75" customHeight="1">
      <c r="A74" s="286"/>
      <c r="B74" s="288" t="s">
        <v>2925</v>
      </c>
      <c r="C74" s="287">
        <v>252658.0</v>
      </c>
      <c r="D74" s="288" t="s">
        <v>5038</v>
      </c>
      <c r="E74" s="287" t="s">
        <v>28</v>
      </c>
      <c r="F74" s="241" t="b">
        <v>1</v>
      </c>
      <c r="H74" s="237"/>
      <c r="I74" s="268" t="s">
        <v>2494</v>
      </c>
      <c r="J74" s="269">
        <v>252642.0</v>
      </c>
      <c r="K74" s="268" t="s">
        <v>5038</v>
      </c>
      <c r="L74" s="269" t="s">
        <v>28</v>
      </c>
    </row>
    <row r="75" spans="8:8" ht="15.75" customHeight="1">
      <c r="A75" s="286"/>
      <c r="B75" s="288" t="s">
        <v>2495</v>
      </c>
      <c r="C75" s="287">
        <v>252660.0</v>
      </c>
      <c r="D75" s="288" t="s">
        <v>5038</v>
      </c>
      <c r="E75" s="287" t="s">
        <v>28</v>
      </c>
      <c r="F75" s="241" t="b">
        <v>1</v>
      </c>
      <c r="H75" s="237"/>
      <c r="I75" s="268" t="s">
        <v>2925</v>
      </c>
      <c r="J75" s="269">
        <v>252658.0</v>
      </c>
      <c r="K75" s="268" t="s">
        <v>5038</v>
      </c>
      <c r="L75" s="269" t="s">
        <v>28</v>
      </c>
    </row>
    <row r="76" spans="8:8" ht="15.75" customHeight="1">
      <c r="A76" s="286"/>
      <c r="B76" s="288" t="s">
        <v>2496</v>
      </c>
      <c r="C76" s="287">
        <v>252637.0</v>
      </c>
      <c r="D76" s="288" t="s">
        <v>5038</v>
      </c>
      <c r="E76" s="287" t="s">
        <v>28</v>
      </c>
      <c r="F76" s="241" t="b">
        <v>1</v>
      </c>
      <c r="H76" s="237"/>
      <c r="I76" s="268" t="s">
        <v>2495</v>
      </c>
      <c r="J76" s="269">
        <v>252660.0</v>
      </c>
      <c r="K76" s="268" t="s">
        <v>5038</v>
      </c>
      <c r="L76" s="269" t="s">
        <v>28</v>
      </c>
    </row>
    <row r="77" spans="8:8" ht="15.75" customHeight="1">
      <c r="A77" s="286"/>
      <c r="B77" s="288" t="s">
        <v>5039</v>
      </c>
      <c r="C77" s="287">
        <v>252663.0</v>
      </c>
      <c r="D77" s="288" t="s">
        <v>5038</v>
      </c>
      <c r="E77" s="287" t="s">
        <v>28</v>
      </c>
      <c r="F77" s="241" t="b">
        <v>1</v>
      </c>
      <c r="H77" s="237"/>
      <c r="I77" s="268" t="s">
        <v>2496</v>
      </c>
      <c r="J77" s="269">
        <v>252637.0</v>
      </c>
      <c r="K77" s="268" t="s">
        <v>5038</v>
      </c>
      <c r="L77" s="269" t="s">
        <v>28</v>
      </c>
    </row>
    <row r="78" spans="8:8" ht="15.75" customHeight="1">
      <c r="A78" s="286"/>
      <c r="B78" s="288" t="s">
        <v>2505</v>
      </c>
      <c r="C78" s="287">
        <v>252666.0</v>
      </c>
      <c r="D78" s="288" t="s">
        <v>5038</v>
      </c>
      <c r="E78" s="287" t="s">
        <v>28</v>
      </c>
      <c r="F78" s="241" t="b">
        <v>1</v>
      </c>
      <c r="H78" s="237"/>
      <c r="I78" s="268" t="s">
        <v>5039</v>
      </c>
      <c r="J78" s="269">
        <v>252663.0</v>
      </c>
      <c r="K78" s="268" t="s">
        <v>5038</v>
      </c>
      <c r="L78" s="269" t="s">
        <v>28</v>
      </c>
    </row>
    <row r="79" spans="8:8" ht="15.75" customHeight="1">
      <c r="A79" s="286"/>
      <c r="B79" s="288" t="s">
        <v>2506</v>
      </c>
      <c r="C79" s="287">
        <v>252670.0</v>
      </c>
      <c r="D79" s="288" t="s">
        <v>5038</v>
      </c>
      <c r="E79" s="287" t="s">
        <v>28</v>
      </c>
      <c r="F79" s="241" t="b">
        <v>1</v>
      </c>
      <c r="H79" s="237"/>
      <c r="I79" s="268" t="s">
        <v>2505</v>
      </c>
      <c r="J79" s="269">
        <v>252666.0</v>
      </c>
      <c r="K79" s="268" t="s">
        <v>5038</v>
      </c>
      <c r="L79" s="269" t="s">
        <v>28</v>
      </c>
    </row>
    <row r="80" spans="8:8" ht="15.75" customHeight="1">
      <c r="A80" s="286"/>
      <c r="B80" s="288" t="s">
        <v>2507</v>
      </c>
      <c r="C80" s="287">
        <v>252854.0</v>
      </c>
      <c r="D80" s="288" t="s">
        <v>5038</v>
      </c>
      <c r="E80" s="287" t="s">
        <v>28</v>
      </c>
      <c r="F80" s="241" t="b">
        <v>1</v>
      </c>
      <c r="H80" s="237"/>
      <c r="I80" s="268" t="s">
        <v>2506</v>
      </c>
      <c r="J80" s="269">
        <v>252670.0</v>
      </c>
      <c r="K80" s="268" t="s">
        <v>5038</v>
      </c>
      <c r="L80" s="269" t="s">
        <v>28</v>
      </c>
    </row>
    <row r="81" spans="8:8" ht="15.75" customHeight="1">
      <c r="A81" s="286"/>
      <c r="B81" s="288" t="s">
        <v>4635</v>
      </c>
      <c r="C81" s="287">
        <v>252673.0</v>
      </c>
      <c r="D81" s="288" t="s">
        <v>5038</v>
      </c>
      <c r="E81" s="287" t="s">
        <v>28</v>
      </c>
      <c r="F81" s="241" t="b">
        <v>1</v>
      </c>
      <c r="H81" s="237"/>
      <c r="I81" s="268" t="s">
        <v>2507</v>
      </c>
      <c r="J81" s="269">
        <v>252854.0</v>
      </c>
      <c r="K81" s="268" t="s">
        <v>5038</v>
      </c>
      <c r="L81" s="269" t="s">
        <v>28</v>
      </c>
    </row>
    <row r="82" spans="8:8" ht="15.75" customHeight="1">
      <c r="A82" s="286"/>
      <c r="B82" s="288" t="s">
        <v>2908</v>
      </c>
      <c r="C82" s="287">
        <v>252675.0</v>
      </c>
      <c r="D82" s="288" t="s">
        <v>5038</v>
      </c>
      <c r="E82" s="287" t="s">
        <v>28</v>
      </c>
      <c r="F82" s="241" t="b">
        <v>1</v>
      </c>
      <c r="H82" s="237"/>
      <c r="I82" s="268" t="s">
        <v>4635</v>
      </c>
      <c r="J82" s="269">
        <v>252673.0</v>
      </c>
      <c r="K82" s="268" t="s">
        <v>5038</v>
      </c>
      <c r="L82" s="269" t="s">
        <v>28</v>
      </c>
    </row>
    <row r="83" spans="8:8" ht="15.75" customHeight="1">
      <c r="A83" s="286"/>
      <c r="B83" s="288" t="s">
        <v>4634</v>
      </c>
      <c r="C83" s="287">
        <v>252569.0</v>
      </c>
      <c r="D83" s="288" t="s">
        <v>5013</v>
      </c>
      <c r="E83" s="287" t="s">
        <v>28</v>
      </c>
      <c r="F83" s="241" t="b">
        <v>1</v>
      </c>
      <c r="H83" s="237"/>
      <c r="I83" s="268" t="s">
        <v>2908</v>
      </c>
      <c r="J83" s="269">
        <v>252675.0</v>
      </c>
      <c r="K83" s="268" t="s">
        <v>5038</v>
      </c>
      <c r="L83" s="269" t="s">
        <v>28</v>
      </c>
    </row>
    <row r="84" spans="8:8" ht="15.75" customHeight="1">
      <c r="A84" s="286"/>
      <c r="B84" s="288" t="s">
        <v>2508</v>
      </c>
      <c r="C84" s="287">
        <v>252685.0</v>
      </c>
      <c r="D84" s="288" t="s">
        <v>5038</v>
      </c>
      <c r="E84" s="287" t="s">
        <v>28</v>
      </c>
      <c r="F84" s="241" t="b">
        <v>1</v>
      </c>
      <c r="H84" s="237"/>
      <c r="I84" s="268" t="s">
        <v>4634</v>
      </c>
      <c r="J84" s="269">
        <v>252569.0</v>
      </c>
      <c r="K84" s="268" t="s">
        <v>5013</v>
      </c>
      <c r="L84" s="269" t="s">
        <v>28</v>
      </c>
    </row>
    <row r="85" spans="8:8" ht="15.75" customHeight="1">
      <c r="A85" s="286"/>
      <c r="B85" s="288" t="s">
        <v>5040</v>
      </c>
      <c r="C85" s="287">
        <v>252693.0</v>
      </c>
      <c r="D85" s="288" t="s">
        <v>5038</v>
      </c>
      <c r="E85" s="287" t="s">
        <v>28</v>
      </c>
      <c r="F85" s="241" t="b">
        <v>1</v>
      </c>
      <c r="H85" s="237"/>
      <c r="I85" s="268" t="s">
        <v>2508</v>
      </c>
      <c r="J85" s="269">
        <v>252685.0</v>
      </c>
      <c r="K85" s="268" t="s">
        <v>5038</v>
      </c>
      <c r="L85" s="269" t="s">
        <v>28</v>
      </c>
    </row>
    <row r="86" spans="8:8" ht="15.75" customHeight="1">
      <c r="A86" s="286"/>
      <c r="B86" s="288" t="s">
        <v>4609</v>
      </c>
      <c r="C86" s="287">
        <v>252703.0</v>
      </c>
      <c r="D86" s="288" t="s">
        <v>5038</v>
      </c>
      <c r="E86" s="287" t="s">
        <v>28</v>
      </c>
      <c r="F86" s="241" t="b">
        <v>1</v>
      </c>
      <c r="H86" s="237"/>
      <c r="I86" s="268" t="s">
        <v>5040</v>
      </c>
      <c r="J86" s="269">
        <v>252693.0</v>
      </c>
      <c r="K86" s="268" t="s">
        <v>5038</v>
      </c>
      <c r="L86" s="269" t="s">
        <v>28</v>
      </c>
    </row>
    <row r="87" spans="8:8" ht="15.75" customHeight="1">
      <c r="A87" s="286"/>
      <c r="B87" s="288" t="s">
        <v>4610</v>
      </c>
      <c r="C87" s="287">
        <v>252711.0</v>
      </c>
      <c r="D87" s="288" t="s">
        <v>5038</v>
      </c>
      <c r="E87" s="287" t="s">
        <v>28</v>
      </c>
      <c r="F87" s="241" t="b">
        <v>1</v>
      </c>
      <c r="H87" s="237"/>
      <c r="I87" s="268" t="s">
        <v>4609</v>
      </c>
      <c r="J87" s="269">
        <v>252703.0</v>
      </c>
      <c r="K87" s="268" t="s">
        <v>5038</v>
      </c>
      <c r="L87" s="269" t="s">
        <v>28</v>
      </c>
    </row>
    <row r="88" spans="8:8" ht="15.75" customHeight="1">
      <c r="A88" s="286"/>
      <c r="B88" s="288" t="s">
        <v>5041</v>
      </c>
      <c r="C88" s="287">
        <v>252710.0</v>
      </c>
      <c r="D88" s="288" t="s">
        <v>5038</v>
      </c>
      <c r="E88" s="287" t="s">
        <v>28</v>
      </c>
      <c r="F88" s="241" t="b">
        <v>1</v>
      </c>
      <c r="H88" s="237"/>
      <c r="I88" s="268" t="s">
        <v>4610</v>
      </c>
      <c r="J88" s="269">
        <v>252711.0</v>
      </c>
      <c r="K88" s="268" t="s">
        <v>5038</v>
      </c>
      <c r="L88" s="269" t="s">
        <v>28</v>
      </c>
    </row>
    <row r="89" spans="8:8" ht="15.75" customHeight="1">
      <c r="A89" s="286"/>
      <c r="B89" s="288" t="s">
        <v>2509</v>
      </c>
      <c r="C89" s="287">
        <v>252712.0</v>
      </c>
      <c r="D89" s="288" t="s">
        <v>5038</v>
      </c>
      <c r="E89" s="287" t="s">
        <v>28</v>
      </c>
      <c r="F89" s="241" t="b">
        <v>1</v>
      </c>
      <c r="H89" s="237"/>
      <c r="I89" s="268" t="s">
        <v>5041</v>
      </c>
      <c r="J89" s="269">
        <v>252710.0</v>
      </c>
      <c r="K89" s="268" t="s">
        <v>5038</v>
      </c>
      <c r="L89" s="269" t="s">
        <v>28</v>
      </c>
    </row>
    <row r="90" spans="8:8" ht="15.75" customHeight="1">
      <c r="A90" s="286"/>
      <c r="B90" s="288" t="s">
        <v>2926</v>
      </c>
      <c r="C90" s="287">
        <v>252843.0</v>
      </c>
      <c r="D90" s="288" t="s">
        <v>5019</v>
      </c>
      <c r="E90" s="287" t="s">
        <v>28</v>
      </c>
      <c r="F90" s="241" t="b">
        <v>1</v>
      </c>
      <c r="H90" s="237"/>
      <c r="I90" s="268" t="s">
        <v>2509</v>
      </c>
      <c r="J90" s="269">
        <v>252712.0</v>
      </c>
      <c r="K90" s="268" t="s">
        <v>5038</v>
      </c>
      <c r="L90" s="269" t="s">
        <v>28</v>
      </c>
    </row>
    <row r="91" spans="8:8" ht="15.75" customHeight="1">
      <c r="A91" s="286"/>
      <c r="B91" s="288" t="s">
        <v>4419</v>
      </c>
      <c r="C91" s="287">
        <v>253066.0</v>
      </c>
      <c r="D91" s="288" t="s">
        <v>4860</v>
      </c>
      <c r="E91" s="287" t="s">
        <v>28</v>
      </c>
      <c r="F91" s="241" t="b">
        <v>1</v>
      </c>
      <c r="H91" s="237"/>
      <c r="I91" s="268" t="s">
        <v>2926</v>
      </c>
      <c r="J91" s="269">
        <v>252843.0</v>
      </c>
      <c r="K91" s="268" t="s">
        <v>5019</v>
      </c>
      <c r="L91" s="269" t="s">
        <v>28</v>
      </c>
    </row>
    <row r="92" spans="8:8" ht="15.75" customHeight="1">
      <c r="A92" s="286"/>
      <c r="B92" s="288" t="s">
        <v>1567</v>
      </c>
      <c r="C92" s="287">
        <v>240753.0</v>
      </c>
      <c r="D92" s="288" t="s">
        <v>4971</v>
      </c>
      <c r="E92" s="287" t="s">
        <v>28</v>
      </c>
      <c r="F92" s="241" t="b">
        <v>1</v>
      </c>
      <c r="H92" s="237"/>
      <c r="I92" s="268" t="s">
        <v>4419</v>
      </c>
      <c r="J92" s="269">
        <v>253066.0</v>
      </c>
      <c r="K92" s="268" t="s">
        <v>4860</v>
      </c>
      <c r="L92" s="269" t="s">
        <v>28</v>
      </c>
    </row>
    <row r="93" spans="8:8" ht="15.75" customHeight="1">
      <c r="A93" s="286"/>
      <c r="B93" s="288" t="s">
        <v>2510</v>
      </c>
      <c r="C93" s="287">
        <v>252715.0</v>
      </c>
      <c r="D93" s="288" t="s">
        <v>5038</v>
      </c>
      <c r="E93" s="287" t="s">
        <v>28</v>
      </c>
      <c r="F93" s="241" t="b">
        <v>1</v>
      </c>
      <c r="H93" s="237"/>
      <c r="I93" s="288" t="s">
        <v>1567</v>
      </c>
      <c r="J93" s="269">
        <v>240753.0</v>
      </c>
      <c r="K93" s="268" t="s">
        <v>4971</v>
      </c>
      <c r="L93" s="269" t="s">
        <v>28</v>
      </c>
    </row>
    <row r="94" spans="8:8" ht="15.75" customHeight="1">
      <c r="A94" s="286"/>
      <c r="B94" s="288" t="s">
        <v>2511</v>
      </c>
      <c r="C94" s="287">
        <v>252716.0</v>
      </c>
      <c r="D94" s="288" t="s">
        <v>5038</v>
      </c>
      <c r="E94" s="287" t="s">
        <v>28</v>
      </c>
      <c r="F94" s="241" t="b">
        <v>1</v>
      </c>
      <c r="H94" s="237"/>
      <c r="I94" s="268" t="s">
        <v>2510</v>
      </c>
      <c r="J94" s="269">
        <v>252715.0</v>
      </c>
      <c r="K94" s="268" t="s">
        <v>5038</v>
      </c>
      <c r="L94" s="269" t="s">
        <v>28</v>
      </c>
    </row>
    <row r="95" spans="8:8" ht="15.75" customHeight="1">
      <c r="A95" s="286"/>
      <c r="B95" s="288" t="s">
        <v>1553</v>
      </c>
      <c r="C95" s="287">
        <v>252722.0</v>
      </c>
      <c r="D95" s="288" t="s">
        <v>5038</v>
      </c>
      <c r="E95" s="287" t="s">
        <v>28</v>
      </c>
      <c r="F95" s="241" t="b">
        <v>1</v>
      </c>
      <c r="H95" s="237"/>
      <c r="I95" s="268" t="s">
        <v>2511</v>
      </c>
      <c r="J95" s="269">
        <v>252716.0</v>
      </c>
      <c r="K95" s="268" t="s">
        <v>5038</v>
      </c>
      <c r="L95" s="269" t="s">
        <v>28</v>
      </c>
    </row>
    <row r="96" spans="8:8" ht="15.75" customHeight="1">
      <c r="A96" s="286"/>
      <c r="B96" s="288" t="s">
        <v>4592</v>
      </c>
      <c r="C96" s="287">
        <v>252723.0</v>
      </c>
      <c r="D96" s="288" t="s">
        <v>5038</v>
      </c>
      <c r="E96" s="287" t="s">
        <v>28</v>
      </c>
      <c r="F96" s="241" t="b">
        <v>1</v>
      </c>
      <c r="H96" s="237"/>
      <c r="I96" s="268" t="s">
        <v>1553</v>
      </c>
      <c r="J96" s="269">
        <v>252722.0</v>
      </c>
      <c r="K96" s="268" t="s">
        <v>5038</v>
      </c>
      <c r="L96" s="269" t="s">
        <v>28</v>
      </c>
    </row>
    <row r="97" spans="8:8" ht="15.75" customHeight="1">
      <c r="A97" s="286"/>
      <c r="B97" s="288" t="s">
        <v>2910</v>
      </c>
      <c r="C97" s="287">
        <v>252725.0</v>
      </c>
      <c r="D97" s="288" t="s">
        <v>5038</v>
      </c>
      <c r="E97" s="287" t="s">
        <v>28</v>
      </c>
      <c r="F97" s="241" t="b">
        <v>1</v>
      </c>
      <c r="H97" s="237"/>
      <c r="I97" s="268" t="s">
        <v>4592</v>
      </c>
      <c r="J97" s="269">
        <v>252723.0</v>
      </c>
      <c r="K97" s="268" t="s">
        <v>5038</v>
      </c>
      <c r="L97" s="269" t="s">
        <v>28</v>
      </c>
    </row>
    <row r="98" spans="8:8" ht="15.75" customHeight="1">
      <c r="A98" s="286"/>
      <c r="B98" s="288" t="s">
        <v>2911</v>
      </c>
      <c r="C98" s="287">
        <v>252726.0</v>
      </c>
      <c r="D98" s="288" t="s">
        <v>5038</v>
      </c>
      <c r="E98" s="287" t="s">
        <v>28</v>
      </c>
      <c r="F98" s="241" t="b">
        <v>1</v>
      </c>
      <c r="H98" s="237"/>
      <c r="I98" s="268" t="s">
        <v>2910</v>
      </c>
      <c r="J98" s="269">
        <v>252725.0</v>
      </c>
      <c r="K98" s="268" t="s">
        <v>5038</v>
      </c>
      <c r="L98" s="269" t="s">
        <v>28</v>
      </c>
    </row>
    <row r="99" spans="8:8" ht="15.75" customHeight="1">
      <c r="A99" s="286"/>
      <c r="B99" s="288" t="s">
        <v>4612</v>
      </c>
      <c r="C99" s="287">
        <v>252730.0</v>
      </c>
      <c r="D99" s="288" t="s">
        <v>5038</v>
      </c>
      <c r="E99" s="287" t="s">
        <v>28</v>
      </c>
      <c r="F99" s="241" t="b">
        <v>1</v>
      </c>
      <c r="H99" s="237"/>
      <c r="I99" s="268" t="s">
        <v>2911</v>
      </c>
      <c r="J99" s="269">
        <v>252726.0</v>
      </c>
      <c r="K99" s="268" t="s">
        <v>5038</v>
      </c>
      <c r="L99" s="269" t="s">
        <v>28</v>
      </c>
    </row>
    <row r="100" spans="8:8" ht="15.75" customHeight="1">
      <c r="A100" s="286"/>
      <c r="B100" s="288" t="s">
        <v>5042</v>
      </c>
      <c r="C100" s="287">
        <v>252731.0</v>
      </c>
      <c r="D100" s="288" t="s">
        <v>5038</v>
      </c>
      <c r="E100" s="287" t="s">
        <v>28</v>
      </c>
      <c r="F100" s="241" t="b">
        <v>1</v>
      </c>
      <c r="H100" s="237"/>
      <c r="I100" s="268" t="s">
        <v>4612</v>
      </c>
      <c r="J100" s="269">
        <v>252730.0</v>
      </c>
      <c r="K100" s="268" t="s">
        <v>5038</v>
      </c>
      <c r="L100" s="269" t="s">
        <v>28</v>
      </c>
    </row>
    <row r="101" spans="8:8" ht="15.75" customHeight="1">
      <c r="A101" s="286"/>
      <c r="B101" s="288" t="s">
        <v>4613</v>
      </c>
      <c r="C101" s="287">
        <v>252735.0</v>
      </c>
      <c r="D101" s="288" t="s">
        <v>5038</v>
      </c>
      <c r="E101" s="287" t="s">
        <v>28</v>
      </c>
      <c r="F101" s="241" t="b">
        <v>1</v>
      </c>
      <c r="H101" s="237"/>
      <c r="I101" s="268" t="s">
        <v>5042</v>
      </c>
      <c r="J101" s="269">
        <v>252731.0</v>
      </c>
      <c r="K101" s="268" t="s">
        <v>5038</v>
      </c>
      <c r="L101" s="269" t="s">
        <v>28</v>
      </c>
    </row>
    <row r="102" spans="8:8" ht="15.75" customHeight="1">
      <c r="A102" s="286"/>
      <c r="B102" s="288" t="s">
        <v>4760</v>
      </c>
      <c r="C102" s="287">
        <v>252708.0</v>
      </c>
      <c r="D102" s="266" t="s">
        <v>5043</v>
      </c>
      <c r="E102" s="287" t="s">
        <v>28</v>
      </c>
      <c r="F102" s="241" t="b">
        <v>1</v>
      </c>
      <c r="H102" s="237"/>
      <c r="I102" s="268" t="s">
        <v>4613</v>
      </c>
      <c r="J102" s="269">
        <v>252735.0</v>
      </c>
      <c r="K102" s="268" t="s">
        <v>5038</v>
      </c>
      <c r="L102" s="269" t="s">
        <v>28</v>
      </c>
    </row>
    <row r="103" spans="8:8" ht="15.75" customHeight="1">
      <c r="A103" s="286"/>
      <c r="B103" s="288" t="s">
        <v>4761</v>
      </c>
      <c r="C103" s="287">
        <v>252744.0</v>
      </c>
      <c r="D103" s="288" t="s">
        <v>5038</v>
      </c>
      <c r="E103" s="287" t="s">
        <v>28</v>
      </c>
      <c r="F103" s="241" t="b">
        <v>1</v>
      </c>
      <c r="H103" s="237"/>
      <c r="I103" s="268" t="s">
        <v>4760</v>
      </c>
      <c r="J103" s="269">
        <v>252708.0</v>
      </c>
      <c r="K103" s="266" t="s">
        <v>5043</v>
      </c>
      <c r="L103" s="269" t="s">
        <v>28</v>
      </c>
    </row>
    <row r="104" spans="8:8" ht="15.75" customHeight="1">
      <c r="A104" s="286"/>
      <c r="B104" s="288" t="s">
        <v>4765</v>
      </c>
      <c r="C104" s="287">
        <v>252850.0</v>
      </c>
      <c r="D104" s="288" t="s">
        <v>5038</v>
      </c>
      <c r="E104" s="287" t="s">
        <v>28</v>
      </c>
      <c r="F104" s="241" t="b">
        <v>1</v>
      </c>
      <c r="H104" s="237"/>
      <c r="I104" s="290" t="s">
        <v>4761</v>
      </c>
      <c r="J104" s="291">
        <v>252744.0</v>
      </c>
      <c r="K104" s="292" t="s">
        <v>5038</v>
      </c>
      <c r="L104" s="293" t="s">
        <v>28</v>
      </c>
    </row>
    <row r="105" spans="8:8" ht="15.75" customHeight="1">
      <c r="A105" s="286"/>
      <c r="B105" s="288" t="s">
        <v>4899</v>
      </c>
      <c r="C105" s="287">
        <v>252762.0</v>
      </c>
      <c r="D105" s="288" t="s">
        <v>5038</v>
      </c>
      <c r="E105" s="287" t="s">
        <v>28</v>
      </c>
      <c r="F105" s="241" t="b">
        <v>1</v>
      </c>
      <c r="H105" s="237"/>
      <c r="I105" s="268" t="s">
        <v>4765</v>
      </c>
      <c r="J105" s="269">
        <v>252850.0</v>
      </c>
      <c r="K105" s="268" t="s">
        <v>5038</v>
      </c>
      <c r="L105" s="269" t="s">
        <v>28</v>
      </c>
    </row>
    <row r="106" spans="8:8" ht="15.75" customHeight="1">
      <c r="A106" s="286"/>
      <c r="B106" s="288" t="s">
        <v>3221</v>
      </c>
      <c r="C106" s="287">
        <v>252770.0</v>
      </c>
      <c r="D106" s="288" t="s">
        <v>5038</v>
      </c>
      <c r="E106" s="287" t="s">
        <v>28</v>
      </c>
      <c r="F106" s="241" t="b">
        <v>1</v>
      </c>
      <c r="H106" s="237"/>
      <c r="I106" s="268" t="s">
        <v>4899</v>
      </c>
      <c r="J106" s="269">
        <v>252762.0</v>
      </c>
      <c r="K106" s="268" t="s">
        <v>5038</v>
      </c>
      <c r="L106" s="269" t="s">
        <v>28</v>
      </c>
    </row>
    <row r="107" spans="8:8" ht="15.75" customHeight="1">
      <c r="A107" s="286"/>
      <c r="B107" s="288" t="s">
        <v>4418</v>
      </c>
      <c r="C107" s="287">
        <v>252977.0</v>
      </c>
      <c r="D107" s="288" t="s">
        <v>5038</v>
      </c>
      <c r="E107" s="287" t="s">
        <v>28</v>
      </c>
      <c r="F107" s="241" t="b">
        <v>1</v>
      </c>
      <c r="H107" s="237"/>
      <c r="I107" s="268" t="s">
        <v>3221</v>
      </c>
      <c r="J107" s="269">
        <v>252770.0</v>
      </c>
      <c r="K107" s="268" t="s">
        <v>5038</v>
      </c>
      <c r="L107" s="269" t="s">
        <v>28</v>
      </c>
    </row>
    <row r="108" spans="8:8" ht="15.75" customHeight="1">
      <c r="A108" s="286"/>
      <c r="B108" s="288" t="s">
        <v>4723</v>
      </c>
      <c r="C108" s="287">
        <v>252808.0</v>
      </c>
      <c r="D108" s="288" t="s">
        <v>5038</v>
      </c>
      <c r="E108" s="287" t="s">
        <v>28</v>
      </c>
      <c r="F108" s="241" t="b">
        <v>1</v>
      </c>
      <c r="H108" s="237"/>
      <c r="I108" s="268" t="s">
        <v>4418</v>
      </c>
      <c r="J108" s="269">
        <v>252977.0</v>
      </c>
      <c r="K108" s="268" t="s">
        <v>5038</v>
      </c>
      <c r="L108" s="269" t="s">
        <v>28</v>
      </c>
    </row>
    <row r="109" spans="8:8" ht="15.75" customHeight="1">
      <c r="A109" s="286"/>
      <c r="B109" s="288" t="s">
        <v>2952</v>
      </c>
      <c r="C109" s="287">
        <v>252646.0</v>
      </c>
      <c r="D109" s="288" t="s">
        <v>5044</v>
      </c>
      <c r="E109" s="287" t="s">
        <v>28</v>
      </c>
      <c r="F109" s="241" t="b">
        <v>1</v>
      </c>
      <c r="H109" s="237"/>
      <c r="I109" s="268" t="s">
        <v>4723</v>
      </c>
      <c r="J109" s="269">
        <v>252808.0</v>
      </c>
      <c r="K109" s="268" t="s">
        <v>5038</v>
      </c>
      <c r="L109" s="269" t="s">
        <v>28</v>
      </c>
    </row>
    <row r="110" spans="8:8" ht="15.75" customHeight="1">
      <c r="A110" s="286"/>
      <c r="B110" s="288" t="s">
        <v>2497</v>
      </c>
      <c r="C110" s="287">
        <v>252484.0</v>
      </c>
      <c r="D110" s="288" t="s">
        <v>5045</v>
      </c>
      <c r="E110" s="287" t="s">
        <v>28</v>
      </c>
      <c r="F110" s="241" t="b">
        <v>1</v>
      </c>
      <c r="H110" s="237"/>
      <c r="I110" s="268" t="s">
        <v>2952</v>
      </c>
      <c r="J110" s="269">
        <v>252646.0</v>
      </c>
      <c r="K110" s="268" t="s">
        <v>5044</v>
      </c>
      <c r="L110" s="269" t="s">
        <v>28</v>
      </c>
    </row>
    <row r="111" spans="8:8" ht="15.75" customHeight="1">
      <c r="A111" s="286"/>
      <c r="B111" s="288" t="s">
        <v>2498</v>
      </c>
      <c r="C111" s="287">
        <v>252481.0</v>
      </c>
      <c r="D111" s="288" t="s">
        <v>5045</v>
      </c>
      <c r="E111" s="287" t="s">
        <v>28</v>
      </c>
      <c r="F111" s="241" t="b">
        <v>1</v>
      </c>
      <c r="H111" s="237"/>
      <c r="I111" s="268" t="s">
        <v>2497</v>
      </c>
      <c r="J111" s="269">
        <v>252484.0</v>
      </c>
      <c r="K111" s="268" t="s">
        <v>5045</v>
      </c>
      <c r="L111" s="269" t="s">
        <v>28</v>
      </c>
    </row>
    <row r="112" spans="8:8" ht="15.75" customHeight="1">
      <c r="A112" s="286"/>
      <c r="B112" s="288" t="s">
        <v>4614</v>
      </c>
      <c r="C112" s="287">
        <v>252797.0</v>
      </c>
      <c r="D112" s="288" t="s">
        <v>5022</v>
      </c>
      <c r="E112" s="287" t="s">
        <v>28</v>
      </c>
      <c r="F112" s="241" t="b">
        <v>1</v>
      </c>
      <c r="H112" s="237"/>
      <c r="I112" s="268" t="s">
        <v>2498</v>
      </c>
      <c r="J112" s="269">
        <v>252481.0</v>
      </c>
      <c r="K112" s="268" t="s">
        <v>5045</v>
      </c>
      <c r="L112" s="269" t="s">
        <v>28</v>
      </c>
    </row>
    <row r="113" spans="8:8" ht="15.75" customHeight="1">
      <c r="A113" s="286"/>
      <c r="B113" s="288" t="s">
        <v>2912</v>
      </c>
      <c r="C113" s="287">
        <v>252607.0</v>
      </c>
      <c r="D113" s="287"/>
      <c r="E113" s="287" t="s">
        <v>28</v>
      </c>
      <c r="F113" s="241" t="b">
        <v>1</v>
      </c>
      <c r="H113" s="237"/>
      <c r="I113" s="268" t="s">
        <v>4614</v>
      </c>
      <c r="J113" s="269">
        <v>252797.0</v>
      </c>
      <c r="K113" s="268" t="s">
        <v>5022</v>
      </c>
      <c r="L113" s="269" t="s">
        <v>28</v>
      </c>
    </row>
    <row r="114" spans="8:8" ht="15.75" customHeight="1">
      <c r="A114" s="289"/>
      <c r="B114" s="266" t="s">
        <v>4507</v>
      </c>
      <c r="C114" s="267">
        <v>253063.0</v>
      </c>
      <c r="D114" s="266" t="s">
        <v>5034</v>
      </c>
      <c r="E114" s="287" t="s">
        <v>28</v>
      </c>
      <c r="F114" s="241" t="b">
        <v>1</v>
      </c>
      <c r="H114" s="237"/>
      <c r="I114" s="268" t="s">
        <v>2912</v>
      </c>
      <c r="J114" s="269">
        <v>252607.0</v>
      </c>
      <c r="K114" s="287"/>
      <c r="L114" s="269" t="s">
        <v>28</v>
      </c>
    </row>
    <row r="115" spans="8:8" ht="15.75" customHeight="1">
      <c r="A115" s="286"/>
      <c r="B115" s="288" t="s">
        <v>5046</v>
      </c>
      <c r="C115" s="287">
        <v>252472.0</v>
      </c>
      <c r="D115" s="288" t="s">
        <v>5011</v>
      </c>
      <c r="E115" s="287" t="s">
        <v>111</v>
      </c>
      <c r="F115" s="241" t="b">
        <v>1</v>
      </c>
      <c r="H115" s="237"/>
      <c r="I115" s="266" t="s">
        <v>4507</v>
      </c>
      <c r="J115" s="269">
        <v>253063.0</v>
      </c>
      <c r="K115" s="268" t="s">
        <v>5034</v>
      </c>
      <c r="L115" s="269" t="s">
        <v>28</v>
      </c>
    </row>
    <row r="116" spans="8:8" ht="15.75" customHeight="1">
      <c r="A116" s="286"/>
      <c r="B116" s="288" t="s">
        <v>5047</v>
      </c>
      <c r="C116" s="287">
        <v>252464.0</v>
      </c>
      <c r="D116" s="288" t="s">
        <v>5011</v>
      </c>
      <c r="E116" s="287" t="s">
        <v>111</v>
      </c>
      <c r="F116" s="241" t="b">
        <v>1</v>
      </c>
      <c r="H116" s="237"/>
      <c r="I116" s="268" t="s">
        <v>5046</v>
      </c>
      <c r="J116" s="269">
        <v>252472.0</v>
      </c>
      <c r="K116" s="268" t="s">
        <v>5011</v>
      </c>
      <c r="L116" s="269" t="s">
        <v>111</v>
      </c>
    </row>
    <row r="117" spans="8:8" ht="15.75" customHeight="1">
      <c r="A117" s="286"/>
      <c r="B117" s="288" t="s">
        <v>4694</v>
      </c>
      <c r="C117" s="287">
        <v>252461.0</v>
      </c>
      <c r="D117" s="288" t="s">
        <v>5011</v>
      </c>
      <c r="E117" s="287" t="s">
        <v>111</v>
      </c>
      <c r="F117" s="241" t="b">
        <v>1</v>
      </c>
      <c r="H117" s="237"/>
      <c r="I117" s="268" t="s">
        <v>5047</v>
      </c>
      <c r="J117" s="269">
        <v>252464.0</v>
      </c>
      <c r="K117" s="268" t="s">
        <v>5011</v>
      </c>
      <c r="L117" s="269" t="s">
        <v>111</v>
      </c>
    </row>
    <row r="118" spans="8:8" ht="15.75" customHeight="1">
      <c r="A118" s="286"/>
      <c r="B118" s="288" t="s">
        <v>3437</v>
      </c>
      <c r="C118" s="287">
        <v>251982.0</v>
      </c>
      <c r="D118" s="288" t="s">
        <v>5012</v>
      </c>
      <c r="E118" s="287" t="s">
        <v>111</v>
      </c>
      <c r="F118" s="241" t="b">
        <v>1</v>
      </c>
      <c r="H118" s="237"/>
      <c r="I118" s="268" t="s">
        <v>4694</v>
      </c>
      <c r="J118" s="269">
        <v>252461.0</v>
      </c>
      <c r="K118" s="268" t="s">
        <v>5011</v>
      </c>
      <c r="L118" s="269" t="s">
        <v>111</v>
      </c>
    </row>
    <row r="119" spans="8:8" ht="15.75" customHeight="1">
      <c r="A119" s="286"/>
      <c r="B119" s="288" t="s">
        <v>4695</v>
      </c>
      <c r="C119" s="287">
        <v>252830.0</v>
      </c>
      <c r="D119" s="288" t="s">
        <v>5013</v>
      </c>
      <c r="E119" s="287" t="s">
        <v>111</v>
      </c>
      <c r="F119" s="241" t="b">
        <v>1</v>
      </c>
      <c r="H119" s="237"/>
      <c r="I119" s="268" t="s">
        <v>3437</v>
      </c>
      <c r="J119" s="269">
        <v>251982.0</v>
      </c>
      <c r="K119" s="268" t="s">
        <v>5012</v>
      </c>
      <c r="L119" s="269" t="s">
        <v>111</v>
      </c>
    </row>
    <row r="120" spans="8:8" ht="15.75" customHeight="1">
      <c r="A120" s="286"/>
      <c r="B120" s="288" t="s">
        <v>5048</v>
      </c>
      <c r="C120" s="287">
        <v>251962.0</v>
      </c>
      <c r="D120" s="266" t="s">
        <v>4860</v>
      </c>
      <c r="E120" s="287" t="s">
        <v>111</v>
      </c>
      <c r="F120" s="241" t="b">
        <v>1</v>
      </c>
      <c r="H120" s="237"/>
      <c r="I120" s="268" t="s">
        <v>4695</v>
      </c>
      <c r="J120" s="269">
        <v>252830.0</v>
      </c>
      <c r="K120" s="268" t="s">
        <v>5013</v>
      </c>
      <c r="L120" s="269" t="s">
        <v>111</v>
      </c>
    </row>
    <row r="121" spans="8:8" ht="15.75" customHeight="1">
      <c r="A121" s="289"/>
      <c r="B121" s="266" t="s">
        <v>4652</v>
      </c>
      <c r="C121" s="287">
        <v>253028.0</v>
      </c>
      <c r="D121" s="266" t="s">
        <v>5049</v>
      </c>
      <c r="E121" s="287" t="s">
        <v>111</v>
      </c>
      <c r="F121" s="241" t="b">
        <v>1</v>
      </c>
      <c r="H121" s="237"/>
      <c r="I121" s="288" t="s">
        <v>5048</v>
      </c>
      <c r="J121" s="269">
        <v>251962.0</v>
      </c>
      <c r="K121" s="268" t="s">
        <v>4860</v>
      </c>
      <c r="L121" s="269" t="s">
        <v>111</v>
      </c>
    </row>
    <row r="122" spans="8:8" ht="15.75" customHeight="1">
      <c r="A122" s="286"/>
      <c r="B122" s="288" t="s">
        <v>5050</v>
      </c>
      <c r="C122" s="287">
        <v>252076.0</v>
      </c>
      <c r="D122" s="288" t="s">
        <v>5012</v>
      </c>
      <c r="E122" s="287" t="s">
        <v>111</v>
      </c>
      <c r="F122" s="241" t="b">
        <v>1</v>
      </c>
      <c r="H122" s="237"/>
      <c r="I122" s="268" t="s">
        <v>4652</v>
      </c>
      <c r="J122" s="269">
        <v>253028.0</v>
      </c>
      <c r="K122" s="266" t="s">
        <v>5049</v>
      </c>
      <c r="L122" s="269" t="s">
        <v>111</v>
      </c>
    </row>
    <row r="123" spans="8:8" ht="15.75" customHeight="1">
      <c r="A123" s="289"/>
      <c r="B123" s="266" t="s">
        <v>3438</v>
      </c>
      <c r="C123" s="267">
        <v>252358.0</v>
      </c>
      <c r="D123" s="266" t="s">
        <v>4839</v>
      </c>
      <c r="E123" s="287" t="s">
        <v>111</v>
      </c>
      <c r="F123" s="241" t="b">
        <v>1</v>
      </c>
      <c r="H123" s="237"/>
      <c r="I123" s="268" t="s">
        <v>5050</v>
      </c>
      <c r="J123" s="269">
        <v>252076.0</v>
      </c>
      <c r="K123" s="268" t="s">
        <v>5012</v>
      </c>
      <c r="L123" s="269" t="s">
        <v>111</v>
      </c>
    </row>
    <row r="124" spans="8:8" ht="15.75" customHeight="1">
      <c r="A124" s="289"/>
      <c r="B124" s="266" t="s">
        <v>4696</v>
      </c>
      <c r="C124" s="267">
        <v>252514.0</v>
      </c>
      <c r="D124" s="266" t="s">
        <v>5051</v>
      </c>
      <c r="E124" s="287" t="s">
        <v>111</v>
      </c>
      <c r="F124" s="241" t="b">
        <v>1</v>
      </c>
      <c r="H124" s="237"/>
      <c r="I124" s="266" t="s">
        <v>3438</v>
      </c>
      <c r="J124" s="269">
        <v>252358.0</v>
      </c>
      <c r="K124" s="268" t="s">
        <v>4839</v>
      </c>
      <c r="L124" s="269" t="s">
        <v>111</v>
      </c>
    </row>
    <row r="125" spans="8:8" ht="15.75" customHeight="1">
      <c r="A125" s="289"/>
      <c r="B125" s="266" t="s">
        <v>5052</v>
      </c>
      <c r="C125" s="267">
        <v>240999.0</v>
      </c>
      <c r="D125" s="266" t="s">
        <v>4971</v>
      </c>
      <c r="E125" s="287" t="s">
        <v>111</v>
      </c>
      <c r="F125" s="241" t="b">
        <v>1</v>
      </c>
      <c r="H125" s="237"/>
      <c r="I125" s="268" t="s">
        <v>4696</v>
      </c>
      <c r="J125" s="269">
        <v>252514.0</v>
      </c>
      <c r="K125" s="266" t="s">
        <v>5051</v>
      </c>
      <c r="L125" s="269" t="s">
        <v>111</v>
      </c>
    </row>
    <row r="126" spans="8:8" ht="15.75" customHeight="1">
      <c r="A126" s="289"/>
      <c r="B126" s="266" t="s">
        <v>4698</v>
      </c>
      <c r="C126" s="267">
        <v>241902.0</v>
      </c>
      <c r="D126" s="266" t="s">
        <v>4860</v>
      </c>
      <c r="E126" s="287" t="s">
        <v>111</v>
      </c>
      <c r="F126" s="241" t="b">
        <v>1</v>
      </c>
      <c r="H126" s="237"/>
      <c r="I126" s="266" t="s">
        <v>5052</v>
      </c>
      <c r="J126" s="269">
        <v>240999.0</v>
      </c>
      <c r="K126" s="268" t="s">
        <v>4971</v>
      </c>
      <c r="L126" s="269" t="s">
        <v>111</v>
      </c>
    </row>
    <row r="127" spans="8:8" ht="15.75" customHeight="1">
      <c r="A127" s="286"/>
      <c r="B127" s="288" t="s">
        <v>3439</v>
      </c>
      <c r="C127" s="287">
        <v>252451.0</v>
      </c>
      <c r="D127" s="288" t="s">
        <v>5011</v>
      </c>
      <c r="E127" s="287" t="s">
        <v>111</v>
      </c>
      <c r="F127" s="241" t="b">
        <v>1</v>
      </c>
      <c r="H127" s="237"/>
      <c r="I127" s="268" t="s">
        <v>4698</v>
      </c>
      <c r="J127" s="269">
        <v>241902.0</v>
      </c>
      <c r="K127" s="268" t="s">
        <v>4860</v>
      </c>
      <c r="L127" s="269" t="s">
        <v>111</v>
      </c>
    </row>
    <row r="128" spans="8:8" ht="15.75" customHeight="1">
      <c r="A128" s="286"/>
      <c r="B128" s="288" t="s">
        <v>4435</v>
      </c>
      <c r="C128" s="287">
        <v>252754.0</v>
      </c>
      <c r="D128" s="288" t="s">
        <v>5019</v>
      </c>
      <c r="E128" s="287" t="s">
        <v>111</v>
      </c>
      <c r="F128" s="241" t="b">
        <v>1</v>
      </c>
      <c r="H128" s="237"/>
      <c r="I128" s="268" t="s">
        <v>3439</v>
      </c>
      <c r="J128" s="269">
        <v>252451.0</v>
      </c>
      <c r="K128" s="268" t="s">
        <v>5011</v>
      </c>
      <c r="L128" s="269" t="s">
        <v>111</v>
      </c>
    </row>
    <row r="129" spans="8:8" ht="15.75" customHeight="1">
      <c r="A129" s="286"/>
      <c r="B129" s="288" t="s">
        <v>4904</v>
      </c>
      <c r="C129" s="287">
        <v>252736.0</v>
      </c>
      <c r="D129" s="288" t="s">
        <v>5038</v>
      </c>
      <c r="E129" s="287" t="s">
        <v>111</v>
      </c>
      <c r="F129" s="241" t="b">
        <v>1</v>
      </c>
      <c r="H129" s="237"/>
      <c r="I129" s="268" t="s">
        <v>4435</v>
      </c>
      <c r="J129" s="269">
        <v>252754.0</v>
      </c>
      <c r="K129" s="268" t="s">
        <v>5019</v>
      </c>
      <c r="L129" s="269" t="s">
        <v>111</v>
      </c>
    </row>
    <row r="130" spans="8:8" ht="15.75" customHeight="1">
      <c r="A130" s="286"/>
      <c r="B130" s="288" t="s">
        <v>4733</v>
      </c>
      <c r="C130" s="287">
        <v>253022.0</v>
      </c>
      <c r="D130" s="288" t="s">
        <v>5013</v>
      </c>
      <c r="E130" s="287" t="s">
        <v>111</v>
      </c>
      <c r="F130" s="241" t="b">
        <v>1</v>
      </c>
      <c r="H130" s="237"/>
      <c r="I130" s="268" t="s">
        <v>4904</v>
      </c>
      <c r="J130" s="269">
        <v>252736.0</v>
      </c>
      <c r="K130" s="268" t="s">
        <v>5038</v>
      </c>
      <c r="L130" s="269" t="s">
        <v>111</v>
      </c>
    </row>
    <row r="131" spans="8:8" ht="15.75" customHeight="1">
      <c r="A131" s="286"/>
      <c r="B131" s="288" t="s">
        <v>4734</v>
      </c>
      <c r="C131" s="287">
        <v>252327.0</v>
      </c>
      <c r="D131" s="288" t="s">
        <v>5034</v>
      </c>
      <c r="E131" s="287" t="s">
        <v>111</v>
      </c>
      <c r="F131" s="241" t="b">
        <v>1</v>
      </c>
      <c r="H131" s="237"/>
      <c r="I131" s="268" t="s">
        <v>4733</v>
      </c>
      <c r="J131" s="269">
        <v>253022.0</v>
      </c>
      <c r="K131" s="268" t="s">
        <v>5013</v>
      </c>
      <c r="L131" s="269" t="s">
        <v>111</v>
      </c>
    </row>
    <row r="132" spans="8:8" ht="15.75" customHeight="1">
      <c r="A132" s="286"/>
      <c r="B132" s="288" t="s">
        <v>4436</v>
      </c>
      <c r="C132" s="287">
        <v>252931.0</v>
      </c>
      <c r="D132" s="288" t="s">
        <v>5019</v>
      </c>
      <c r="E132" s="287" t="s">
        <v>111</v>
      </c>
      <c r="F132" s="241" t="b">
        <v>1</v>
      </c>
      <c r="H132" s="237"/>
      <c r="I132" s="268" t="s">
        <v>4734</v>
      </c>
      <c r="J132" s="269">
        <v>252327.0</v>
      </c>
      <c r="K132" s="268" t="s">
        <v>5034</v>
      </c>
      <c r="L132" s="269" t="s">
        <v>111</v>
      </c>
    </row>
    <row r="133" spans="8:8" ht="15.75" customHeight="1">
      <c r="A133" s="286"/>
      <c r="B133" s="288" t="s">
        <v>4735</v>
      </c>
      <c r="C133" s="287">
        <v>253139.0</v>
      </c>
      <c r="D133" s="288" t="s">
        <v>5053</v>
      </c>
      <c r="E133" s="287" t="s">
        <v>111</v>
      </c>
      <c r="F133" s="241" t="b">
        <v>1</v>
      </c>
      <c r="H133" s="237"/>
      <c r="I133" s="268" t="s">
        <v>4436</v>
      </c>
      <c r="J133" s="269">
        <v>252931.0</v>
      </c>
      <c r="K133" s="268" t="s">
        <v>5019</v>
      </c>
      <c r="L133" s="269" t="s">
        <v>111</v>
      </c>
    </row>
    <row r="134" spans="8:8" ht="15.75" customHeight="1">
      <c r="A134" s="286"/>
      <c r="B134" s="288" t="s">
        <v>2945</v>
      </c>
      <c r="C134" s="287">
        <v>252370.0</v>
      </c>
      <c r="D134" s="288" t="s">
        <v>5011</v>
      </c>
      <c r="E134" s="287" t="s">
        <v>580</v>
      </c>
      <c r="F134" s="241" t="b">
        <v>1</v>
      </c>
      <c r="H134" s="237"/>
      <c r="I134" s="290" t="s">
        <v>4735</v>
      </c>
      <c r="J134" s="291">
        <v>253139.0</v>
      </c>
      <c r="K134" s="295" t="s">
        <v>5053</v>
      </c>
      <c r="L134" s="293" t="s">
        <v>111</v>
      </c>
    </row>
    <row r="135" spans="8:8" ht="15.75" customHeight="1">
      <c r="A135" s="286"/>
      <c r="B135" s="288" t="s">
        <v>1496</v>
      </c>
      <c r="C135" s="287">
        <v>240599.0</v>
      </c>
      <c r="D135" s="288" t="s">
        <v>4866</v>
      </c>
      <c r="E135" s="287" t="s">
        <v>580</v>
      </c>
      <c r="F135" s="241" t="b">
        <v>1</v>
      </c>
      <c r="H135" s="237"/>
      <c r="I135" s="268" t="s">
        <v>2945</v>
      </c>
      <c r="J135" s="269">
        <v>252370.0</v>
      </c>
      <c r="K135" s="268" t="s">
        <v>5011</v>
      </c>
      <c r="L135" s="269" t="s">
        <v>580</v>
      </c>
    </row>
    <row r="136" spans="8:8" ht="15.75" customHeight="1">
      <c r="A136" s="289"/>
      <c r="B136" s="266" t="s">
        <v>4662</v>
      </c>
      <c r="C136" s="267">
        <v>240517.0</v>
      </c>
      <c r="D136" s="288" t="s">
        <v>4883</v>
      </c>
      <c r="E136" s="287" t="s">
        <v>580</v>
      </c>
      <c r="F136" s="241" t="b">
        <v>1</v>
      </c>
      <c r="H136" s="237"/>
      <c r="I136" s="268" t="s">
        <v>1496</v>
      </c>
      <c r="J136" s="269">
        <v>240599.0</v>
      </c>
      <c r="K136" s="268" t="s">
        <v>4866</v>
      </c>
      <c r="L136" s="269" t="s">
        <v>580</v>
      </c>
    </row>
    <row r="137" spans="8:8" ht="15.75" customHeight="1">
      <c r="A137" s="289"/>
      <c r="B137" s="266" t="s">
        <v>1500</v>
      </c>
      <c r="C137" s="267">
        <v>240483.0</v>
      </c>
      <c r="D137" s="288" t="s">
        <v>4883</v>
      </c>
      <c r="E137" s="287" t="s">
        <v>580</v>
      </c>
      <c r="F137" s="241" t="b">
        <v>1</v>
      </c>
      <c r="H137" s="237"/>
      <c r="I137" s="268" t="s">
        <v>4662</v>
      </c>
      <c r="J137" s="269">
        <v>240517.0</v>
      </c>
      <c r="K137" s="268" t="s">
        <v>4883</v>
      </c>
      <c r="L137" s="269" t="s">
        <v>580</v>
      </c>
    </row>
    <row r="138" spans="8:8" ht="15.75" customHeight="1">
      <c r="A138" s="286"/>
      <c r="B138" s="288" t="s">
        <v>5054</v>
      </c>
      <c r="C138" s="287">
        <v>252414.0</v>
      </c>
      <c r="D138" s="288" t="s">
        <v>5011</v>
      </c>
      <c r="E138" s="287" t="s">
        <v>580</v>
      </c>
      <c r="F138" s="241" t="b">
        <v>1</v>
      </c>
      <c r="H138" s="237"/>
      <c r="I138" s="268" t="s">
        <v>1500</v>
      </c>
      <c r="J138" s="269">
        <v>240483.0</v>
      </c>
      <c r="K138" s="268" t="s">
        <v>4883</v>
      </c>
      <c r="L138" s="269" t="s">
        <v>580</v>
      </c>
    </row>
    <row r="139" spans="8:8" ht="15.75" customHeight="1">
      <c r="A139" s="286"/>
      <c r="B139" s="288" t="s">
        <v>4663</v>
      </c>
      <c r="C139" s="287">
        <v>252520.0</v>
      </c>
      <c r="D139" s="288" t="s">
        <v>5029</v>
      </c>
      <c r="E139" s="287" t="s">
        <v>580</v>
      </c>
      <c r="F139" s="241" t="b">
        <v>1</v>
      </c>
      <c r="H139" s="237"/>
      <c r="I139" s="268" t="s">
        <v>5054</v>
      </c>
      <c r="J139" s="269">
        <v>252414.0</v>
      </c>
      <c r="K139" s="268" t="s">
        <v>5011</v>
      </c>
      <c r="L139" s="269" t="s">
        <v>580</v>
      </c>
    </row>
    <row r="140" spans="8:8" ht="15.75" customHeight="1">
      <c r="A140" s="286"/>
      <c r="B140" s="288" t="s">
        <v>4686</v>
      </c>
      <c r="C140" s="287">
        <v>241827.0</v>
      </c>
      <c r="D140" s="288" t="s">
        <v>4857</v>
      </c>
      <c r="E140" s="287" t="s">
        <v>580</v>
      </c>
      <c r="F140" s="241" t="b">
        <v>1</v>
      </c>
      <c r="H140" s="237"/>
      <c r="I140" s="268" t="s">
        <v>4663</v>
      </c>
      <c r="J140" s="269">
        <v>252520.0</v>
      </c>
      <c r="K140" s="268" t="s">
        <v>5029</v>
      </c>
      <c r="L140" s="269" t="s">
        <v>580</v>
      </c>
    </row>
    <row r="141" spans="8:8" ht="15.75" customHeight="1">
      <c r="A141" s="286"/>
      <c r="B141" s="288" t="s">
        <v>2946</v>
      </c>
      <c r="C141" s="287">
        <v>253170.0</v>
      </c>
      <c r="D141" s="288" t="s">
        <v>5055</v>
      </c>
      <c r="E141" s="287" t="s">
        <v>580</v>
      </c>
      <c r="F141" s="241" t="b">
        <v>1</v>
      </c>
      <c r="H141" s="237"/>
      <c r="I141" s="268" t="s">
        <v>4686</v>
      </c>
      <c r="J141" s="269">
        <v>241827.0</v>
      </c>
      <c r="K141" s="288" t="s">
        <v>4857</v>
      </c>
      <c r="L141" s="269" t="s">
        <v>580</v>
      </c>
    </row>
    <row r="142" spans="8:8" ht="15.75" customHeight="1">
      <c r="A142" s="286"/>
      <c r="B142" s="288" t="s">
        <v>4664</v>
      </c>
      <c r="C142" s="287">
        <v>252811.0</v>
      </c>
      <c r="D142" s="288" t="s">
        <v>5038</v>
      </c>
      <c r="E142" s="287" t="s">
        <v>580</v>
      </c>
      <c r="F142" s="241" t="b">
        <v>1</v>
      </c>
      <c r="H142" s="237"/>
      <c r="I142" s="268" t="s">
        <v>2946</v>
      </c>
      <c r="J142" s="269">
        <v>253170.0</v>
      </c>
      <c r="K142" s="268" t="s">
        <v>5055</v>
      </c>
      <c r="L142" s="269" t="s">
        <v>580</v>
      </c>
    </row>
    <row r="143" spans="8:8" ht="15.75" customHeight="1">
      <c r="A143" s="286"/>
      <c r="B143" s="288" t="s">
        <v>2947</v>
      </c>
      <c r="C143" s="287">
        <v>252772.0</v>
      </c>
      <c r="D143" s="288" t="s">
        <v>5038</v>
      </c>
      <c r="E143" s="287" t="s">
        <v>580</v>
      </c>
      <c r="F143" s="241" t="b">
        <v>1</v>
      </c>
      <c r="H143" s="237"/>
      <c r="I143" s="268" t="s">
        <v>4664</v>
      </c>
      <c r="J143" s="269">
        <v>252811.0</v>
      </c>
      <c r="K143" s="268" t="s">
        <v>5038</v>
      </c>
      <c r="L143" s="269" t="s">
        <v>580</v>
      </c>
    </row>
    <row r="144" spans="8:8" ht="15.75" customHeight="1">
      <c r="A144" s="286"/>
      <c r="B144" s="288" t="s">
        <v>2948</v>
      </c>
      <c r="C144" s="287">
        <v>252559.0</v>
      </c>
      <c r="D144" s="288" t="s">
        <v>5013</v>
      </c>
      <c r="E144" s="287" t="s">
        <v>580</v>
      </c>
      <c r="F144" s="241" t="b">
        <v>1</v>
      </c>
      <c r="H144" s="237"/>
      <c r="I144" s="268" t="s">
        <v>2947</v>
      </c>
      <c r="J144" s="269">
        <v>252772.0</v>
      </c>
      <c r="K144" s="268" t="s">
        <v>5038</v>
      </c>
      <c r="L144" s="269" t="s">
        <v>580</v>
      </c>
    </row>
    <row r="145" spans="8:8" ht="15.75" customHeight="1">
      <c r="A145" s="286"/>
      <c r="B145" s="288" t="s">
        <v>4665</v>
      </c>
      <c r="C145" s="287">
        <v>241432.0</v>
      </c>
      <c r="D145" s="288" t="s">
        <v>4856</v>
      </c>
      <c r="E145" s="287" t="s">
        <v>580</v>
      </c>
      <c r="F145" s="241" t="b">
        <v>1</v>
      </c>
      <c r="H145" s="237"/>
      <c r="I145" s="268" t="s">
        <v>2948</v>
      </c>
      <c r="J145" s="269">
        <v>252559.0</v>
      </c>
      <c r="K145" s="268" t="s">
        <v>5013</v>
      </c>
      <c r="L145" s="269" t="s">
        <v>580</v>
      </c>
    </row>
    <row r="146" spans="8:8" ht="15.75" customHeight="1">
      <c r="A146" s="289"/>
      <c r="B146" s="266" t="s">
        <v>2845</v>
      </c>
      <c r="C146" s="267">
        <v>252888.0</v>
      </c>
      <c r="D146" s="266" t="s">
        <v>4860</v>
      </c>
      <c r="E146" s="287" t="s">
        <v>580</v>
      </c>
      <c r="F146" s="241" t="b">
        <v>1</v>
      </c>
      <c r="H146" s="237"/>
      <c r="I146" s="268" t="s">
        <v>4665</v>
      </c>
      <c r="J146" s="269">
        <v>241432.0</v>
      </c>
      <c r="K146" s="268" t="s">
        <v>4856</v>
      </c>
      <c r="L146" s="269" t="s">
        <v>580</v>
      </c>
    </row>
    <row r="147" spans="8:8" ht="15.75" customHeight="1">
      <c r="A147" s="286"/>
      <c r="B147" s="288" t="s">
        <v>4666</v>
      </c>
      <c r="C147" s="287">
        <v>240551.0</v>
      </c>
      <c r="D147" s="288" t="s">
        <v>4948</v>
      </c>
      <c r="E147" s="287" t="s">
        <v>580</v>
      </c>
      <c r="F147" s="241" t="b">
        <v>1</v>
      </c>
      <c r="G147" s="241">
        <v>9.0</v>
      </c>
      <c r="H147" s="237"/>
      <c r="I147" s="268" t="s">
        <v>2845</v>
      </c>
      <c r="J147" s="269">
        <v>252888.0</v>
      </c>
      <c r="K147" s="268" t="s">
        <v>4860</v>
      </c>
      <c r="L147" s="269" t="s">
        <v>580</v>
      </c>
    </row>
    <row r="148" spans="8:8" ht="15.75" customHeight="1">
      <c r="A148" s="289"/>
      <c r="B148" s="266" t="s">
        <v>4484</v>
      </c>
      <c r="C148" s="267">
        <v>253009.0</v>
      </c>
      <c r="D148" s="266" t="s">
        <v>5056</v>
      </c>
      <c r="E148" s="287" t="s">
        <v>781</v>
      </c>
      <c r="F148" s="241" t="b">
        <v>1</v>
      </c>
      <c r="G148" s="241">
        <v>9.0</v>
      </c>
      <c r="H148" s="237"/>
      <c r="I148" s="268" t="s">
        <v>4666</v>
      </c>
      <c r="J148" s="269">
        <v>240551.0</v>
      </c>
      <c r="K148" s="268" t="s">
        <v>4948</v>
      </c>
      <c r="L148" s="269" t="s">
        <v>580</v>
      </c>
    </row>
    <row r="149" spans="8:8" ht="15.75" customHeight="1">
      <c r="A149" s="286"/>
      <c r="B149" s="288" t="s">
        <v>5057</v>
      </c>
      <c r="C149" s="287">
        <v>251827.0</v>
      </c>
      <c r="D149" s="288" t="s">
        <v>5058</v>
      </c>
      <c r="E149" s="287" t="s">
        <v>28</v>
      </c>
      <c r="F149" s="241" t="b">
        <v>1</v>
      </c>
      <c r="G149" s="241">
        <v>12.0</v>
      </c>
      <c r="H149" s="237"/>
      <c r="I149" s="268" t="s">
        <v>4484</v>
      </c>
      <c r="J149" s="269">
        <v>253009.0</v>
      </c>
      <c r="K149" s="266" t="s">
        <v>5056</v>
      </c>
      <c r="L149" s="269" t="s">
        <v>781</v>
      </c>
    </row>
    <row r="150" spans="8:8" ht="15.75" customHeight="1">
      <c r="A150" s="286"/>
      <c r="B150" s="288" t="s">
        <v>5059</v>
      </c>
      <c r="C150" s="287">
        <v>251829.0</v>
      </c>
      <c r="D150" s="288" t="s">
        <v>5058</v>
      </c>
      <c r="E150" s="287" t="s">
        <v>28</v>
      </c>
      <c r="F150" s="241" t="b">
        <v>1</v>
      </c>
      <c r="G150" s="241">
        <v>12.0</v>
      </c>
      <c r="H150" s="237"/>
      <c r="I150" s="268" t="s">
        <v>5057</v>
      </c>
      <c r="J150" s="269">
        <v>251827.0</v>
      </c>
      <c r="K150" s="268" t="s">
        <v>5058</v>
      </c>
      <c r="L150" s="269" t="s">
        <v>28</v>
      </c>
    </row>
    <row r="151" spans="8:8" ht="15.75" customHeight="1">
      <c r="A151" s="286"/>
      <c r="B151" s="288" t="s">
        <v>2884</v>
      </c>
      <c r="C151" s="287">
        <v>251901.0</v>
      </c>
      <c r="D151" s="288" t="s">
        <v>5058</v>
      </c>
      <c r="E151" s="287" t="s">
        <v>28</v>
      </c>
      <c r="F151" s="241" t="b">
        <v>1</v>
      </c>
      <c r="H151" s="237"/>
      <c r="I151" s="268" t="s">
        <v>5059</v>
      </c>
      <c r="J151" s="269">
        <v>251829.0</v>
      </c>
      <c r="K151" s="268" t="s">
        <v>5058</v>
      </c>
      <c r="L151" s="269" t="s">
        <v>28</v>
      </c>
    </row>
    <row r="152" spans="8:8" ht="15.75" customHeight="1">
      <c r="A152" s="286"/>
      <c r="B152" s="288" t="s">
        <v>4604</v>
      </c>
      <c r="C152" s="287">
        <v>251839.0</v>
      </c>
      <c r="D152" s="288" t="s">
        <v>5058</v>
      </c>
      <c r="E152" s="287" t="s">
        <v>28</v>
      </c>
      <c r="F152" s="241" t="b">
        <v>1</v>
      </c>
      <c r="H152" s="237"/>
      <c r="I152" s="268" t="s">
        <v>2884</v>
      </c>
      <c r="J152" s="269">
        <v>251901.0</v>
      </c>
      <c r="K152" s="268" t="s">
        <v>5058</v>
      </c>
      <c r="L152" s="269" t="s">
        <v>28</v>
      </c>
    </row>
    <row r="153" spans="8:8" ht="15.75" customHeight="1">
      <c r="A153" s="286"/>
      <c r="B153" s="288" t="s">
        <v>2885</v>
      </c>
      <c r="C153" s="287">
        <v>251842.0</v>
      </c>
      <c r="D153" s="288" t="s">
        <v>5058</v>
      </c>
      <c r="E153" s="287" t="s">
        <v>28</v>
      </c>
      <c r="F153" s="241" t="b">
        <v>1</v>
      </c>
      <c r="H153" s="237"/>
      <c r="I153" s="268" t="s">
        <v>4604</v>
      </c>
      <c r="J153" s="269">
        <v>251839.0</v>
      </c>
      <c r="K153" s="268" t="s">
        <v>5058</v>
      </c>
      <c r="L153" s="269" t="s">
        <v>28</v>
      </c>
    </row>
    <row r="154" spans="8:8" ht="15.75" customHeight="1">
      <c r="A154" s="286"/>
      <c r="B154" s="288" t="s">
        <v>5060</v>
      </c>
      <c r="C154" s="287">
        <v>251810.0</v>
      </c>
      <c r="D154" s="288" t="s">
        <v>5058</v>
      </c>
      <c r="E154" s="287" t="s">
        <v>28</v>
      </c>
      <c r="F154" s="241" t="b">
        <v>1</v>
      </c>
      <c r="H154" s="237"/>
      <c r="I154" s="268" t="s">
        <v>2885</v>
      </c>
      <c r="J154" s="269">
        <v>251842.0</v>
      </c>
      <c r="K154" s="268" t="s">
        <v>5058</v>
      </c>
      <c r="L154" s="269" t="s">
        <v>28</v>
      </c>
    </row>
    <row r="155" spans="8:8" ht="15.75" customHeight="1">
      <c r="A155" s="286"/>
      <c r="B155" s="288" t="s">
        <v>2886</v>
      </c>
      <c r="C155" s="287">
        <v>251845.0</v>
      </c>
      <c r="D155" s="288" t="s">
        <v>5058</v>
      </c>
      <c r="E155" s="287" t="s">
        <v>28</v>
      </c>
      <c r="F155" s="241" t="b">
        <v>1</v>
      </c>
      <c r="H155" s="237"/>
      <c r="I155" s="268" t="s">
        <v>5060</v>
      </c>
      <c r="J155" s="269">
        <v>251810.0</v>
      </c>
      <c r="K155" s="268" t="s">
        <v>5058</v>
      </c>
      <c r="L155" s="269" t="s">
        <v>28</v>
      </c>
    </row>
    <row r="156" spans="8:8" ht="15.75" customHeight="1">
      <c r="A156" s="286"/>
      <c r="B156" s="288" t="s">
        <v>4605</v>
      </c>
      <c r="C156" s="287">
        <v>252207.0</v>
      </c>
      <c r="D156" s="288" t="s">
        <v>5061</v>
      </c>
      <c r="E156" s="287" t="s">
        <v>28</v>
      </c>
      <c r="F156" s="241" t="b">
        <v>1</v>
      </c>
      <c r="H156" s="237"/>
      <c r="I156" s="268" t="s">
        <v>2886</v>
      </c>
      <c r="J156" s="269">
        <v>251845.0</v>
      </c>
      <c r="K156" s="268" t="s">
        <v>5058</v>
      </c>
      <c r="L156" s="269" t="s">
        <v>28</v>
      </c>
    </row>
    <row r="157" spans="8:8" ht="15.75" customHeight="1">
      <c r="A157" s="286"/>
      <c r="B157" s="288" t="s">
        <v>4606</v>
      </c>
      <c r="C157" s="287">
        <v>251832.0</v>
      </c>
      <c r="D157" s="288" t="s">
        <v>5058</v>
      </c>
      <c r="E157" s="287" t="s">
        <v>28</v>
      </c>
      <c r="F157" s="241" t="b">
        <v>1</v>
      </c>
      <c r="H157" s="237"/>
      <c r="I157" s="268" t="s">
        <v>4605</v>
      </c>
      <c r="J157" s="269">
        <v>252207.0</v>
      </c>
      <c r="K157" s="288" t="s">
        <v>5061</v>
      </c>
      <c r="L157" s="269" t="s">
        <v>28</v>
      </c>
    </row>
    <row r="158" spans="8:8" ht="15.75" customHeight="1">
      <c r="A158" s="286"/>
      <c r="B158" s="288" t="s">
        <v>5062</v>
      </c>
      <c r="C158" s="287">
        <v>251856.0</v>
      </c>
      <c r="D158" s="288" t="s">
        <v>5058</v>
      </c>
      <c r="E158" s="287" t="s">
        <v>28</v>
      </c>
      <c r="F158" s="241" t="b">
        <v>1</v>
      </c>
      <c r="H158" s="237"/>
      <c r="I158" s="268" t="s">
        <v>4606</v>
      </c>
      <c r="J158" s="269">
        <v>251832.0</v>
      </c>
      <c r="K158" s="268" t="s">
        <v>5058</v>
      </c>
      <c r="L158" s="269" t="s">
        <v>28</v>
      </c>
    </row>
    <row r="159" spans="8:8" ht="15.75" customHeight="1">
      <c r="A159" s="286"/>
      <c r="B159" s="288" t="s">
        <v>5063</v>
      </c>
      <c r="C159" s="287">
        <v>251834.0</v>
      </c>
      <c r="D159" s="288" t="s">
        <v>5058</v>
      </c>
      <c r="E159" s="287" t="s">
        <v>28</v>
      </c>
      <c r="F159" s="241" t="b">
        <v>1</v>
      </c>
      <c r="H159" s="237"/>
      <c r="I159" s="268" t="s">
        <v>5062</v>
      </c>
      <c r="J159" s="269">
        <v>251856.0</v>
      </c>
      <c r="K159" s="268" t="s">
        <v>5058</v>
      </c>
      <c r="L159" s="269" t="s">
        <v>28</v>
      </c>
    </row>
    <row r="160" spans="8:8" ht="15.75" customHeight="1">
      <c r="A160" s="286"/>
      <c r="B160" s="288" t="s">
        <v>2501</v>
      </c>
      <c r="C160" s="287">
        <v>251888.0</v>
      </c>
      <c r="D160" s="288" t="s">
        <v>5058</v>
      </c>
      <c r="E160" s="287" t="s">
        <v>28</v>
      </c>
      <c r="F160" s="241" t="b">
        <v>1</v>
      </c>
      <c r="H160" s="237"/>
      <c r="I160" s="268" t="s">
        <v>5063</v>
      </c>
      <c r="J160" s="269">
        <v>251834.0</v>
      </c>
      <c r="K160" s="268" t="s">
        <v>5058</v>
      </c>
      <c r="L160" s="269" t="s">
        <v>28</v>
      </c>
    </row>
    <row r="161" spans="8:8" ht="15.75" customHeight="1">
      <c r="A161" s="286"/>
      <c r="B161" s="288" t="s">
        <v>2887</v>
      </c>
      <c r="C161" s="287">
        <v>251857.0</v>
      </c>
      <c r="D161" s="288" t="s">
        <v>5058</v>
      </c>
      <c r="E161" s="287" t="s">
        <v>28</v>
      </c>
      <c r="F161" s="241" t="b">
        <v>1</v>
      </c>
      <c r="H161" s="237"/>
      <c r="I161" s="268" t="s">
        <v>2501</v>
      </c>
      <c r="J161" s="269">
        <v>251888.0</v>
      </c>
      <c r="K161" s="268" t="s">
        <v>5058</v>
      </c>
      <c r="L161" s="269" t="s">
        <v>28</v>
      </c>
    </row>
    <row r="162" spans="8:8" ht="15.75" customHeight="1">
      <c r="A162" s="286"/>
      <c r="B162" s="288" t="s">
        <v>2888</v>
      </c>
      <c r="C162" s="287">
        <v>251864.0</v>
      </c>
      <c r="D162" s="288" t="s">
        <v>5058</v>
      </c>
      <c r="E162" s="287" t="s">
        <v>28</v>
      </c>
      <c r="F162" s="241" t="b">
        <v>1</v>
      </c>
      <c r="H162" s="237"/>
      <c r="I162" s="268" t="s">
        <v>2887</v>
      </c>
      <c r="J162" s="269">
        <v>251857.0</v>
      </c>
      <c r="K162" s="268" t="s">
        <v>5058</v>
      </c>
      <c r="L162" s="269" t="s">
        <v>28</v>
      </c>
    </row>
    <row r="163" spans="8:8" ht="15.75" customHeight="1">
      <c r="A163" s="286"/>
      <c r="B163" s="288" t="s">
        <v>5064</v>
      </c>
      <c r="C163" s="287">
        <v>251840.0</v>
      </c>
      <c r="D163" s="288" t="s">
        <v>5058</v>
      </c>
      <c r="E163" s="287" t="s">
        <v>28</v>
      </c>
      <c r="F163" s="241" t="b">
        <v>1</v>
      </c>
      <c r="H163" s="237"/>
      <c r="I163" s="268" t="s">
        <v>2888</v>
      </c>
      <c r="J163" s="269">
        <v>251864.0</v>
      </c>
      <c r="K163" s="268" t="s">
        <v>5058</v>
      </c>
      <c r="L163" s="269" t="s">
        <v>28</v>
      </c>
    </row>
    <row r="164" spans="8:8" ht="15.75" customHeight="1">
      <c r="A164" s="286"/>
      <c r="B164" s="288" t="s">
        <v>2889</v>
      </c>
      <c r="C164" s="287">
        <v>251882.0</v>
      </c>
      <c r="D164" s="288" t="s">
        <v>5058</v>
      </c>
      <c r="E164" s="287" t="s">
        <v>28</v>
      </c>
      <c r="F164" s="241" t="b">
        <v>1</v>
      </c>
      <c r="H164" s="237"/>
      <c r="I164" s="290" t="s">
        <v>5064</v>
      </c>
      <c r="J164" s="291">
        <v>251840.0</v>
      </c>
      <c r="K164" s="292" t="s">
        <v>5058</v>
      </c>
      <c r="L164" s="293" t="s">
        <v>28</v>
      </c>
    </row>
    <row r="165" spans="8:8" ht="15.75" customHeight="1">
      <c r="A165" s="286"/>
      <c r="B165" s="288" t="s">
        <v>2890</v>
      </c>
      <c r="C165" s="287">
        <v>251900.0</v>
      </c>
      <c r="D165" s="288" t="s">
        <v>5058</v>
      </c>
      <c r="E165" s="287" t="s">
        <v>28</v>
      </c>
      <c r="F165" s="241" t="b">
        <v>1</v>
      </c>
      <c r="H165" s="237"/>
      <c r="I165" s="268" t="s">
        <v>2889</v>
      </c>
      <c r="J165" s="269">
        <v>251882.0</v>
      </c>
      <c r="K165" s="268" t="s">
        <v>5058</v>
      </c>
      <c r="L165" s="269" t="s">
        <v>28</v>
      </c>
    </row>
    <row r="166" spans="8:8" ht="15.75" customHeight="1">
      <c r="A166" s="286"/>
      <c r="B166" s="288" t="s">
        <v>5065</v>
      </c>
      <c r="C166" s="287">
        <v>251854.0</v>
      </c>
      <c r="D166" s="288" t="s">
        <v>5058</v>
      </c>
      <c r="E166" s="287" t="s">
        <v>28</v>
      </c>
      <c r="F166" s="241" t="b">
        <v>1</v>
      </c>
      <c r="H166" s="237"/>
      <c r="I166" s="268" t="s">
        <v>2890</v>
      </c>
      <c r="J166" s="269">
        <v>251900.0</v>
      </c>
      <c r="K166" s="268" t="s">
        <v>5058</v>
      </c>
      <c r="L166" s="269" t="s">
        <v>28</v>
      </c>
    </row>
    <row r="167" spans="8:8" ht="15.75" customHeight="1">
      <c r="A167" s="286"/>
      <c r="B167" s="288" t="s">
        <v>2914</v>
      </c>
      <c r="C167" s="287">
        <v>251920.0</v>
      </c>
      <c r="D167" s="288" t="s">
        <v>5058</v>
      </c>
      <c r="E167" s="287" t="s">
        <v>28</v>
      </c>
      <c r="F167" s="241" t="b">
        <v>1</v>
      </c>
      <c r="H167" s="237"/>
      <c r="I167" s="268" t="s">
        <v>5065</v>
      </c>
      <c r="J167" s="269">
        <v>251854.0</v>
      </c>
      <c r="K167" s="268" t="s">
        <v>5058</v>
      </c>
      <c r="L167" s="269" t="s">
        <v>28</v>
      </c>
    </row>
    <row r="168" spans="8:8" ht="15.75" customHeight="1">
      <c r="A168" s="286"/>
      <c r="B168" s="288" t="s">
        <v>2891</v>
      </c>
      <c r="C168" s="287">
        <v>251921.0</v>
      </c>
      <c r="D168" s="288" t="s">
        <v>5058</v>
      </c>
      <c r="E168" s="287" t="s">
        <v>28</v>
      </c>
      <c r="F168" s="241" t="b">
        <v>1</v>
      </c>
      <c r="H168" s="237"/>
      <c r="I168" s="268" t="s">
        <v>2914</v>
      </c>
      <c r="J168" s="269">
        <v>251920.0</v>
      </c>
      <c r="K168" s="268" t="s">
        <v>5058</v>
      </c>
      <c r="L168" s="269" t="s">
        <v>28</v>
      </c>
    </row>
    <row r="169" spans="8:8" ht="15.75" customHeight="1">
      <c r="A169" s="286"/>
      <c r="B169" s="288" t="s">
        <v>2892</v>
      </c>
      <c r="C169" s="287">
        <v>251796.0</v>
      </c>
      <c r="D169" s="288" t="s">
        <v>5058</v>
      </c>
      <c r="E169" s="287" t="s">
        <v>28</v>
      </c>
      <c r="F169" s="241" t="b">
        <v>1</v>
      </c>
      <c r="H169" s="237"/>
      <c r="I169" s="268" t="s">
        <v>2891</v>
      </c>
      <c r="J169" s="269">
        <v>251921.0</v>
      </c>
      <c r="K169" s="268" t="s">
        <v>5058</v>
      </c>
      <c r="L169" s="269" t="s">
        <v>28</v>
      </c>
    </row>
    <row r="170" spans="8:8" ht="15.75" customHeight="1">
      <c r="A170" s="286"/>
      <c r="B170" s="288" t="s">
        <v>5066</v>
      </c>
      <c r="C170" s="287">
        <v>251938.0</v>
      </c>
      <c r="D170" s="288" t="s">
        <v>5058</v>
      </c>
      <c r="E170" s="287" t="s">
        <v>28</v>
      </c>
      <c r="F170" s="241" t="b">
        <v>1</v>
      </c>
      <c r="H170" s="237"/>
      <c r="I170" s="268" t="s">
        <v>2892</v>
      </c>
      <c r="J170" s="269">
        <v>251796.0</v>
      </c>
      <c r="K170" s="268" t="s">
        <v>5058</v>
      </c>
      <c r="L170" s="269" t="s">
        <v>28</v>
      </c>
    </row>
    <row r="171" spans="8:8" ht="15.75" customHeight="1">
      <c r="A171" s="286"/>
      <c r="B171" s="288" t="s">
        <v>5067</v>
      </c>
      <c r="C171" s="287">
        <v>251968.0</v>
      </c>
      <c r="D171" s="288" t="s">
        <v>5058</v>
      </c>
      <c r="E171" s="287" t="s">
        <v>28</v>
      </c>
      <c r="F171" s="241" t="b">
        <v>1</v>
      </c>
      <c r="H171" s="237"/>
      <c r="I171" s="268" t="s">
        <v>5066</v>
      </c>
      <c r="J171" s="269">
        <v>251938.0</v>
      </c>
      <c r="K171" s="268" t="s">
        <v>5058</v>
      </c>
      <c r="L171" s="269" t="s">
        <v>28</v>
      </c>
    </row>
    <row r="172" spans="8:8" ht="15.75" customHeight="1">
      <c r="A172" s="289"/>
      <c r="B172" s="266" t="s">
        <v>2893</v>
      </c>
      <c r="C172" s="267">
        <v>251957.0</v>
      </c>
      <c r="D172" s="266" t="s">
        <v>5034</v>
      </c>
      <c r="E172" s="287" t="s">
        <v>28</v>
      </c>
      <c r="F172" s="241" t="b">
        <v>1</v>
      </c>
      <c r="H172" s="237"/>
      <c r="I172" s="268" t="s">
        <v>5067</v>
      </c>
      <c r="J172" s="269">
        <v>251968.0</v>
      </c>
      <c r="K172" s="268" t="s">
        <v>5058</v>
      </c>
      <c r="L172" s="269" t="s">
        <v>28</v>
      </c>
    </row>
    <row r="173" spans="8:8" ht="15.75" customHeight="1">
      <c r="A173" s="286"/>
      <c r="B173" s="288" t="s">
        <v>4607</v>
      </c>
      <c r="C173" s="287">
        <v>251971.0</v>
      </c>
      <c r="D173" s="288" t="s">
        <v>5058</v>
      </c>
      <c r="E173" s="287" t="s">
        <v>28</v>
      </c>
      <c r="F173" s="241" t="b">
        <v>1</v>
      </c>
      <c r="H173" s="237"/>
      <c r="I173" s="268" t="s">
        <v>2893</v>
      </c>
      <c r="J173" s="269">
        <v>251957.0</v>
      </c>
      <c r="K173" s="268" t="s">
        <v>5034</v>
      </c>
      <c r="L173" s="269" t="s">
        <v>28</v>
      </c>
    </row>
    <row r="174" spans="8:8" ht="15.75" customHeight="1">
      <c r="A174" s="286"/>
      <c r="B174" s="288" t="s">
        <v>4618</v>
      </c>
      <c r="C174" s="287">
        <v>252166.0</v>
      </c>
      <c r="D174" s="288" t="s">
        <v>5068</v>
      </c>
      <c r="E174" s="287" t="s">
        <v>28</v>
      </c>
      <c r="F174" s="241" t="b">
        <v>1</v>
      </c>
      <c r="H174" s="237"/>
      <c r="I174" s="268" t="s">
        <v>4607</v>
      </c>
      <c r="J174" s="269">
        <v>251971.0</v>
      </c>
      <c r="K174" s="268" t="s">
        <v>5058</v>
      </c>
      <c r="L174" s="269" t="s">
        <v>28</v>
      </c>
    </row>
    <row r="175" spans="8:8" ht="15.75" customHeight="1">
      <c r="A175" s="286"/>
      <c r="B175" s="288" t="s">
        <v>4619</v>
      </c>
      <c r="C175" s="287">
        <v>252182.0</v>
      </c>
      <c r="D175" s="288" t="s">
        <v>5068</v>
      </c>
      <c r="E175" s="287" t="s">
        <v>28</v>
      </c>
      <c r="F175" s="241" t="b">
        <v>1</v>
      </c>
      <c r="H175" s="237"/>
      <c r="I175" s="268" t="s">
        <v>4618</v>
      </c>
      <c r="J175" s="269">
        <v>252166.0</v>
      </c>
      <c r="K175" s="268" t="s">
        <v>5068</v>
      </c>
      <c r="L175" s="269" t="s">
        <v>28</v>
      </c>
    </row>
    <row r="176" spans="8:8" ht="15.75" customHeight="1">
      <c r="A176" s="286"/>
      <c r="B176" s="288" t="s">
        <v>4620</v>
      </c>
      <c r="C176" s="287">
        <v>252183.0</v>
      </c>
      <c r="D176" s="288" t="s">
        <v>5068</v>
      </c>
      <c r="E176" s="287" t="s">
        <v>28</v>
      </c>
      <c r="F176" s="241" t="b">
        <v>1</v>
      </c>
      <c r="H176" s="237"/>
      <c r="I176" s="268" t="s">
        <v>4619</v>
      </c>
      <c r="J176" s="269">
        <v>252182.0</v>
      </c>
      <c r="K176" s="268" t="s">
        <v>5068</v>
      </c>
      <c r="L176" s="269" t="s">
        <v>28</v>
      </c>
    </row>
    <row r="177" spans="8:8" ht="15.75" customHeight="1">
      <c r="A177" s="286"/>
      <c r="B177" s="288" t="s">
        <v>2898</v>
      </c>
      <c r="C177" s="287">
        <v>252179.0</v>
      </c>
      <c r="D177" s="288" t="s">
        <v>5068</v>
      </c>
      <c r="E177" s="287" t="s">
        <v>28</v>
      </c>
      <c r="F177" s="241" t="b">
        <v>1</v>
      </c>
      <c r="H177" s="237"/>
      <c r="I177" s="268" t="s">
        <v>4620</v>
      </c>
      <c r="J177" s="269">
        <v>252183.0</v>
      </c>
      <c r="K177" s="268" t="s">
        <v>5068</v>
      </c>
      <c r="L177" s="269" t="s">
        <v>28</v>
      </c>
    </row>
    <row r="178" spans="8:8" ht="15.75" customHeight="1">
      <c r="A178" s="286"/>
      <c r="B178" s="288" t="s">
        <v>2899</v>
      </c>
      <c r="C178" s="287">
        <v>252178.0</v>
      </c>
      <c r="D178" s="288" t="s">
        <v>5068</v>
      </c>
      <c r="E178" s="287" t="s">
        <v>28</v>
      </c>
      <c r="F178" s="241" t="b">
        <v>1</v>
      </c>
      <c r="H178" s="237"/>
      <c r="I178" s="268" t="s">
        <v>2898</v>
      </c>
      <c r="J178" s="269">
        <v>252179.0</v>
      </c>
      <c r="K178" s="268" t="s">
        <v>5068</v>
      </c>
      <c r="L178" s="269" t="s">
        <v>28</v>
      </c>
    </row>
    <row r="179" spans="8:8" ht="15.75" customHeight="1">
      <c r="A179" s="286"/>
      <c r="B179" s="288" t="s">
        <v>2503</v>
      </c>
      <c r="C179" s="287">
        <v>252187.0</v>
      </c>
      <c r="D179" s="288" t="s">
        <v>5068</v>
      </c>
      <c r="E179" s="287" t="s">
        <v>28</v>
      </c>
      <c r="F179" s="241" t="b">
        <v>1</v>
      </c>
      <c r="H179" s="237"/>
      <c r="I179" s="268" t="s">
        <v>2899</v>
      </c>
      <c r="J179" s="269">
        <v>252178.0</v>
      </c>
      <c r="K179" s="268" t="s">
        <v>5068</v>
      </c>
      <c r="L179" s="269" t="s">
        <v>28</v>
      </c>
    </row>
    <row r="180" spans="8:8" ht="15.75" customHeight="1">
      <c r="A180" s="286"/>
      <c r="B180" s="288" t="s">
        <v>4621</v>
      </c>
      <c r="C180" s="287">
        <v>252193.0</v>
      </c>
      <c r="D180" s="288" t="s">
        <v>5068</v>
      </c>
      <c r="E180" s="287" t="s">
        <v>28</v>
      </c>
      <c r="F180" s="241" t="b">
        <v>1</v>
      </c>
      <c r="H180" s="237"/>
      <c r="I180" s="268" t="s">
        <v>2503</v>
      </c>
      <c r="J180" s="269">
        <v>252187.0</v>
      </c>
      <c r="K180" s="268" t="s">
        <v>5068</v>
      </c>
      <c r="L180" s="269" t="s">
        <v>28</v>
      </c>
    </row>
    <row r="181" spans="8:8" ht="15.75" customHeight="1">
      <c r="A181" s="286"/>
      <c r="B181" s="288" t="s">
        <v>5069</v>
      </c>
      <c r="C181" s="287">
        <v>252220.0</v>
      </c>
      <c r="D181" s="288" t="s">
        <v>5068</v>
      </c>
      <c r="E181" s="287" t="s">
        <v>28</v>
      </c>
      <c r="F181" s="241" t="b">
        <v>1</v>
      </c>
      <c r="H181" s="237"/>
      <c r="I181" s="268" t="s">
        <v>4621</v>
      </c>
      <c r="J181" s="269">
        <v>252193.0</v>
      </c>
      <c r="K181" s="268" t="s">
        <v>5068</v>
      </c>
      <c r="L181" s="269" t="s">
        <v>28</v>
      </c>
    </row>
    <row r="182" spans="8:8" ht="15.75" customHeight="1">
      <c r="A182" s="286"/>
      <c r="B182" s="288" t="s">
        <v>5070</v>
      </c>
      <c r="C182" s="287">
        <v>252282.0</v>
      </c>
      <c r="D182" s="288" t="s">
        <v>5068</v>
      </c>
      <c r="E182" s="287" t="s">
        <v>28</v>
      </c>
      <c r="F182" s="241" t="b">
        <v>1</v>
      </c>
      <c r="H182" s="237"/>
      <c r="I182" s="268" t="s">
        <v>5069</v>
      </c>
      <c r="J182" s="269">
        <v>252220.0</v>
      </c>
      <c r="K182" s="268" t="s">
        <v>5068</v>
      </c>
      <c r="L182" s="269" t="s">
        <v>28</v>
      </c>
    </row>
    <row r="183" spans="8:8" ht="15.75" customHeight="1">
      <c r="A183" s="286"/>
      <c r="B183" s="288" t="s">
        <v>4622</v>
      </c>
      <c r="C183" s="287">
        <v>252198.0</v>
      </c>
      <c r="D183" s="288" t="s">
        <v>5068</v>
      </c>
      <c r="E183" s="287" t="s">
        <v>28</v>
      </c>
      <c r="F183" s="241" t="b">
        <v>1</v>
      </c>
      <c r="H183" s="237"/>
      <c r="I183" s="268" t="s">
        <v>5070</v>
      </c>
      <c r="J183" s="269">
        <v>252282.0</v>
      </c>
      <c r="K183" s="268" t="s">
        <v>5068</v>
      </c>
      <c r="L183" s="269" t="s">
        <v>28</v>
      </c>
    </row>
    <row r="184" spans="8:8" ht="15.75" customHeight="1">
      <c r="A184" s="286"/>
      <c r="B184" s="288" t="s">
        <v>4623</v>
      </c>
      <c r="C184" s="287">
        <v>252222.0</v>
      </c>
      <c r="D184" s="288" t="s">
        <v>5068</v>
      </c>
      <c r="E184" s="287" t="s">
        <v>28</v>
      </c>
      <c r="F184" s="241" t="b">
        <v>1</v>
      </c>
      <c r="H184" s="237"/>
      <c r="I184" s="268" t="s">
        <v>4622</v>
      </c>
      <c r="J184" s="269">
        <v>252198.0</v>
      </c>
      <c r="K184" s="268" t="s">
        <v>5068</v>
      </c>
      <c r="L184" s="269" t="s">
        <v>28</v>
      </c>
    </row>
    <row r="185" spans="8:8" ht="15.75" customHeight="1">
      <c r="A185" s="286"/>
      <c r="B185" s="288" t="s">
        <v>4624</v>
      </c>
      <c r="C185" s="287">
        <v>252277.0</v>
      </c>
      <c r="D185" s="288" t="s">
        <v>5068</v>
      </c>
      <c r="E185" s="287" t="s">
        <v>28</v>
      </c>
      <c r="F185" s="241" t="b">
        <v>1</v>
      </c>
      <c r="H185" s="237"/>
      <c r="I185" s="268" t="s">
        <v>4623</v>
      </c>
      <c r="J185" s="269">
        <v>252222.0</v>
      </c>
      <c r="K185" s="268" t="s">
        <v>5068</v>
      </c>
      <c r="L185" s="269" t="s">
        <v>28</v>
      </c>
    </row>
    <row r="186" spans="8:8" ht="15.75" customHeight="1">
      <c r="A186" s="286"/>
      <c r="B186" s="288" t="s">
        <v>2900</v>
      </c>
      <c r="C186" s="287">
        <v>252251.0</v>
      </c>
      <c r="D186" s="288" t="s">
        <v>5068</v>
      </c>
      <c r="E186" s="287" t="s">
        <v>28</v>
      </c>
      <c r="F186" s="241" t="b">
        <v>1</v>
      </c>
      <c r="H186" s="237"/>
      <c r="I186" s="268" t="s">
        <v>4624</v>
      </c>
      <c r="J186" s="269">
        <v>252277.0</v>
      </c>
      <c r="K186" s="268" t="s">
        <v>5068</v>
      </c>
      <c r="L186" s="269" t="s">
        <v>28</v>
      </c>
    </row>
    <row r="187" spans="8:8" ht="15.75" customHeight="1">
      <c r="A187" s="286"/>
      <c r="B187" s="288" t="s">
        <v>2901</v>
      </c>
      <c r="C187" s="287">
        <v>252283.0</v>
      </c>
      <c r="D187" s="288" t="s">
        <v>5068</v>
      </c>
      <c r="E187" s="287" t="s">
        <v>28</v>
      </c>
      <c r="F187" s="241" t="b">
        <v>1</v>
      </c>
      <c r="H187" s="237"/>
      <c r="I187" s="268" t="s">
        <v>2900</v>
      </c>
      <c r="J187" s="269">
        <v>252251.0</v>
      </c>
      <c r="K187" s="268" t="s">
        <v>5068</v>
      </c>
      <c r="L187" s="269" t="s">
        <v>28</v>
      </c>
    </row>
    <row r="188" spans="8:8" ht="15.75" customHeight="1">
      <c r="A188" s="286"/>
      <c r="B188" s="288" t="s">
        <v>4625</v>
      </c>
      <c r="C188" s="287">
        <v>252202.0</v>
      </c>
      <c r="D188" s="288" t="s">
        <v>5068</v>
      </c>
      <c r="E188" s="287" t="s">
        <v>28</v>
      </c>
      <c r="F188" s="241" t="b">
        <v>1</v>
      </c>
      <c r="H188" s="237"/>
      <c r="I188" s="268" t="s">
        <v>2901</v>
      </c>
      <c r="J188" s="269">
        <v>252283.0</v>
      </c>
      <c r="K188" s="268" t="s">
        <v>5068</v>
      </c>
      <c r="L188" s="269" t="s">
        <v>28</v>
      </c>
    </row>
    <row r="189" spans="8:8" ht="15.75" customHeight="1">
      <c r="A189" s="286"/>
      <c r="B189" s="288" t="s">
        <v>4626</v>
      </c>
      <c r="C189" s="287">
        <v>252219.0</v>
      </c>
      <c r="D189" s="288" t="s">
        <v>5068</v>
      </c>
      <c r="E189" s="287" t="s">
        <v>28</v>
      </c>
      <c r="F189" s="241" t="b">
        <v>1</v>
      </c>
      <c r="H189" s="237"/>
      <c r="I189" s="268" t="s">
        <v>4625</v>
      </c>
      <c r="J189" s="269">
        <v>252202.0</v>
      </c>
      <c r="K189" s="268" t="s">
        <v>5068</v>
      </c>
      <c r="L189" s="269" t="s">
        <v>28</v>
      </c>
    </row>
    <row r="190" spans="8:8" ht="15.75" customHeight="1">
      <c r="A190" s="286"/>
      <c r="B190" s="288" t="s">
        <v>4555</v>
      </c>
      <c r="C190" s="287">
        <v>252276.0</v>
      </c>
      <c r="D190" s="288" t="s">
        <v>5068</v>
      </c>
      <c r="E190" s="287" t="s">
        <v>28</v>
      </c>
      <c r="F190" s="241" t="b">
        <v>1</v>
      </c>
      <c r="H190" s="237"/>
      <c r="I190" s="268" t="s">
        <v>4626</v>
      </c>
      <c r="J190" s="269">
        <v>252219.0</v>
      </c>
      <c r="K190" s="268" t="s">
        <v>5068</v>
      </c>
      <c r="L190" s="269" t="s">
        <v>28</v>
      </c>
    </row>
    <row r="191" spans="8:8" ht="15.75" customHeight="1">
      <c r="A191" s="286"/>
      <c r="B191" s="288" t="s">
        <v>2902</v>
      </c>
      <c r="C191" s="287">
        <v>252262.0</v>
      </c>
      <c r="D191" s="288" t="s">
        <v>5068</v>
      </c>
      <c r="E191" s="287" t="s">
        <v>28</v>
      </c>
      <c r="F191" s="241" t="b">
        <v>1</v>
      </c>
      <c r="H191" s="237"/>
      <c r="I191" s="268" t="s">
        <v>4555</v>
      </c>
      <c r="J191" s="269">
        <v>252276.0</v>
      </c>
      <c r="K191" s="268" t="s">
        <v>5068</v>
      </c>
      <c r="L191" s="269" t="s">
        <v>28</v>
      </c>
    </row>
    <row r="192" spans="8:8" ht="15.75" customHeight="1">
      <c r="A192" s="286"/>
      <c r="B192" s="288" t="s">
        <v>2903</v>
      </c>
      <c r="C192" s="287">
        <v>252323.0</v>
      </c>
      <c r="D192" s="288" t="s">
        <v>5068</v>
      </c>
      <c r="E192" s="287" t="s">
        <v>28</v>
      </c>
      <c r="F192" s="241" t="b">
        <v>1</v>
      </c>
      <c r="H192" s="237"/>
      <c r="I192" s="268" t="s">
        <v>2902</v>
      </c>
      <c r="J192" s="269">
        <v>252262.0</v>
      </c>
      <c r="K192" s="268" t="s">
        <v>5068</v>
      </c>
      <c r="L192" s="269" t="s">
        <v>28</v>
      </c>
    </row>
    <row r="193" spans="8:8" ht="15.75" customHeight="1">
      <c r="A193" s="286"/>
      <c r="B193" s="288" t="s">
        <v>2904</v>
      </c>
      <c r="C193" s="287">
        <v>252322.0</v>
      </c>
      <c r="D193" s="288" t="s">
        <v>5068</v>
      </c>
      <c r="E193" s="287" t="s">
        <v>28</v>
      </c>
      <c r="F193" s="241" t="b">
        <v>1</v>
      </c>
      <c r="H193" s="237"/>
      <c r="I193" s="290" t="s">
        <v>2903</v>
      </c>
      <c r="J193" s="291">
        <v>252323.0</v>
      </c>
      <c r="K193" s="292" t="s">
        <v>5068</v>
      </c>
      <c r="L193" s="293" t="s">
        <v>28</v>
      </c>
    </row>
    <row r="194" spans="8:8" ht="15.75" customHeight="1">
      <c r="A194" s="286"/>
      <c r="B194" s="288" t="s">
        <v>4627</v>
      </c>
      <c r="C194" s="287">
        <v>252334.0</v>
      </c>
      <c r="D194" s="288" t="s">
        <v>5068</v>
      </c>
      <c r="E194" s="287" t="s">
        <v>28</v>
      </c>
      <c r="F194" s="241" t="b">
        <v>1</v>
      </c>
      <c r="H194" s="237"/>
      <c r="I194" s="268" t="s">
        <v>2904</v>
      </c>
      <c r="J194" s="269">
        <v>252322.0</v>
      </c>
      <c r="K194" s="268" t="s">
        <v>5068</v>
      </c>
      <c r="L194" s="269" t="s">
        <v>28</v>
      </c>
    </row>
    <row r="195" spans="8:8" ht="15.75" customHeight="1">
      <c r="A195" s="286"/>
      <c r="B195" s="288" t="s">
        <v>4628</v>
      </c>
      <c r="C195" s="287">
        <v>241670.0</v>
      </c>
      <c r="D195" s="288" t="s">
        <v>5071</v>
      </c>
      <c r="E195" s="287" t="s">
        <v>28</v>
      </c>
      <c r="F195" s="241" t="b">
        <v>1</v>
      </c>
      <c r="H195" s="237"/>
      <c r="I195" s="268" t="s">
        <v>4627</v>
      </c>
      <c r="J195" s="269">
        <v>252334.0</v>
      </c>
      <c r="K195" s="268" t="s">
        <v>5068</v>
      </c>
      <c r="L195" s="269" t="s">
        <v>28</v>
      </c>
    </row>
    <row r="196" spans="8:8" ht="15.75" customHeight="1">
      <c r="A196" s="286"/>
      <c r="B196" s="288" t="s">
        <v>4629</v>
      </c>
      <c r="C196" s="287">
        <v>241734.0</v>
      </c>
      <c r="D196" s="288" t="s">
        <v>5071</v>
      </c>
      <c r="E196" s="287" t="s">
        <v>28</v>
      </c>
      <c r="F196" s="241" t="b">
        <v>1</v>
      </c>
      <c r="H196" s="237"/>
      <c r="I196" s="268" t="s">
        <v>4628</v>
      </c>
      <c r="J196" s="269">
        <v>241670.0</v>
      </c>
      <c r="K196" s="268" t="s">
        <v>5071</v>
      </c>
      <c r="L196" s="269" t="s">
        <v>28</v>
      </c>
    </row>
    <row r="197" spans="8:8" ht="15.75" customHeight="1">
      <c r="A197" s="286"/>
      <c r="B197" s="288" t="s">
        <v>4630</v>
      </c>
      <c r="C197" s="287">
        <v>241733.0</v>
      </c>
      <c r="D197" s="288" t="s">
        <v>5071</v>
      </c>
      <c r="E197" s="287" t="s">
        <v>28</v>
      </c>
      <c r="F197" s="241" t="b">
        <v>1</v>
      </c>
      <c r="H197" s="237"/>
      <c r="I197" s="268" t="s">
        <v>4629</v>
      </c>
      <c r="J197" s="269">
        <v>241734.0</v>
      </c>
      <c r="K197" s="268" t="s">
        <v>5071</v>
      </c>
      <c r="L197" s="269" t="s">
        <v>28</v>
      </c>
    </row>
    <row r="198" spans="8:8" ht="15.75" customHeight="1">
      <c r="A198" s="286"/>
      <c r="B198" s="288" t="s">
        <v>4631</v>
      </c>
      <c r="C198" s="287">
        <v>241712.0</v>
      </c>
      <c r="D198" s="288" t="s">
        <v>5071</v>
      </c>
      <c r="E198" s="287" t="s">
        <v>28</v>
      </c>
      <c r="F198" s="241" t="b">
        <v>1</v>
      </c>
      <c r="H198" s="237"/>
      <c r="I198" s="268" t="s">
        <v>4630</v>
      </c>
      <c r="J198" s="269">
        <v>241733.0</v>
      </c>
      <c r="K198" s="268" t="s">
        <v>5071</v>
      </c>
      <c r="L198" s="269" t="s">
        <v>28</v>
      </c>
    </row>
    <row r="199" spans="8:8" ht="15.75" customHeight="1">
      <c r="A199" s="286"/>
      <c r="B199" s="288" t="s">
        <v>2905</v>
      </c>
      <c r="C199" s="287">
        <v>241866.0</v>
      </c>
      <c r="D199" s="288" t="s">
        <v>5071</v>
      </c>
      <c r="E199" s="287" t="s">
        <v>28</v>
      </c>
      <c r="F199" s="241" t="b">
        <v>1</v>
      </c>
      <c r="H199" s="237"/>
      <c r="I199" s="268" t="s">
        <v>4631</v>
      </c>
      <c r="J199" s="269">
        <v>241712.0</v>
      </c>
      <c r="K199" s="268" t="s">
        <v>5071</v>
      </c>
      <c r="L199" s="269" t="s">
        <v>28</v>
      </c>
    </row>
    <row r="200" spans="8:8" ht="15.75" customHeight="1">
      <c r="A200" s="286"/>
      <c r="B200" s="288" t="s">
        <v>5072</v>
      </c>
      <c r="C200" s="287">
        <v>241905.0</v>
      </c>
      <c r="D200" s="288" t="s">
        <v>5071</v>
      </c>
      <c r="E200" s="287" t="s">
        <v>28</v>
      </c>
      <c r="F200" s="241" t="b">
        <v>1</v>
      </c>
      <c r="H200" s="237"/>
      <c r="I200" s="268" t="s">
        <v>2905</v>
      </c>
      <c r="J200" s="269">
        <v>241866.0</v>
      </c>
      <c r="K200" s="268" t="s">
        <v>5071</v>
      </c>
      <c r="L200" s="269" t="s">
        <v>28</v>
      </c>
    </row>
    <row r="201" spans="8:8" ht="15.75" customHeight="1">
      <c r="A201" s="286"/>
      <c r="B201" s="288" t="s">
        <v>2737</v>
      </c>
      <c r="C201" s="287">
        <v>252317.0</v>
      </c>
      <c r="D201" s="288" t="s">
        <v>5068</v>
      </c>
      <c r="E201" s="287" t="s">
        <v>111</v>
      </c>
      <c r="F201" s="241" t="b">
        <v>1</v>
      </c>
      <c r="H201" s="237"/>
      <c r="I201" s="268" t="s">
        <v>5072</v>
      </c>
      <c r="J201" s="269">
        <v>241905.0</v>
      </c>
      <c r="K201" s="268" t="s">
        <v>5071</v>
      </c>
      <c r="L201" s="269" t="s">
        <v>28</v>
      </c>
    </row>
    <row r="202" spans="8:8" ht="15.75" customHeight="1">
      <c r="A202" s="286"/>
      <c r="B202" s="288" t="s">
        <v>2927</v>
      </c>
      <c r="C202" s="287">
        <v>251967.0</v>
      </c>
      <c r="D202" s="288" t="s">
        <v>5058</v>
      </c>
      <c r="E202" s="287" t="s">
        <v>111</v>
      </c>
      <c r="F202" s="241" t="b">
        <v>1</v>
      </c>
      <c r="H202" s="237"/>
      <c r="I202" s="268" t="s">
        <v>2737</v>
      </c>
      <c r="J202" s="269">
        <v>252317.0</v>
      </c>
      <c r="K202" s="268" t="s">
        <v>5068</v>
      </c>
      <c r="L202" s="269" t="s">
        <v>111</v>
      </c>
    </row>
    <row r="203" spans="8:8" ht="15.75" customHeight="1">
      <c r="A203" s="286"/>
      <c r="B203" s="288" t="s">
        <v>5073</v>
      </c>
      <c r="C203" s="287">
        <v>252236.0</v>
      </c>
      <c r="D203" s="288" t="s">
        <v>5068</v>
      </c>
      <c r="E203" s="287" t="s">
        <v>111</v>
      </c>
      <c r="F203" s="241" t="b">
        <v>1</v>
      </c>
      <c r="H203" s="237"/>
      <c r="I203" s="268" t="s">
        <v>2927</v>
      </c>
      <c r="J203" s="269">
        <v>251967.0</v>
      </c>
      <c r="K203" s="268" t="s">
        <v>5058</v>
      </c>
      <c r="L203" s="269" t="s">
        <v>111</v>
      </c>
    </row>
    <row r="204" spans="8:8" ht="15.75" customHeight="1">
      <c r="A204" s="286"/>
      <c r="B204" s="288" t="s">
        <v>3441</v>
      </c>
      <c r="C204" s="287">
        <v>252213.0</v>
      </c>
      <c r="D204" s="288" t="s">
        <v>5068</v>
      </c>
      <c r="E204" s="287" t="s">
        <v>111</v>
      </c>
      <c r="F204" s="241" t="b">
        <v>1</v>
      </c>
      <c r="H204" s="237"/>
      <c r="I204" s="268" t="s">
        <v>5073</v>
      </c>
      <c r="J204" s="269">
        <v>252236.0</v>
      </c>
      <c r="K204" s="268" t="s">
        <v>5068</v>
      </c>
      <c r="L204" s="269" t="s">
        <v>111</v>
      </c>
    </row>
    <row r="205" spans="8:8" ht="15.75" customHeight="1">
      <c r="A205" s="286"/>
      <c r="B205" s="288" t="s">
        <v>2928</v>
      </c>
      <c r="C205" s="287">
        <v>252210.0</v>
      </c>
      <c r="D205" s="288" t="s">
        <v>5068</v>
      </c>
      <c r="E205" s="287" t="s">
        <v>111</v>
      </c>
      <c r="F205" s="241" t="b">
        <v>1</v>
      </c>
      <c r="H205" s="237"/>
      <c r="I205" s="268" t="s">
        <v>3441</v>
      </c>
      <c r="J205" s="269">
        <v>252213.0</v>
      </c>
      <c r="K205" s="268" t="s">
        <v>5068</v>
      </c>
      <c r="L205" s="269" t="s">
        <v>111</v>
      </c>
    </row>
    <row r="206" spans="8:8" ht="15.75" customHeight="1">
      <c r="A206" s="286"/>
      <c r="B206" s="288" t="s">
        <v>4641</v>
      </c>
      <c r="C206" s="287">
        <v>252289.0</v>
      </c>
      <c r="D206" s="288" t="s">
        <v>5068</v>
      </c>
      <c r="E206" s="287" t="s">
        <v>111</v>
      </c>
      <c r="F206" s="241" t="b">
        <v>1</v>
      </c>
      <c r="H206" s="237"/>
      <c r="I206" s="268" t="s">
        <v>2928</v>
      </c>
      <c r="J206" s="269">
        <v>252210.0</v>
      </c>
      <c r="K206" s="268" t="s">
        <v>5068</v>
      </c>
      <c r="L206" s="269" t="s">
        <v>111</v>
      </c>
    </row>
    <row r="207" spans="8:8" ht="15.75" customHeight="1">
      <c r="A207" s="286"/>
      <c r="B207" s="288" t="s">
        <v>5074</v>
      </c>
      <c r="C207" s="287">
        <v>252211.0</v>
      </c>
      <c r="D207" s="288" t="s">
        <v>5068</v>
      </c>
      <c r="E207" s="287" t="s">
        <v>111</v>
      </c>
      <c r="F207" s="241" t="b">
        <v>1</v>
      </c>
      <c r="H207" s="237"/>
      <c r="I207" s="268" t="s">
        <v>4641</v>
      </c>
      <c r="J207" s="269">
        <v>252289.0</v>
      </c>
      <c r="K207" s="268" t="s">
        <v>5068</v>
      </c>
      <c r="L207" s="269" t="s">
        <v>111</v>
      </c>
    </row>
    <row r="208" spans="8:8" ht="15.75" customHeight="1">
      <c r="A208" s="286"/>
      <c r="B208" s="288" t="s">
        <v>4642</v>
      </c>
      <c r="C208" s="287">
        <v>241958.0</v>
      </c>
      <c r="D208" s="288" t="s">
        <v>5071</v>
      </c>
      <c r="E208" s="287" t="s">
        <v>111</v>
      </c>
      <c r="F208" s="241" t="b">
        <v>1</v>
      </c>
      <c r="H208" s="237"/>
      <c r="I208" s="268" t="s">
        <v>5074</v>
      </c>
      <c r="J208" s="269">
        <v>252211.0</v>
      </c>
      <c r="K208" s="268" t="s">
        <v>5068</v>
      </c>
      <c r="L208" s="269" t="s">
        <v>111</v>
      </c>
    </row>
    <row r="209" spans="8:8" ht="15.75" customHeight="1">
      <c r="A209" s="286"/>
      <c r="B209" s="288" t="s">
        <v>2929</v>
      </c>
      <c r="C209" s="287">
        <v>241704.0</v>
      </c>
      <c r="D209" s="288" t="s">
        <v>5071</v>
      </c>
      <c r="E209" s="287" t="s">
        <v>111</v>
      </c>
      <c r="F209" s="241" t="b">
        <v>1</v>
      </c>
      <c r="H209" s="237"/>
      <c r="I209" s="268" t="s">
        <v>4642</v>
      </c>
      <c r="J209" s="269">
        <v>241958.0</v>
      </c>
      <c r="K209" s="268" t="s">
        <v>5071</v>
      </c>
      <c r="L209" s="269" t="s">
        <v>111</v>
      </c>
    </row>
    <row r="210" spans="8:8" ht="15.75" customHeight="1">
      <c r="A210" s="286"/>
      <c r="B210" s="288" t="s">
        <v>2930</v>
      </c>
      <c r="C210" s="287">
        <v>241710.0</v>
      </c>
      <c r="D210" s="288" t="s">
        <v>5071</v>
      </c>
      <c r="E210" s="287" t="s">
        <v>111</v>
      </c>
      <c r="F210" s="241" t="b">
        <v>1</v>
      </c>
      <c r="H210" s="237"/>
      <c r="I210" s="268" t="s">
        <v>2929</v>
      </c>
      <c r="J210" s="269">
        <v>241704.0</v>
      </c>
      <c r="K210" s="268" t="s">
        <v>5071</v>
      </c>
      <c r="L210" s="269" t="s">
        <v>111</v>
      </c>
    </row>
    <row r="211" spans="8:8" ht="15.75" customHeight="1">
      <c r="A211" s="286"/>
      <c r="B211" s="288" t="s">
        <v>4643</v>
      </c>
      <c r="C211" s="287">
        <v>241679.0</v>
      </c>
      <c r="D211" s="288" t="s">
        <v>5071</v>
      </c>
      <c r="E211" s="287" t="s">
        <v>111</v>
      </c>
      <c r="F211" s="241" t="b">
        <v>1</v>
      </c>
      <c r="H211" s="237"/>
      <c r="I211" s="268" t="s">
        <v>2930</v>
      </c>
      <c r="J211" s="269">
        <v>241710.0</v>
      </c>
      <c r="K211" s="268" t="s">
        <v>5071</v>
      </c>
      <c r="L211" s="269" t="s">
        <v>111</v>
      </c>
    </row>
    <row r="212" spans="8:8" ht="15.75" customHeight="1">
      <c r="A212" s="286"/>
      <c r="B212" s="288" t="s">
        <v>4644</v>
      </c>
      <c r="C212" s="287">
        <v>241722.0</v>
      </c>
      <c r="D212" s="288" t="s">
        <v>5071</v>
      </c>
      <c r="E212" s="287" t="s">
        <v>111</v>
      </c>
      <c r="F212" s="241" t="b">
        <v>1</v>
      </c>
      <c r="H212" s="237"/>
      <c r="I212" s="268" t="s">
        <v>4643</v>
      </c>
      <c r="J212" s="269">
        <v>241679.0</v>
      </c>
      <c r="K212" s="268" t="s">
        <v>5071</v>
      </c>
      <c r="L212" s="269" t="s">
        <v>111</v>
      </c>
    </row>
    <row r="213" spans="8:8" ht="15.75" customHeight="1">
      <c r="A213" s="286"/>
      <c r="B213" s="288" t="s">
        <v>4654</v>
      </c>
      <c r="C213" s="287">
        <v>251850.0</v>
      </c>
      <c r="D213" s="288" t="s">
        <v>5058</v>
      </c>
      <c r="E213" s="287" t="s">
        <v>580</v>
      </c>
      <c r="F213" s="241" t="b">
        <v>1</v>
      </c>
      <c r="H213" s="237"/>
      <c r="I213" s="268" t="s">
        <v>4644</v>
      </c>
      <c r="J213" s="269">
        <v>241722.0</v>
      </c>
      <c r="K213" s="268" t="s">
        <v>5071</v>
      </c>
      <c r="L213" s="269" t="s">
        <v>111</v>
      </c>
    </row>
    <row r="214" spans="8:8" ht="15.75" customHeight="1">
      <c r="A214" s="286"/>
      <c r="B214" s="288" t="s">
        <v>2938</v>
      </c>
      <c r="C214" s="287">
        <v>252256.0</v>
      </c>
      <c r="D214" s="288" t="s">
        <v>5068</v>
      </c>
      <c r="E214" s="287" t="s">
        <v>580</v>
      </c>
      <c r="F214" s="241" t="b">
        <v>1</v>
      </c>
      <c r="H214" s="237"/>
      <c r="I214" s="268" t="s">
        <v>4654</v>
      </c>
      <c r="J214" s="269">
        <v>251850.0</v>
      </c>
      <c r="K214" s="268" t="s">
        <v>5058</v>
      </c>
      <c r="L214" s="269" t="s">
        <v>580</v>
      </c>
    </row>
    <row r="215" spans="8:8" ht="15.75" customHeight="1">
      <c r="A215" s="286"/>
      <c r="B215" s="288" t="s">
        <v>4655</v>
      </c>
      <c r="C215" s="287">
        <v>252311.0</v>
      </c>
      <c r="D215" s="288" t="s">
        <v>5068</v>
      </c>
      <c r="E215" s="287" t="s">
        <v>580</v>
      </c>
      <c r="F215" s="241" t="b">
        <v>1</v>
      </c>
      <c r="H215" s="237"/>
      <c r="I215" s="268" t="s">
        <v>2938</v>
      </c>
      <c r="J215" s="269">
        <v>252256.0</v>
      </c>
      <c r="K215" s="268" t="s">
        <v>5068</v>
      </c>
      <c r="L215" s="269" t="s">
        <v>580</v>
      </c>
    </row>
    <row r="216" spans="8:8" ht="15.75" customHeight="1">
      <c r="A216" s="286"/>
      <c r="B216" s="288" t="s">
        <v>2882</v>
      </c>
      <c r="C216" s="287">
        <v>241907.0</v>
      </c>
      <c r="D216" s="288" t="s">
        <v>5071</v>
      </c>
      <c r="E216" s="287" t="s">
        <v>580</v>
      </c>
      <c r="F216" s="241" t="b">
        <v>1</v>
      </c>
      <c r="H216" s="237"/>
      <c r="I216" s="268" t="s">
        <v>4655</v>
      </c>
      <c r="J216" s="269">
        <v>252311.0</v>
      </c>
      <c r="K216" s="268" t="s">
        <v>5068</v>
      </c>
      <c r="L216" s="269" t="s">
        <v>580</v>
      </c>
    </row>
    <row r="217" spans="8:8" ht="15.75" customHeight="1">
      <c r="A217" s="286"/>
      <c r="B217" s="288" t="s">
        <v>4656</v>
      </c>
      <c r="C217" s="287">
        <v>252280.0</v>
      </c>
      <c r="D217" s="288" t="s">
        <v>5068</v>
      </c>
      <c r="E217" s="287" t="s">
        <v>580</v>
      </c>
      <c r="F217" s="241" t="b">
        <v>1</v>
      </c>
      <c r="H217" s="237"/>
      <c r="I217" s="268" t="s">
        <v>2882</v>
      </c>
      <c r="J217" s="269">
        <v>241907.0</v>
      </c>
      <c r="K217" s="268" t="s">
        <v>5071</v>
      </c>
      <c r="L217" s="269" t="s">
        <v>580</v>
      </c>
    </row>
    <row r="218" spans="8:8" ht="15.75" customHeight="1">
      <c r="A218" s="286"/>
      <c r="B218" s="288" t="s">
        <v>4657</v>
      </c>
      <c r="C218" s="287">
        <v>241906.0</v>
      </c>
      <c r="D218" s="288" t="s">
        <v>5071</v>
      </c>
      <c r="E218" s="287" t="s">
        <v>580</v>
      </c>
      <c r="F218" s="241" t="b">
        <v>1</v>
      </c>
      <c r="H218" s="237"/>
      <c r="I218" s="268" t="s">
        <v>4656</v>
      </c>
      <c r="J218" s="269">
        <v>252280.0</v>
      </c>
      <c r="K218" s="268" t="s">
        <v>5068</v>
      </c>
      <c r="L218" s="269" t="s">
        <v>580</v>
      </c>
    </row>
    <row r="219" spans="8:8" ht="15.75" customHeight="1">
      <c r="A219" s="286"/>
      <c r="B219" s="288" t="s">
        <v>2939</v>
      </c>
      <c r="C219" s="287">
        <v>241706.0</v>
      </c>
      <c r="D219" s="288" t="s">
        <v>5071</v>
      </c>
      <c r="E219" s="287" t="s">
        <v>580</v>
      </c>
      <c r="F219" s="241" t="b">
        <v>1</v>
      </c>
      <c r="H219" s="237"/>
      <c r="I219" s="268" t="s">
        <v>4657</v>
      </c>
      <c r="J219" s="269">
        <v>241906.0</v>
      </c>
      <c r="K219" s="268" t="s">
        <v>5071</v>
      </c>
      <c r="L219" s="269" t="s">
        <v>580</v>
      </c>
    </row>
    <row r="220" spans="8:8" ht="15.75" customHeight="1">
      <c r="A220" s="286"/>
      <c r="B220" s="288" t="s">
        <v>2940</v>
      </c>
      <c r="C220" s="287">
        <v>241813.0</v>
      </c>
      <c r="D220" s="288" t="s">
        <v>5071</v>
      </c>
      <c r="E220" s="287" t="s">
        <v>580</v>
      </c>
      <c r="F220" s="241" t="b">
        <v>1</v>
      </c>
      <c r="H220" s="237"/>
      <c r="I220" s="268" t="s">
        <v>2939</v>
      </c>
      <c r="J220" s="269">
        <v>241706.0</v>
      </c>
      <c r="K220" s="268" t="s">
        <v>5071</v>
      </c>
      <c r="L220" s="269" t="s">
        <v>580</v>
      </c>
    </row>
    <row r="221" spans="8:8" ht="15.75" customHeight="1">
      <c r="A221" s="286"/>
      <c r="B221" s="288" t="s">
        <v>2941</v>
      </c>
      <c r="C221" s="287">
        <v>241856.0</v>
      </c>
      <c r="D221" s="288" t="s">
        <v>5071</v>
      </c>
      <c r="E221" s="287" t="s">
        <v>580</v>
      </c>
      <c r="F221" s="241" t="b">
        <v>1</v>
      </c>
      <c r="H221" s="237"/>
      <c r="I221" s="290" t="s">
        <v>2940</v>
      </c>
      <c r="J221" s="291">
        <v>241813.0</v>
      </c>
      <c r="K221" s="292" t="s">
        <v>5071</v>
      </c>
      <c r="L221" s="293" t="s">
        <v>580</v>
      </c>
    </row>
    <row r="222" spans="8:8" ht="15.75" customHeight="1">
      <c r="A222" s="286"/>
      <c r="B222" s="288" t="s">
        <v>2951</v>
      </c>
      <c r="C222" s="287">
        <v>241913.0</v>
      </c>
      <c r="D222" s="288" t="s">
        <v>5071</v>
      </c>
      <c r="E222" s="287" t="s">
        <v>580</v>
      </c>
      <c r="F222" s="241" t="b">
        <v>1</v>
      </c>
      <c r="H222" s="237"/>
      <c r="I222" s="268" t="s">
        <v>2941</v>
      </c>
      <c r="J222" s="269">
        <v>241856.0</v>
      </c>
      <c r="K222" s="268" t="s">
        <v>5071</v>
      </c>
      <c r="L222" s="269" t="s">
        <v>580</v>
      </c>
    </row>
    <row r="223" spans="8:8" ht="15.75" customHeight="1">
      <c r="A223" s="286"/>
      <c r="B223" s="288" t="s">
        <v>2942</v>
      </c>
      <c r="C223" s="287">
        <v>241732.0</v>
      </c>
      <c r="D223" s="288" t="s">
        <v>5071</v>
      </c>
      <c r="E223" s="287" t="s">
        <v>580</v>
      </c>
      <c r="F223" s="241" t="b">
        <v>1</v>
      </c>
      <c r="H223" s="237"/>
      <c r="I223" s="268" t="s">
        <v>2951</v>
      </c>
      <c r="J223" s="269">
        <v>241913.0</v>
      </c>
      <c r="K223" s="268" t="s">
        <v>5071</v>
      </c>
      <c r="L223" s="269" t="s">
        <v>580</v>
      </c>
    </row>
    <row r="224" spans="8:8" ht="15.75" customHeight="1">
      <c r="A224" s="286"/>
      <c r="B224" s="288" t="s">
        <v>2943</v>
      </c>
      <c r="C224" s="287">
        <v>241707.0</v>
      </c>
      <c r="D224" s="288" t="s">
        <v>5071</v>
      </c>
      <c r="E224" s="287" t="s">
        <v>580</v>
      </c>
      <c r="F224" s="241" t="b">
        <v>1</v>
      </c>
      <c r="H224" s="237"/>
      <c r="I224" s="268" t="s">
        <v>2942</v>
      </c>
      <c r="J224" s="269">
        <v>241732.0</v>
      </c>
      <c r="K224" s="268" t="s">
        <v>5071</v>
      </c>
      <c r="L224" s="269" t="s">
        <v>580</v>
      </c>
    </row>
    <row r="225" spans="8:8" ht="15.75" customHeight="1">
      <c r="A225" s="286"/>
      <c r="B225" s="288" t="s">
        <v>2944</v>
      </c>
      <c r="C225" s="287">
        <v>241711.0</v>
      </c>
      <c r="D225" s="288" t="s">
        <v>5071</v>
      </c>
      <c r="E225" s="287" t="s">
        <v>580</v>
      </c>
      <c r="F225" s="241" t="b">
        <v>1</v>
      </c>
      <c r="H225" s="237"/>
      <c r="I225" s="268" t="s">
        <v>2943</v>
      </c>
      <c r="J225" s="269">
        <v>241707.0</v>
      </c>
      <c r="K225" s="268" t="s">
        <v>5071</v>
      </c>
      <c r="L225" s="269" t="s">
        <v>580</v>
      </c>
    </row>
    <row r="226" spans="8:8" ht="15.75" customHeight="1">
      <c r="A226" s="286"/>
      <c r="B226" s="288" t="s">
        <v>4658</v>
      </c>
      <c r="C226" s="287">
        <v>252958.0</v>
      </c>
      <c r="D226" s="288" t="s">
        <v>5075</v>
      </c>
      <c r="E226" s="287" t="s">
        <v>580</v>
      </c>
      <c r="F226" s="241" t="b">
        <v>1</v>
      </c>
      <c r="H226" s="237"/>
      <c r="I226" s="268" t="s">
        <v>2944</v>
      </c>
      <c r="J226" s="269">
        <v>241711.0</v>
      </c>
      <c r="K226" s="268" t="s">
        <v>5071</v>
      </c>
      <c r="L226" s="269" t="s">
        <v>580</v>
      </c>
    </row>
    <row r="227" spans="8:8" ht="15.75" customHeight="1">
      <c r="A227" s="286"/>
      <c r="B227" s="288" t="s">
        <v>5076</v>
      </c>
      <c r="C227" s="287">
        <v>241695.0</v>
      </c>
      <c r="D227" s="288" t="s">
        <v>5071</v>
      </c>
      <c r="E227" s="287" t="s">
        <v>580</v>
      </c>
      <c r="F227" s="241" t="b">
        <v>1</v>
      </c>
      <c r="H227" s="237"/>
      <c r="I227" s="288" t="s">
        <v>4658</v>
      </c>
      <c r="J227" s="269">
        <v>252958.0</v>
      </c>
      <c r="K227" s="268" t="s">
        <v>5075</v>
      </c>
      <c r="L227" s="269" t="s">
        <v>580</v>
      </c>
    </row>
    <row r="228" spans="8:8" ht="15.75" customHeight="1">
      <c r="A228" s="286"/>
      <c r="B228" s="288" t="s">
        <v>5077</v>
      </c>
      <c r="C228" s="287">
        <v>241703.0</v>
      </c>
      <c r="D228" s="288" t="s">
        <v>5071</v>
      </c>
      <c r="E228" s="287" t="s">
        <v>580</v>
      </c>
      <c r="F228" s="241" t="b">
        <v>1</v>
      </c>
      <c r="H228" s="237"/>
      <c r="I228" s="268" t="s">
        <v>5076</v>
      </c>
      <c r="J228" s="269">
        <v>241695.0</v>
      </c>
      <c r="K228" s="268" t="s">
        <v>5071</v>
      </c>
      <c r="L228" s="269" t="s">
        <v>580</v>
      </c>
    </row>
    <row r="229" spans="8:8" ht="15.75" customHeight="1">
      <c r="A229" s="286"/>
      <c r="B229" s="288" t="s">
        <v>4659</v>
      </c>
      <c r="C229" s="287">
        <v>241669.0</v>
      </c>
      <c r="D229" s="288" t="s">
        <v>5071</v>
      </c>
      <c r="E229" s="287" t="s">
        <v>580</v>
      </c>
      <c r="F229" s="241" t="b">
        <v>1</v>
      </c>
      <c r="H229" s="237"/>
      <c r="I229" s="268" t="s">
        <v>5077</v>
      </c>
      <c r="J229" s="269">
        <v>241703.0</v>
      </c>
      <c r="K229" s="268" t="s">
        <v>5071</v>
      </c>
      <c r="L229" s="269" t="s">
        <v>580</v>
      </c>
    </row>
    <row r="230" spans="8:8" ht="15.75" customHeight="1">
      <c r="A230" s="286"/>
      <c r="B230" s="288" t="s">
        <v>5078</v>
      </c>
      <c r="C230" s="287">
        <v>252341.0</v>
      </c>
      <c r="D230" s="288" t="s">
        <v>5068</v>
      </c>
      <c r="E230" s="287" t="s">
        <v>781</v>
      </c>
      <c r="F230" s="241" t="b">
        <v>1</v>
      </c>
      <c r="H230" s="237"/>
      <c r="I230" s="268" t="s">
        <v>4659</v>
      </c>
      <c r="J230" s="269">
        <v>241669.0</v>
      </c>
      <c r="K230" s="268" t="s">
        <v>5071</v>
      </c>
      <c r="L230" s="269" t="s">
        <v>580</v>
      </c>
    </row>
    <row r="231" spans="8:8" ht="15.75" customHeight="1">
      <c r="A231" s="286"/>
      <c r="B231" s="288" t="s">
        <v>3260</v>
      </c>
      <c r="C231" s="287">
        <v>241671.0</v>
      </c>
      <c r="D231" s="288" t="s">
        <v>5071</v>
      </c>
      <c r="E231" s="287" t="s">
        <v>781</v>
      </c>
      <c r="F231" s="241" t="b">
        <v>1</v>
      </c>
      <c r="H231" s="237"/>
      <c r="I231" s="268" t="s">
        <v>5078</v>
      </c>
      <c r="J231" s="269">
        <v>252341.0</v>
      </c>
      <c r="K231" s="268" t="s">
        <v>5068</v>
      </c>
      <c r="L231" s="269" t="s">
        <v>781</v>
      </c>
    </row>
    <row r="232" spans="8:8" ht="15.75" customHeight="1">
      <c r="A232" s="286"/>
      <c r="B232" s="288" t="s">
        <v>2868</v>
      </c>
      <c r="C232" s="287">
        <v>241705.0</v>
      </c>
      <c r="D232" s="288" t="s">
        <v>5071</v>
      </c>
      <c r="E232" s="287" t="s">
        <v>781</v>
      </c>
      <c r="F232" s="241" t="b">
        <v>1</v>
      </c>
      <c r="H232" s="237"/>
      <c r="I232" s="268" t="s">
        <v>3260</v>
      </c>
      <c r="J232" s="269">
        <v>241671.0</v>
      </c>
      <c r="K232" s="268" t="s">
        <v>5071</v>
      </c>
      <c r="L232" s="269" t="s">
        <v>781</v>
      </c>
    </row>
    <row r="233" spans="8:8" ht="15.75" customHeight="1">
      <c r="A233" s="286"/>
      <c r="B233" s="288" t="s">
        <v>4660</v>
      </c>
      <c r="C233" s="287">
        <v>241709.0</v>
      </c>
      <c r="D233" s="288" t="s">
        <v>5071</v>
      </c>
      <c r="E233" s="287" t="s">
        <v>580</v>
      </c>
      <c r="F233" s="241" t="b">
        <v>1</v>
      </c>
      <c r="H233" s="237"/>
      <c r="I233" s="268" t="s">
        <v>2868</v>
      </c>
      <c r="J233" s="269">
        <v>241705.0</v>
      </c>
      <c r="K233" s="268" t="s">
        <v>5071</v>
      </c>
      <c r="L233" s="269" t="s">
        <v>781</v>
      </c>
    </row>
    <row r="234" spans="8:8" ht="15.75" customHeight="1">
      <c r="A234" s="286"/>
      <c r="B234" s="288" t="s">
        <v>4661</v>
      </c>
      <c r="C234" s="287">
        <v>251932.0</v>
      </c>
      <c r="D234" s="288" t="s">
        <v>4875</v>
      </c>
      <c r="E234" s="287" t="s">
        <v>580</v>
      </c>
      <c r="F234" s="241" t="b">
        <v>1</v>
      </c>
      <c r="H234" s="237"/>
      <c r="I234" s="268" t="s">
        <v>4660</v>
      </c>
      <c r="J234" s="269">
        <v>241709.0</v>
      </c>
      <c r="K234" s="268" t="s">
        <v>5071</v>
      </c>
      <c r="L234" s="269" t="s">
        <v>580</v>
      </c>
    </row>
    <row r="235" spans="8:8" ht="15.75" customHeight="1">
      <c r="F235" s="241" t="b">
        <v>0</v>
      </c>
      <c r="H235" s="237"/>
      <c r="I235" s="268" t="s">
        <v>4661</v>
      </c>
      <c r="J235" s="269">
        <v>251932.0</v>
      </c>
      <c r="K235" s="268" t="s">
        <v>4875</v>
      </c>
      <c r="L235" s="269" t="s">
        <v>580</v>
      </c>
    </row>
    <row r="236" spans="8:8" ht="15.75" customHeight="1">
      <c r="F236" s="241" t="b">
        <v>0</v>
      </c>
      <c r="H236" s="237"/>
      <c r="I236" s="237"/>
      <c r="J236" s="237"/>
      <c r="K236" s="237"/>
      <c r="L236" s="237"/>
    </row>
    <row r="237" spans="8:8" ht="15.75" customHeight="1">
      <c r="F237" s="241" t="b">
        <v>0</v>
      </c>
      <c r="H237" s="237"/>
      <c r="I237" s="237"/>
      <c r="J237" s="237"/>
      <c r="K237" s="237"/>
      <c r="L237" s="237"/>
    </row>
    <row r="238" spans="8:8" ht="15.75" customHeight="1">
      <c r="F238" s="241" t="b">
        <v>0</v>
      </c>
      <c r="H238" s="237"/>
      <c r="I238" s="237"/>
      <c r="J238" s="237"/>
      <c r="K238" s="237"/>
      <c r="L238" s="237"/>
    </row>
    <row r="239" spans="8:8" ht="15.75" customHeight="1">
      <c r="F239" s="241" t="b">
        <v>0</v>
      </c>
      <c r="H239" s="237"/>
      <c r="I239" s="237"/>
      <c r="J239" s="237"/>
      <c r="K239" s="237"/>
      <c r="L239" s="237"/>
    </row>
    <row r="240" spans="8:8" ht="15.75" customHeight="1">
      <c r="F240" s="241" t="b">
        <v>0</v>
      </c>
      <c r="H240" s="237"/>
      <c r="I240" s="237"/>
      <c r="J240" s="237"/>
      <c r="K240" s="237"/>
      <c r="L240" s="237"/>
    </row>
    <row r="241" spans="8:8" ht="15.75" customHeight="1">
      <c r="F241" s="241" t="b">
        <v>0</v>
      </c>
      <c r="H241" s="237"/>
      <c r="I241" s="237"/>
      <c r="J241" s="237"/>
      <c r="K241" s="237"/>
      <c r="L241" s="237"/>
    </row>
    <row r="242" spans="8:8" ht="15.75" customHeight="1">
      <c r="F242" s="241" t="b">
        <v>0</v>
      </c>
      <c r="H242" s="237"/>
      <c r="I242" s="237"/>
      <c r="J242" s="237"/>
      <c r="K242" s="237"/>
      <c r="L242" s="237"/>
    </row>
    <row r="243" spans="8:8" ht="15.75" customHeight="1">
      <c r="F243" s="241" t="b">
        <v>0</v>
      </c>
      <c r="H243" s="237"/>
      <c r="I243" s="237"/>
      <c r="J243" s="237"/>
      <c r="K243" s="237"/>
      <c r="L243" s="237"/>
    </row>
    <row r="244" spans="8:8" ht="15.75" customHeight="1">
      <c r="F244" s="241" t="b">
        <v>0</v>
      </c>
      <c r="H244" s="237"/>
      <c r="I244" s="237"/>
      <c r="J244" s="237"/>
      <c r="K244" s="237"/>
      <c r="L244" s="237"/>
    </row>
    <row r="245" spans="8:8" ht="15.75" customHeight="1">
      <c r="F245" s="241" t="b">
        <v>0</v>
      </c>
      <c r="H245" s="237"/>
      <c r="I245" s="237"/>
      <c r="J245" s="237"/>
      <c r="K245" s="237"/>
      <c r="L245" s="237"/>
    </row>
    <row r="246" spans="8:8" ht="15.75" customHeight="1">
      <c r="F246" s="241" t="b">
        <v>0</v>
      </c>
      <c r="H246" s="237"/>
      <c r="I246" s="237"/>
      <c r="J246" s="237"/>
      <c r="K246" s="237"/>
      <c r="L246" s="237"/>
    </row>
    <row r="247" spans="8:8" ht="15.75" customHeight="1">
      <c r="F247" s="241" t="b">
        <v>0</v>
      </c>
      <c r="H247" s="237"/>
      <c r="I247" s="237"/>
      <c r="J247" s="237"/>
      <c r="K247" s="237"/>
      <c r="L247" s="237"/>
    </row>
    <row r="248" spans="8:8" ht="15.75" customHeight="1">
      <c r="F248" s="241" t="b">
        <v>0</v>
      </c>
      <c r="H248" s="237"/>
      <c r="I248" s="237"/>
      <c r="J248" s="237"/>
      <c r="K248" s="237"/>
      <c r="L248" s="237"/>
    </row>
    <row r="249" spans="8:8" ht="15.75" customHeight="1">
      <c r="F249" s="241" t="b">
        <v>0</v>
      </c>
      <c r="H249" s="237"/>
      <c r="I249" s="237"/>
      <c r="J249" s="237"/>
      <c r="K249" s="237"/>
      <c r="L249" s="237"/>
    </row>
    <row r="250" spans="8:8" ht="15.75" customHeight="1">
      <c r="F250" s="241" t="b">
        <v>0</v>
      </c>
      <c r="H250" s="237"/>
      <c r="I250" s="237"/>
      <c r="J250" s="237"/>
      <c r="K250" s="237"/>
      <c r="L250" s="237"/>
    </row>
    <row r="251" spans="8:8" ht="15.75" customHeight="1">
      <c r="F251" s="241" t="b">
        <v>0</v>
      </c>
      <c r="H251" s="237"/>
      <c r="I251" s="237"/>
      <c r="J251" s="237"/>
      <c r="K251" s="237"/>
      <c r="L251" s="237"/>
    </row>
    <row r="252" spans="8:8" ht="15.75" customHeight="1">
      <c r="F252" s="241" t="b">
        <v>0</v>
      </c>
      <c r="H252" s="237"/>
      <c r="I252" s="237"/>
      <c r="J252" s="237"/>
      <c r="K252" s="237"/>
      <c r="L252" s="237"/>
    </row>
    <row r="253" spans="8:8" ht="15.75" customHeight="1">
      <c r="F253" s="241" t="b">
        <v>0</v>
      </c>
      <c r="H253" s="237"/>
      <c r="I253" s="237"/>
      <c r="J253" s="237"/>
      <c r="K253" s="237"/>
      <c r="L253" s="237"/>
    </row>
    <row r="254" spans="8:8" ht="15.75" customHeight="1">
      <c r="F254" s="241" t="b">
        <v>0</v>
      </c>
      <c r="H254" s="237"/>
      <c r="I254" s="237"/>
      <c r="J254" s="237"/>
      <c r="K254" s="237"/>
      <c r="L254" s="237"/>
    </row>
    <row r="255" spans="8:8" ht="15.75" customHeight="1">
      <c r="F255" s="241" t="b">
        <v>0</v>
      </c>
      <c r="H255" s="237"/>
      <c r="I255" s="237"/>
      <c r="J255" s="237"/>
      <c r="K255" s="237"/>
      <c r="L255" s="237"/>
    </row>
    <row r="256" spans="8:8" ht="15.75" customHeight="1">
      <c r="F256" s="241" t="b">
        <v>0</v>
      </c>
      <c r="H256" s="237"/>
      <c r="I256" s="237"/>
      <c r="J256" s="237"/>
      <c r="K256" s="237"/>
      <c r="L256" s="237"/>
    </row>
    <row r="257" spans="8:8" ht="15.75" customHeight="1">
      <c r="F257" s="241" t="b">
        <v>0</v>
      </c>
      <c r="H257" s="237"/>
      <c r="I257" s="237"/>
      <c r="J257" s="237"/>
      <c r="K257" s="237"/>
      <c r="L257" s="237"/>
    </row>
    <row r="258" spans="8:8" ht="15.75" customHeight="1">
      <c r="F258" s="241" t="b">
        <v>0</v>
      </c>
      <c r="H258" s="237"/>
      <c r="I258" s="237"/>
      <c r="J258" s="237"/>
      <c r="K258" s="237"/>
      <c r="L258" s="237"/>
    </row>
    <row r="259" spans="8:8" ht="15.75" customHeight="1">
      <c r="F259" s="241" t="b">
        <v>0</v>
      </c>
      <c r="H259" s="237"/>
      <c r="I259" s="237"/>
      <c r="J259" s="237"/>
      <c r="K259" s="237"/>
      <c r="L259" s="237"/>
    </row>
    <row r="260" spans="8:8" ht="15.75" customHeight="1">
      <c r="F260" s="241" t="b">
        <v>0</v>
      </c>
      <c r="H260" s="237"/>
      <c r="I260" s="237"/>
      <c r="J260" s="237"/>
      <c r="K260" s="237"/>
      <c r="L260" s="237"/>
    </row>
    <row r="261" spans="8:8" ht="15.75" customHeight="1">
      <c r="F261" s="241" t="b">
        <v>0</v>
      </c>
      <c r="H261" s="237"/>
      <c r="I261" s="237"/>
      <c r="J261" s="237"/>
      <c r="K261" s="237"/>
      <c r="L261" s="237"/>
    </row>
    <row r="262" spans="8:8" ht="15.75" customHeight="1">
      <c r="F262" s="241" t="b">
        <v>0</v>
      </c>
      <c r="H262" s="237"/>
      <c r="I262" s="237"/>
      <c r="J262" s="237"/>
      <c r="K262" s="237"/>
      <c r="L262" s="237"/>
    </row>
    <row r="263" spans="8:8" ht="15.75" customHeight="1">
      <c r="F263" s="241" t="b">
        <v>0</v>
      </c>
      <c r="H263" s="237"/>
      <c r="I263" s="237"/>
      <c r="J263" s="237"/>
      <c r="K263" s="237"/>
      <c r="L263" s="237"/>
    </row>
    <row r="264" spans="8:8" ht="15.75" customHeight="1">
      <c r="F264" s="241" t="b">
        <v>0</v>
      </c>
      <c r="H264" s="237"/>
      <c r="I264" s="237"/>
      <c r="J264" s="237"/>
      <c r="K264" s="237"/>
      <c r="L264" s="237"/>
    </row>
    <row r="265" spans="8:8" ht="15.75" customHeight="1">
      <c r="F265" s="241" t="b">
        <v>0</v>
      </c>
      <c r="H265" s="237"/>
      <c r="I265" s="237"/>
      <c r="J265" s="237"/>
      <c r="K265" s="237"/>
      <c r="L265" s="237"/>
    </row>
    <row r="266" spans="8:8" ht="15.75" customHeight="1">
      <c r="F266" s="241" t="b">
        <v>0</v>
      </c>
      <c r="H266" s="237"/>
      <c r="I266" s="237"/>
      <c r="J266" s="237"/>
      <c r="K266" s="237"/>
      <c r="L266" s="237"/>
    </row>
    <row r="267" spans="8:8" ht="15.75" customHeight="1">
      <c r="F267" s="241" t="b">
        <v>0</v>
      </c>
      <c r="H267" s="237"/>
      <c r="I267" s="237"/>
      <c r="J267" s="237"/>
      <c r="K267" s="237"/>
      <c r="L267" s="237"/>
    </row>
    <row r="268" spans="8:8" ht="15.75" customHeight="1">
      <c r="F268" s="241" t="b">
        <v>0</v>
      </c>
      <c r="H268" s="237"/>
      <c r="I268" s="237"/>
      <c r="J268" s="237"/>
      <c r="K268" s="237"/>
      <c r="L268" s="237"/>
    </row>
    <row r="269" spans="8:8" ht="15.75" customHeight="1">
      <c r="F269" s="241" t="b">
        <v>0</v>
      </c>
      <c r="H269" s="237"/>
      <c r="I269" s="237"/>
      <c r="J269" s="237"/>
      <c r="K269" s="237"/>
      <c r="L269" s="237"/>
    </row>
    <row r="270" spans="8:8" ht="15.75" customHeight="1">
      <c r="F270" s="241" t="b">
        <v>0</v>
      </c>
      <c r="H270" s="237"/>
      <c r="I270" s="237"/>
      <c r="J270" s="237"/>
      <c r="K270" s="237"/>
      <c r="L270" s="237"/>
    </row>
    <row r="271" spans="8:8" ht="15.75" customHeight="1">
      <c r="F271" s="241" t="b">
        <v>0</v>
      </c>
      <c r="H271" s="237"/>
      <c r="I271" s="237"/>
      <c r="J271" s="237"/>
      <c r="K271" s="237"/>
      <c r="L271" s="237"/>
    </row>
    <row r="272" spans="8:8" ht="15.75" customHeight="1">
      <c r="F272" s="241" t="b">
        <v>0</v>
      </c>
      <c r="H272" s="237"/>
      <c r="I272" s="237"/>
      <c r="J272" s="237"/>
      <c r="K272" s="237"/>
      <c r="L272" s="237"/>
    </row>
    <row r="273" spans="8:8" ht="15.75" customHeight="1">
      <c r="F273" s="241" t="b">
        <v>0</v>
      </c>
      <c r="H273" s="237"/>
      <c r="I273" s="237"/>
      <c r="J273" s="237"/>
      <c r="K273" s="237"/>
      <c r="L273" s="237"/>
    </row>
    <row r="274" spans="8:8" ht="15.75" customHeight="1">
      <c r="F274" s="241" t="b">
        <v>0</v>
      </c>
      <c r="H274" s="237"/>
      <c r="I274" s="237"/>
      <c r="J274" s="237"/>
      <c r="K274" s="237"/>
      <c r="L274" s="237"/>
    </row>
    <row r="275" spans="8:8" ht="15.75" customHeight="1">
      <c r="F275" s="241" t="b">
        <v>0</v>
      </c>
      <c r="H275" s="237"/>
      <c r="I275" s="237"/>
      <c r="J275" s="237"/>
      <c r="K275" s="237"/>
      <c r="L275" s="237"/>
    </row>
    <row r="276" spans="8:8" ht="15.75" customHeight="1">
      <c r="F276" s="241" t="b">
        <v>0</v>
      </c>
      <c r="H276" s="237"/>
      <c r="I276" s="237"/>
      <c r="J276" s="237"/>
      <c r="K276" s="237"/>
      <c r="L276" s="237"/>
    </row>
    <row r="277" spans="8:8" ht="15.75" customHeight="1">
      <c r="F277" s="241" t="b">
        <v>0</v>
      </c>
      <c r="H277" s="237"/>
      <c r="I277" s="237"/>
      <c r="J277" s="237"/>
      <c r="K277" s="237"/>
      <c r="L277" s="237"/>
    </row>
    <row r="278" spans="8:8" ht="15.75" customHeight="1">
      <c r="F278" s="241" t="b">
        <v>0</v>
      </c>
      <c r="H278" s="237"/>
      <c r="I278" s="237"/>
      <c r="J278" s="237"/>
      <c r="K278" s="237"/>
      <c r="L278" s="237"/>
    </row>
    <row r="279" spans="8:8" ht="15.75" customHeight="1">
      <c r="F279" s="241" t="b">
        <v>0</v>
      </c>
      <c r="H279" s="237"/>
      <c r="I279" s="237"/>
      <c r="J279" s="237"/>
      <c r="K279" s="237"/>
      <c r="L279" s="237"/>
    </row>
    <row r="280" spans="8:8" ht="15.75" customHeight="1">
      <c r="F280" s="241" t="b">
        <v>0</v>
      </c>
      <c r="H280" s="237"/>
      <c r="I280" s="237"/>
      <c r="J280" s="237"/>
      <c r="K280" s="237"/>
      <c r="L280" s="237"/>
    </row>
    <row r="281" spans="8:8" ht="15.75" customHeight="1">
      <c r="F281" s="241" t="b">
        <v>0</v>
      </c>
      <c r="H281" s="237"/>
      <c r="I281" s="237"/>
      <c r="J281" s="237"/>
      <c r="K281" s="237"/>
      <c r="L281" s="237"/>
    </row>
    <row r="282" spans="8:8" ht="15.75" customHeight="1">
      <c r="F282" s="241" t="b">
        <v>0</v>
      </c>
      <c r="H282" s="237"/>
      <c r="I282" s="237"/>
      <c r="J282" s="237"/>
      <c r="K282" s="237"/>
      <c r="L282" s="237"/>
    </row>
    <row r="283" spans="8:8" ht="15.75" customHeight="1">
      <c r="F283" s="241" t="b">
        <v>0</v>
      </c>
      <c r="H283" s="237"/>
      <c r="I283" s="237"/>
      <c r="J283" s="237"/>
      <c r="K283" s="237"/>
      <c r="L283" s="237"/>
    </row>
    <row r="284" spans="8:8" ht="15.75" customHeight="1">
      <c r="F284" s="241" t="b">
        <v>0</v>
      </c>
      <c r="H284" s="237"/>
      <c r="I284" s="237"/>
      <c r="J284" s="237"/>
      <c r="K284" s="237"/>
      <c r="L284" s="237"/>
    </row>
    <row r="285" spans="8:8" ht="15.75" customHeight="1">
      <c r="F285" s="241" t="b">
        <v>0</v>
      </c>
      <c r="H285" s="237"/>
      <c r="I285" s="237"/>
      <c r="J285" s="237"/>
      <c r="K285" s="237"/>
      <c r="L285" s="237"/>
    </row>
    <row r="286" spans="8:8" ht="15.75" customHeight="1">
      <c r="F286" s="241" t="b">
        <v>0</v>
      </c>
      <c r="H286" s="237"/>
      <c r="I286" s="237"/>
      <c r="J286" s="237"/>
      <c r="K286" s="237"/>
      <c r="L286" s="237"/>
    </row>
    <row r="287" spans="8:8" ht="15.75" customHeight="1">
      <c r="F287" s="241" t="b">
        <v>0</v>
      </c>
      <c r="H287" s="237"/>
      <c r="I287" s="237"/>
      <c r="J287" s="237"/>
      <c r="K287" s="237"/>
      <c r="L287" s="237"/>
    </row>
    <row r="288" spans="8:8" ht="15.75" customHeight="1">
      <c r="F288" s="241" t="b">
        <v>0</v>
      </c>
      <c r="H288" s="237"/>
      <c r="I288" s="237"/>
      <c r="J288" s="237"/>
      <c r="K288" s="237"/>
      <c r="L288" s="237"/>
    </row>
    <row r="289" spans="8:8" ht="15.75" customHeight="1">
      <c r="F289" s="241" t="b">
        <v>0</v>
      </c>
      <c r="H289" s="237"/>
      <c r="I289" s="237"/>
      <c r="J289" s="237"/>
      <c r="K289" s="237"/>
      <c r="L289" s="237"/>
    </row>
    <row r="290" spans="8:8" ht="15.75" customHeight="1">
      <c r="F290" s="241" t="b">
        <v>0</v>
      </c>
      <c r="H290" s="237"/>
      <c r="I290" s="237"/>
      <c r="J290" s="237"/>
      <c r="K290" s="237"/>
      <c r="L290" s="237"/>
    </row>
    <row r="291" spans="8:8" ht="15.75" customHeight="1">
      <c r="F291" s="241" t="b">
        <v>0</v>
      </c>
      <c r="H291" s="237"/>
      <c r="I291" s="237"/>
      <c r="J291" s="237"/>
      <c r="K291" s="237"/>
      <c r="L291" s="237"/>
    </row>
    <row r="292" spans="8:8" ht="15.75" customHeight="1">
      <c r="F292" s="241" t="b">
        <v>0</v>
      </c>
      <c r="H292" s="237"/>
      <c r="I292" s="237"/>
      <c r="J292" s="237"/>
      <c r="K292" s="237"/>
      <c r="L292" s="237"/>
    </row>
    <row r="293" spans="8:8" ht="15.75" customHeight="1">
      <c r="F293" s="241" t="b">
        <v>0</v>
      </c>
      <c r="H293" s="237"/>
      <c r="I293" s="237"/>
      <c r="J293" s="237"/>
      <c r="K293" s="237"/>
      <c r="L293" s="237"/>
    </row>
    <row r="294" spans="8:8" ht="15.75" customHeight="1">
      <c r="F294" s="241" t="b">
        <v>0</v>
      </c>
      <c r="H294" s="237"/>
      <c r="I294" s="237"/>
      <c r="J294" s="237"/>
      <c r="K294" s="237"/>
      <c r="L294" s="237"/>
    </row>
    <row r="295" spans="8:8" ht="15.75" customHeight="1">
      <c r="F295" s="241" t="b">
        <v>0</v>
      </c>
      <c r="H295" s="237"/>
      <c r="I295" s="237"/>
      <c r="J295" s="237"/>
      <c r="K295" s="237"/>
      <c r="L295" s="237"/>
    </row>
    <row r="296" spans="8:8" ht="15.75" customHeight="1">
      <c r="F296" s="241" t="b">
        <v>0</v>
      </c>
      <c r="H296" s="237"/>
      <c r="I296" s="237"/>
      <c r="J296" s="237"/>
      <c r="K296" s="237"/>
      <c r="L296" s="237"/>
    </row>
    <row r="297" spans="8:8" ht="15.75" customHeight="1">
      <c r="F297" s="241" t="b">
        <v>0</v>
      </c>
      <c r="H297" s="237"/>
      <c r="I297" s="237"/>
      <c r="J297" s="237"/>
      <c r="K297" s="237"/>
      <c r="L297" s="237"/>
    </row>
    <row r="298" spans="8:8" ht="15.75" customHeight="1">
      <c r="F298" s="241" t="b">
        <v>0</v>
      </c>
      <c r="H298" s="237"/>
      <c r="I298" s="237"/>
      <c r="J298" s="237"/>
      <c r="K298" s="237"/>
      <c r="L298" s="237"/>
    </row>
    <row r="299" spans="8:8" ht="15.75" customHeight="1">
      <c r="F299" s="241" t="b">
        <v>0</v>
      </c>
      <c r="H299" s="237"/>
      <c r="I299" s="237"/>
      <c r="J299" s="237"/>
      <c r="K299" s="237"/>
      <c r="L299" s="237"/>
    </row>
    <row r="300" spans="8:8" ht="15.75" customHeight="1">
      <c r="F300" s="241" t="b">
        <v>0</v>
      </c>
      <c r="H300" s="237"/>
      <c r="I300" s="237"/>
      <c r="J300" s="237"/>
      <c r="K300" s="237"/>
      <c r="L300" s="237"/>
    </row>
    <row r="301" spans="8:8" ht="15.75" customHeight="1">
      <c r="F301" s="241" t="b">
        <v>0</v>
      </c>
      <c r="H301" s="237"/>
      <c r="I301" s="237"/>
      <c r="J301" s="237"/>
      <c r="K301" s="237"/>
      <c r="L301" s="237"/>
    </row>
    <row r="302" spans="8:8" ht="15.75" customHeight="1">
      <c r="F302" s="241" t="b">
        <v>0</v>
      </c>
      <c r="H302" s="237"/>
      <c r="I302" s="237"/>
      <c r="J302" s="237"/>
      <c r="K302" s="237"/>
      <c r="L302" s="237"/>
    </row>
    <row r="303" spans="8:8" ht="15.75" customHeight="1">
      <c r="F303" s="241" t="b">
        <v>0</v>
      </c>
      <c r="H303" s="237"/>
      <c r="I303" s="237"/>
      <c r="J303" s="237"/>
      <c r="K303" s="237"/>
      <c r="L303" s="237"/>
    </row>
    <row r="304" spans="8:8" ht="15.75" customHeight="1">
      <c r="F304" s="241" t="b">
        <v>0</v>
      </c>
      <c r="H304" s="237"/>
      <c r="I304" s="237"/>
      <c r="J304" s="237"/>
      <c r="K304" s="237"/>
      <c r="L304" s="237"/>
    </row>
    <row r="305" spans="8:8" ht="15.75" customHeight="1">
      <c r="F305" s="241" t="b">
        <v>0</v>
      </c>
      <c r="H305" s="237"/>
      <c r="I305" s="237"/>
      <c r="J305" s="237"/>
      <c r="K305" s="237"/>
      <c r="L305" s="237"/>
    </row>
    <row r="306" spans="8:8" ht="15.75" customHeight="1">
      <c r="F306" s="241" t="b">
        <v>0</v>
      </c>
      <c r="H306" s="237"/>
      <c r="I306" s="237"/>
      <c r="J306" s="237"/>
      <c r="K306" s="237"/>
      <c r="L306" s="237"/>
    </row>
    <row r="307" spans="8:8" ht="15.75" customHeight="1">
      <c r="F307" s="241" t="b">
        <v>0</v>
      </c>
      <c r="H307" s="237"/>
      <c r="I307" s="237"/>
      <c r="J307" s="237"/>
      <c r="K307" s="237"/>
      <c r="L307" s="237"/>
    </row>
    <row r="308" spans="8:8" ht="15.75" customHeight="1">
      <c r="F308" s="241" t="b">
        <v>0</v>
      </c>
      <c r="H308" s="237"/>
      <c r="I308" s="237"/>
      <c r="J308" s="237"/>
      <c r="K308" s="237"/>
      <c r="L308" s="237"/>
    </row>
    <row r="309" spans="8:8" ht="15.75" customHeight="1">
      <c r="F309" s="241" t="b">
        <v>0</v>
      </c>
      <c r="H309" s="237"/>
      <c r="I309" s="237"/>
      <c r="J309" s="237"/>
      <c r="K309" s="237"/>
      <c r="L309" s="237"/>
    </row>
    <row r="310" spans="8:8" ht="15.75" customHeight="1">
      <c r="F310" s="241" t="b">
        <v>0</v>
      </c>
      <c r="H310" s="237"/>
      <c r="I310" s="237"/>
      <c r="J310" s="237"/>
      <c r="K310" s="237"/>
      <c r="L310" s="237"/>
    </row>
    <row r="311" spans="8:8" ht="15.75" customHeight="1">
      <c r="F311" s="241" t="b">
        <v>0</v>
      </c>
      <c r="H311" s="237"/>
      <c r="I311" s="237"/>
      <c r="J311" s="237"/>
      <c r="K311" s="237"/>
      <c r="L311" s="237"/>
    </row>
    <row r="312" spans="8:8" ht="15.75" customHeight="1">
      <c r="F312" s="241" t="b">
        <v>0</v>
      </c>
      <c r="H312" s="237"/>
      <c r="I312" s="237"/>
      <c r="J312" s="237"/>
      <c r="K312" s="237"/>
      <c r="L312" s="237"/>
    </row>
    <row r="313" spans="8:8" ht="15.75" customHeight="1">
      <c r="F313" s="241" t="b">
        <v>0</v>
      </c>
      <c r="H313" s="237"/>
      <c r="I313" s="237"/>
      <c r="J313" s="237"/>
      <c r="K313" s="237"/>
      <c r="L313" s="237"/>
    </row>
    <row r="314" spans="8:8" ht="15.75" customHeight="1">
      <c r="F314" s="241" t="b">
        <v>0</v>
      </c>
      <c r="H314" s="237"/>
      <c r="I314" s="237"/>
      <c r="J314" s="237"/>
      <c r="K314" s="237"/>
      <c r="L314" s="237"/>
    </row>
    <row r="315" spans="8:8" ht="15.75" customHeight="1">
      <c r="F315" s="241" t="b">
        <v>0</v>
      </c>
      <c r="H315" s="237"/>
      <c r="I315" s="237"/>
      <c r="J315" s="237"/>
      <c r="K315" s="237"/>
      <c r="L315" s="237"/>
    </row>
    <row r="316" spans="8:8" ht="15.75" customHeight="1">
      <c r="F316" s="241" t="b">
        <v>0</v>
      </c>
      <c r="H316" s="237"/>
      <c r="I316" s="237"/>
      <c r="J316" s="237"/>
      <c r="K316" s="237"/>
      <c r="L316" s="237"/>
    </row>
    <row r="317" spans="8:8" ht="15.75" customHeight="1">
      <c r="F317" s="241" t="b">
        <v>0</v>
      </c>
      <c r="H317" s="237"/>
      <c r="I317" s="237"/>
      <c r="J317" s="237"/>
      <c r="K317" s="237"/>
      <c r="L317" s="237"/>
    </row>
    <row r="318" spans="8:8" ht="15.75" customHeight="1">
      <c r="F318" s="241" t="b">
        <v>0</v>
      </c>
      <c r="H318" s="237"/>
      <c r="I318" s="237"/>
      <c r="J318" s="237"/>
      <c r="K318" s="237"/>
      <c r="L318" s="237"/>
    </row>
    <row r="319" spans="8:8" ht="15.75" customHeight="1">
      <c r="F319" s="241" t="b">
        <v>0</v>
      </c>
      <c r="H319" s="237"/>
      <c r="I319" s="237"/>
      <c r="J319" s="237"/>
      <c r="K319" s="237"/>
      <c r="L319" s="237"/>
    </row>
    <row r="320" spans="8:8" ht="15.75" customHeight="1">
      <c r="F320" s="241" t="b">
        <v>0</v>
      </c>
      <c r="H320" s="237"/>
      <c r="I320" s="237"/>
      <c r="J320" s="237"/>
      <c r="K320" s="237"/>
      <c r="L320" s="237"/>
    </row>
    <row r="321" spans="8:8" ht="15.75" customHeight="1">
      <c r="F321" s="241" t="b">
        <v>0</v>
      </c>
      <c r="H321" s="237"/>
      <c r="I321" s="237"/>
      <c r="J321" s="237"/>
      <c r="K321" s="237"/>
      <c r="L321" s="237"/>
    </row>
    <row r="322" spans="8:8" ht="15.75" customHeight="1">
      <c r="F322" s="241" t="b">
        <v>0</v>
      </c>
      <c r="H322" s="237"/>
      <c r="I322" s="237"/>
      <c r="J322" s="237"/>
      <c r="K322" s="237"/>
      <c r="L322" s="237"/>
    </row>
    <row r="323" spans="8:8" ht="15.75" customHeight="1">
      <c r="F323" s="241" t="b">
        <v>0</v>
      </c>
      <c r="H323" s="237"/>
      <c r="I323" s="237"/>
      <c r="J323" s="237"/>
      <c r="K323" s="237"/>
      <c r="L323" s="237"/>
    </row>
    <row r="324" spans="8:8" ht="15.75" customHeight="1">
      <c r="F324" s="241" t="b">
        <v>0</v>
      </c>
      <c r="H324" s="237"/>
      <c r="I324" s="237"/>
      <c r="J324" s="237"/>
      <c r="K324" s="237"/>
      <c r="L324" s="237"/>
    </row>
    <row r="325" spans="8:8" ht="15.75" customHeight="1">
      <c r="F325" s="241" t="b">
        <v>0</v>
      </c>
      <c r="H325" s="237"/>
      <c r="I325" s="237"/>
      <c r="J325" s="237"/>
      <c r="K325" s="237"/>
      <c r="L325" s="237"/>
    </row>
    <row r="326" spans="8:8" ht="15.75" customHeight="1">
      <c r="F326" s="241" t="b">
        <v>0</v>
      </c>
      <c r="H326" s="237"/>
      <c r="I326" s="237"/>
      <c r="J326" s="237"/>
      <c r="K326" s="237"/>
      <c r="L326" s="237"/>
    </row>
    <row r="327" spans="8:8" ht="15.75" customHeight="1">
      <c r="F327" s="241" t="b">
        <v>0</v>
      </c>
      <c r="H327" s="237"/>
      <c r="I327" s="237"/>
      <c r="J327" s="237"/>
      <c r="K327" s="237"/>
      <c r="L327" s="237"/>
    </row>
    <row r="328" spans="8:8" ht="15.75" customHeight="1">
      <c r="F328" s="241" t="b">
        <v>0</v>
      </c>
      <c r="H328" s="237"/>
      <c r="I328" s="237"/>
      <c r="J328" s="237"/>
      <c r="K328" s="237"/>
      <c r="L328" s="237"/>
    </row>
    <row r="329" spans="8:8" ht="15.75" customHeight="1">
      <c r="F329" s="241" t="b">
        <v>0</v>
      </c>
      <c r="H329" s="237"/>
      <c r="I329" s="237"/>
      <c r="J329" s="237"/>
      <c r="K329" s="237"/>
      <c r="L329" s="237"/>
    </row>
    <row r="330" spans="8:8" ht="15.75" customHeight="1">
      <c r="F330" s="241" t="b">
        <v>0</v>
      </c>
      <c r="H330" s="237"/>
      <c r="I330" s="237"/>
      <c r="J330" s="237"/>
      <c r="K330" s="237"/>
      <c r="L330" s="237"/>
    </row>
    <row r="331" spans="8:8" ht="15.75" customHeight="1">
      <c r="F331" s="241" t="b">
        <v>0</v>
      </c>
      <c r="H331" s="237"/>
      <c r="I331" s="237"/>
      <c r="J331" s="237"/>
      <c r="K331" s="237"/>
      <c r="L331" s="237"/>
    </row>
    <row r="332" spans="8:8" ht="15.75" customHeight="1">
      <c r="F332" s="241" t="b">
        <v>0</v>
      </c>
      <c r="H332" s="237"/>
      <c r="I332" s="237"/>
      <c r="J332" s="237"/>
      <c r="K332" s="237"/>
      <c r="L332" s="237"/>
    </row>
    <row r="333" spans="8:8" ht="15.75" customHeight="1">
      <c r="F333" s="241" t="b">
        <v>0</v>
      </c>
      <c r="H333" s="237"/>
      <c r="I333" s="237"/>
      <c r="J333" s="237"/>
      <c r="K333" s="237"/>
      <c r="L333" s="237"/>
    </row>
    <row r="334" spans="8:8" ht="15.75" customHeight="1">
      <c r="F334" s="241" t="b">
        <v>0</v>
      </c>
      <c r="H334" s="237"/>
      <c r="I334" s="237"/>
      <c r="J334" s="237"/>
      <c r="K334" s="237"/>
      <c r="L334" s="237"/>
    </row>
    <row r="335" spans="8:8" ht="15.75" customHeight="1">
      <c r="F335" s="241" t="b">
        <v>0</v>
      </c>
      <c r="H335" s="237"/>
      <c r="I335" s="237"/>
      <c r="J335" s="237"/>
      <c r="K335" s="237"/>
      <c r="L335" s="237"/>
    </row>
    <row r="336" spans="8:8" ht="15.75" customHeight="1">
      <c r="F336" s="241" t="b">
        <v>0</v>
      </c>
      <c r="H336" s="237"/>
      <c r="I336" s="237"/>
      <c r="J336" s="237"/>
      <c r="K336" s="237"/>
      <c r="L336" s="237"/>
    </row>
    <row r="337" spans="8:8" ht="15.75" customHeight="1">
      <c r="F337" s="241" t="b">
        <v>0</v>
      </c>
      <c r="H337" s="237"/>
      <c r="I337" s="237"/>
      <c r="J337" s="237"/>
      <c r="K337" s="237"/>
      <c r="L337" s="237"/>
    </row>
    <row r="338" spans="8:8" ht="15.75" customHeight="1">
      <c r="F338" s="241" t="b">
        <v>0</v>
      </c>
      <c r="H338" s="237"/>
      <c r="I338" s="237"/>
      <c r="J338" s="237"/>
      <c r="K338" s="237"/>
      <c r="L338" s="237"/>
    </row>
    <row r="339" spans="8:8" ht="15.75" customHeight="1">
      <c r="F339" s="241" t="b">
        <v>0</v>
      </c>
      <c r="H339" s="237"/>
      <c r="I339" s="237"/>
      <c r="J339" s="237"/>
      <c r="K339" s="237"/>
      <c r="L339" s="237"/>
    </row>
    <row r="340" spans="8:8" ht="15.75" customHeight="1">
      <c r="F340" s="241" t="b">
        <v>0</v>
      </c>
      <c r="H340" s="237"/>
      <c r="I340" s="237"/>
      <c r="J340" s="237"/>
      <c r="K340" s="237"/>
      <c r="L340" s="237"/>
    </row>
    <row r="341" spans="8:8" ht="15.75" customHeight="1">
      <c r="F341" s="241" t="b">
        <v>0</v>
      </c>
      <c r="H341" s="237"/>
      <c r="I341" s="237"/>
      <c r="J341" s="237"/>
      <c r="K341" s="237"/>
      <c r="L341" s="237"/>
    </row>
    <row r="342" spans="8:8" ht="15.75" customHeight="1">
      <c r="F342" s="241" t="b">
        <v>0</v>
      </c>
      <c r="H342" s="237"/>
      <c r="I342" s="237"/>
      <c r="J342" s="237"/>
      <c r="K342" s="237"/>
      <c r="L342" s="237"/>
    </row>
    <row r="343" spans="8:8" ht="15.75" customHeight="1">
      <c r="F343" s="241" t="b">
        <v>0</v>
      </c>
      <c r="H343" s="237"/>
      <c r="I343" s="237"/>
      <c r="J343" s="237"/>
      <c r="K343" s="237"/>
      <c r="L343" s="237"/>
    </row>
    <row r="344" spans="8:8" ht="15.75" customHeight="1">
      <c r="F344" s="241" t="b">
        <v>0</v>
      </c>
      <c r="H344" s="237"/>
      <c r="I344" s="237"/>
      <c r="J344" s="237"/>
      <c r="K344" s="237"/>
      <c r="L344" s="237"/>
    </row>
    <row r="345" spans="8:8" ht="15.75" customHeight="1">
      <c r="F345" s="241" t="b">
        <v>0</v>
      </c>
      <c r="H345" s="237"/>
      <c r="I345" s="237"/>
      <c r="J345" s="237"/>
      <c r="K345" s="237"/>
      <c r="L345" s="237"/>
    </row>
    <row r="346" spans="8:8" ht="15.75" customHeight="1">
      <c r="F346" s="241" t="b">
        <v>0</v>
      </c>
      <c r="H346" s="237"/>
      <c r="I346" s="237"/>
      <c r="J346" s="237"/>
      <c r="K346" s="237"/>
      <c r="L346" s="237"/>
    </row>
    <row r="347" spans="8:8" ht="15.75" customHeight="1">
      <c r="F347" s="241" t="b">
        <v>0</v>
      </c>
      <c r="H347" s="237"/>
      <c r="I347" s="237"/>
      <c r="J347" s="237"/>
      <c r="K347" s="237"/>
      <c r="L347" s="237"/>
    </row>
    <row r="348" spans="8:8" ht="15.75" customHeight="1">
      <c r="F348" s="241" t="b">
        <v>0</v>
      </c>
      <c r="H348" s="237"/>
      <c r="I348" s="237"/>
      <c r="J348" s="237"/>
      <c r="K348" s="237"/>
      <c r="L348" s="237"/>
    </row>
    <row r="349" spans="8:8" ht="15.75" customHeight="1">
      <c r="F349" s="241" t="b">
        <v>0</v>
      </c>
      <c r="H349" s="237"/>
      <c r="I349" s="237"/>
      <c r="J349" s="237"/>
      <c r="K349" s="237"/>
      <c r="L349" s="237"/>
    </row>
    <row r="350" spans="8:8" ht="15.75" customHeight="1">
      <c r="F350" s="241" t="b">
        <v>0</v>
      </c>
      <c r="H350" s="237"/>
      <c r="I350" s="237"/>
      <c r="J350" s="237"/>
      <c r="K350" s="237"/>
      <c r="L350" s="237"/>
    </row>
    <row r="351" spans="8:8" ht="15.75" customHeight="1">
      <c r="F351" s="241" t="b">
        <v>0</v>
      </c>
      <c r="H351" s="237"/>
      <c r="I351" s="237"/>
      <c r="J351" s="237"/>
      <c r="K351" s="237"/>
      <c r="L351" s="237"/>
    </row>
    <row r="352" spans="8:8" ht="15.75" customHeight="1">
      <c r="F352" s="241" t="b">
        <v>0</v>
      </c>
      <c r="H352" s="237"/>
      <c r="I352" s="237"/>
      <c r="J352" s="237"/>
      <c r="K352" s="237"/>
      <c r="L352" s="237"/>
    </row>
    <row r="353" spans="8:8" ht="15.75" customHeight="1">
      <c r="F353" s="241" t="b">
        <v>0</v>
      </c>
      <c r="H353" s="237"/>
      <c r="I353" s="237"/>
      <c r="J353" s="237"/>
      <c r="K353" s="237"/>
      <c r="L353" s="237"/>
    </row>
    <row r="354" spans="8:8" ht="15.75" customHeight="1">
      <c r="F354" s="241" t="b">
        <v>0</v>
      </c>
      <c r="H354" s="237"/>
      <c r="I354" s="237"/>
      <c r="J354" s="237"/>
      <c r="K354" s="237"/>
      <c r="L354" s="237"/>
    </row>
    <row r="355" spans="8:8" ht="15.75" customHeight="1">
      <c r="F355" s="241" t="b">
        <v>0</v>
      </c>
      <c r="H355" s="237"/>
      <c r="I355" s="237"/>
      <c r="J355" s="237"/>
      <c r="K355" s="237"/>
      <c r="L355" s="237"/>
    </row>
    <row r="356" spans="8:8" ht="15.75" customHeight="1">
      <c r="F356" s="241" t="b">
        <v>0</v>
      </c>
      <c r="H356" s="237"/>
      <c r="I356" s="237"/>
      <c r="J356" s="237"/>
      <c r="K356" s="237"/>
      <c r="L356" s="237"/>
    </row>
    <row r="357" spans="8:8" ht="15.75" customHeight="1">
      <c r="F357" s="241" t="b">
        <v>0</v>
      </c>
      <c r="H357" s="237"/>
      <c r="I357" s="237"/>
      <c r="J357" s="237"/>
      <c r="K357" s="237"/>
      <c r="L357" s="237"/>
    </row>
    <row r="358" spans="8:8" ht="15.75" customHeight="1">
      <c r="F358" s="241" t="b">
        <v>0</v>
      </c>
      <c r="H358" s="237"/>
      <c r="I358" s="237"/>
      <c r="J358" s="237"/>
      <c r="K358" s="237"/>
      <c r="L358" s="237"/>
    </row>
    <row r="359" spans="8:8" ht="15.75" customHeight="1">
      <c r="F359" s="241" t="b">
        <v>0</v>
      </c>
      <c r="H359" s="237"/>
      <c r="I359" s="237"/>
      <c r="J359" s="237"/>
      <c r="K359" s="237"/>
      <c r="L359" s="237"/>
    </row>
    <row r="360" spans="8:8" ht="15.75" customHeight="1">
      <c r="F360" s="241" t="b">
        <v>0</v>
      </c>
      <c r="H360" s="237"/>
      <c r="I360" s="237"/>
      <c r="J360" s="237"/>
      <c r="K360" s="237"/>
      <c r="L360" s="237"/>
    </row>
    <row r="361" spans="8:8" ht="15.75" customHeight="1">
      <c r="F361" s="241" t="b">
        <v>0</v>
      </c>
      <c r="H361" s="237"/>
      <c r="I361" s="237"/>
      <c r="J361" s="237"/>
      <c r="K361" s="237"/>
      <c r="L361" s="237"/>
    </row>
    <row r="362" spans="8:8" ht="15.75" customHeight="1">
      <c r="F362" s="241" t="b">
        <v>0</v>
      </c>
      <c r="H362" s="237"/>
      <c r="I362" s="237"/>
      <c r="J362" s="237"/>
      <c r="K362" s="237"/>
      <c r="L362" s="237"/>
    </row>
    <row r="363" spans="8:8" ht="15.75" customHeight="1">
      <c r="F363" s="241" t="b">
        <v>0</v>
      </c>
      <c r="H363" s="237"/>
      <c r="I363" s="237"/>
      <c r="J363" s="237"/>
      <c r="K363" s="237"/>
      <c r="L363" s="237"/>
    </row>
    <row r="364" spans="8:8" ht="15.75" customHeight="1">
      <c r="F364" s="241" t="b">
        <v>0</v>
      </c>
      <c r="H364" s="237"/>
      <c r="I364" s="237"/>
      <c r="J364" s="237"/>
      <c r="K364" s="237"/>
      <c r="L364" s="237"/>
    </row>
    <row r="365" spans="8:8" ht="15.75" customHeight="1">
      <c r="F365" s="241" t="b">
        <v>0</v>
      </c>
      <c r="H365" s="237"/>
      <c r="I365" s="237"/>
      <c r="J365" s="237"/>
      <c r="K365" s="237"/>
      <c r="L365" s="237"/>
    </row>
    <row r="366" spans="8:8" ht="15.75" customHeight="1">
      <c r="F366" s="241" t="b">
        <v>0</v>
      </c>
      <c r="H366" s="237"/>
      <c r="I366" s="237"/>
      <c r="J366" s="237"/>
      <c r="K366" s="237"/>
      <c r="L366" s="237"/>
    </row>
    <row r="367" spans="8:8" ht="15.75" customHeight="1">
      <c r="F367" s="241" t="b">
        <v>0</v>
      </c>
      <c r="H367" s="237"/>
      <c r="I367" s="237"/>
      <c r="J367" s="237"/>
      <c r="K367" s="237"/>
      <c r="L367" s="237"/>
    </row>
    <row r="368" spans="8:8" ht="15.75" customHeight="1">
      <c r="F368" s="241" t="b">
        <v>0</v>
      </c>
      <c r="H368" s="237"/>
      <c r="I368" s="237"/>
      <c r="J368" s="237"/>
      <c r="K368" s="237"/>
      <c r="L368" s="237"/>
    </row>
    <row r="369" spans="8:8" ht="15.75" customHeight="1">
      <c r="F369" s="241" t="b">
        <v>0</v>
      </c>
      <c r="H369" s="237"/>
      <c r="I369" s="237"/>
      <c r="J369" s="237"/>
      <c r="K369" s="237"/>
      <c r="L369" s="237"/>
    </row>
    <row r="370" spans="8:8" ht="15.75" customHeight="1">
      <c r="F370" s="241" t="b">
        <v>0</v>
      </c>
      <c r="H370" s="237"/>
      <c r="I370" s="237"/>
      <c r="J370" s="237"/>
      <c r="K370" s="237"/>
      <c r="L370" s="237"/>
    </row>
    <row r="371" spans="8:8" ht="15.75" customHeight="1">
      <c r="F371" s="241" t="b">
        <v>0</v>
      </c>
      <c r="H371" s="237"/>
      <c r="I371" s="237"/>
      <c r="J371" s="237"/>
      <c r="K371" s="237"/>
      <c r="L371" s="237"/>
    </row>
    <row r="372" spans="8:8" ht="15.75" customHeight="1">
      <c r="F372" s="241" t="b">
        <v>0</v>
      </c>
      <c r="H372" s="237"/>
      <c r="I372" s="237"/>
      <c r="J372" s="237"/>
      <c r="K372" s="237"/>
      <c r="L372" s="237"/>
    </row>
    <row r="373" spans="8:8" ht="15.75" customHeight="1">
      <c r="F373" s="241" t="b">
        <v>0</v>
      </c>
      <c r="H373" s="237"/>
      <c r="I373" s="237"/>
      <c r="J373" s="237"/>
      <c r="K373" s="237"/>
      <c r="L373" s="237"/>
    </row>
    <row r="374" spans="8:8" ht="15.75" customHeight="1">
      <c r="F374" s="241" t="b">
        <v>0</v>
      </c>
      <c r="H374" s="237"/>
      <c r="I374" s="237"/>
      <c r="J374" s="237"/>
      <c r="K374" s="237"/>
      <c r="L374" s="237"/>
    </row>
    <row r="375" spans="8:8" ht="15.75" customHeight="1">
      <c r="F375" s="241" t="b">
        <v>0</v>
      </c>
      <c r="H375" s="237"/>
      <c r="I375" s="237"/>
      <c r="J375" s="237"/>
      <c r="K375" s="237"/>
      <c r="L375" s="237"/>
    </row>
    <row r="376" spans="8:8" ht="15.75" customHeight="1">
      <c r="F376" s="241" t="b">
        <v>0</v>
      </c>
      <c r="H376" s="237"/>
      <c r="I376" s="237"/>
      <c r="J376" s="237"/>
      <c r="K376" s="237"/>
      <c r="L376" s="237"/>
    </row>
    <row r="377" spans="8:8" ht="15.75" customHeight="1">
      <c r="F377" s="241" t="b">
        <v>0</v>
      </c>
      <c r="H377" s="237"/>
      <c r="I377" s="237"/>
      <c r="J377" s="237"/>
      <c r="K377" s="237"/>
      <c r="L377" s="237"/>
    </row>
    <row r="378" spans="8:8" ht="15.75" customHeight="1">
      <c r="F378" s="241" t="b">
        <v>0</v>
      </c>
      <c r="H378" s="237"/>
      <c r="I378" s="237"/>
      <c r="J378" s="237"/>
      <c r="K378" s="237"/>
      <c r="L378" s="237"/>
    </row>
    <row r="379" spans="8:8" ht="15.75" customHeight="1">
      <c r="F379" s="241" t="b">
        <v>0</v>
      </c>
      <c r="H379" s="237"/>
      <c r="I379" s="237"/>
      <c r="J379" s="237"/>
      <c r="K379" s="237"/>
      <c r="L379" s="237"/>
    </row>
    <row r="380" spans="8:8" ht="15.75" customHeight="1">
      <c r="F380" s="241" t="b">
        <v>0</v>
      </c>
      <c r="H380" s="237"/>
      <c r="I380" s="237"/>
      <c r="J380" s="237"/>
      <c r="K380" s="237"/>
      <c r="L380" s="237"/>
    </row>
    <row r="381" spans="8:8" ht="15.75" customHeight="1">
      <c r="F381" s="241" t="b">
        <v>0</v>
      </c>
      <c r="H381" s="237"/>
      <c r="I381" s="237"/>
      <c r="J381" s="237"/>
      <c r="K381" s="237"/>
      <c r="L381" s="237"/>
    </row>
    <row r="382" spans="8:8" ht="15.75" customHeight="1">
      <c r="F382" s="241" t="b">
        <v>0</v>
      </c>
      <c r="H382" s="237"/>
      <c r="I382" s="237"/>
      <c r="J382" s="237"/>
      <c r="K382" s="237"/>
      <c r="L382" s="237"/>
    </row>
    <row r="383" spans="8:8" ht="15.75" customHeight="1">
      <c r="F383" s="241" t="b">
        <v>0</v>
      </c>
      <c r="H383" s="237"/>
      <c r="I383" s="237"/>
      <c r="J383" s="237"/>
      <c r="K383" s="237"/>
      <c r="L383" s="237"/>
    </row>
    <row r="384" spans="8:8" ht="15.75" customHeight="1">
      <c r="F384" s="241" t="b">
        <v>0</v>
      </c>
      <c r="H384" s="237"/>
      <c r="I384" s="237"/>
      <c r="J384" s="237"/>
      <c r="K384" s="237"/>
      <c r="L384" s="237"/>
    </row>
    <row r="385" spans="8:8" ht="15.75" customHeight="1">
      <c r="F385" s="241" t="b">
        <v>0</v>
      </c>
      <c r="H385" s="237"/>
      <c r="I385" s="237"/>
      <c r="J385" s="237"/>
      <c r="K385" s="237"/>
      <c r="L385" s="237"/>
    </row>
    <row r="386" spans="8:8" ht="15.75" customHeight="1">
      <c r="F386" s="241" t="b">
        <v>0</v>
      </c>
      <c r="H386" s="237"/>
      <c r="I386" s="237"/>
      <c r="J386" s="237"/>
      <c r="K386" s="237"/>
      <c r="L386" s="237"/>
    </row>
    <row r="387" spans="8:8" ht="15.75" customHeight="1">
      <c r="F387" s="241" t="b">
        <v>0</v>
      </c>
      <c r="H387" s="237"/>
      <c r="I387" s="237"/>
      <c r="J387" s="237"/>
      <c r="K387" s="237"/>
      <c r="L387" s="237"/>
    </row>
    <row r="388" spans="8:8" ht="15.75" customHeight="1">
      <c r="F388" s="241" t="b">
        <v>0</v>
      </c>
      <c r="H388" s="237"/>
      <c r="I388" s="237"/>
      <c r="J388" s="237"/>
      <c r="K388" s="237"/>
      <c r="L388" s="237"/>
    </row>
    <row r="389" spans="8:8" ht="15.75" customHeight="1">
      <c r="F389" s="241" t="b">
        <v>0</v>
      </c>
      <c r="H389" s="237"/>
      <c r="I389" s="237"/>
      <c r="J389" s="237"/>
      <c r="K389" s="237"/>
      <c r="L389" s="237"/>
    </row>
    <row r="390" spans="8:8" ht="15.75" customHeight="1">
      <c r="F390" s="241" t="b">
        <v>0</v>
      </c>
      <c r="H390" s="237"/>
      <c r="I390" s="237"/>
      <c r="J390" s="237"/>
      <c r="K390" s="237"/>
      <c r="L390" s="237"/>
    </row>
    <row r="391" spans="8:8" ht="15.75" customHeight="1">
      <c r="F391" s="241" t="b">
        <v>0</v>
      </c>
      <c r="H391" s="237"/>
      <c r="I391" s="237"/>
      <c r="J391" s="237"/>
      <c r="K391" s="237"/>
      <c r="L391" s="237"/>
    </row>
    <row r="392" spans="8:8" ht="15.75" customHeight="1">
      <c r="F392" s="241" t="b">
        <v>0</v>
      </c>
      <c r="H392" s="237"/>
      <c r="I392" s="237"/>
      <c r="J392" s="237"/>
      <c r="K392" s="237"/>
      <c r="L392" s="237"/>
    </row>
    <row r="393" spans="8:8" ht="15.75" customHeight="1">
      <c r="F393" s="241" t="b">
        <v>0</v>
      </c>
      <c r="H393" s="237"/>
      <c r="I393" s="237"/>
      <c r="J393" s="237"/>
      <c r="K393" s="237"/>
      <c r="L393" s="237"/>
    </row>
    <row r="394" spans="8:8" ht="15.75" customHeight="1">
      <c r="F394" s="241" t="b">
        <v>0</v>
      </c>
      <c r="H394" s="237"/>
      <c r="I394" s="237"/>
      <c r="J394" s="237"/>
      <c r="K394" s="237"/>
      <c r="L394" s="237"/>
    </row>
    <row r="395" spans="8:8" ht="15.75" customHeight="1">
      <c r="F395" s="241" t="b">
        <v>0</v>
      </c>
      <c r="H395" s="237"/>
      <c r="I395" s="237"/>
      <c r="J395" s="237"/>
      <c r="K395" s="237"/>
      <c r="L395" s="237"/>
    </row>
    <row r="396" spans="8:8" ht="15.75" customHeight="1">
      <c r="F396" s="241" t="b">
        <v>0</v>
      </c>
      <c r="H396" s="237"/>
      <c r="I396" s="237"/>
      <c r="J396" s="237"/>
      <c r="K396" s="237"/>
      <c r="L396" s="237"/>
    </row>
    <row r="397" spans="8:8" ht="15.75" customHeight="1">
      <c r="F397" s="241" t="b">
        <v>0</v>
      </c>
      <c r="H397" s="237"/>
      <c r="I397" s="237"/>
      <c r="J397" s="237"/>
      <c r="K397" s="237"/>
      <c r="L397" s="237"/>
    </row>
    <row r="398" spans="8:8" ht="15.75" customHeight="1">
      <c r="F398" s="241" t="b">
        <v>0</v>
      </c>
      <c r="H398" s="237"/>
      <c r="I398" s="237"/>
      <c r="J398" s="237"/>
      <c r="K398" s="237"/>
      <c r="L398" s="237"/>
    </row>
    <row r="399" spans="8:8" ht="15.75" customHeight="1">
      <c r="F399" s="241" t="b">
        <v>0</v>
      </c>
      <c r="H399" s="237"/>
      <c r="I399" s="237"/>
      <c r="J399" s="237"/>
      <c r="K399" s="237"/>
      <c r="L399" s="237"/>
    </row>
    <row r="400" spans="8:8" ht="15.75" customHeight="1">
      <c r="F400" s="241" t="b">
        <v>0</v>
      </c>
      <c r="H400" s="237"/>
      <c r="I400" s="237"/>
      <c r="J400" s="237"/>
      <c r="K400" s="237"/>
      <c r="L400" s="237"/>
    </row>
    <row r="401" spans="8:8" ht="15.75" customHeight="1">
      <c r="F401" s="241" t="b">
        <v>0</v>
      </c>
      <c r="H401" s="237"/>
      <c r="I401" s="237"/>
      <c r="J401" s="237"/>
      <c r="K401" s="237"/>
      <c r="L401" s="237"/>
    </row>
    <row r="402" spans="8:8" ht="15.75" customHeight="1">
      <c r="F402" s="241" t="b">
        <v>0</v>
      </c>
      <c r="H402" s="237"/>
      <c r="I402" s="237"/>
      <c r="J402" s="237"/>
      <c r="K402" s="237"/>
      <c r="L402" s="237"/>
    </row>
    <row r="403" spans="8:8" ht="15.75" customHeight="1">
      <c r="F403" s="241" t="b">
        <v>0</v>
      </c>
      <c r="H403" s="237"/>
      <c r="I403" s="237"/>
      <c r="J403" s="237"/>
      <c r="K403" s="237"/>
      <c r="L403" s="237"/>
    </row>
    <row r="404" spans="8:8" ht="15.75" customHeight="1">
      <c r="F404" s="241" t="b">
        <v>0</v>
      </c>
      <c r="H404" s="237"/>
      <c r="I404" s="237"/>
      <c r="J404" s="237"/>
      <c r="K404" s="237"/>
      <c r="L404" s="237"/>
    </row>
    <row r="405" spans="8:8" ht="15.75" customHeight="1">
      <c r="F405" s="241" t="b">
        <v>0</v>
      </c>
      <c r="H405" s="237"/>
      <c r="I405" s="237"/>
      <c r="J405" s="237"/>
      <c r="K405" s="237"/>
      <c r="L405" s="237"/>
    </row>
    <row r="406" spans="8:8" ht="15.75" customHeight="1">
      <c r="F406" s="241" t="b">
        <v>0</v>
      </c>
      <c r="H406" s="237"/>
      <c r="I406" s="237"/>
      <c r="J406" s="237"/>
      <c r="K406" s="237"/>
      <c r="L406" s="237"/>
    </row>
    <row r="407" spans="8:8" ht="15.75" customHeight="1">
      <c r="F407" s="241" t="b">
        <v>0</v>
      </c>
      <c r="H407" s="237"/>
      <c r="I407" s="237"/>
      <c r="J407" s="237"/>
      <c r="K407" s="237"/>
      <c r="L407" s="237"/>
    </row>
    <row r="408" spans="8:8" ht="15.75" customHeight="1">
      <c r="F408" s="241" t="b">
        <v>0</v>
      </c>
      <c r="H408" s="237"/>
      <c r="I408" s="237"/>
      <c r="J408" s="237"/>
      <c r="K408" s="237"/>
      <c r="L408" s="237"/>
    </row>
    <row r="409" spans="8:8" ht="15.75" customHeight="1">
      <c r="F409" s="241" t="b">
        <v>0</v>
      </c>
      <c r="H409" s="237"/>
      <c r="I409" s="237"/>
      <c r="J409" s="237"/>
      <c r="K409" s="237"/>
      <c r="L409" s="237"/>
    </row>
    <row r="410" spans="8:8" ht="15.75" customHeight="1">
      <c r="F410" s="241" t="b">
        <v>0</v>
      </c>
      <c r="H410" s="237"/>
      <c r="I410" s="237"/>
      <c r="J410" s="237"/>
      <c r="K410" s="237"/>
      <c r="L410" s="237"/>
    </row>
    <row r="411" spans="8:8" ht="15.75" customHeight="1">
      <c r="F411" s="241" t="b">
        <v>0</v>
      </c>
      <c r="H411" s="237"/>
      <c r="I411" s="237"/>
      <c r="J411" s="237"/>
      <c r="K411" s="237"/>
      <c r="L411" s="237"/>
    </row>
    <row r="412" spans="8:8" ht="15.75" customHeight="1">
      <c r="F412" s="241" t="b">
        <v>0</v>
      </c>
      <c r="H412" s="237"/>
      <c r="I412" s="237"/>
      <c r="J412" s="237"/>
      <c r="K412" s="237"/>
      <c r="L412" s="237"/>
    </row>
    <row r="413" spans="8:8" ht="15.75" customHeight="1">
      <c r="F413" s="241" t="b">
        <v>0</v>
      </c>
      <c r="H413" s="237"/>
      <c r="I413" s="237"/>
      <c r="J413" s="237"/>
      <c r="K413" s="237"/>
      <c r="L413" s="237"/>
    </row>
    <row r="414" spans="8:8" ht="15.75" customHeight="1">
      <c r="F414" s="241" t="b">
        <v>0</v>
      </c>
      <c r="H414" s="237"/>
      <c r="I414" s="237"/>
      <c r="J414" s="237"/>
      <c r="K414" s="237"/>
      <c r="L414" s="237"/>
    </row>
    <row r="415" spans="8:8" ht="15.75" customHeight="1">
      <c r="F415" s="241" t="b">
        <v>0</v>
      </c>
      <c r="H415" s="237"/>
      <c r="I415" s="237"/>
      <c r="J415" s="237"/>
      <c r="K415" s="237"/>
      <c r="L415" s="237"/>
    </row>
    <row r="416" spans="8:8" ht="15.75" customHeight="1">
      <c r="F416" s="241" t="b">
        <v>0</v>
      </c>
      <c r="H416" s="237"/>
      <c r="I416" s="237"/>
      <c r="J416" s="237"/>
      <c r="K416" s="237"/>
      <c r="L416" s="237"/>
    </row>
    <row r="417" spans="8:8" ht="15.75" customHeight="1">
      <c r="F417" s="241" t="b">
        <v>0</v>
      </c>
      <c r="H417" s="237"/>
      <c r="I417" s="237"/>
      <c r="J417" s="237"/>
      <c r="K417" s="237"/>
      <c r="L417" s="237"/>
    </row>
    <row r="418" spans="8:8" ht="15.75" customHeight="1">
      <c r="F418" s="241" t="b">
        <v>0</v>
      </c>
      <c r="H418" s="237"/>
      <c r="I418" s="237"/>
      <c r="J418" s="237"/>
      <c r="K418" s="237"/>
      <c r="L418" s="237"/>
    </row>
    <row r="419" spans="8:8" ht="15.75" customHeight="1">
      <c r="F419" s="241" t="b">
        <v>0</v>
      </c>
      <c r="H419" s="237"/>
      <c r="I419" s="237"/>
      <c r="J419" s="237"/>
      <c r="K419" s="237"/>
      <c r="L419" s="237"/>
    </row>
    <row r="420" spans="8:8" ht="15.75" customHeight="1">
      <c r="F420" s="241" t="b">
        <v>0</v>
      </c>
      <c r="H420" s="237"/>
      <c r="I420" s="237"/>
      <c r="J420" s="237"/>
      <c r="K420" s="237"/>
      <c r="L420" s="237"/>
    </row>
    <row r="421" spans="8:8" ht="15.75" customHeight="1">
      <c r="F421" s="241" t="b">
        <v>0</v>
      </c>
      <c r="H421" s="237"/>
      <c r="I421" s="237"/>
      <c r="J421" s="237"/>
      <c r="K421" s="237"/>
      <c r="L421" s="237"/>
    </row>
    <row r="422" spans="8:8" ht="15.75" customHeight="1">
      <c r="F422" s="241" t="b">
        <v>0</v>
      </c>
      <c r="H422" s="237"/>
      <c r="I422" s="237"/>
      <c r="J422" s="237"/>
      <c r="K422" s="237"/>
      <c r="L422" s="237"/>
    </row>
    <row r="423" spans="8:8" ht="15.75" customHeight="1">
      <c r="F423" s="241" t="b">
        <v>0</v>
      </c>
      <c r="H423" s="237"/>
      <c r="I423" s="237"/>
      <c r="J423" s="237"/>
      <c r="K423" s="237"/>
      <c r="L423" s="237"/>
    </row>
    <row r="424" spans="8:8" ht="15.75" customHeight="1">
      <c r="F424" s="241" t="b">
        <v>0</v>
      </c>
      <c r="H424" s="237"/>
      <c r="I424" s="237"/>
      <c r="J424" s="237"/>
      <c r="K424" s="237"/>
      <c r="L424" s="237"/>
    </row>
    <row r="425" spans="8:8" ht="15.75" customHeight="1">
      <c r="F425" s="241" t="b">
        <v>0</v>
      </c>
      <c r="H425" s="237"/>
      <c r="I425" s="237"/>
      <c r="J425" s="237"/>
      <c r="K425" s="237"/>
      <c r="L425" s="237"/>
    </row>
    <row r="426" spans="8:8" ht="15.75" customHeight="1">
      <c r="F426" s="241" t="b">
        <v>0</v>
      </c>
      <c r="H426" s="237"/>
      <c r="I426" s="237"/>
      <c r="J426" s="237"/>
      <c r="K426" s="237"/>
      <c r="L426" s="237"/>
    </row>
    <row r="427" spans="8:8" ht="15.75" customHeight="1">
      <c r="F427" s="241" t="b">
        <v>0</v>
      </c>
      <c r="H427" s="237"/>
      <c r="I427" s="237"/>
      <c r="J427" s="237"/>
      <c r="K427" s="237"/>
      <c r="L427" s="237"/>
    </row>
    <row r="428" spans="8:8" ht="15.75" customHeight="1">
      <c r="F428" s="241" t="b">
        <v>0</v>
      </c>
      <c r="H428" s="237"/>
      <c r="I428" s="237"/>
      <c r="J428" s="237"/>
      <c r="K428" s="237"/>
      <c r="L428" s="237"/>
    </row>
    <row r="429" spans="8:8" ht="15.75" customHeight="1">
      <c r="F429" s="241" t="b">
        <v>0</v>
      </c>
      <c r="H429" s="237"/>
      <c r="I429" s="237"/>
      <c r="J429" s="237"/>
      <c r="K429" s="237"/>
      <c r="L429" s="237"/>
    </row>
    <row r="430" spans="8:8" ht="15.75" customHeight="1">
      <c r="F430" s="241" t="b">
        <v>0</v>
      </c>
      <c r="H430" s="237"/>
      <c r="I430" s="237"/>
      <c r="J430" s="237"/>
      <c r="K430" s="237"/>
      <c r="L430" s="237"/>
    </row>
    <row r="431" spans="8:8" ht="15.75" customHeight="1">
      <c r="F431" s="241" t="b">
        <v>0</v>
      </c>
      <c r="H431" s="237"/>
      <c r="I431" s="237"/>
      <c r="J431" s="237"/>
      <c r="K431" s="237"/>
      <c r="L431" s="237"/>
    </row>
    <row r="432" spans="8:8" ht="15.75" customHeight="1">
      <c r="F432" s="241" t="b">
        <v>0</v>
      </c>
      <c r="H432" s="237"/>
      <c r="I432" s="237"/>
      <c r="J432" s="237"/>
      <c r="K432" s="237"/>
      <c r="L432" s="237"/>
    </row>
    <row r="433" spans="8:8" ht="15.75" customHeight="1">
      <c r="F433" s="241" t="b">
        <v>0</v>
      </c>
      <c r="H433" s="237"/>
      <c r="I433" s="237"/>
      <c r="J433" s="237"/>
      <c r="K433" s="237"/>
      <c r="L433" s="237"/>
    </row>
    <row r="434" spans="8:8" ht="15.75" customHeight="1">
      <c r="F434" s="241" t="b">
        <v>0</v>
      </c>
      <c r="H434" s="237"/>
      <c r="I434" s="237"/>
      <c r="J434" s="237"/>
      <c r="K434" s="237"/>
      <c r="L434" s="237"/>
    </row>
    <row r="435" spans="8:8" ht="15.75" customHeight="1">
      <c r="F435" s="241" t="b">
        <v>0</v>
      </c>
      <c r="H435" s="237"/>
      <c r="I435" s="237"/>
      <c r="J435" s="237"/>
      <c r="K435" s="237"/>
      <c r="L435" s="237"/>
    </row>
    <row r="436" spans="8:8" ht="15.75" customHeight="1">
      <c r="F436" s="241" t="b">
        <v>0</v>
      </c>
      <c r="H436" s="237"/>
      <c r="I436" s="237"/>
      <c r="J436" s="237"/>
      <c r="K436" s="237"/>
      <c r="L436" s="237"/>
    </row>
    <row r="437" spans="8:8" ht="15.75" customHeight="1">
      <c r="F437" s="241" t="b">
        <v>0</v>
      </c>
      <c r="H437" s="237"/>
      <c r="I437" s="237"/>
      <c r="J437" s="237"/>
      <c r="K437" s="237"/>
      <c r="L437" s="237"/>
    </row>
    <row r="438" spans="8:8" ht="15.75" customHeight="1">
      <c r="F438" s="241" t="b">
        <v>0</v>
      </c>
      <c r="H438" s="237"/>
      <c r="I438" s="237"/>
      <c r="J438" s="237"/>
      <c r="K438" s="237"/>
      <c r="L438" s="237"/>
    </row>
    <row r="439" spans="8:8" ht="15.75" customHeight="1">
      <c r="F439" s="241" t="b">
        <v>0</v>
      </c>
      <c r="H439" s="237"/>
      <c r="I439" s="237"/>
      <c r="J439" s="237"/>
      <c r="K439" s="237"/>
      <c r="L439" s="237"/>
    </row>
    <row r="440" spans="8:8" ht="15.75" customHeight="1">
      <c r="F440" s="241" t="b">
        <v>0</v>
      </c>
      <c r="H440" s="237"/>
      <c r="I440" s="237"/>
      <c r="J440" s="237"/>
      <c r="K440" s="237"/>
      <c r="L440" s="237"/>
    </row>
    <row r="441" spans="8:8" ht="15.75" customHeight="1">
      <c r="F441" s="241" t="b">
        <v>0</v>
      </c>
      <c r="H441" s="237"/>
      <c r="I441" s="237"/>
      <c r="J441" s="237"/>
      <c r="K441" s="237"/>
      <c r="L441" s="237"/>
    </row>
    <row r="442" spans="8:8" ht="15.75" customHeight="1">
      <c r="F442" s="241" t="b">
        <v>0</v>
      </c>
      <c r="H442" s="237"/>
      <c r="I442" s="237"/>
      <c r="J442" s="237"/>
      <c r="K442" s="237"/>
      <c r="L442" s="237"/>
    </row>
    <row r="443" spans="8:8" ht="15.75" customHeight="1">
      <c r="F443" s="241" t="b">
        <v>0</v>
      </c>
      <c r="H443" s="237"/>
      <c r="I443" s="237"/>
      <c r="J443" s="237"/>
      <c r="K443" s="237"/>
      <c r="L443" s="237"/>
    </row>
    <row r="444" spans="8:8" ht="15.75" customHeight="1">
      <c r="F444" s="241" t="b">
        <v>0</v>
      </c>
      <c r="H444" s="237"/>
      <c r="I444" s="237"/>
      <c r="J444" s="237"/>
      <c r="K444" s="237"/>
      <c r="L444" s="237"/>
    </row>
    <row r="445" spans="8:8" ht="15.75" customHeight="1">
      <c r="F445" s="241" t="b">
        <v>0</v>
      </c>
      <c r="H445" s="237"/>
      <c r="I445" s="237"/>
      <c r="J445" s="237"/>
      <c r="K445" s="237"/>
      <c r="L445" s="237"/>
    </row>
    <row r="446" spans="8:8" ht="15.75" customHeight="1">
      <c r="F446" s="241" t="b">
        <v>0</v>
      </c>
      <c r="H446" s="237"/>
      <c r="I446" s="237"/>
      <c r="J446" s="237"/>
      <c r="K446" s="237"/>
      <c r="L446" s="237"/>
    </row>
    <row r="447" spans="8:8" ht="15.75" customHeight="1">
      <c r="F447" s="241" t="b">
        <v>0</v>
      </c>
      <c r="H447" s="237"/>
      <c r="I447" s="237"/>
      <c r="J447" s="237"/>
      <c r="K447" s="237"/>
      <c r="L447" s="237"/>
    </row>
    <row r="448" spans="8:8" ht="15.75" customHeight="1">
      <c r="F448" s="241" t="b">
        <v>0</v>
      </c>
      <c r="H448" s="237"/>
      <c r="I448" s="237"/>
      <c r="J448" s="237"/>
      <c r="K448" s="237"/>
      <c r="L448" s="237"/>
    </row>
    <row r="449" spans="8:8" ht="15.75" customHeight="1">
      <c r="F449" s="241" t="b">
        <v>0</v>
      </c>
      <c r="H449" s="237"/>
      <c r="I449" s="237"/>
      <c r="J449" s="237"/>
      <c r="K449" s="237"/>
      <c r="L449" s="237"/>
    </row>
    <row r="450" spans="8:8" ht="15.75" customHeight="1">
      <c r="F450" s="241" t="b">
        <v>0</v>
      </c>
      <c r="H450" s="237"/>
      <c r="I450" s="237"/>
      <c r="J450" s="237"/>
      <c r="K450" s="237"/>
      <c r="L450" s="237"/>
    </row>
    <row r="451" spans="8:8" ht="15.75" customHeight="1">
      <c r="F451" s="241" t="b">
        <v>0</v>
      </c>
      <c r="H451" s="237"/>
      <c r="I451" s="237"/>
      <c r="J451" s="237"/>
      <c r="K451" s="237"/>
      <c r="L451" s="237"/>
    </row>
    <row r="452" spans="8:8" ht="15.75" customHeight="1">
      <c r="F452" s="241" t="b">
        <v>0</v>
      </c>
      <c r="H452" s="237"/>
      <c r="I452" s="237"/>
      <c r="J452" s="237"/>
      <c r="K452" s="237"/>
      <c r="L452" s="237"/>
    </row>
    <row r="453" spans="8:8" ht="15.75" customHeight="1">
      <c r="F453" s="241" t="b">
        <v>0</v>
      </c>
      <c r="H453" s="237"/>
      <c r="I453" s="237"/>
      <c r="J453" s="237"/>
      <c r="K453" s="237"/>
      <c r="L453" s="237"/>
    </row>
    <row r="454" spans="8:8" ht="15.75" customHeight="1">
      <c r="F454" s="241" t="b">
        <v>0</v>
      </c>
      <c r="H454" s="237"/>
      <c r="I454" s="237"/>
      <c r="J454" s="237"/>
      <c r="K454" s="237"/>
      <c r="L454" s="237"/>
    </row>
    <row r="455" spans="8:8" ht="15.75" customHeight="1">
      <c r="F455" s="241" t="b">
        <v>0</v>
      </c>
      <c r="H455" s="237"/>
      <c r="I455" s="237"/>
      <c r="J455" s="237"/>
      <c r="K455" s="237"/>
      <c r="L455" s="237"/>
    </row>
    <row r="456" spans="8:8" ht="15.75" customHeight="1">
      <c r="F456" s="241" t="b">
        <v>0</v>
      </c>
      <c r="H456" s="237"/>
      <c r="I456" s="237"/>
      <c r="J456" s="237"/>
      <c r="K456" s="237"/>
      <c r="L456" s="237"/>
    </row>
    <row r="457" spans="8:8" ht="15.75" customHeight="1">
      <c r="F457" s="241" t="b">
        <v>0</v>
      </c>
      <c r="H457" s="237"/>
      <c r="I457" s="237"/>
      <c r="J457" s="237"/>
      <c r="K457" s="237"/>
      <c r="L457" s="237"/>
    </row>
    <row r="458" spans="8:8" ht="15.75" customHeight="1">
      <c r="F458" s="241" t="b">
        <v>0</v>
      </c>
      <c r="H458" s="237"/>
      <c r="I458" s="237"/>
      <c r="J458" s="237"/>
      <c r="K458" s="237"/>
      <c r="L458" s="237"/>
    </row>
    <row r="459" spans="8:8" ht="15.75" customHeight="1">
      <c r="F459" s="241" t="b">
        <v>0</v>
      </c>
      <c r="H459" s="237"/>
      <c r="I459" s="237"/>
      <c r="J459" s="237"/>
      <c r="K459" s="237"/>
      <c r="L459" s="237"/>
    </row>
    <row r="460" spans="8:8" ht="15.75" customHeight="1">
      <c r="F460" s="241" t="b">
        <v>0</v>
      </c>
      <c r="H460" s="237"/>
      <c r="I460" s="237"/>
      <c r="J460" s="237"/>
      <c r="K460" s="237"/>
      <c r="L460" s="237"/>
    </row>
    <row r="461" spans="8:8" ht="15.75" customHeight="1">
      <c r="F461" s="241" t="b">
        <v>0</v>
      </c>
      <c r="H461" s="237"/>
      <c r="I461" s="237"/>
      <c r="J461" s="237"/>
      <c r="K461" s="237"/>
      <c r="L461" s="237"/>
    </row>
    <row r="462" spans="8:8" ht="15.75" customHeight="1">
      <c r="F462" s="241" t="b">
        <v>0</v>
      </c>
      <c r="H462" s="237"/>
      <c r="I462" s="237"/>
      <c r="J462" s="237"/>
      <c r="K462" s="237"/>
      <c r="L462" s="237"/>
    </row>
    <row r="463" spans="8:8" ht="15.75" customHeight="1">
      <c r="F463" s="241" t="b">
        <v>0</v>
      </c>
      <c r="H463" s="237"/>
      <c r="I463" s="237"/>
      <c r="J463" s="237"/>
      <c r="K463" s="237"/>
      <c r="L463" s="237"/>
    </row>
    <row r="464" spans="8:8" ht="15.75" customHeight="1">
      <c r="F464" s="241" t="b">
        <v>0</v>
      </c>
      <c r="H464" s="237"/>
      <c r="I464" s="237"/>
      <c r="J464" s="237"/>
      <c r="K464" s="237"/>
      <c r="L464" s="237"/>
    </row>
    <row r="465" spans="8:8" ht="15.75" customHeight="1">
      <c r="F465" s="241" t="b">
        <v>0</v>
      </c>
      <c r="H465" s="237"/>
      <c r="I465" s="237"/>
      <c r="J465" s="237"/>
      <c r="K465" s="237"/>
      <c r="L465" s="237"/>
    </row>
    <row r="466" spans="8:8" ht="15.75" customHeight="1">
      <c r="F466" s="241" t="b">
        <v>0</v>
      </c>
      <c r="H466" s="237"/>
      <c r="I466" s="237"/>
      <c r="J466" s="237"/>
      <c r="K466" s="237"/>
      <c r="L466" s="237"/>
    </row>
    <row r="467" spans="8:8" ht="15.75" customHeight="1">
      <c r="F467" s="241" t="b">
        <v>0</v>
      </c>
      <c r="H467" s="237"/>
      <c r="I467" s="237"/>
      <c r="J467" s="237"/>
      <c r="K467" s="237"/>
      <c r="L467" s="237"/>
    </row>
    <row r="468" spans="8:8" ht="15.75" customHeight="1">
      <c r="F468" s="241" t="b">
        <v>0</v>
      </c>
      <c r="H468" s="237"/>
      <c r="I468" s="237"/>
      <c r="J468" s="237"/>
      <c r="K468" s="237"/>
      <c r="L468" s="237"/>
    </row>
    <row r="469" spans="8:8" ht="15.75" customHeight="1">
      <c r="F469" s="241" t="b">
        <v>0</v>
      </c>
      <c r="H469" s="237"/>
      <c r="I469" s="237"/>
      <c r="J469" s="237"/>
      <c r="K469" s="237"/>
      <c r="L469" s="237"/>
    </row>
    <row r="470" spans="8:8" ht="15.75" customHeight="1">
      <c r="F470" s="241" t="b">
        <v>0</v>
      </c>
      <c r="H470" s="237"/>
      <c r="I470" s="237"/>
      <c r="J470" s="237"/>
      <c r="K470" s="237"/>
      <c r="L470" s="237"/>
    </row>
    <row r="471" spans="8:8" ht="15.75" customHeight="1">
      <c r="F471" s="241" t="b">
        <v>0</v>
      </c>
      <c r="H471" s="237"/>
      <c r="I471" s="237"/>
      <c r="J471" s="237"/>
      <c r="K471" s="237"/>
      <c r="L471" s="237"/>
    </row>
    <row r="472" spans="8:8" ht="15.75" customHeight="1">
      <c r="F472" s="241" t="b">
        <v>0</v>
      </c>
      <c r="H472" s="237"/>
      <c r="I472" s="237"/>
      <c r="J472" s="237"/>
      <c r="K472" s="237"/>
      <c r="L472" s="237"/>
    </row>
    <row r="473" spans="8:8" ht="15.75" customHeight="1">
      <c r="F473" s="241" t="b">
        <v>0</v>
      </c>
      <c r="H473" s="237"/>
      <c r="I473" s="237"/>
      <c r="J473" s="237"/>
      <c r="K473" s="237"/>
      <c r="L473" s="237"/>
    </row>
    <row r="474" spans="8:8" ht="15.75" customHeight="1">
      <c r="F474" s="241" t="b">
        <v>0</v>
      </c>
      <c r="H474" s="237"/>
      <c r="I474" s="237"/>
      <c r="J474" s="237"/>
      <c r="K474" s="237"/>
      <c r="L474" s="237"/>
    </row>
    <row r="475" spans="8:8" ht="15.75" customHeight="1">
      <c r="F475" s="241" t="b">
        <v>0</v>
      </c>
      <c r="H475" s="237"/>
      <c r="I475" s="237"/>
      <c r="J475" s="237"/>
      <c r="K475" s="237"/>
      <c r="L475" s="237"/>
    </row>
    <row r="476" spans="8:8" ht="15.75" customHeight="1">
      <c r="F476" s="241" t="b">
        <v>0</v>
      </c>
      <c r="H476" s="237"/>
      <c r="I476" s="237"/>
      <c r="J476" s="237"/>
      <c r="K476" s="237"/>
      <c r="L476" s="237"/>
    </row>
    <row r="477" spans="8:8" ht="15.75" customHeight="1">
      <c r="F477" s="241" t="b">
        <v>0</v>
      </c>
      <c r="H477" s="237"/>
      <c r="I477" s="237"/>
      <c r="J477" s="237"/>
      <c r="K477" s="237"/>
      <c r="L477" s="237"/>
    </row>
    <row r="478" spans="8:8" ht="15.75" customHeight="1">
      <c r="F478" s="241" t="b">
        <v>0</v>
      </c>
      <c r="H478" s="237"/>
      <c r="I478" s="237"/>
      <c r="J478" s="237"/>
      <c r="K478" s="237"/>
      <c r="L478" s="237"/>
    </row>
    <row r="479" spans="8:8" ht="15.75" customHeight="1">
      <c r="F479" s="241" t="b">
        <v>0</v>
      </c>
      <c r="H479" s="237"/>
      <c r="I479" s="237"/>
      <c r="J479" s="237"/>
      <c r="K479" s="237"/>
      <c r="L479" s="237"/>
    </row>
    <row r="480" spans="8:8" ht="15.75" customHeight="1">
      <c r="F480" s="241" t="b">
        <v>0</v>
      </c>
      <c r="H480" s="237"/>
      <c r="I480" s="237"/>
      <c r="J480" s="237"/>
      <c r="K480" s="237"/>
      <c r="L480" s="237"/>
    </row>
    <row r="481" spans="8:8" ht="15.75" customHeight="1">
      <c r="F481" s="241" t="b">
        <v>0</v>
      </c>
      <c r="H481" s="237"/>
      <c r="I481" s="237"/>
      <c r="J481" s="237"/>
      <c r="K481" s="237"/>
      <c r="L481" s="237"/>
    </row>
    <row r="482" spans="8:8" ht="15.75" customHeight="1">
      <c r="F482" s="241" t="b">
        <v>0</v>
      </c>
      <c r="H482" s="237"/>
      <c r="I482" s="237"/>
      <c r="J482" s="237"/>
      <c r="K482" s="237"/>
      <c r="L482" s="237"/>
    </row>
    <row r="483" spans="8:8" ht="15.75" customHeight="1">
      <c r="F483" s="241" t="b">
        <v>0</v>
      </c>
      <c r="H483" s="237"/>
      <c r="I483" s="237"/>
      <c r="J483" s="237"/>
      <c r="K483" s="237"/>
      <c r="L483" s="237"/>
    </row>
    <row r="484" spans="8:8" ht="15.75" customHeight="1">
      <c r="F484" s="241" t="b">
        <v>0</v>
      </c>
      <c r="H484" s="237"/>
      <c r="I484" s="237"/>
      <c r="J484" s="237"/>
      <c r="K484" s="237"/>
      <c r="L484" s="237"/>
    </row>
    <row r="485" spans="8:8" ht="15.75" customHeight="1">
      <c r="F485" s="241" t="b">
        <v>0</v>
      </c>
      <c r="H485" s="237"/>
      <c r="I485" s="237"/>
      <c r="J485" s="237"/>
      <c r="K485" s="237"/>
      <c r="L485" s="237"/>
    </row>
    <row r="486" spans="8:8" ht="15.75" customHeight="1">
      <c r="F486" s="241" t="b">
        <v>0</v>
      </c>
      <c r="H486" s="237"/>
      <c r="I486" s="237"/>
      <c r="J486" s="237"/>
      <c r="K486" s="237"/>
      <c r="L486" s="237"/>
    </row>
    <row r="487" spans="8:8" ht="15.75" customHeight="1">
      <c r="F487" s="241" t="b">
        <v>0</v>
      </c>
      <c r="H487" s="237"/>
      <c r="I487" s="237"/>
      <c r="J487" s="237"/>
      <c r="K487" s="237"/>
      <c r="L487" s="237"/>
    </row>
    <row r="488" spans="8:8" ht="15.75" customHeight="1">
      <c r="F488" s="241" t="b">
        <v>0</v>
      </c>
      <c r="H488" s="237"/>
      <c r="I488" s="237"/>
      <c r="J488" s="237"/>
      <c r="K488" s="237"/>
      <c r="L488" s="237"/>
    </row>
    <row r="489" spans="8:8" ht="15.75" customHeight="1">
      <c r="F489" s="241" t="b">
        <v>0</v>
      </c>
      <c r="H489" s="237"/>
      <c r="I489" s="237"/>
      <c r="J489" s="237"/>
      <c r="K489" s="237"/>
      <c r="L489" s="237"/>
    </row>
    <row r="490" spans="8:8" ht="15.75" customHeight="1">
      <c r="F490" s="241" t="b">
        <v>0</v>
      </c>
      <c r="H490" s="237"/>
      <c r="I490" s="237"/>
      <c r="J490" s="237"/>
      <c r="K490" s="237"/>
      <c r="L490" s="237"/>
    </row>
    <row r="491" spans="8:8" ht="15.75" customHeight="1">
      <c r="F491" s="241" t="b">
        <v>0</v>
      </c>
      <c r="H491" s="237"/>
      <c r="I491" s="237"/>
      <c r="J491" s="237"/>
      <c r="K491" s="237"/>
      <c r="L491" s="237"/>
    </row>
    <row r="492" spans="8:8" ht="15.75" customHeight="1">
      <c r="F492" s="241" t="b">
        <v>0</v>
      </c>
      <c r="H492" s="237"/>
      <c r="I492" s="237"/>
      <c r="J492" s="237"/>
      <c r="K492" s="237"/>
      <c r="L492" s="237"/>
    </row>
    <row r="493" spans="8:8" ht="15.75" customHeight="1">
      <c r="F493" s="241" t="b">
        <v>0</v>
      </c>
      <c r="H493" s="237"/>
      <c r="I493" s="237"/>
      <c r="J493" s="237"/>
      <c r="K493" s="237"/>
      <c r="L493" s="237"/>
    </row>
    <row r="494" spans="8:8" ht="15.75" customHeight="1">
      <c r="F494" s="241" t="b">
        <v>0</v>
      </c>
      <c r="H494" s="237"/>
      <c r="I494" s="237"/>
      <c r="J494" s="237"/>
      <c r="K494" s="237"/>
      <c r="L494" s="237"/>
    </row>
    <row r="495" spans="8:8" ht="15.75" customHeight="1">
      <c r="F495" s="241" t="b">
        <v>0</v>
      </c>
      <c r="H495" s="237"/>
      <c r="I495" s="237"/>
      <c r="J495" s="237"/>
      <c r="K495" s="237"/>
      <c r="L495" s="237"/>
    </row>
    <row r="496" spans="8:8" ht="15.75" customHeight="1">
      <c r="F496" s="241" t="b">
        <v>0</v>
      </c>
      <c r="H496" s="237"/>
      <c r="I496" s="237"/>
      <c r="J496" s="237"/>
      <c r="K496" s="237"/>
      <c r="L496" s="237"/>
    </row>
    <row r="497" spans="8:8" ht="15.75" customHeight="1">
      <c r="F497" s="241" t="b">
        <v>0</v>
      </c>
      <c r="H497" s="237"/>
      <c r="I497" s="237"/>
      <c r="J497" s="237"/>
      <c r="K497" s="237"/>
      <c r="L497" s="237"/>
    </row>
    <row r="498" spans="8:8" ht="15.75" customHeight="1">
      <c r="F498" s="241" t="b">
        <v>0</v>
      </c>
      <c r="H498" s="237"/>
      <c r="I498" s="237"/>
      <c r="J498" s="237"/>
      <c r="K498" s="237"/>
      <c r="L498" s="237"/>
    </row>
    <row r="499" spans="8:8" ht="15.75" customHeight="1">
      <c r="F499" s="241" t="b">
        <v>0</v>
      </c>
      <c r="H499" s="237"/>
      <c r="I499" s="237"/>
      <c r="J499" s="237"/>
      <c r="K499" s="237"/>
      <c r="L499" s="237"/>
    </row>
    <row r="500" spans="8:8" ht="15.75" customHeight="1">
      <c r="F500" s="241" t="b">
        <v>0</v>
      </c>
      <c r="H500" s="237"/>
      <c r="I500" s="237"/>
      <c r="J500" s="237"/>
      <c r="K500" s="237"/>
      <c r="L500" s="237"/>
    </row>
    <row r="501" spans="8:8" ht="15.75" customHeight="1">
      <c r="F501" s="241" t="b">
        <v>0</v>
      </c>
      <c r="H501" s="237"/>
      <c r="I501" s="237"/>
      <c r="J501" s="237"/>
      <c r="K501" s="237"/>
      <c r="L501" s="237"/>
    </row>
    <row r="502" spans="8:8" ht="15.75" customHeight="1">
      <c r="F502" s="241" t="b">
        <v>0</v>
      </c>
      <c r="H502" s="237"/>
      <c r="I502" s="237"/>
      <c r="J502" s="237"/>
      <c r="K502" s="237"/>
      <c r="L502" s="237"/>
    </row>
    <row r="503" spans="8:8" ht="15.75" customHeight="1">
      <c r="F503" s="241" t="b">
        <v>0</v>
      </c>
      <c r="H503" s="237"/>
      <c r="I503" s="237"/>
      <c r="J503" s="237"/>
      <c r="K503" s="237"/>
      <c r="L503" s="237"/>
    </row>
    <row r="504" spans="8:8" ht="15.75" customHeight="1">
      <c r="F504" s="241" t="b">
        <v>0</v>
      </c>
      <c r="H504" s="237"/>
      <c r="I504" s="237"/>
      <c r="J504" s="237"/>
      <c r="K504" s="237"/>
      <c r="L504" s="237"/>
    </row>
    <row r="505" spans="8:8" ht="15.75" customHeight="1">
      <c r="F505" s="241" t="b">
        <v>0</v>
      </c>
      <c r="H505" s="237"/>
      <c r="I505" s="237"/>
      <c r="J505" s="237"/>
      <c r="K505" s="237"/>
      <c r="L505" s="237"/>
    </row>
    <row r="506" spans="8:8" ht="15.75" customHeight="1">
      <c r="F506" s="241" t="b">
        <v>0</v>
      </c>
      <c r="H506" s="237"/>
      <c r="I506" s="237"/>
      <c r="J506" s="237"/>
      <c r="K506" s="237"/>
      <c r="L506" s="237"/>
    </row>
    <row r="507" spans="8:8" ht="15.75" customHeight="1">
      <c r="F507" s="241" t="b">
        <v>0</v>
      </c>
      <c r="H507" s="237"/>
      <c r="I507" s="237"/>
      <c r="J507" s="237"/>
      <c r="K507" s="237"/>
      <c r="L507" s="237"/>
    </row>
    <row r="508" spans="8:8" ht="15.75" customHeight="1">
      <c r="F508" s="241" t="b">
        <v>0</v>
      </c>
      <c r="H508" s="237"/>
      <c r="I508" s="237"/>
      <c r="J508" s="237"/>
      <c r="K508" s="237"/>
      <c r="L508" s="237"/>
    </row>
    <row r="509" spans="8:8" ht="15.75" customHeight="1">
      <c r="F509" s="241" t="b">
        <v>0</v>
      </c>
      <c r="H509" s="237"/>
      <c r="I509" s="237"/>
      <c r="J509" s="237"/>
      <c r="K509" s="237"/>
      <c r="L509" s="237"/>
    </row>
    <row r="510" spans="8:8" ht="15.75" customHeight="1">
      <c r="F510" s="241" t="b">
        <v>0</v>
      </c>
      <c r="H510" s="237"/>
      <c r="I510" s="237"/>
      <c r="J510" s="237"/>
      <c r="K510" s="237"/>
      <c r="L510" s="237"/>
    </row>
    <row r="511" spans="8:8" ht="15.75" customHeight="1">
      <c r="F511" s="241" t="b">
        <v>0</v>
      </c>
      <c r="H511" s="237"/>
      <c r="I511" s="237"/>
      <c r="J511" s="237"/>
      <c r="K511" s="237"/>
      <c r="L511" s="237"/>
    </row>
    <row r="512" spans="8:8" ht="15.75" customHeight="1">
      <c r="F512" s="241" t="b">
        <v>0</v>
      </c>
      <c r="H512" s="237"/>
      <c r="I512" s="237"/>
      <c r="J512" s="237"/>
      <c r="K512" s="237"/>
      <c r="L512" s="237"/>
    </row>
    <row r="513" spans="8:8" ht="15.75" customHeight="1">
      <c r="F513" s="241" t="b">
        <v>0</v>
      </c>
      <c r="H513" s="237"/>
      <c r="I513" s="237"/>
      <c r="J513" s="237"/>
      <c r="K513" s="237"/>
      <c r="L513" s="237"/>
    </row>
    <row r="514" spans="8:8" ht="15.75" customHeight="1">
      <c r="F514" s="241" t="b">
        <v>0</v>
      </c>
      <c r="H514" s="237"/>
      <c r="I514" s="237"/>
      <c r="J514" s="237"/>
      <c r="K514" s="237"/>
      <c r="L514" s="237"/>
    </row>
    <row r="515" spans="8:8" ht="15.75" customHeight="1">
      <c r="F515" s="241" t="b">
        <v>0</v>
      </c>
      <c r="H515" s="237"/>
      <c r="I515" s="237"/>
      <c r="J515" s="237"/>
      <c r="K515" s="237"/>
      <c r="L515" s="237"/>
    </row>
    <row r="516" spans="8:8" ht="15.75" customHeight="1">
      <c r="F516" s="241" t="b">
        <v>0</v>
      </c>
      <c r="H516" s="237"/>
      <c r="I516" s="237"/>
      <c r="J516" s="237"/>
      <c r="K516" s="237"/>
      <c r="L516" s="237"/>
    </row>
    <row r="517" spans="8:8" ht="15.75" customHeight="1">
      <c r="F517" s="241" t="b">
        <v>0</v>
      </c>
      <c r="H517" s="237"/>
      <c r="I517" s="237"/>
      <c r="J517" s="237"/>
      <c r="K517" s="237"/>
      <c r="L517" s="237"/>
    </row>
    <row r="518" spans="8:8" ht="15.75" customHeight="1">
      <c r="F518" s="241" t="b">
        <v>0</v>
      </c>
      <c r="H518" s="237"/>
      <c r="I518" s="237"/>
      <c r="J518" s="237"/>
      <c r="K518" s="237"/>
      <c r="L518" s="237"/>
    </row>
    <row r="519" spans="8:8" ht="15.75" customHeight="1">
      <c r="F519" s="241" t="b">
        <v>0</v>
      </c>
      <c r="H519" s="237"/>
      <c r="I519" s="237"/>
      <c r="J519" s="237"/>
      <c r="K519" s="237"/>
      <c r="L519" s="237"/>
    </row>
    <row r="520" spans="8:8" ht="15.75" customHeight="1">
      <c r="F520" s="241" t="b">
        <v>0</v>
      </c>
      <c r="H520" s="237"/>
      <c r="I520" s="237"/>
      <c r="J520" s="237"/>
      <c r="K520" s="237"/>
      <c r="L520" s="237"/>
    </row>
    <row r="521" spans="8:8" ht="15.75" customHeight="1">
      <c r="F521" s="241" t="b">
        <v>0</v>
      </c>
      <c r="H521" s="237"/>
      <c r="I521" s="237"/>
      <c r="J521" s="237"/>
      <c r="K521" s="237"/>
      <c r="L521" s="237"/>
    </row>
    <row r="522" spans="8:8" ht="15.75" customHeight="1">
      <c r="F522" s="241" t="b">
        <v>0</v>
      </c>
      <c r="H522" s="237"/>
      <c r="I522" s="237"/>
      <c r="J522" s="237"/>
      <c r="K522" s="237"/>
      <c r="L522" s="237"/>
    </row>
    <row r="523" spans="8:8" ht="15.75" customHeight="1">
      <c r="F523" s="241" t="b">
        <v>0</v>
      </c>
      <c r="H523" s="237"/>
      <c r="I523" s="237"/>
      <c r="J523" s="237"/>
      <c r="K523" s="237"/>
      <c r="L523" s="237"/>
    </row>
    <row r="524" spans="8:8" ht="15.75" customHeight="1">
      <c r="F524" s="241" t="b">
        <v>0</v>
      </c>
      <c r="H524" s="237"/>
      <c r="I524" s="237"/>
      <c r="J524" s="237"/>
      <c r="K524" s="237"/>
      <c r="L524" s="237"/>
    </row>
    <row r="525" spans="8:8" ht="15.75" customHeight="1">
      <c r="F525" s="241" t="b">
        <v>0</v>
      </c>
      <c r="H525" s="237"/>
      <c r="I525" s="237"/>
      <c r="J525" s="237"/>
      <c r="K525" s="237"/>
      <c r="L525" s="237"/>
    </row>
    <row r="526" spans="8:8" ht="15.75" customHeight="1">
      <c r="F526" s="241" t="b">
        <v>0</v>
      </c>
      <c r="H526" s="237"/>
      <c r="I526" s="237"/>
      <c r="J526" s="237"/>
      <c r="K526" s="237"/>
      <c r="L526" s="237"/>
    </row>
    <row r="527" spans="8:8" ht="15.75" customHeight="1">
      <c r="F527" s="241" t="b">
        <v>0</v>
      </c>
      <c r="H527" s="237"/>
      <c r="I527" s="237"/>
      <c r="J527" s="237"/>
      <c r="K527" s="237"/>
      <c r="L527" s="237"/>
    </row>
    <row r="528" spans="8:8" ht="15.75" customHeight="1">
      <c r="F528" s="241" t="b">
        <v>0</v>
      </c>
      <c r="H528" s="237"/>
      <c r="I528" s="237"/>
      <c r="J528" s="237"/>
      <c r="K528" s="237"/>
      <c r="L528" s="237"/>
    </row>
    <row r="529" spans="8:8" ht="15.75" customHeight="1">
      <c r="F529" s="241" t="b">
        <v>0</v>
      </c>
      <c r="H529" s="237"/>
      <c r="I529" s="237"/>
      <c r="J529" s="237"/>
      <c r="K529" s="237"/>
      <c r="L529" s="237"/>
    </row>
    <row r="530" spans="8:8" ht="15.75" customHeight="1">
      <c r="F530" s="241" t="b">
        <v>0</v>
      </c>
      <c r="H530" s="237"/>
      <c r="I530" s="237"/>
      <c r="J530" s="237"/>
      <c r="K530" s="237"/>
      <c r="L530" s="237"/>
    </row>
    <row r="531" spans="8:8" ht="15.75" customHeight="1">
      <c r="F531" s="241" t="b">
        <v>0</v>
      </c>
      <c r="H531" s="237"/>
      <c r="I531" s="237"/>
      <c r="J531" s="237"/>
      <c r="K531" s="237"/>
      <c r="L531" s="237"/>
    </row>
    <row r="532" spans="8:8" ht="15.75" customHeight="1">
      <c r="F532" s="241" t="b">
        <v>0</v>
      </c>
      <c r="H532" s="237"/>
      <c r="I532" s="237"/>
      <c r="J532" s="237"/>
      <c r="K532" s="237"/>
      <c r="L532" s="237"/>
    </row>
    <row r="533" spans="8:8" ht="15.75" customHeight="1">
      <c r="F533" s="241" t="b">
        <v>0</v>
      </c>
      <c r="H533" s="237"/>
      <c r="I533" s="237"/>
      <c r="J533" s="237"/>
      <c r="K533" s="237"/>
      <c r="L533" s="237"/>
    </row>
    <row r="534" spans="8:8" ht="15.75" customHeight="1">
      <c r="F534" s="241" t="b">
        <v>0</v>
      </c>
      <c r="H534" s="237"/>
      <c r="I534" s="237"/>
      <c r="J534" s="237"/>
      <c r="K534" s="237"/>
      <c r="L534" s="237"/>
    </row>
    <row r="535" spans="8:8" ht="15.75" customHeight="1">
      <c r="F535" s="241" t="b">
        <v>0</v>
      </c>
      <c r="H535" s="237"/>
      <c r="I535" s="237"/>
      <c r="J535" s="237"/>
      <c r="K535" s="237"/>
      <c r="L535" s="237"/>
    </row>
    <row r="536" spans="8:8" ht="15.75" customHeight="1">
      <c r="F536" s="241" t="b">
        <v>0</v>
      </c>
      <c r="H536" s="237"/>
      <c r="I536" s="237"/>
      <c r="J536" s="237"/>
      <c r="K536" s="237"/>
      <c r="L536" s="237"/>
    </row>
    <row r="537" spans="8:8" ht="15.75" customHeight="1">
      <c r="F537" s="241" t="b">
        <v>0</v>
      </c>
      <c r="H537" s="237"/>
      <c r="I537" s="237"/>
      <c r="J537" s="237"/>
      <c r="K537" s="237"/>
      <c r="L537" s="237"/>
    </row>
    <row r="538" spans="8:8" ht="15.75" customHeight="1">
      <c r="F538" s="241" t="b">
        <v>0</v>
      </c>
      <c r="H538" s="237"/>
      <c r="I538" s="237"/>
      <c r="J538" s="237"/>
      <c r="K538" s="237"/>
      <c r="L538" s="237"/>
    </row>
    <row r="539" spans="8:8" ht="15.75" customHeight="1">
      <c r="F539" s="241" t="b">
        <v>0</v>
      </c>
      <c r="H539" s="237"/>
      <c r="I539" s="237"/>
      <c r="J539" s="237"/>
      <c r="K539" s="237"/>
      <c r="L539" s="237"/>
    </row>
    <row r="540" spans="8:8" ht="15.75" customHeight="1">
      <c r="F540" s="241" t="b">
        <v>0</v>
      </c>
      <c r="H540" s="237"/>
      <c r="I540" s="237"/>
      <c r="J540" s="237"/>
      <c r="K540" s="237"/>
      <c r="L540" s="237"/>
    </row>
    <row r="541" spans="8:8" ht="15.75" customHeight="1">
      <c r="F541" s="241" t="b">
        <v>0</v>
      </c>
      <c r="H541" s="237"/>
      <c r="I541" s="237"/>
      <c r="J541" s="237"/>
      <c r="K541" s="237"/>
      <c r="L541" s="237"/>
    </row>
    <row r="542" spans="8:8" ht="15.75" customHeight="1">
      <c r="F542" s="241" t="b">
        <v>0</v>
      </c>
      <c r="H542" s="237"/>
      <c r="I542" s="237"/>
      <c r="J542" s="237"/>
      <c r="K542" s="237"/>
      <c r="L542" s="237"/>
    </row>
    <row r="543" spans="8:8" ht="15.75" customHeight="1">
      <c r="F543" s="241" t="b">
        <v>0</v>
      </c>
      <c r="H543" s="237"/>
      <c r="I543" s="237"/>
      <c r="J543" s="237"/>
      <c r="K543" s="237"/>
      <c r="L543" s="237"/>
    </row>
    <row r="544" spans="8:8" ht="15.75" customHeight="1">
      <c r="F544" s="241" t="b">
        <v>0</v>
      </c>
      <c r="H544" s="237"/>
      <c r="I544" s="237"/>
      <c r="J544" s="237"/>
      <c r="K544" s="237"/>
      <c r="L544" s="237"/>
    </row>
    <row r="545" spans="8:8" ht="15.75" customHeight="1">
      <c r="F545" s="241" t="b">
        <v>0</v>
      </c>
      <c r="H545" s="237"/>
      <c r="I545" s="237"/>
      <c r="J545" s="237"/>
      <c r="K545" s="237"/>
      <c r="L545" s="237"/>
    </row>
    <row r="546" spans="8:8" ht="15.75" customHeight="1">
      <c r="F546" s="241" t="b">
        <v>0</v>
      </c>
      <c r="H546" s="237"/>
      <c r="I546" s="237"/>
      <c r="J546" s="237"/>
      <c r="K546" s="237"/>
      <c r="L546" s="237"/>
    </row>
    <row r="547" spans="8:8" ht="15.75" customHeight="1">
      <c r="F547" s="241" t="b">
        <v>0</v>
      </c>
      <c r="H547" s="237"/>
      <c r="I547" s="237"/>
      <c r="J547" s="237"/>
      <c r="K547" s="237"/>
      <c r="L547" s="237"/>
    </row>
    <row r="548" spans="8:8" ht="15.75" customHeight="1">
      <c r="F548" s="241" t="b">
        <v>0</v>
      </c>
      <c r="H548" s="237"/>
      <c r="I548" s="237"/>
      <c r="J548" s="237"/>
      <c r="K548" s="237"/>
      <c r="L548" s="237"/>
    </row>
    <row r="549" spans="8:8" ht="15.75" customHeight="1">
      <c r="F549" s="241" t="b">
        <v>0</v>
      </c>
      <c r="H549" s="237"/>
      <c r="I549" s="237"/>
      <c r="J549" s="237"/>
      <c r="K549" s="237"/>
      <c r="L549" s="237"/>
    </row>
    <row r="550" spans="8:8" ht="15.75" customHeight="1">
      <c r="F550" s="241" t="b">
        <v>0</v>
      </c>
      <c r="H550" s="237"/>
      <c r="I550" s="237"/>
      <c r="J550" s="237"/>
      <c r="K550" s="237"/>
      <c r="L550" s="237"/>
    </row>
    <row r="551" spans="8:8" ht="15.75" customHeight="1">
      <c r="F551" s="241" t="b">
        <v>0</v>
      </c>
      <c r="H551" s="237"/>
      <c r="I551" s="237"/>
      <c r="J551" s="237"/>
      <c r="K551" s="237"/>
      <c r="L551" s="237"/>
    </row>
    <row r="552" spans="8:8" ht="15.75" customHeight="1">
      <c r="F552" s="241" t="b">
        <v>0</v>
      </c>
      <c r="H552" s="237"/>
      <c r="I552" s="237"/>
      <c r="J552" s="237"/>
      <c r="K552" s="237"/>
      <c r="L552" s="237"/>
    </row>
    <row r="553" spans="8:8" ht="15.75" customHeight="1">
      <c r="F553" s="241" t="b">
        <v>0</v>
      </c>
      <c r="H553" s="237"/>
      <c r="I553" s="237"/>
      <c r="J553" s="237"/>
      <c r="K553" s="237"/>
      <c r="L553" s="237"/>
    </row>
    <row r="554" spans="8:8" ht="15.75" customHeight="1">
      <c r="F554" s="241" t="b">
        <v>0</v>
      </c>
      <c r="H554" s="237"/>
      <c r="I554" s="237"/>
      <c r="J554" s="237"/>
      <c r="K554" s="237"/>
      <c r="L554" s="237"/>
    </row>
    <row r="555" spans="8:8" ht="15.75" customHeight="1">
      <c r="F555" s="241" t="b">
        <v>0</v>
      </c>
      <c r="H555" s="237"/>
      <c r="I555" s="237"/>
      <c r="J555" s="237"/>
      <c r="K555" s="237"/>
      <c r="L555" s="237"/>
    </row>
    <row r="556" spans="8:8" ht="15.75" customHeight="1">
      <c r="F556" s="241" t="b">
        <v>0</v>
      </c>
      <c r="H556" s="237"/>
      <c r="I556" s="237"/>
      <c r="J556" s="237"/>
      <c r="K556" s="237"/>
      <c r="L556" s="237"/>
    </row>
    <row r="557" spans="8:8" ht="15.75" customHeight="1">
      <c r="F557" s="241" t="b">
        <v>0</v>
      </c>
      <c r="H557" s="237"/>
      <c r="I557" s="237"/>
      <c r="J557" s="237"/>
      <c r="K557" s="237"/>
      <c r="L557" s="237"/>
    </row>
    <row r="558" spans="8:8" ht="15.75" customHeight="1">
      <c r="F558" s="241" t="b">
        <v>0</v>
      </c>
      <c r="H558" s="237"/>
      <c r="I558" s="237"/>
      <c r="J558" s="237"/>
      <c r="K558" s="237"/>
      <c r="L558" s="237"/>
    </row>
    <row r="559" spans="8:8" ht="15.75" customHeight="1">
      <c r="F559" s="241" t="b">
        <v>0</v>
      </c>
      <c r="H559" s="237"/>
      <c r="I559" s="237"/>
      <c r="J559" s="237"/>
      <c r="K559" s="237"/>
      <c r="L559" s="237"/>
    </row>
    <row r="560" spans="8:8" ht="15.75" customHeight="1">
      <c r="F560" s="241" t="b">
        <v>0</v>
      </c>
      <c r="H560" s="237"/>
      <c r="I560" s="237"/>
      <c r="J560" s="237"/>
      <c r="K560" s="237"/>
      <c r="L560" s="237"/>
    </row>
    <row r="561" spans="8:8" ht="15.75" customHeight="1">
      <c r="F561" s="241" t="b">
        <v>0</v>
      </c>
      <c r="H561" s="237"/>
      <c r="I561" s="237"/>
      <c r="J561" s="237"/>
      <c r="K561" s="237"/>
      <c r="L561" s="237"/>
    </row>
    <row r="562" spans="8:8" ht="15.75" customHeight="1">
      <c r="F562" s="241" t="b">
        <v>0</v>
      </c>
      <c r="H562" s="237"/>
      <c r="I562" s="237"/>
      <c r="J562" s="237"/>
      <c r="K562" s="237"/>
      <c r="L562" s="237"/>
    </row>
    <row r="563" spans="8:8" ht="15.75" customHeight="1">
      <c r="F563" s="241" t="b">
        <v>0</v>
      </c>
      <c r="H563" s="237"/>
      <c r="I563" s="237"/>
      <c r="J563" s="237"/>
      <c r="K563" s="237"/>
      <c r="L563" s="237"/>
    </row>
    <row r="564" spans="8:8" ht="15.75" customHeight="1">
      <c r="F564" s="241" t="b">
        <v>0</v>
      </c>
      <c r="H564" s="237"/>
      <c r="I564" s="237"/>
      <c r="J564" s="237"/>
      <c r="K564" s="237"/>
      <c r="L564" s="237"/>
    </row>
    <row r="565" spans="8:8" ht="15.75" customHeight="1">
      <c r="F565" s="241" t="b">
        <v>0</v>
      </c>
      <c r="H565" s="237"/>
      <c r="I565" s="237"/>
      <c r="J565" s="237"/>
      <c r="K565" s="237"/>
      <c r="L565" s="237"/>
    </row>
    <row r="566" spans="8:8" ht="15.75" customHeight="1">
      <c r="F566" s="241" t="b">
        <v>0</v>
      </c>
      <c r="H566" s="237"/>
      <c r="I566" s="237"/>
      <c r="J566" s="237"/>
      <c r="K566" s="237"/>
      <c r="L566" s="237"/>
    </row>
    <row r="567" spans="8:8" ht="15.75" customHeight="1">
      <c r="F567" s="241" t="b">
        <v>0</v>
      </c>
      <c r="H567" s="237"/>
      <c r="I567" s="237"/>
      <c r="J567" s="237"/>
      <c r="K567" s="237"/>
      <c r="L567" s="237"/>
    </row>
    <row r="568" spans="8:8" ht="15.75" customHeight="1">
      <c r="F568" s="241" t="b">
        <v>0</v>
      </c>
      <c r="H568" s="237"/>
      <c r="I568" s="237"/>
      <c r="J568" s="237"/>
      <c r="K568" s="237"/>
      <c r="L568" s="237"/>
    </row>
    <row r="569" spans="8:8" ht="15.75" customHeight="1">
      <c r="F569" s="241" t="b">
        <v>0</v>
      </c>
      <c r="H569" s="237"/>
      <c r="I569" s="237"/>
      <c r="J569" s="237"/>
      <c r="K569" s="237"/>
      <c r="L569" s="237"/>
    </row>
    <row r="570" spans="8:8" ht="15.75" customHeight="1">
      <c r="F570" s="241" t="b">
        <v>0</v>
      </c>
      <c r="H570" s="237"/>
      <c r="I570" s="237"/>
      <c r="J570" s="237"/>
      <c r="K570" s="237"/>
      <c r="L570" s="237"/>
    </row>
    <row r="571" spans="8:8" ht="15.75" customHeight="1">
      <c r="F571" s="241" t="b">
        <v>0</v>
      </c>
      <c r="H571" s="237"/>
      <c r="I571" s="237"/>
      <c r="J571" s="237"/>
      <c r="K571" s="237"/>
      <c r="L571" s="237"/>
    </row>
    <row r="572" spans="8:8" ht="15.75" customHeight="1">
      <c r="F572" s="241" t="b">
        <v>0</v>
      </c>
      <c r="H572" s="237"/>
      <c r="I572" s="237"/>
      <c r="J572" s="237"/>
      <c r="K572" s="237"/>
      <c r="L572" s="237"/>
    </row>
    <row r="573" spans="8:8" ht="15.75" customHeight="1">
      <c r="F573" s="241" t="b">
        <v>0</v>
      </c>
      <c r="H573" s="237"/>
      <c r="I573" s="237"/>
      <c r="J573" s="237"/>
      <c r="K573" s="237"/>
      <c r="L573" s="237"/>
    </row>
    <row r="574" spans="8:8" ht="15.75" customHeight="1">
      <c r="F574" s="241" t="b">
        <v>0</v>
      </c>
      <c r="H574" s="237"/>
      <c r="I574" s="237"/>
      <c r="J574" s="237"/>
      <c r="K574" s="237"/>
      <c r="L574" s="237"/>
    </row>
    <row r="575" spans="8:8" ht="15.75" customHeight="1">
      <c r="F575" s="241" t="b">
        <v>0</v>
      </c>
      <c r="H575" s="237"/>
      <c r="I575" s="237"/>
      <c r="J575" s="237"/>
      <c r="K575" s="237"/>
      <c r="L575" s="237"/>
    </row>
    <row r="576" spans="8:8" ht="15.75" customHeight="1">
      <c r="F576" s="241" t="b">
        <v>0</v>
      </c>
      <c r="H576" s="237"/>
      <c r="I576" s="237"/>
      <c r="J576" s="237"/>
      <c r="K576" s="237"/>
      <c r="L576" s="237"/>
    </row>
    <row r="577" spans="8:8" ht="15.75" customHeight="1">
      <c r="F577" s="241" t="b">
        <v>0</v>
      </c>
      <c r="H577" s="237"/>
      <c r="I577" s="237"/>
      <c r="J577" s="237"/>
      <c r="K577" s="237"/>
      <c r="L577" s="237"/>
    </row>
    <row r="578" spans="8:8" ht="15.75" customHeight="1">
      <c r="F578" s="241" t="b">
        <v>0</v>
      </c>
      <c r="H578" s="237"/>
      <c r="I578" s="237"/>
      <c r="J578" s="237"/>
      <c r="K578" s="237"/>
      <c r="L578" s="237"/>
    </row>
    <row r="579" spans="8:8" ht="15.75" customHeight="1">
      <c r="F579" s="241" t="b">
        <v>0</v>
      </c>
      <c r="H579" s="237"/>
      <c r="I579" s="237"/>
      <c r="J579" s="237"/>
      <c r="K579" s="237"/>
      <c r="L579" s="237"/>
    </row>
    <row r="580" spans="8:8" ht="15.75" customHeight="1">
      <c r="F580" s="241" t="b">
        <v>0</v>
      </c>
      <c r="H580" s="237"/>
      <c r="I580" s="237"/>
      <c r="J580" s="237"/>
      <c r="K580" s="237"/>
      <c r="L580" s="237"/>
    </row>
    <row r="581" spans="8:8" ht="15.75" customHeight="1">
      <c r="F581" s="241" t="b">
        <v>0</v>
      </c>
      <c r="H581" s="237"/>
      <c r="I581" s="237"/>
      <c r="J581" s="237"/>
      <c r="K581" s="237"/>
      <c r="L581" s="237"/>
    </row>
    <row r="582" spans="8:8" ht="15.75" customHeight="1">
      <c r="F582" s="241" t="b">
        <v>0</v>
      </c>
      <c r="H582" s="237"/>
      <c r="I582" s="237"/>
      <c r="J582" s="237"/>
      <c r="K582" s="237"/>
      <c r="L582" s="237"/>
    </row>
    <row r="583" spans="8:8" ht="15.75" customHeight="1">
      <c r="F583" s="241" t="b">
        <v>0</v>
      </c>
      <c r="H583" s="237"/>
      <c r="I583" s="237"/>
      <c r="J583" s="237"/>
      <c r="K583" s="237"/>
      <c r="L583" s="237"/>
    </row>
    <row r="584" spans="8:8" ht="15.75" customHeight="1">
      <c r="F584" s="241" t="b">
        <v>0</v>
      </c>
      <c r="H584" s="237"/>
      <c r="I584" s="237"/>
      <c r="J584" s="237"/>
      <c r="K584" s="237"/>
      <c r="L584" s="237"/>
    </row>
    <row r="585" spans="8:8" ht="15.75" customHeight="1">
      <c r="F585" s="241" t="b">
        <v>0</v>
      </c>
      <c r="H585" s="237"/>
      <c r="I585" s="237"/>
      <c r="J585" s="237"/>
      <c r="K585" s="237"/>
      <c r="L585" s="237"/>
    </row>
    <row r="586" spans="8:8" ht="15.75" customHeight="1">
      <c r="F586" s="241" t="b">
        <v>0</v>
      </c>
      <c r="H586" s="237"/>
      <c r="I586" s="237"/>
      <c r="J586" s="237"/>
      <c r="K586" s="237"/>
      <c r="L586" s="237"/>
    </row>
    <row r="587" spans="8:8" ht="15.75" customHeight="1">
      <c r="F587" s="241" t="b">
        <v>0</v>
      </c>
      <c r="H587" s="237"/>
      <c r="I587" s="237"/>
      <c r="J587" s="237"/>
      <c r="K587" s="237"/>
      <c r="L587" s="237"/>
    </row>
    <row r="588" spans="8:8" ht="15.75" customHeight="1">
      <c r="F588" s="241" t="b">
        <v>0</v>
      </c>
      <c r="H588" s="237"/>
      <c r="I588" s="237"/>
      <c r="J588" s="237"/>
      <c r="K588" s="237"/>
      <c r="L588" s="237"/>
    </row>
    <row r="589" spans="8:8" ht="15.75" customHeight="1">
      <c r="F589" s="241" t="b">
        <v>0</v>
      </c>
      <c r="H589" s="237"/>
      <c r="I589" s="237"/>
      <c r="J589" s="237"/>
      <c r="K589" s="237"/>
      <c r="L589" s="237"/>
    </row>
    <row r="590" spans="8:8" ht="15.75" customHeight="1">
      <c r="F590" s="241" t="b">
        <v>0</v>
      </c>
      <c r="H590" s="237"/>
      <c r="I590" s="237"/>
      <c r="J590" s="237"/>
      <c r="K590" s="237"/>
      <c r="L590" s="237"/>
    </row>
    <row r="591" spans="8:8" ht="15.75" customHeight="1">
      <c r="F591" s="241" t="b">
        <v>0</v>
      </c>
      <c r="H591" s="237"/>
      <c r="I591" s="237"/>
      <c r="J591" s="237"/>
      <c r="K591" s="237"/>
      <c r="L591" s="237"/>
    </row>
    <row r="592" spans="8:8" ht="15.75" customHeight="1">
      <c r="F592" s="241" t="b">
        <v>0</v>
      </c>
      <c r="H592" s="237"/>
      <c r="I592" s="237"/>
      <c r="J592" s="237"/>
      <c r="K592" s="237"/>
      <c r="L592" s="237"/>
    </row>
    <row r="593" spans="8:8" ht="15.75" customHeight="1">
      <c r="F593" s="241" t="b">
        <v>0</v>
      </c>
      <c r="H593" s="237"/>
      <c r="I593" s="237"/>
      <c r="J593" s="237"/>
      <c r="K593" s="237"/>
      <c r="L593" s="237"/>
    </row>
    <row r="594" spans="8:8" ht="15.75" customHeight="1">
      <c r="F594" s="241" t="b">
        <v>0</v>
      </c>
      <c r="H594" s="237"/>
      <c r="I594" s="237"/>
      <c r="J594" s="237"/>
      <c r="K594" s="237"/>
      <c r="L594" s="237"/>
    </row>
    <row r="595" spans="8:8" ht="15.75" customHeight="1">
      <c r="F595" s="241" t="b">
        <v>0</v>
      </c>
      <c r="H595" s="237"/>
      <c r="I595" s="237"/>
      <c r="J595" s="237"/>
      <c r="K595" s="237"/>
      <c r="L595" s="237"/>
    </row>
    <row r="596" spans="8:8" ht="15.75" customHeight="1">
      <c r="F596" s="241" t="b">
        <v>0</v>
      </c>
      <c r="H596" s="237"/>
      <c r="I596" s="237"/>
      <c r="J596" s="237"/>
      <c r="K596" s="237"/>
      <c r="L596" s="237"/>
    </row>
    <row r="597" spans="8:8" ht="15.75" customHeight="1">
      <c r="F597" s="241" t="b">
        <v>0</v>
      </c>
      <c r="H597" s="237"/>
      <c r="I597" s="237"/>
      <c r="J597" s="237"/>
      <c r="K597" s="237"/>
      <c r="L597" s="237"/>
    </row>
    <row r="598" spans="8:8" ht="15.75" customHeight="1">
      <c r="F598" s="241" t="b">
        <v>0</v>
      </c>
      <c r="H598" s="237"/>
      <c r="I598" s="237"/>
      <c r="J598" s="237"/>
      <c r="K598" s="237"/>
      <c r="L598" s="237"/>
    </row>
    <row r="599" spans="8:8" ht="15.75" customHeight="1">
      <c r="F599" s="241" t="b">
        <v>0</v>
      </c>
      <c r="H599" s="237"/>
      <c r="I599" s="237"/>
      <c r="J599" s="237"/>
      <c r="K599" s="237"/>
      <c r="L599" s="237"/>
    </row>
    <row r="600" spans="8:8" ht="15.75" customHeight="1">
      <c r="F600" s="241" t="b">
        <v>0</v>
      </c>
      <c r="H600" s="237"/>
      <c r="I600" s="237"/>
      <c r="J600" s="237"/>
      <c r="K600" s="237"/>
      <c r="L600" s="237"/>
    </row>
    <row r="601" spans="8:8" ht="15.75" customHeight="1">
      <c r="F601" s="241" t="b">
        <v>0</v>
      </c>
      <c r="H601" s="237"/>
      <c r="I601" s="237"/>
      <c r="J601" s="237"/>
      <c r="K601" s="237"/>
      <c r="L601" s="237"/>
    </row>
    <row r="602" spans="8:8" ht="15.75" customHeight="1">
      <c r="F602" s="241" t="b">
        <v>0</v>
      </c>
      <c r="H602" s="237"/>
      <c r="I602" s="237"/>
      <c r="J602" s="237"/>
      <c r="K602" s="237"/>
      <c r="L602" s="237"/>
    </row>
    <row r="603" spans="8:8" ht="15.75" customHeight="1">
      <c r="F603" s="241" t="b">
        <v>0</v>
      </c>
      <c r="H603" s="237"/>
      <c r="I603" s="237"/>
      <c r="J603" s="237"/>
      <c r="K603" s="237"/>
      <c r="L603" s="237"/>
    </row>
    <row r="604" spans="8:8" ht="15.75" customHeight="1">
      <c r="F604" s="241" t="b">
        <v>0</v>
      </c>
      <c r="H604" s="237"/>
      <c r="I604" s="237"/>
      <c r="J604" s="237"/>
      <c r="K604" s="237"/>
      <c r="L604" s="237"/>
    </row>
    <row r="605" spans="8:8" ht="15.75" customHeight="1">
      <c r="F605" s="241" t="b">
        <v>0</v>
      </c>
      <c r="H605" s="237"/>
      <c r="I605" s="237"/>
      <c r="J605" s="237"/>
      <c r="K605" s="237"/>
      <c r="L605" s="237"/>
    </row>
    <row r="606" spans="8:8" ht="15.75" customHeight="1">
      <c r="F606" s="241" t="b">
        <v>0</v>
      </c>
      <c r="H606" s="237"/>
      <c r="I606" s="237"/>
      <c r="J606" s="237"/>
      <c r="K606" s="237"/>
      <c r="L606" s="237"/>
    </row>
    <row r="607" spans="8:8" ht="15.75" customHeight="1">
      <c r="F607" s="241" t="b">
        <v>0</v>
      </c>
      <c r="H607" s="237"/>
      <c r="I607" s="237"/>
      <c r="J607" s="237"/>
      <c r="K607" s="237"/>
      <c r="L607" s="237"/>
    </row>
    <row r="608" spans="8:8" ht="15.75" customHeight="1">
      <c r="F608" s="241" t="b">
        <v>0</v>
      </c>
      <c r="H608" s="237"/>
      <c r="I608" s="237"/>
      <c r="J608" s="237"/>
      <c r="K608" s="237"/>
      <c r="L608" s="237"/>
    </row>
    <row r="609" spans="8:8" ht="15.75" customHeight="1">
      <c r="F609" s="241" t="b">
        <v>0</v>
      </c>
      <c r="H609" s="237"/>
      <c r="I609" s="237"/>
      <c r="J609" s="237"/>
      <c r="K609" s="237"/>
      <c r="L609" s="237"/>
    </row>
    <row r="610" spans="8:8" ht="15.75" customHeight="1">
      <c r="F610" s="241" t="b">
        <v>0</v>
      </c>
      <c r="H610" s="237"/>
      <c r="I610" s="237"/>
      <c r="J610" s="237"/>
      <c r="K610" s="237"/>
      <c r="L610" s="237"/>
    </row>
    <row r="611" spans="8:8" ht="15.75" customHeight="1">
      <c r="F611" s="241" t="b">
        <v>0</v>
      </c>
      <c r="H611" s="237"/>
      <c r="I611" s="237"/>
      <c r="J611" s="237"/>
      <c r="K611" s="237"/>
      <c r="L611" s="237"/>
    </row>
    <row r="612" spans="8:8" ht="15.75" customHeight="1">
      <c r="F612" s="241" t="b">
        <v>0</v>
      </c>
      <c r="H612" s="237"/>
      <c r="I612" s="237"/>
      <c r="J612" s="237"/>
      <c r="K612" s="237"/>
      <c r="L612" s="237"/>
    </row>
    <row r="613" spans="8:8" ht="15.75" customHeight="1">
      <c r="F613" s="241" t="b">
        <v>0</v>
      </c>
      <c r="H613" s="237"/>
      <c r="I613" s="237"/>
      <c r="J613" s="237"/>
      <c r="K613" s="237"/>
      <c r="L613" s="237"/>
    </row>
    <row r="614" spans="8:8" ht="15.75" customHeight="1">
      <c r="F614" s="241" t="b">
        <v>0</v>
      </c>
      <c r="H614" s="237"/>
      <c r="I614" s="237"/>
      <c r="J614" s="237"/>
      <c r="K614" s="237"/>
      <c r="L614" s="237"/>
    </row>
    <row r="615" spans="8:8" ht="15.75" customHeight="1">
      <c r="F615" s="241" t="b">
        <v>0</v>
      </c>
      <c r="H615" s="237"/>
      <c r="I615" s="237"/>
      <c r="J615" s="237"/>
      <c r="K615" s="237"/>
      <c r="L615" s="237"/>
    </row>
    <row r="616" spans="8:8" ht="15.75" customHeight="1">
      <c r="F616" s="241" t="b">
        <v>0</v>
      </c>
      <c r="H616" s="237"/>
      <c r="I616" s="237"/>
      <c r="J616" s="237"/>
      <c r="K616" s="237"/>
      <c r="L616" s="237"/>
    </row>
    <row r="617" spans="8:8" ht="15.75" customHeight="1">
      <c r="F617" s="241" t="b">
        <v>0</v>
      </c>
      <c r="H617" s="237"/>
      <c r="I617" s="237"/>
      <c r="J617" s="237"/>
      <c r="K617" s="237"/>
      <c r="L617" s="237"/>
    </row>
    <row r="618" spans="8:8" ht="15.75" customHeight="1">
      <c r="F618" s="241" t="b">
        <v>0</v>
      </c>
      <c r="H618" s="237"/>
      <c r="I618" s="237"/>
      <c r="J618" s="237"/>
      <c r="K618" s="237"/>
      <c r="L618" s="237"/>
    </row>
    <row r="619" spans="8:8" ht="15.75" customHeight="1">
      <c r="F619" s="241" t="b">
        <v>0</v>
      </c>
      <c r="H619" s="237"/>
      <c r="I619" s="237"/>
      <c r="J619" s="237"/>
      <c r="K619" s="237"/>
      <c r="L619" s="237"/>
    </row>
    <row r="620" spans="8:8" ht="15.75" customHeight="1">
      <c r="F620" s="241" t="b">
        <v>0</v>
      </c>
      <c r="H620" s="237"/>
      <c r="I620" s="237"/>
      <c r="J620" s="237"/>
      <c r="K620" s="237"/>
      <c r="L620" s="237"/>
    </row>
    <row r="621" spans="8:8" ht="15.75" customHeight="1">
      <c r="F621" s="241" t="b">
        <v>0</v>
      </c>
      <c r="H621" s="237"/>
      <c r="I621" s="237"/>
      <c r="J621" s="237"/>
      <c r="K621" s="237"/>
      <c r="L621" s="237"/>
    </row>
    <row r="622" spans="8:8" ht="15.75" customHeight="1">
      <c r="F622" s="241" t="b">
        <v>0</v>
      </c>
      <c r="H622" s="237"/>
      <c r="I622" s="237"/>
      <c r="J622" s="237"/>
      <c r="K622" s="237"/>
      <c r="L622" s="237"/>
    </row>
    <row r="623" spans="8:8" ht="15.75" customHeight="1">
      <c r="F623" s="241" t="b">
        <v>0</v>
      </c>
      <c r="H623" s="237"/>
      <c r="I623" s="237"/>
      <c r="J623" s="237"/>
      <c r="K623" s="237"/>
      <c r="L623" s="237"/>
    </row>
    <row r="624" spans="8:8" ht="15.75" customHeight="1">
      <c r="F624" s="241" t="b">
        <v>0</v>
      </c>
      <c r="H624" s="237"/>
      <c r="I624" s="237"/>
      <c r="J624" s="237"/>
      <c r="K624" s="237"/>
      <c r="L624" s="237"/>
    </row>
    <row r="625" spans="8:8" ht="15.75" customHeight="1">
      <c r="F625" s="241" t="b">
        <v>0</v>
      </c>
      <c r="H625" s="237"/>
      <c r="I625" s="237"/>
      <c r="J625" s="237"/>
      <c r="K625" s="237"/>
      <c r="L625" s="237"/>
    </row>
    <row r="626" spans="8:8" ht="15.75" customHeight="1">
      <c r="F626" s="241" t="b">
        <v>0</v>
      </c>
      <c r="H626" s="237"/>
      <c r="I626" s="237"/>
      <c r="J626" s="237"/>
      <c r="K626" s="237"/>
      <c r="L626" s="237"/>
    </row>
    <row r="627" spans="8:8" ht="15.75" customHeight="1">
      <c r="F627" s="241" t="b">
        <v>0</v>
      </c>
      <c r="H627" s="237"/>
      <c r="I627" s="237"/>
      <c r="J627" s="237"/>
      <c r="K627" s="237"/>
      <c r="L627" s="237"/>
    </row>
    <row r="628" spans="8:8" ht="15.75" customHeight="1">
      <c r="F628" s="241" t="b">
        <v>0</v>
      </c>
      <c r="H628" s="237"/>
      <c r="I628" s="237"/>
      <c r="J628" s="237"/>
      <c r="K628" s="237"/>
      <c r="L628" s="237"/>
    </row>
    <row r="629" spans="8:8" ht="15.75" customHeight="1">
      <c r="F629" s="241" t="b">
        <v>0</v>
      </c>
      <c r="H629" s="237"/>
      <c r="I629" s="237"/>
      <c r="J629" s="237"/>
      <c r="K629" s="237"/>
      <c r="L629" s="237"/>
    </row>
    <row r="630" spans="8:8" ht="15.75" customHeight="1">
      <c r="F630" s="241" t="b">
        <v>0</v>
      </c>
      <c r="H630" s="237"/>
      <c r="I630" s="237"/>
      <c r="J630" s="237"/>
      <c r="K630" s="237"/>
      <c r="L630" s="237"/>
    </row>
    <row r="631" spans="8:8" ht="15.75" customHeight="1">
      <c r="F631" s="241" t="b">
        <v>0</v>
      </c>
      <c r="H631" s="237"/>
      <c r="I631" s="237"/>
      <c r="J631" s="237"/>
      <c r="K631" s="237"/>
      <c r="L631" s="237"/>
    </row>
    <row r="632" spans="8:8" ht="15.75" customHeight="1">
      <c r="F632" s="241" t="b">
        <v>0</v>
      </c>
      <c r="H632" s="237"/>
      <c r="I632" s="237"/>
      <c r="J632" s="237"/>
      <c r="K632" s="237"/>
      <c r="L632" s="237"/>
    </row>
    <row r="633" spans="8:8" ht="15.75" customHeight="1">
      <c r="F633" s="241" t="b">
        <v>0</v>
      </c>
      <c r="H633" s="237"/>
      <c r="I633" s="237"/>
      <c r="J633" s="237"/>
      <c r="K633" s="237"/>
      <c r="L633" s="237"/>
    </row>
    <row r="634" spans="8:8" ht="15.75" customHeight="1">
      <c r="F634" s="241" t="b">
        <v>0</v>
      </c>
      <c r="H634" s="237"/>
      <c r="I634" s="237"/>
      <c r="J634" s="237"/>
      <c r="K634" s="237"/>
      <c r="L634" s="237"/>
    </row>
    <row r="635" spans="8:8" ht="15.75" customHeight="1">
      <c r="F635" s="241" t="b">
        <v>0</v>
      </c>
      <c r="H635" s="237"/>
      <c r="I635" s="237"/>
      <c r="J635" s="237"/>
      <c r="K635" s="237"/>
      <c r="L635" s="237"/>
    </row>
    <row r="636" spans="8:8" ht="15.75" customHeight="1">
      <c r="F636" s="241" t="b">
        <v>0</v>
      </c>
      <c r="H636" s="237"/>
      <c r="I636" s="237"/>
      <c r="J636" s="237"/>
      <c r="K636" s="237"/>
      <c r="L636" s="237"/>
    </row>
    <row r="637" spans="8:8" ht="15.75" customHeight="1">
      <c r="F637" s="241" t="b">
        <v>0</v>
      </c>
      <c r="H637" s="237"/>
      <c r="I637" s="237"/>
      <c r="J637" s="237"/>
      <c r="K637" s="237"/>
      <c r="L637" s="237"/>
    </row>
    <row r="638" spans="8:8" ht="15.75" customHeight="1">
      <c r="F638" s="241" t="b">
        <v>0</v>
      </c>
      <c r="H638" s="237"/>
      <c r="I638" s="237"/>
      <c r="J638" s="237"/>
      <c r="K638" s="237"/>
      <c r="L638" s="237"/>
    </row>
    <row r="639" spans="8:8" ht="15.75" customHeight="1">
      <c r="F639" s="241" t="b">
        <v>0</v>
      </c>
      <c r="H639" s="237"/>
      <c r="I639" s="237"/>
      <c r="J639" s="237"/>
      <c r="K639" s="237"/>
      <c r="L639" s="237"/>
    </row>
    <row r="640" spans="8:8" ht="15.75" customHeight="1">
      <c r="F640" s="241" t="b">
        <v>0</v>
      </c>
      <c r="H640" s="237"/>
      <c r="I640" s="237"/>
      <c r="J640" s="237"/>
      <c r="K640" s="237"/>
      <c r="L640" s="237"/>
    </row>
    <row r="641" spans="8:8" ht="15.75" customHeight="1">
      <c r="F641" s="241" t="b">
        <v>0</v>
      </c>
      <c r="H641" s="237"/>
      <c r="I641" s="237"/>
      <c r="J641" s="237"/>
      <c r="K641" s="237"/>
      <c r="L641" s="237"/>
    </row>
    <row r="642" spans="8:8" ht="15.75" customHeight="1">
      <c r="F642" s="241" t="b">
        <v>0</v>
      </c>
      <c r="H642" s="237"/>
      <c r="I642" s="237"/>
      <c r="J642" s="237"/>
      <c r="K642" s="237"/>
      <c r="L642" s="237"/>
    </row>
    <row r="643" spans="8:8" ht="15.75" customHeight="1">
      <c r="F643" s="241" t="b">
        <v>0</v>
      </c>
      <c r="H643" s="237"/>
      <c r="I643" s="237"/>
      <c r="J643" s="237"/>
      <c r="K643" s="237"/>
      <c r="L643" s="237"/>
    </row>
    <row r="644" spans="8:8" ht="15.75" customHeight="1">
      <c r="F644" s="241" t="b">
        <v>0</v>
      </c>
      <c r="H644" s="237"/>
      <c r="I644" s="237"/>
      <c r="J644" s="237"/>
      <c r="K644" s="237"/>
      <c r="L644" s="237"/>
    </row>
    <row r="645" spans="8:8" ht="15.75" customHeight="1">
      <c r="F645" s="241" t="b">
        <v>0</v>
      </c>
      <c r="H645" s="237"/>
      <c r="I645" s="237"/>
      <c r="J645" s="237"/>
      <c r="K645" s="237"/>
      <c r="L645" s="237"/>
    </row>
    <row r="646" spans="8:8" ht="15.75" customHeight="1">
      <c r="F646" s="241" t="b">
        <v>0</v>
      </c>
      <c r="H646" s="237"/>
      <c r="I646" s="237"/>
      <c r="J646" s="237"/>
      <c r="K646" s="237"/>
      <c r="L646" s="237"/>
    </row>
    <row r="647" spans="8:8" ht="15.75" customHeight="1">
      <c r="F647" s="241" t="b">
        <v>0</v>
      </c>
      <c r="H647" s="237"/>
      <c r="I647" s="237"/>
      <c r="J647" s="237"/>
      <c r="K647" s="237"/>
      <c r="L647" s="237"/>
    </row>
    <row r="648" spans="8:8" ht="15.75" customHeight="1">
      <c r="F648" s="241" t="b">
        <v>0</v>
      </c>
      <c r="H648" s="237"/>
      <c r="I648" s="237"/>
      <c r="J648" s="237"/>
      <c r="K648" s="237"/>
      <c r="L648" s="237"/>
    </row>
    <row r="649" spans="8:8" ht="15.75" customHeight="1">
      <c r="F649" s="241" t="b">
        <v>0</v>
      </c>
      <c r="H649" s="237"/>
      <c r="I649" s="237"/>
      <c r="J649" s="237"/>
      <c r="K649" s="237"/>
      <c r="L649" s="237"/>
    </row>
    <row r="650" spans="8:8" ht="15.75" customHeight="1">
      <c r="F650" s="241" t="b">
        <v>0</v>
      </c>
      <c r="H650" s="237"/>
      <c r="I650" s="237"/>
      <c r="J650" s="237"/>
      <c r="K650" s="237"/>
      <c r="L650" s="237"/>
    </row>
    <row r="651" spans="8:8" ht="15.75" customHeight="1">
      <c r="F651" s="241" t="b">
        <v>0</v>
      </c>
      <c r="H651" s="237"/>
      <c r="I651" s="237"/>
      <c r="J651" s="237"/>
      <c r="K651" s="237"/>
      <c r="L651" s="237"/>
    </row>
    <row r="652" spans="8:8" ht="15.75" customHeight="1">
      <c r="F652" s="241" t="b">
        <v>0</v>
      </c>
      <c r="H652" s="237"/>
      <c r="I652" s="237"/>
      <c r="J652" s="237"/>
      <c r="K652" s="237"/>
      <c r="L652" s="237"/>
    </row>
    <row r="653" spans="8:8" ht="15.75" customHeight="1">
      <c r="F653" s="241" t="b">
        <v>0</v>
      </c>
      <c r="H653" s="237"/>
      <c r="I653" s="237"/>
      <c r="J653" s="237"/>
      <c r="K653" s="237"/>
      <c r="L653" s="237"/>
    </row>
    <row r="654" spans="8:8" ht="15.75" customHeight="1">
      <c r="F654" s="241" t="b">
        <v>0</v>
      </c>
      <c r="H654" s="237"/>
      <c r="I654" s="237"/>
      <c r="J654" s="237"/>
      <c r="K654" s="237"/>
      <c r="L654" s="237"/>
    </row>
    <row r="655" spans="8:8" ht="15.75" customHeight="1">
      <c r="F655" s="241" t="b">
        <v>0</v>
      </c>
      <c r="H655" s="237"/>
      <c r="I655" s="237"/>
      <c r="J655" s="237"/>
      <c r="K655" s="237"/>
      <c r="L655" s="237"/>
    </row>
    <row r="656" spans="8:8" ht="15.75" customHeight="1">
      <c r="F656" s="241" t="b">
        <v>0</v>
      </c>
      <c r="H656" s="237"/>
      <c r="I656" s="237"/>
      <c r="J656" s="237"/>
      <c r="K656" s="237"/>
      <c r="L656" s="237"/>
    </row>
    <row r="657" spans="8:8" ht="15.75" customHeight="1">
      <c r="F657" s="241" t="b">
        <v>0</v>
      </c>
      <c r="H657" s="237"/>
      <c r="I657" s="237"/>
      <c r="J657" s="237"/>
      <c r="K657" s="237"/>
      <c r="L657" s="237"/>
    </row>
    <row r="658" spans="8:8" ht="15.75" customHeight="1">
      <c r="F658" s="241" t="b">
        <v>0</v>
      </c>
      <c r="H658" s="237"/>
      <c r="I658" s="237"/>
      <c r="J658" s="237"/>
      <c r="K658" s="237"/>
      <c r="L658" s="237"/>
    </row>
    <row r="659" spans="8:8" ht="15.75" customHeight="1">
      <c r="F659" s="241" t="b">
        <v>0</v>
      </c>
      <c r="H659" s="237"/>
      <c r="I659" s="237"/>
      <c r="J659" s="237"/>
      <c r="K659" s="237"/>
      <c r="L659" s="237"/>
    </row>
    <row r="660" spans="8:8" ht="15.75" customHeight="1">
      <c r="F660" s="241" t="b">
        <v>0</v>
      </c>
      <c r="H660" s="237"/>
      <c r="I660" s="237"/>
      <c r="J660" s="237"/>
      <c r="K660" s="237"/>
      <c r="L660" s="237"/>
    </row>
    <row r="661" spans="8:8" ht="15.75" customHeight="1">
      <c r="F661" s="241" t="b">
        <v>0</v>
      </c>
      <c r="H661" s="237"/>
      <c r="I661" s="237"/>
      <c r="J661" s="237"/>
      <c r="K661" s="237"/>
      <c r="L661" s="237"/>
    </row>
    <row r="662" spans="8:8" ht="15.75" customHeight="1">
      <c r="F662" s="241" t="b">
        <v>0</v>
      </c>
      <c r="H662" s="237"/>
      <c r="I662" s="237"/>
      <c r="J662" s="237"/>
      <c r="K662" s="237"/>
      <c r="L662" s="237"/>
    </row>
    <row r="663" spans="8:8" ht="15.75" customHeight="1">
      <c r="F663" s="241" t="b">
        <v>0</v>
      </c>
      <c r="H663" s="237"/>
      <c r="I663" s="237"/>
      <c r="J663" s="237"/>
      <c r="K663" s="237"/>
      <c r="L663" s="237"/>
    </row>
    <row r="664" spans="8:8" ht="15.75" customHeight="1">
      <c r="F664" s="241" t="b">
        <v>0</v>
      </c>
      <c r="H664" s="237"/>
      <c r="I664" s="237"/>
      <c r="J664" s="237"/>
      <c r="K664" s="237"/>
      <c r="L664" s="237"/>
    </row>
    <row r="665" spans="8:8" ht="15.75" customHeight="1">
      <c r="F665" s="241" t="b">
        <v>0</v>
      </c>
      <c r="H665" s="237"/>
      <c r="I665" s="237"/>
      <c r="J665" s="237"/>
      <c r="K665" s="237"/>
      <c r="L665" s="237"/>
    </row>
    <row r="666" spans="8:8" ht="15.75" customHeight="1">
      <c r="F666" s="241" t="b">
        <v>0</v>
      </c>
      <c r="H666" s="237"/>
      <c r="I666" s="237"/>
      <c r="J666" s="237"/>
      <c r="K666" s="237"/>
      <c r="L666" s="237"/>
    </row>
    <row r="667" spans="8:8" ht="15.75" customHeight="1">
      <c r="F667" s="241" t="b">
        <v>0</v>
      </c>
      <c r="H667" s="237"/>
      <c r="I667" s="237"/>
      <c r="J667" s="237"/>
      <c r="K667" s="237"/>
      <c r="L667" s="237"/>
    </row>
    <row r="668" spans="8:8" ht="15.75" customHeight="1">
      <c r="F668" s="241" t="b">
        <v>0</v>
      </c>
      <c r="H668" s="237"/>
      <c r="I668" s="237"/>
      <c r="J668" s="237"/>
      <c r="K668" s="237"/>
      <c r="L668" s="237"/>
    </row>
    <row r="669" spans="8:8" ht="15.75" customHeight="1">
      <c r="F669" s="241" t="b">
        <v>0</v>
      </c>
      <c r="H669" s="237"/>
      <c r="I669" s="237"/>
      <c r="J669" s="237"/>
      <c r="K669" s="237"/>
      <c r="L669" s="237"/>
    </row>
    <row r="670" spans="8:8" ht="15.75" customHeight="1">
      <c r="F670" s="241" t="b">
        <v>0</v>
      </c>
      <c r="H670" s="237"/>
      <c r="I670" s="237"/>
      <c r="J670" s="237"/>
      <c r="K670" s="237"/>
      <c r="L670" s="237"/>
    </row>
    <row r="671" spans="8:8" ht="15.75" customHeight="1">
      <c r="F671" s="241" t="b">
        <v>0</v>
      </c>
      <c r="H671" s="237"/>
      <c r="I671" s="237"/>
      <c r="J671" s="237"/>
      <c r="K671" s="237"/>
      <c r="L671" s="237"/>
    </row>
    <row r="672" spans="8:8" ht="15.75" customHeight="1">
      <c r="F672" s="241" t="b">
        <v>0</v>
      </c>
      <c r="H672" s="237"/>
      <c r="I672" s="237"/>
      <c r="J672" s="237"/>
      <c r="K672" s="237"/>
      <c r="L672" s="237"/>
    </row>
    <row r="673" spans="8:8" ht="15.75" customHeight="1">
      <c r="F673" s="241" t="b">
        <v>0</v>
      </c>
      <c r="H673" s="237"/>
      <c r="I673" s="237"/>
      <c r="J673" s="237"/>
      <c r="K673" s="237"/>
      <c r="L673" s="237"/>
    </row>
    <row r="674" spans="8:8" ht="15.75" customHeight="1">
      <c r="F674" s="241" t="b">
        <v>0</v>
      </c>
      <c r="H674" s="237"/>
      <c r="I674" s="237"/>
      <c r="J674" s="237"/>
      <c r="K674" s="237"/>
      <c r="L674" s="237"/>
    </row>
    <row r="675" spans="8:8" ht="15.75" customHeight="1">
      <c r="F675" s="241" t="b">
        <v>0</v>
      </c>
      <c r="H675" s="237"/>
      <c r="I675" s="237"/>
      <c r="J675" s="237"/>
      <c r="K675" s="237"/>
      <c r="L675" s="237"/>
    </row>
    <row r="676" spans="8:8" ht="15.75" customHeight="1">
      <c r="F676" s="241" t="b">
        <v>0</v>
      </c>
      <c r="H676" s="237"/>
      <c r="I676" s="237"/>
      <c r="J676" s="237"/>
      <c r="K676" s="237"/>
      <c r="L676" s="237"/>
    </row>
    <row r="677" spans="8:8" ht="15.75" customHeight="1">
      <c r="F677" s="241" t="b">
        <v>0</v>
      </c>
      <c r="H677" s="237"/>
      <c r="I677" s="237"/>
      <c r="J677" s="237"/>
      <c r="K677" s="237"/>
      <c r="L677" s="237"/>
    </row>
    <row r="678" spans="8:8" ht="15.75" customHeight="1">
      <c r="F678" s="241" t="b">
        <v>0</v>
      </c>
      <c r="H678" s="237"/>
      <c r="I678" s="237"/>
      <c r="J678" s="237"/>
      <c r="K678" s="237"/>
      <c r="L678" s="237"/>
    </row>
    <row r="679" spans="8:8" ht="15.75" customHeight="1">
      <c r="F679" s="241" t="b">
        <v>0</v>
      </c>
      <c r="H679" s="237"/>
      <c r="I679" s="237"/>
      <c r="J679" s="237"/>
      <c r="K679" s="237"/>
      <c r="L679" s="237"/>
    </row>
    <row r="680" spans="8:8" ht="15.75" customHeight="1">
      <c r="F680" s="241" t="b">
        <v>0</v>
      </c>
      <c r="H680" s="237"/>
      <c r="I680" s="237"/>
      <c r="J680" s="237"/>
      <c r="K680" s="237"/>
      <c r="L680" s="237"/>
    </row>
    <row r="681" spans="8:8" ht="15.75" customHeight="1">
      <c r="F681" s="241" t="b">
        <v>0</v>
      </c>
      <c r="H681" s="237"/>
      <c r="I681" s="237"/>
      <c r="J681" s="237"/>
      <c r="K681" s="237"/>
      <c r="L681" s="237"/>
    </row>
    <row r="682" spans="8:8" ht="15.75" customHeight="1">
      <c r="F682" s="241" t="b">
        <v>0</v>
      </c>
      <c r="H682" s="237"/>
      <c r="I682" s="237"/>
      <c r="J682" s="237"/>
      <c r="K682" s="237"/>
      <c r="L682" s="237"/>
    </row>
    <row r="683" spans="8:8" ht="15.75" customHeight="1">
      <c r="F683" s="241" t="b">
        <v>0</v>
      </c>
      <c r="H683" s="237"/>
      <c r="I683" s="237"/>
      <c r="J683" s="237"/>
      <c r="K683" s="237"/>
      <c r="L683" s="237"/>
    </row>
    <row r="684" spans="8:8" ht="15.75" customHeight="1">
      <c r="F684" s="241" t="b">
        <v>0</v>
      </c>
      <c r="H684" s="237"/>
      <c r="I684" s="237"/>
      <c r="J684" s="237"/>
      <c r="K684" s="237"/>
      <c r="L684" s="237"/>
    </row>
    <row r="685" spans="8:8" ht="15.75" customHeight="1">
      <c r="F685" s="241" t="b">
        <v>0</v>
      </c>
      <c r="H685" s="237"/>
      <c r="I685" s="237"/>
      <c r="J685" s="237"/>
      <c r="K685" s="237"/>
      <c r="L685" s="237"/>
    </row>
    <row r="686" spans="8:8" ht="15.75" customHeight="1">
      <c r="F686" s="241" t="b">
        <v>0</v>
      </c>
      <c r="H686" s="237"/>
      <c r="I686" s="237"/>
      <c r="J686" s="237"/>
      <c r="K686" s="237"/>
      <c r="L686" s="237"/>
    </row>
    <row r="687" spans="8:8" ht="15.75" customHeight="1">
      <c r="F687" s="241" t="b">
        <v>0</v>
      </c>
      <c r="H687" s="237"/>
      <c r="I687" s="237"/>
      <c r="J687" s="237"/>
      <c r="K687" s="237"/>
      <c r="L687" s="237"/>
    </row>
    <row r="688" spans="8:8" ht="15.75" customHeight="1">
      <c r="F688" s="241" t="b">
        <v>0</v>
      </c>
      <c r="H688" s="237"/>
      <c r="I688" s="237"/>
      <c r="J688" s="237"/>
      <c r="K688" s="237"/>
      <c r="L688" s="237"/>
    </row>
    <row r="689" spans="8:8" ht="15.75" customHeight="1">
      <c r="F689" s="241" t="b">
        <v>0</v>
      </c>
      <c r="H689" s="237"/>
      <c r="I689" s="237"/>
      <c r="J689" s="237"/>
      <c r="K689" s="237"/>
      <c r="L689" s="237"/>
    </row>
    <row r="690" spans="8:8" ht="15.75" customHeight="1">
      <c r="F690" s="241" t="b">
        <v>0</v>
      </c>
      <c r="H690" s="237"/>
      <c r="I690" s="237"/>
      <c r="J690" s="237"/>
      <c r="K690" s="237"/>
      <c r="L690" s="237"/>
    </row>
    <row r="691" spans="8:8" ht="15.75" customHeight="1">
      <c r="F691" s="241" t="b">
        <v>0</v>
      </c>
      <c r="H691" s="237"/>
      <c r="I691" s="237"/>
      <c r="J691" s="237"/>
      <c r="K691" s="237"/>
      <c r="L691" s="237"/>
    </row>
    <row r="692" spans="8:8" ht="15.75" customHeight="1">
      <c r="F692" s="241" t="b">
        <v>0</v>
      </c>
      <c r="H692" s="237"/>
      <c r="I692" s="237"/>
      <c r="J692" s="237"/>
      <c r="K692" s="237"/>
      <c r="L692" s="237"/>
    </row>
    <row r="693" spans="8:8" ht="15.75" customHeight="1">
      <c r="F693" s="241" t="b">
        <v>0</v>
      </c>
      <c r="H693" s="237"/>
      <c r="I693" s="237"/>
      <c r="J693" s="237"/>
      <c r="K693" s="237"/>
      <c r="L693" s="237"/>
    </row>
    <row r="694" spans="8:8" ht="15.75" customHeight="1">
      <c r="F694" s="241" t="b">
        <v>0</v>
      </c>
      <c r="H694" s="237"/>
      <c r="I694" s="237"/>
      <c r="J694" s="237"/>
      <c r="K694" s="237"/>
      <c r="L694" s="237"/>
    </row>
    <row r="695" spans="8:8" ht="15.75" customHeight="1">
      <c r="F695" s="241" t="b">
        <v>0</v>
      </c>
      <c r="H695" s="237"/>
      <c r="I695" s="237"/>
      <c r="J695" s="237"/>
      <c r="K695" s="237"/>
      <c r="L695" s="237"/>
    </row>
    <row r="696" spans="8:8" ht="15.75" customHeight="1">
      <c r="F696" s="241" t="b">
        <v>0</v>
      </c>
      <c r="H696" s="237"/>
      <c r="I696" s="237"/>
      <c r="J696" s="237"/>
      <c r="K696" s="237"/>
      <c r="L696" s="237"/>
    </row>
    <row r="697" spans="8:8" ht="15.75" customHeight="1">
      <c r="F697" s="241" t="b">
        <v>0</v>
      </c>
      <c r="H697" s="237"/>
      <c r="I697" s="237"/>
      <c r="J697" s="237"/>
      <c r="K697" s="237"/>
      <c r="L697" s="237"/>
    </row>
    <row r="698" spans="8:8" ht="15.75" customHeight="1">
      <c r="F698" s="241" t="b">
        <v>0</v>
      </c>
      <c r="H698" s="237"/>
      <c r="I698" s="237"/>
      <c r="J698" s="237"/>
      <c r="K698" s="237"/>
      <c r="L698" s="237"/>
    </row>
    <row r="699" spans="8:8" ht="15.75" customHeight="1">
      <c r="F699" s="241" t="b">
        <v>0</v>
      </c>
      <c r="H699" s="237"/>
      <c r="I699" s="237"/>
      <c r="J699" s="237"/>
      <c r="K699" s="237"/>
      <c r="L699" s="237"/>
    </row>
    <row r="700" spans="8:8" ht="15.75" customHeight="1">
      <c r="F700" s="241" t="b">
        <v>0</v>
      </c>
      <c r="H700" s="237"/>
      <c r="I700" s="237"/>
      <c r="J700" s="237"/>
      <c r="K700" s="237"/>
      <c r="L700" s="237"/>
    </row>
    <row r="701" spans="8:8" ht="15.75" customHeight="1">
      <c r="F701" s="241" t="b">
        <v>0</v>
      </c>
      <c r="H701" s="237"/>
      <c r="I701" s="237"/>
      <c r="J701" s="237"/>
      <c r="K701" s="237"/>
      <c r="L701" s="237"/>
    </row>
    <row r="702" spans="8:8" ht="15.75" customHeight="1">
      <c r="F702" s="241" t="b">
        <v>0</v>
      </c>
      <c r="H702" s="237"/>
      <c r="I702" s="237"/>
      <c r="J702" s="237"/>
      <c r="K702" s="237"/>
      <c r="L702" s="237"/>
    </row>
    <row r="703" spans="8:8" ht="15.75" customHeight="1">
      <c r="F703" s="241" t="b">
        <v>0</v>
      </c>
      <c r="H703" s="237"/>
      <c r="I703" s="237"/>
      <c r="J703" s="237"/>
      <c r="K703" s="237"/>
      <c r="L703" s="237"/>
    </row>
    <row r="704" spans="8:8" ht="15.75" customHeight="1">
      <c r="F704" s="241" t="b">
        <v>0</v>
      </c>
      <c r="H704" s="237"/>
      <c r="I704" s="237"/>
      <c r="J704" s="237"/>
      <c r="K704" s="237"/>
      <c r="L704" s="237"/>
    </row>
    <row r="705" spans="8:8" ht="15.75" customHeight="1">
      <c r="F705" s="241" t="b">
        <v>0</v>
      </c>
      <c r="H705" s="237"/>
      <c r="I705" s="237"/>
      <c r="J705" s="237"/>
      <c r="K705" s="237"/>
      <c r="L705" s="237"/>
    </row>
    <row r="706" spans="8:8" ht="15.75" customHeight="1">
      <c r="F706" s="241" t="b">
        <v>0</v>
      </c>
      <c r="H706" s="237"/>
      <c r="I706" s="237"/>
      <c r="J706" s="237"/>
      <c r="K706" s="237"/>
      <c r="L706" s="237"/>
    </row>
    <row r="707" spans="8:8" ht="15.75" customHeight="1">
      <c r="F707" s="241" t="b">
        <v>0</v>
      </c>
      <c r="H707" s="237"/>
      <c r="I707" s="237"/>
      <c r="J707" s="237"/>
      <c r="K707" s="237"/>
      <c r="L707" s="237"/>
    </row>
    <row r="708" spans="8:8" ht="15.75" customHeight="1">
      <c r="F708" s="241" t="b">
        <v>0</v>
      </c>
      <c r="H708" s="237"/>
      <c r="I708" s="237"/>
      <c r="J708" s="237"/>
      <c r="K708" s="237"/>
      <c r="L708" s="237"/>
    </row>
    <row r="709" spans="8:8" ht="15.75" customHeight="1">
      <c r="F709" s="241" t="b">
        <v>0</v>
      </c>
      <c r="H709" s="237"/>
      <c r="I709" s="237"/>
      <c r="J709" s="237"/>
      <c r="K709" s="237"/>
      <c r="L709" s="237"/>
    </row>
    <row r="710" spans="8:8" ht="15.75" customHeight="1">
      <c r="F710" s="241" t="b">
        <v>0</v>
      </c>
      <c r="H710" s="237"/>
      <c r="I710" s="237"/>
      <c r="J710" s="237"/>
      <c r="K710" s="237"/>
      <c r="L710" s="237"/>
    </row>
    <row r="711" spans="8:8" ht="15.75" customHeight="1">
      <c r="F711" s="241" t="b">
        <v>0</v>
      </c>
      <c r="H711" s="237"/>
      <c r="I711" s="237"/>
      <c r="J711" s="237"/>
      <c r="K711" s="237"/>
      <c r="L711" s="237"/>
    </row>
    <row r="712" spans="8:8" ht="15.75" customHeight="1">
      <c r="F712" s="241" t="b">
        <v>0</v>
      </c>
      <c r="H712" s="237"/>
      <c r="I712" s="237"/>
      <c r="J712" s="237"/>
      <c r="K712" s="237"/>
      <c r="L712" s="237"/>
    </row>
    <row r="713" spans="8:8" ht="15.75" customHeight="1">
      <c r="F713" s="241" t="b">
        <v>0</v>
      </c>
      <c r="H713" s="237"/>
      <c r="I713" s="237"/>
      <c r="J713" s="237"/>
      <c r="K713" s="237"/>
      <c r="L713" s="237"/>
    </row>
    <row r="714" spans="8:8" ht="15.75" customHeight="1">
      <c r="F714" s="241" t="b">
        <v>0</v>
      </c>
      <c r="H714" s="237"/>
      <c r="I714" s="237"/>
      <c r="J714" s="237"/>
      <c r="K714" s="237"/>
      <c r="L714" s="237"/>
    </row>
    <row r="715" spans="8:8" ht="15.75" customHeight="1">
      <c r="F715" s="241" t="b">
        <v>0</v>
      </c>
      <c r="H715" s="237"/>
      <c r="I715" s="237"/>
      <c r="J715" s="237"/>
      <c r="K715" s="237"/>
      <c r="L715" s="237"/>
    </row>
    <row r="716" spans="8:8" ht="15.75" customHeight="1">
      <c r="F716" s="241" t="b">
        <v>0</v>
      </c>
      <c r="H716" s="237"/>
      <c r="I716" s="237"/>
      <c r="J716" s="237"/>
      <c r="K716" s="237"/>
      <c r="L716" s="237"/>
    </row>
    <row r="717" spans="8:8" ht="15.75" customHeight="1">
      <c r="F717" s="241" t="b">
        <v>0</v>
      </c>
      <c r="H717" s="237"/>
      <c r="I717" s="237"/>
      <c r="J717" s="237"/>
      <c r="K717" s="237"/>
      <c r="L717" s="237"/>
    </row>
    <row r="718" spans="8:8" ht="15.75" customHeight="1">
      <c r="F718" s="241" t="b">
        <v>0</v>
      </c>
      <c r="H718" s="237"/>
      <c r="I718" s="237"/>
      <c r="J718" s="237"/>
      <c r="K718" s="237"/>
      <c r="L718" s="237"/>
    </row>
    <row r="719" spans="8:8" ht="15.75" customHeight="1">
      <c r="F719" s="241" t="b">
        <v>0</v>
      </c>
      <c r="H719" s="237"/>
      <c r="I719" s="237"/>
      <c r="J719" s="237"/>
      <c r="K719" s="237"/>
      <c r="L719" s="237"/>
    </row>
    <row r="720" spans="8:8" ht="15.75" customHeight="1">
      <c r="F720" s="241" t="b">
        <v>0</v>
      </c>
      <c r="H720" s="237"/>
      <c r="I720" s="237"/>
      <c r="J720" s="237"/>
      <c r="K720" s="237"/>
      <c r="L720" s="237"/>
    </row>
    <row r="721" spans="8:8" ht="15.75" customHeight="1">
      <c r="F721" s="241" t="b">
        <v>0</v>
      </c>
      <c r="H721" s="237"/>
      <c r="I721" s="237"/>
      <c r="J721" s="237"/>
      <c r="K721" s="237"/>
      <c r="L721" s="237"/>
    </row>
    <row r="722" spans="8:8" ht="15.75" customHeight="1">
      <c r="F722" s="241" t="b">
        <v>0</v>
      </c>
      <c r="H722" s="237"/>
      <c r="I722" s="237"/>
      <c r="J722" s="237"/>
      <c r="K722" s="237"/>
      <c r="L722" s="237"/>
    </row>
    <row r="723" spans="8:8" ht="15.75" customHeight="1">
      <c r="F723" s="241" t="b">
        <v>0</v>
      </c>
      <c r="H723" s="237"/>
      <c r="I723" s="237"/>
      <c r="J723" s="237"/>
      <c r="K723" s="237"/>
      <c r="L723" s="237"/>
    </row>
    <row r="724" spans="8:8" ht="15.75" customHeight="1">
      <c r="F724" s="241" t="b">
        <v>0</v>
      </c>
      <c r="H724" s="237"/>
      <c r="I724" s="237"/>
      <c r="J724" s="237"/>
      <c r="K724" s="237"/>
      <c r="L724" s="237"/>
    </row>
    <row r="725" spans="8:8" ht="15.75" customHeight="1">
      <c r="F725" s="241" t="b">
        <v>0</v>
      </c>
      <c r="H725" s="237"/>
      <c r="I725" s="237"/>
      <c r="J725" s="237"/>
      <c r="K725" s="237"/>
      <c r="L725" s="237"/>
    </row>
    <row r="726" spans="8:8" ht="15.75" customHeight="1">
      <c r="F726" s="241" t="b">
        <v>0</v>
      </c>
      <c r="H726" s="237"/>
      <c r="I726" s="237"/>
      <c r="J726" s="237"/>
      <c r="K726" s="237"/>
      <c r="L726" s="237"/>
    </row>
    <row r="727" spans="8:8" ht="15.75" customHeight="1">
      <c r="F727" s="241" t="b">
        <v>0</v>
      </c>
      <c r="H727" s="237"/>
      <c r="I727" s="237"/>
      <c r="J727" s="237"/>
      <c r="K727" s="237"/>
      <c r="L727" s="237"/>
    </row>
    <row r="728" spans="8:8" ht="15.75" customHeight="1">
      <c r="F728" s="241" t="b">
        <v>0</v>
      </c>
      <c r="H728" s="237"/>
      <c r="I728" s="237"/>
      <c r="J728" s="237"/>
      <c r="K728" s="237"/>
      <c r="L728" s="237"/>
    </row>
    <row r="729" spans="8:8" ht="15.75" customHeight="1">
      <c r="F729" s="241" t="b">
        <v>0</v>
      </c>
      <c r="H729" s="237"/>
      <c r="I729" s="237"/>
      <c r="J729" s="237"/>
      <c r="K729" s="237"/>
      <c r="L729" s="237"/>
    </row>
    <row r="730" spans="8:8" ht="15.75" customHeight="1">
      <c r="F730" s="241" t="b">
        <v>0</v>
      </c>
      <c r="H730" s="237"/>
      <c r="I730" s="237"/>
      <c r="J730" s="237"/>
      <c r="K730" s="237"/>
      <c r="L730" s="237"/>
    </row>
    <row r="731" spans="8:8" ht="15.75" customHeight="1">
      <c r="F731" s="241" t="b">
        <v>0</v>
      </c>
      <c r="H731" s="237"/>
      <c r="I731" s="237"/>
      <c r="J731" s="237"/>
      <c r="K731" s="237"/>
      <c r="L731" s="237"/>
    </row>
    <row r="732" spans="8:8" ht="15.75" customHeight="1">
      <c r="F732" s="241" t="b">
        <v>0</v>
      </c>
      <c r="H732" s="237"/>
      <c r="I732" s="237"/>
      <c r="J732" s="237"/>
      <c r="K732" s="237"/>
      <c r="L732" s="237"/>
    </row>
    <row r="733" spans="8:8" ht="15.75" customHeight="1">
      <c r="F733" s="241" t="b">
        <v>0</v>
      </c>
      <c r="H733" s="237"/>
      <c r="I733" s="237"/>
      <c r="J733" s="237"/>
      <c r="K733" s="237"/>
      <c r="L733" s="237"/>
    </row>
    <row r="734" spans="8:8" ht="15.75" customHeight="1">
      <c r="F734" s="241" t="b">
        <v>0</v>
      </c>
      <c r="H734" s="237"/>
      <c r="I734" s="237"/>
      <c r="J734" s="237"/>
      <c r="K734" s="237"/>
      <c r="L734" s="237"/>
    </row>
    <row r="735" spans="8:8" ht="15.75" customHeight="1">
      <c r="F735" s="241" t="b">
        <v>0</v>
      </c>
      <c r="H735" s="237"/>
      <c r="I735" s="237"/>
      <c r="J735" s="237"/>
      <c r="K735" s="237"/>
      <c r="L735" s="237"/>
    </row>
    <row r="736" spans="8:8" ht="15.75" customHeight="1">
      <c r="F736" s="241" t="b">
        <v>0</v>
      </c>
      <c r="H736" s="237"/>
      <c r="I736" s="237"/>
      <c r="J736" s="237"/>
      <c r="K736" s="237"/>
      <c r="L736" s="237"/>
    </row>
    <row r="737" spans="8:8" ht="15.75" customHeight="1">
      <c r="F737" s="241" t="b">
        <v>0</v>
      </c>
      <c r="H737" s="237"/>
      <c r="I737" s="237"/>
      <c r="J737" s="237"/>
      <c r="K737" s="237"/>
      <c r="L737" s="237"/>
    </row>
    <row r="738" spans="8:8" ht="15.75" customHeight="1">
      <c r="F738" s="241" t="b">
        <v>0</v>
      </c>
      <c r="H738" s="237"/>
      <c r="I738" s="237"/>
      <c r="J738" s="237"/>
      <c r="K738" s="237"/>
      <c r="L738" s="237"/>
    </row>
    <row r="739" spans="8:8" ht="15.75" customHeight="1">
      <c r="F739" s="241" t="b">
        <v>0</v>
      </c>
      <c r="H739" s="237"/>
      <c r="I739" s="237"/>
      <c r="J739" s="237"/>
      <c r="K739" s="237"/>
      <c r="L739" s="237"/>
    </row>
    <row r="740" spans="8:8" ht="15.75" customHeight="1">
      <c r="F740" s="241" t="b">
        <v>0</v>
      </c>
      <c r="H740" s="237"/>
      <c r="I740" s="237"/>
      <c r="J740" s="237"/>
      <c r="K740" s="237"/>
      <c r="L740" s="237"/>
    </row>
    <row r="741" spans="8:8" ht="15.75" customHeight="1">
      <c r="F741" s="241" t="b">
        <v>0</v>
      </c>
      <c r="H741" s="237"/>
      <c r="I741" s="237"/>
      <c r="J741" s="237"/>
      <c r="K741" s="237"/>
      <c r="L741" s="237"/>
    </row>
    <row r="742" spans="8:8" ht="15.75" customHeight="1">
      <c r="F742" s="241" t="b">
        <v>0</v>
      </c>
      <c r="H742" s="237"/>
      <c r="I742" s="237"/>
      <c r="J742" s="237"/>
      <c r="K742" s="237"/>
      <c r="L742" s="237"/>
    </row>
    <row r="743" spans="8:8" ht="15.75" customHeight="1">
      <c r="F743" s="241" t="b">
        <v>0</v>
      </c>
      <c r="H743" s="237"/>
      <c r="I743" s="237"/>
      <c r="J743" s="237"/>
      <c r="K743" s="237"/>
      <c r="L743" s="237"/>
    </row>
    <row r="744" spans="8:8" ht="15.75" customHeight="1">
      <c r="F744" s="241" t="b">
        <v>0</v>
      </c>
      <c r="H744" s="237"/>
      <c r="I744" s="237"/>
      <c r="J744" s="237"/>
      <c r="K744" s="237"/>
      <c r="L744" s="237"/>
    </row>
    <row r="745" spans="8:8" ht="15.75" customHeight="1">
      <c r="F745" s="241" t="b">
        <v>0</v>
      </c>
      <c r="H745" s="237"/>
      <c r="I745" s="237"/>
      <c r="J745" s="237"/>
      <c r="K745" s="237"/>
      <c r="L745" s="237"/>
    </row>
    <row r="746" spans="8:8" ht="15.75" customHeight="1">
      <c r="F746" s="241" t="b">
        <v>0</v>
      </c>
      <c r="H746" s="237"/>
      <c r="I746" s="237"/>
      <c r="J746" s="237"/>
      <c r="K746" s="237"/>
      <c r="L746" s="237"/>
    </row>
    <row r="747" spans="8:8" ht="15.75" customHeight="1">
      <c r="F747" s="241" t="b">
        <v>0</v>
      </c>
      <c r="H747" s="237"/>
      <c r="I747" s="237"/>
      <c r="J747" s="237"/>
      <c r="K747" s="237"/>
      <c r="L747" s="237"/>
    </row>
    <row r="748" spans="8:8" ht="15.75" customHeight="1">
      <c r="F748" s="241" t="b">
        <v>0</v>
      </c>
      <c r="H748" s="237"/>
      <c r="I748" s="237"/>
      <c r="J748" s="237"/>
      <c r="K748" s="237"/>
      <c r="L748" s="237"/>
    </row>
    <row r="749" spans="8:8" ht="15.75" customHeight="1">
      <c r="F749" s="241" t="b">
        <v>0</v>
      </c>
      <c r="H749" s="237"/>
      <c r="I749" s="237"/>
      <c r="J749" s="237"/>
      <c r="K749" s="237"/>
      <c r="L749" s="237"/>
    </row>
    <row r="750" spans="8:8" ht="15.75" customHeight="1">
      <c r="F750" s="241" t="b">
        <v>0</v>
      </c>
      <c r="H750" s="237"/>
      <c r="I750" s="237"/>
      <c r="J750" s="237"/>
      <c r="K750" s="237"/>
      <c r="L750" s="237"/>
    </row>
    <row r="751" spans="8:8" ht="15.75" customHeight="1">
      <c r="F751" s="241" t="b">
        <v>0</v>
      </c>
      <c r="H751" s="237"/>
      <c r="I751" s="237"/>
      <c r="J751" s="237"/>
      <c r="K751" s="237"/>
      <c r="L751" s="237"/>
    </row>
    <row r="752" spans="8:8" ht="15.75" customHeight="1">
      <c r="F752" s="241" t="b">
        <v>0</v>
      </c>
      <c r="H752" s="237"/>
      <c r="I752" s="237"/>
      <c r="J752" s="237"/>
      <c r="K752" s="237"/>
      <c r="L752" s="237"/>
    </row>
    <row r="753" spans="8:8" ht="15.75" customHeight="1">
      <c r="F753" s="241" t="b">
        <v>0</v>
      </c>
      <c r="H753" s="237"/>
      <c r="I753" s="237"/>
      <c r="J753" s="237"/>
      <c r="K753" s="237"/>
      <c r="L753" s="237"/>
    </row>
    <row r="754" spans="8:8" ht="15.75" customHeight="1">
      <c r="F754" s="241" t="b">
        <v>0</v>
      </c>
      <c r="H754" s="237"/>
      <c r="I754" s="237"/>
      <c r="J754" s="237"/>
      <c r="K754" s="237"/>
      <c r="L754" s="237"/>
    </row>
    <row r="755" spans="8:8" ht="15.75" customHeight="1">
      <c r="F755" s="241" t="b">
        <v>0</v>
      </c>
      <c r="H755" s="237"/>
      <c r="I755" s="237"/>
      <c r="J755" s="237"/>
      <c r="K755" s="237"/>
      <c r="L755" s="237"/>
    </row>
    <row r="756" spans="8:8" ht="15.75" customHeight="1">
      <c r="F756" s="241" t="b">
        <v>0</v>
      </c>
      <c r="H756" s="237"/>
      <c r="I756" s="237"/>
      <c r="J756" s="237"/>
      <c r="K756" s="237"/>
      <c r="L756" s="237"/>
    </row>
    <row r="757" spans="8:8" ht="15.75" customHeight="1">
      <c r="F757" s="241" t="b">
        <v>0</v>
      </c>
      <c r="H757" s="237"/>
      <c r="I757" s="237"/>
      <c r="J757" s="237"/>
      <c r="K757" s="237"/>
      <c r="L757" s="237"/>
    </row>
    <row r="758" spans="8:8" ht="15.75" customHeight="1">
      <c r="F758" s="241" t="b">
        <v>0</v>
      </c>
      <c r="H758" s="237"/>
      <c r="I758" s="237"/>
      <c r="J758" s="237"/>
      <c r="K758" s="237"/>
      <c r="L758" s="237"/>
    </row>
    <row r="759" spans="8:8" ht="15.75" customHeight="1">
      <c r="F759" s="241" t="b">
        <v>0</v>
      </c>
      <c r="H759" s="237"/>
      <c r="I759" s="237"/>
      <c r="J759" s="237"/>
      <c r="K759" s="237"/>
      <c r="L759" s="237"/>
    </row>
    <row r="760" spans="8:8" ht="15.75" customHeight="1">
      <c r="F760" s="241" t="b">
        <v>0</v>
      </c>
      <c r="H760" s="237"/>
      <c r="I760" s="237"/>
      <c r="J760" s="237"/>
      <c r="K760" s="237"/>
      <c r="L760" s="237"/>
    </row>
    <row r="761" spans="8:8" ht="15.75" customHeight="1">
      <c r="F761" s="241" t="b">
        <v>0</v>
      </c>
      <c r="H761" s="237"/>
      <c r="I761" s="237"/>
      <c r="J761" s="237"/>
      <c r="K761" s="237"/>
      <c r="L761" s="237"/>
    </row>
    <row r="762" spans="8:8" ht="15.75" customHeight="1">
      <c r="F762" s="241" t="b">
        <v>0</v>
      </c>
      <c r="H762" s="237"/>
      <c r="I762" s="237"/>
      <c r="J762" s="237"/>
      <c r="K762" s="237"/>
      <c r="L762" s="237"/>
    </row>
    <row r="763" spans="8:8" ht="15.75" customHeight="1">
      <c r="F763" s="241" t="b">
        <v>0</v>
      </c>
      <c r="H763" s="237"/>
      <c r="I763" s="237"/>
      <c r="J763" s="237"/>
      <c r="K763" s="237"/>
      <c r="L763" s="237"/>
    </row>
    <row r="764" spans="8:8" ht="15.75" customHeight="1">
      <c r="F764" s="241" t="b">
        <v>0</v>
      </c>
      <c r="H764" s="237"/>
      <c r="I764" s="237"/>
      <c r="J764" s="237"/>
      <c r="K764" s="237"/>
      <c r="L764" s="237"/>
    </row>
    <row r="765" spans="8:8" ht="15.75" customHeight="1">
      <c r="F765" s="241" t="b">
        <v>0</v>
      </c>
      <c r="H765" s="237"/>
      <c r="I765" s="237"/>
      <c r="J765" s="237"/>
      <c r="K765" s="237"/>
      <c r="L765" s="237"/>
    </row>
    <row r="766" spans="8:8" ht="15.75" customHeight="1">
      <c r="F766" s="241" t="b">
        <v>0</v>
      </c>
      <c r="H766" s="237"/>
      <c r="I766" s="237"/>
      <c r="J766" s="237"/>
      <c r="K766" s="237"/>
      <c r="L766" s="237"/>
    </row>
    <row r="767" spans="8:8" ht="15.75" customHeight="1">
      <c r="F767" s="241" t="b">
        <v>0</v>
      </c>
      <c r="H767" s="237"/>
      <c r="I767" s="237"/>
      <c r="J767" s="237"/>
      <c r="K767" s="237"/>
      <c r="L767" s="237"/>
    </row>
    <row r="768" spans="8:8" ht="15.75" customHeight="1">
      <c r="F768" s="241" t="b">
        <v>0</v>
      </c>
      <c r="H768" s="237"/>
      <c r="I768" s="237"/>
      <c r="J768" s="237"/>
      <c r="K768" s="237"/>
      <c r="L768" s="237"/>
    </row>
    <row r="769" spans="8:8" ht="15.75" customHeight="1">
      <c r="F769" s="241" t="b">
        <v>0</v>
      </c>
      <c r="H769" s="237"/>
      <c r="I769" s="237"/>
      <c r="J769" s="237"/>
      <c r="K769" s="237"/>
      <c r="L769" s="237"/>
    </row>
    <row r="770" spans="8:8" ht="15.75" customHeight="1">
      <c r="F770" s="241" t="b">
        <v>0</v>
      </c>
      <c r="H770" s="237"/>
      <c r="I770" s="237"/>
      <c r="J770" s="237"/>
      <c r="K770" s="237"/>
      <c r="L770" s="237"/>
    </row>
    <row r="771" spans="8:8" ht="15.75" customHeight="1">
      <c r="F771" s="241" t="b">
        <v>0</v>
      </c>
      <c r="H771" s="237"/>
      <c r="I771" s="237"/>
      <c r="J771" s="237"/>
      <c r="K771" s="237"/>
      <c r="L771" s="237"/>
    </row>
    <row r="772" spans="8:8" ht="15.75" customHeight="1">
      <c r="F772" s="241" t="b">
        <v>0</v>
      </c>
      <c r="H772" s="237"/>
      <c r="I772" s="237"/>
      <c r="J772" s="237"/>
      <c r="K772" s="237"/>
      <c r="L772" s="237"/>
    </row>
    <row r="773" spans="8:8" ht="15.75" customHeight="1">
      <c r="F773" s="241" t="b">
        <v>0</v>
      </c>
      <c r="H773" s="237"/>
      <c r="I773" s="237"/>
      <c r="J773" s="237"/>
      <c r="K773" s="237"/>
      <c r="L773" s="237"/>
    </row>
    <row r="774" spans="8:8" ht="15.75" customHeight="1">
      <c r="F774" s="241" t="b">
        <v>0</v>
      </c>
      <c r="H774" s="237"/>
      <c r="I774" s="237"/>
      <c r="J774" s="237"/>
      <c r="K774" s="237"/>
      <c r="L774" s="237"/>
    </row>
    <row r="775" spans="8:8" ht="15.75" customHeight="1">
      <c r="F775" s="241" t="b">
        <v>0</v>
      </c>
      <c r="H775" s="237"/>
      <c r="I775" s="237"/>
      <c r="J775" s="237"/>
      <c r="K775" s="237"/>
      <c r="L775" s="237"/>
    </row>
    <row r="776" spans="8:8" ht="15.75" customHeight="1">
      <c r="F776" s="241" t="b">
        <v>0</v>
      </c>
      <c r="H776" s="237"/>
      <c r="I776" s="237"/>
      <c r="J776" s="237"/>
      <c r="K776" s="237"/>
      <c r="L776" s="237"/>
    </row>
    <row r="777" spans="8:8" ht="15.75" customHeight="1">
      <c r="F777" s="241" t="b">
        <v>0</v>
      </c>
      <c r="H777" s="237"/>
      <c r="I777" s="237"/>
      <c r="J777" s="237"/>
      <c r="K777" s="237"/>
      <c r="L777" s="237"/>
    </row>
    <row r="778" spans="8:8" ht="15.75" customHeight="1">
      <c r="F778" s="241" t="b">
        <v>0</v>
      </c>
      <c r="H778" s="237"/>
      <c r="I778" s="237"/>
      <c r="J778" s="237"/>
      <c r="K778" s="237"/>
      <c r="L778" s="237"/>
    </row>
    <row r="779" spans="8:8" ht="15.75" customHeight="1">
      <c r="F779" s="241" t="b">
        <v>0</v>
      </c>
      <c r="H779" s="237"/>
      <c r="I779" s="237"/>
      <c r="J779" s="237"/>
      <c r="K779" s="237"/>
      <c r="L779" s="237"/>
    </row>
    <row r="780" spans="8:8" ht="15.75" customHeight="1">
      <c r="F780" s="241" t="b">
        <v>0</v>
      </c>
      <c r="H780" s="237"/>
      <c r="I780" s="237"/>
      <c r="J780" s="237"/>
      <c r="K780" s="237"/>
      <c r="L780" s="237"/>
    </row>
    <row r="781" spans="8:8" ht="15.75" customHeight="1">
      <c r="F781" s="241" t="b">
        <v>0</v>
      </c>
      <c r="H781" s="237"/>
      <c r="I781" s="237"/>
      <c r="J781" s="237"/>
      <c r="K781" s="237"/>
      <c r="L781" s="237"/>
    </row>
    <row r="782" spans="8:8" ht="15.75" customHeight="1">
      <c r="F782" s="241" t="b">
        <v>0</v>
      </c>
      <c r="H782" s="237"/>
      <c r="I782" s="237"/>
      <c r="J782" s="237"/>
      <c r="K782" s="237"/>
      <c r="L782" s="237"/>
    </row>
    <row r="783" spans="8:8" ht="15.75" customHeight="1">
      <c r="F783" s="241" t="b">
        <v>0</v>
      </c>
      <c r="H783" s="237"/>
      <c r="I783" s="237"/>
      <c r="J783" s="237"/>
      <c r="K783" s="237"/>
      <c r="L783" s="237"/>
    </row>
    <row r="784" spans="8:8" ht="15.75" customHeight="1">
      <c r="F784" s="241" t="b">
        <v>0</v>
      </c>
      <c r="H784" s="237"/>
      <c r="I784" s="237"/>
      <c r="J784" s="237"/>
      <c r="K784" s="237"/>
      <c r="L784" s="237"/>
    </row>
    <row r="785" spans="8:8" ht="15.75" customHeight="1">
      <c r="F785" s="241" t="b">
        <v>0</v>
      </c>
      <c r="H785" s="237"/>
      <c r="I785" s="237"/>
      <c r="J785" s="237"/>
      <c r="K785" s="237"/>
      <c r="L785" s="237"/>
    </row>
    <row r="786" spans="8:8" ht="15.75" customHeight="1">
      <c r="F786" s="241" t="b">
        <v>0</v>
      </c>
      <c r="H786" s="237"/>
      <c r="I786" s="237"/>
      <c r="J786" s="237"/>
      <c r="K786" s="237"/>
      <c r="L786" s="237"/>
    </row>
    <row r="787" spans="8:8" ht="15.75" customHeight="1">
      <c r="F787" s="241" t="b">
        <v>0</v>
      </c>
      <c r="H787" s="237"/>
      <c r="I787" s="237"/>
      <c r="J787" s="237"/>
      <c r="K787" s="237"/>
      <c r="L787" s="237"/>
    </row>
    <row r="788" spans="8:8" ht="15.75" customHeight="1">
      <c r="F788" s="241" t="b">
        <v>0</v>
      </c>
      <c r="H788" s="237"/>
      <c r="I788" s="237"/>
      <c r="J788" s="237"/>
      <c r="K788" s="237"/>
      <c r="L788" s="237"/>
    </row>
    <row r="789" spans="8:8" ht="15.75" customHeight="1">
      <c r="F789" s="241" t="b">
        <v>0</v>
      </c>
      <c r="H789" s="237"/>
      <c r="I789" s="237"/>
      <c r="J789" s="237"/>
      <c r="K789" s="237"/>
      <c r="L789" s="237"/>
    </row>
    <row r="790" spans="8:8" ht="15.75" customHeight="1">
      <c r="F790" s="241" t="b">
        <v>0</v>
      </c>
      <c r="H790" s="237"/>
      <c r="I790" s="237"/>
      <c r="J790" s="237"/>
      <c r="K790" s="237"/>
      <c r="L790" s="237"/>
    </row>
    <row r="791" spans="8:8" ht="15.75" customHeight="1">
      <c r="F791" s="241" t="b">
        <v>0</v>
      </c>
      <c r="H791" s="237"/>
      <c r="I791" s="237"/>
      <c r="J791" s="237"/>
      <c r="K791" s="237"/>
      <c r="L791" s="237"/>
    </row>
    <row r="792" spans="8:8" ht="15.75" customHeight="1">
      <c r="F792" s="241" t="b">
        <v>0</v>
      </c>
      <c r="H792" s="237"/>
      <c r="I792" s="237"/>
      <c r="J792" s="237"/>
      <c r="K792" s="237"/>
      <c r="L792" s="237"/>
    </row>
    <row r="793" spans="8:8" ht="15.75" customHeight="1">
      <c r="F793" s="241" t="b">
        <v>0</v>
      </c>
      <c r="H793" s="237"/>
      <c r="I793" s="237"/>
      <c r="J793" s="237"/>
      <c r="K793" s="237"/>
      <c r="L793" s="237"/>
    </row>
    <row r="794" spans="8:8" ht="15.75" customHeight="1">
      <c r="F794" s="241" t="b">
        <v>0</v>
      </c>
      <c r="H794" s="237"/>
      <c r="I794" s="237"/>
      <c r="J794" s="237"/>
      <c r="K794" s="237"/>
      <c r="L794" s="237"/>
    </row>
    <row r="795" spans="8:8" ht="15.75" customHeight="1">
      <c r="F795" s="241" t="b">
        <v>0</v>
      </c>
      <c r="H795" s="237"/>
      <c r="I795" s="237"/>
      <c r="J795" s="237"/>
      <c r="K795" s="237"/>
      <c r="L795" s="237"/>
    </row>
    <row r="796" spans="8:8" ht="15.75" customHeight="1">
      <c r="F796" s="241" t="b">
        <v>0</v>
      </c>
      <c r="H796" s="237"/>
      <c r="I796" s="237"/>
      <c r="J796" s="237"/>
      <c r="K796" s="237"/>
      <c r="L796" s="237"/>
    </row>
    <row r="797" spans="8:8" ht="15.75" customHeight="1">
      <c r="F797" s="241" t="b">
        <v>0</v>
      </c>
      <c r="H797" s="237"/>
      <c r="I797" s="237"/>
      <c r="J797" s="237"/>
      <c r="K797" s="237"/>
      <c r="L797" s="237"/>
    </row>
    <row r="798" spans="8:8" ht="15.75" customHeight="1">
      <c r="F798" s="241" t="b">
        <v>0</v>
      </c>
      <c r="H798" s="237"/>
      <c r="I798" s="237"/>
      <c r="J798" s="237"/>
      <c r="K798" s="237"/>
      <c r="L798" s="237"/>
    </row>
    <row r="799" spans="8:8" ht="15.75" customHeight="1">
      <c r="F799" s="241" t="b">
        <v>0</v>
      </c>
      <c r="H799" s="237"/>
      <c r="I799" s="237"/>
      <c r="J799" s="237"/>
      <c r="K799" s="237"/>
      <c r="L799" s="237"/>
    </row>
    <row r="800" spans="8:8" ht="15.75" customHeight="1">
      <c r="F800" s="241" t="b">
        <v>0</v>
      </c>
      <c r="H800" s="237"/>
      <c r="I800" s="237"/>
      <c r="J800" s="237"/>
      <c r="K800" s="237"/>
      <c r="L800" s="237"/>
    </row>
    <row r="801" spans="8:8" ht="15.75" customHeight="1">
      <c r="F801" s="241" t="b">
        <v>0</v>
      </c>
      <c r="H801" s="237"/>
      <c r="I801" s="237"/>
      <c r="J801" s="237"/>
      <c r="K801" s="237"/>
      <c r="L801" s="237"/>
    </row>
    <row r="802" spans="8:8" ht="15.75" customHeight="1">
      <c r="F802" s="241" t="b">
        <v>0</v>
      </c>
      <c r="H802" s="237"/>
      <c r="I802" s="237"/>
      <c r="J802" s="237"/>
      <c r="K802" s="237"/>
      <c r="L802" s="237"/>
    </row>
    <row r="803" spans="8:8" ht="15.75" customHeight="1">
      <c r="F803" s="241" t="b">
        <v>0</v>
      </c>
      <c r="H803" s="237"/>
      <c r="I803" s="237"/>
      <c r="J803" s="237"/>
      <c r="K803" s="237"/>
      <c r="L803" s="237"/>
    </row>
    <row r="804" spans="8:8" ht="15.75" customHeight="1">
      <c r="F804" s="241" t="b">
        <v>0</v>
      </c>
      <c r="H804" s="237"/>
      <c r="I804" s="237"/>
      <c r="J804" s="237"/>
      <c r="K804" s="237"/>
      <c r="L804" s="237"/>
    </row>
    <row r="805" spans="8:8" ht="15.75" customHeight="1">
      <c r="F805" s="241" t="b">
        <v>0</v>
      </c>
      <c r="H805" s="237"/>
      <c r="I805" s="237"/>
      <c r="J805" s="237"/>
      <c r="K805" s="237"/>
      <c r="L805" s="237"/>
    </row>
    <row r="806" spans="8:8" ht="15.75" customHeight="1">
      <c r="F806" s="241" t="b">
        <v>0</v>
      </c>
      <c r="H806" s="237"/>
      <c r="I806" s="237"/>
      <c r="J806" s="237"/>
      <c r="K806" s="237"/>
      <c r="L806" s="237"/>
    </row>
    <row r="807" spans="8:8" ht="15.75" customHeight="1">
      <c r="F807" s="241" t="b">
        <v>0</v>
      </c>
      <c r="H807" s="237"/>
      <c r="I807" s="237"/>
      <c r="J807" s="237"/>
      <c r="K807" s="237"/>
      <c r="L807" s="237"/>
    </row>
    <row r="808" spans="8:8" ht="15.75" customHeight="1">
      <c r="F808" s="241" t="b">
        <v>0</v>
      </c>
      <c r="H808" s="237"/>
      <c r="I808" s="237"/>
      <c r="J808" s="237"/>
      <c r="K808" s="237"/>
      <c r="L808" s="237"/>
    </row>
    <row r="809" spans="8:8" ht="15.75" customHeight="1">
      <c r="F809" s="241" t="b">
        <v>0</v>
      </c>
      <c r="H809" s="237"/>
      <c r="I809" s="237"/>
      <c r="J809" s="237"/>
      <c r="K809" s="237"/>
      <c r="L809" s="237"/>
    </row>
    <row r="810" spans="8:8" ht="15.75" customHeight="1">
      <c r="F810" s="241" t="b">
        <v>0</v>
      </c>
      <c r="H810" s="237"/>
      <c r="I810" s="237"/>
      <c r="J810" s="237"/>
      <c r="K810" s="237"/>
      <c r="L810" s="237"/>
    </row>
    <row r="811" spans="8:8" ht="15.75" customHeight="1">
      <c r="F811" s="241" t="b">
        <v>0</v>
      </c>
      <c r="H811" s="237"/>
      <c r="I811" s="237"/>
      <c r="J811" s="237"/>
      <c r="K811" s="237"/>
      <c r="L811" s="237"/>
    </row>
    <row r="812" spans="8:8" ht="15.75" customHeight="1">
      <c r="F812" s="241" t="b">
        <v>0</v>
      </c>
      <c r="H812" s="237"/>
      <c r="I812" s="237"/>
      <c r="J812" s="237"/>
      <c r="K812" s="237"/>
      <c r="L812" s="237"/>
    </row>
    <row r="813" spans="8:8" ht="15.75" customHeight="1">
      <c r="F813" s="241" t="b">
        <v>0</v>
      </c>
      <c r="H813" s="237"/>
      <c r="I813" s="237"/>
      <c r="J813" s="237"/>
      <c r="K813" s="237"/>
      <c r="L813" s="237"/>
    </row>
    <row r="814" spans="8:8" ht="15.75" customHeight="1">
      <c r="F814" s="241" t="b">
        <v>0</v>
      </c>
      <c r="H814" s="237"/>
      <c r="I814" s="237"/>
      <c r="J814" s="237"/>
      <c r="K814" s="237"/>
      <c r="L814" s="237"/>
    </row>
    <row r="815" spans="8:8" ht="15.75" customHeight="1">
      <c r="F815" s="241" t="b">
        <v>0</v>
      </c>
      <c r="H815" s="237"/>
      <c r="I815" s="237"/>
      <c r="J815" s="237"/>
      <c r="K815" s="237"/>
      <c r="L815" s="237"/>
    </row>
    <row r="816" spans="8:8" ht="15.75" customHeight="1">
      <c r="F816" s="241" t="b">
        <v>0</v>
      </c>
      <c r="H816" s="237"/>
      <c r="I816" s="237"/>
      <c r="J816" s="237"/>
      <c r="K816" s="237"/>
      <c r="L816" s="237"/>
    </row>
    <row r="817" spans="8:8" ht="15.75" customHeight="1">
      <c r="F817" s="241" t="b">
        <v>0</v>
      </c>
      <c r="H817" s="237"/>
      <c r="I817" s="237"/>
      <c r="J817" s="237"/>
      <c r="K817" s="237"/>
      <c r="L817" s="237"/>
    </row>
    <row r="818" spans="8:8" ht="15.75" customHeight="1">
      <c r="F818" s="241" t="b">
        <v>0</v>
      </c>
      <c r="H818" s="237"/>
      <c r="I818" s="237"/>
      <c r="J818" s="237"/>
      <c r="K818" s="237"/>
      <c r="L818" s="237"/>
    </row>
    <row r="819" spans="8:8" ht="15.75" customHeight="1">
      <c r="F819" s="241" t="b">
        <v>0</v>
      </c>
      <c r="H819" s="237"/>
      <c r="I819" s="237"/>
      <c r="J819" s="237"/>
      <c r="K819" s="237"/>
      <c r="L819" s="237"/>
    </row>
    <row r="820" spans="8:8" ht="15.75" customHeight="1">
      <c r="F820" s="241" t="b">
        <v>0</v>
      </c>
      <c r="H820" s="237"/>
      <c r="I820" s="237"/>
      <c r="J820" s="237"/>
      <c r="K820" s="237"/>
      <c r="L820" s="237"/>
    </row>
    <row r="821" spans="8:8" ht="15.75" customHeight="1">
      <c r="F821" s="241" t="b">
        <v>0</v>
      </c>
      <c r="H821" s="237"/>
      <c r="I821" s="237"/>
      <c r="J821" s="237"/>
      <c r="K821" s="237"/>
      <c r="L821" s="237"/>
    </row>
    <row r="822" spans="8:8" ht="15.75" customHeight="1">
      <c r="F822" s="241" t="b">
        <v>0</v>
      </c>
      <c r="H822" s="237"/>
      <c r="I822" s="237"/>
      <c r="J822" s="237"/>
      <c r="K822" s="237"/>
      <c r="L822" s="237"/>
    </row>
    <row r="823" spans="8:8" ht="15.75" customHeight="1">
      <c r="F823" s="241" t="b">
        <v>0</v>
      </c>
      <c r="H823" s="237"/>
      <c r="I823" s="237"/>
      <c r="J823" s="237"/>
      <c r="K823" s="237"/>
      <c r="L823" s="237"/>
    </row>
    <row r="824" spans="8:8" ht="15.75" customHeight="1">
      <c r="F824" s="241" t="b">
        <v>0</v>
      </c>
      <c r="H824" s="237"/>
      <c r="I824" s="237"/>
      <c r="J824" s="237"/>
      <c r="K824" s="237"/>
      <c r="L824" s="237"/>
    </row>
    <row r="825" spans="8:8" ht="15.75" customHeight="1">
      <c r="F825" s="241" t="b">
        <v>0</v>
      </c>
      <c r="H825" s="237"/>
      <c r="I825" s="237"/>
      <c r="J825" s="237"/>
      <c r="K825" s="237"/>
      <c r="L825" s="237"/>
    </row>
    <row r="826" spans="8:8" ht="15.75" customHeight="1">
      <c r="F826" s="241" t="b">
        <v>0</v>
      </c>
      <c r="H826" s="237"/>
      <c r="I826" s="237"/>
      <c r="J826" s="237"/>
      <c r="K826" s="237"/>
      <c r="L826" s="237"/>
    </row>
    <row r="827" spans="8:8" ht="15.75" customHeight="1">
      <c r="F827" s="241" t="b">
        <v>0</v>
      </c>
      <c r="H827" s="237"/>
      <c r="I827" s="237"/>
      <c r="J827" s="237"/>
      <c r="K827" s="237"/>
      <c r="L827" s="237"/>
    </row>
    <row r="828" spans="8:8" ht="15.75" customHeight="1">
      <c r="F828" s="241" t="b">
        <v>0</v>
      </c>
      <c r="H828" s="237"/>
      <c r="I828" s="237"/>
      <c r="J828" s="237"/>
      <c r="K828" s="237"/>
      <c r="L828" s="237"/>
    </row>
    <row r="829" spans="8:8" ht="15.75" customHeight="1">
      <c r="F829" s="241" t="b">
        <v>0</v>
      </c>
      <c r="H829" s="237"/>
      <c r="I829" s="237"/>
      <c r="J829" s="237"/>
      <c r="K829" s="237"/>
      <c r="L829" s="237"/>
    </row>
    <row r="830" spans="8:8" ht="15.75" customHeight="1">
      <c r="F830" s="241" t="b">
        <v>0</v>
      </c>
      <c r="H830" s="237"/>
      <c r="I830" s="237"/>
      <c r="J830" s="237"/>
      <c r="K830" s="237"/>
      <c r="L830" s="237"/>
    </row>
    <row r="831" spans="8:8" ht="15.75" customHeight="1">
      <c r="F831" s="241" t="b">
        <v>0</v>
      </c>
      <c r="H831" s="237"/>
      <c r="I831" s="237"/>
      <c r="J831" s="237"/>
      <c r="K831" s="237"/>
      <c r="L831" s="237"/>
    </row>
    <row r="832" spans="8:8" ht="15.75" customHeight="1">
      <c r="F832" s="241" t="b">
        <v>0</v>
      </c>
      <c r="H832" s="237"/>
      <c r="I832" s="237"/>
      <c r="J832" s="237"/>
      <c r="K832" s="237"/>
      <c r="L832" s="237"/>
    </row>
    <row r="833" spans="8:8" ht="15.75" customHeight="1">
      <c r="F833" s="241" t="b">
        <v>0</v>
      </c>
      <c r="H833" s="237"/>
      <c r="I833" s="237"/>
      <c r="J833" s="237"/>
      <c r="K833" s="237"/>
      <c r="L833" s="237"/>
    </row>
    <row r="834" spans="8:8" ht="15.75" customHeight="1">
      <c r="F834" s="241" t="b">
        <v>0</v>
      </c>
      <c r="H834" s="237"/>
      <c r="I834" s="237"/>
      <c r="J834" s="237"/>
      <c r="K834" s="237"/>
      <c r="L834" s="237"/>
    </row>
    <row r="835" spans="8:8" ht="15.75" customHeight="1">
      <c r="F835" s="241" t="b">
        <v>0</v>
      </c>
      <c r="H835" s="237"/>
      <c r="I835" s="237"/>
      <c r="J835" s="237"/>
      <c r="K835" s="237"/>
      <c r="L835" s="237"/>
    </row>
    <row r="836" spans="8:8" ht="15.75" customHeight="1">
      <c r="F836" s="241" t="b">
        <v>0</v>
      </c>
      <c r="H836" s="237"/>
      <c r="I836" s="237"/>
      <c r="J836" s="237"/>
      <c r="K836" s="237"/>
      <c r="L836" s="237"/>
    </row>
    <row r="837" spans="8:8" ht="15.75" customHeight="1">
      <c r="F837" s="241" t="b">
        <v>0</v>
      </c>
      <c r="H837" s="237"/>
      <c r="I837" s="237"/>
      <c r="J837" s="237"/>
      <c r="K837" s="237"/>
      <c r="L837" s="237"/>
    </row>
    <row r="838" spans="8:8" ht="15.75" customHeight="1">
      <c r="F838" s="241" t="b">
        <v>0</v>
      </c>
      <c r="H838" s="237"/>
      <c r="I838" s="237"/>
      <c r="J838" s="237"/>
      <c r="K838" s="237"/>
      <c r="L838" s="237"/>
    </row>
    <row r="839" spans="8:8" ht="15.75" customHeight="1">
      <c r="F839" s="241" t="b">
        <v>0</v>
      </c>
      <c r="H839" s="237"/>
      <c r="I839" s="237"/>
      <c r="J839" s="237"/>
      <c r="K839" s="237"/>
      <c r="L839" s="237"/>
    </row>
    <row r="840" spans="8:8" ht="15.75" customHeight="1">
      <c r="F840" s="241" t="b">
        <v>0</v>
      </c>
      <c r="H840" s="237"/>
      <c r="I840" s="237"/>
      <c r="J840" s="237"/>
      <c r="K840" s="237"/>
      <c r="L840" s="237"/>
    </row>
    <row r="841" spans="8:8" ht="15.75" customHeight="1">
      <c r="F841" s="241" t="b">
        <v>0</v>
      </c>
      <c r="H841" s="237"/>
      <c r="I841" s="237"/>
      <c r="J841" s="237"/>
      <c r="K841" s="237"/>
      <c r="L841" s="237"/>
    </row>
    <row r="842" spans="8:8" ht="15.75" customHeight="1">
      <c r="F842" s="241" t="b">
        <v>0</v>
      </c>
      <c r="H842" s="237"/>
      <c r="I842" s="237"/>
      <c r="J842" s="237"/>
      <c r="K842" s="237"/>
      <c r="L842" s="237"/>
    </row>
    <row r="843" spans="8:8" ht="15.75" customHeight="1">
      <c r="F843" s="241" t="b">
        <v>0</v>
      </c>
      <c r="H843" s="237"/>
      <c r="I843" s="237"/>
      <c r="J843" s="237"/>
      <c r="K843" s="237"/>
      <c r="L843" s="237"/>
    </row>
    <row r="844" spans="8:8" ht="15.75" customHeight="1">
      <c r="F844" s="241" t="b">
        <v>0</v>
      </c>
      <c r="H844" s="237"/>
      <c r="I844" s="237"/>
      <c r="J844" s="237"/>
      <c r="K844" s="237"/>
      <c r="L844" s="237"/>
    </row>
    <row r="845" spans="8:8" ht="15.75" customHeight="1">
      <c r="F845" s="241" t="b">
        <v>0</v>
      </c>
      <c r="H845" s="237"/>
      <c r="I845" s="237"/>
      <c r="J845" s="237"/>
      <c r="K845" s="237"/>
      <c r="L845" s="237"/>
    </row>
    <row r="846" spans="8:8" ht="15.75" customHeight="1">
      <c r="F846" s="241" t="b">
        <v>0</v>
      </c>
      <c r="H846" s="237"/>
      <c r="I846" s="237"/>
      <c r="J846" s="237"/>
      <c r="K846" s="237"/>
      <c r="L846" s="237"/>
    </row>
    <row r="847" spans="8:8" ht="15.75" customHeight="1">
      <c r="F847" s="241" t="b">
        <v>0</v>
      </c>
      <c r="H847" s="237"/>
      <c r="I847" s="237"/>
      <c r="J847" s="237"/>
      <c r="K847" s="237"/>
      <c r="L847" s="237"/>
    </row>
    <row r="848" spans="8:8" ht="15.75" customHeight="1">
      <c r="F848" s="241" t="b">
        <v>0</v>
      </c>
      <c r="H848" s="237"/>
      <c r="I848" s="237"/>
      <c r="J848" s="237"/>
      <c r="K848" s="237"/>
      <c r="L848" s="237"/>
    </row>
    <row r="849" spans="8:8" ht="15.75" customHeight="1">
      <c r="F849" s="241" t="b">
        <v>0</v>
      </c>
      <c r="H849" s="237"/>
      <c r="I849" s="237"/>
      <c r="J849" s="237"/>
      <c r="K849" s="237"/>
      <c r="L849" s="237"/>
    </row>
    <row r="850" spans="8:8" ht="15.75" customHeight="1">
      <c r="F850" s="241" t="b">
        <v>0</v>
      </c>
      <c r="H850" s="237"/>
      <c r="I850" s="237"/>
      <c r="J850" s="237"/>
      <c r="K850" s="237"/>
      <c r="L850" s="237"/>
    </row>
    <row r="851" spans="8:8" ht="15.75" customHeight="1">
      <c r="F851" s="241" t="b">
        <v>0</v>
      </c>
      <c r="H851" s="237"/>
      <c r="I851" s="237"/>
      <c r="J851" s="237"/>
      <c r="K851" s="237"/>
      <c r="L851" s="237"/>
    </row>
    <row r="852" spans="8:8" ht="15.75" customHeight="1">
      <c r="F852" s="241" t="b">
        <v>0</v>
      </c>
      <c r="H852" s="237"/>
      <c r="I852" s="237"/>
      <c r="J852" s="237"/>
      <c r="K852" s="237"/>
      <c r="L852" s="237"/>
    </row>
    <row r="853" spans="8:8" ht="15.75" customHeight="1">
      <c r="F853" s="241" t="b">
        <v>0</v>
      </c>
      <c r="H853" s="237"/>
      <c r="I853" s="237"/>
      <c r="J853" s="237"/>
      <c r="K853" s="237"/>
      <c r="L853" s="237"/>
    </row>
    <row r="854" spans="8:8" ht="15.75" customHeight="1">
      <c r="F854" s="241" t="b">
        <v>0</v>
      </c>
      <c r="H854" s="237"/>
      <c r="I854" s="237"/>
      <c r="J854" s="237"/>
      <c r="K854" s="237"/>
      <c r="L854" s="237"/>
    </row>
    <row r="855" spans="8:8" ht="15.75" customHeight="1">
      <c r="F855" s="241" t="b">
        <v>0</v>
      </c>
      <c r="H855" s="237"/>
      <c r="I855" s="237"/>
      <c r="J855" s="237"/>
      <c r="K855" s="237"/>
      <c r="L855" s="237"/>
    </row>
    <row r="856" spans="8:8" ht="15.75" customHeight="1">
      <c r="F856" s="241" t="b">
        <v>0</v>
      </c>
      <c r="H856" s="237"/>
      <c r="I856" s="237"/>
      <c r="J856" s="237"/>
      <c r="K856" s="237"/>
      <c r="L856" s="237"/>
    </row>
    <row r="857" spans="8:8" ht="15.75" customHeight="1">
      <c r="F857" s="241" t="b">
        <v>0</v>
      </c>
      <c r="H857" s="237"/>
      <c r="I857" s="237"/>
      <c r="J857" s="237"/>
      <c r="K857" s="237"/>
      <c r="L857" s="237"/>
    </row>
    <row r="858" spans="8:8" ht="15.75" customHeight="1">
      <c r="F858" s="241" t="b">
        <v>0</v>
      </c>
      <c r="H858" s="237"/>
      <c r="I858" s="237"/>
      <c r="J858" s="237"/>
      <c r="K858" s="237"/>
      <c r="L858" s="237"/>
    </row>
    <row r="859" spans="8:8" ht="15.75" customHeight="1">
      <c r="F859" s="241" t="b">
        <v>0</v>
      </c>
      <c r="H859" s="237"/>
      <c r="I859" s="237"/>
      <c r="J859" s="237"/>
      <c r="K859" s="237"/>
      <c r="L859" s="237"/>
    </row>
    <row r="860" spans="8:8" ht="15.75" customHeight="1">
      <c r="F860" s="241" t="b">
        <v>0</v>
      </c>
      <c r="H860" s="237"/>
      <c r="I860" s="237"/>
      <c r="J860" s="237"/>
      <c r="K860" s="237"/>
      <c r="L860" s="237"/>
    </row>
    <row r="861" spans="8:8" ht="15.75" customHeight="1">
      <c r="F861" s="241" t="b">
        <v>0</v>
      </c>
      <c r="H861" s="237"/>
      <c r="I861" s="237"/>
      <c r="J861" s="237"/>
      <c r="K861" s="237"/>
      <c r="L861" s="237"/>
    </row>
    <row r="862" spans="8:8" ht="15.75" customHeight="1">
      <c r="F862" s="241" t="b">
        <v>0</v>
      </c>
      <c r="H862" s="237"/>
      <c r="I862" s="237"/>
      <c r="J862" s="237"/>
      <c r="K862" s="237"/>
      <c r="L862" s="237"/>
    </row>
    <row r="863" spans="8:8" ht="15.75" customHeight="1">
      <c r="F863" s="241" t="b">
        <v>0</v>
      </c>
      <c r="H863" s="237"/>
      <c r="I863" s="237"/>
      <c r="J863" s="237"/>
      <c r="K863" s="237"/>
      <c r="L863" s="237"/>
    </row>
    <row r="864" spans="8:8" ht="15.75" customHeight="1">
      <c r="F864" s="241" t="b">
        <v>0</v>
      </c>
      <c r="H864" s="237"/>
      <c r="I864" s="237"/>
      <c r="J864" s="237"/>
      <c r="K864" s="237"/>
      <c r="L864" s="237"/>
    </row>
    <row r="865" spans="8:8" ht="15.75" customHeight="1">
      <c r="F865" s="241" t="b">
        <v>0</v>
      </c>
      <c r="H865" s="237"/>
      <c r="I865" s="237"/>
      <c r="J865" s="237"/>
      <c r="K865" s="237"/>
      <c r="L865" s="237"/>
    </row>
    <row r="866" spans="8:8" ht="15.75" customHeight="1">
      <c r="F866" s="241" t="b">
        <v>0</v>
      </c>
      <c r="H866" s="237"/>
      <c r="I866" s="237"/>
      <c r="J866" s="237"/>
      <c r="K866" s="237"/>
      <c r="L866" s="237"/>
    </row>
    <row r="867" spans="8:8" ht="15.75" customHeight="1">
      <c r="F867" s="241" t="b">
        <v>0</v>
      </c>
      <c r="H867" s="237"/>
      <c r="I867" s="237"/>
      <c r="J867" s="237"/>
      <c r="K867" s="237"/>
      <c r="L867" s="237"/>
    </row>
    <row r="868" spans="8:8" ht="15.75" customHeight="1">
      <c r="F868" s="241" t="b">
        <v>0</v>
      </c>
      <c r="H868" s="237"/>
      <c r="I868" s="237"/>
      <c r="J868" s="237"/>
      <c r="K868" s="237"/>
      <c r="L868" s="237"/>
    </row>
    <row r="869" spans="8:8" ht="15.75" customHeight="1">
      <c r="F869" s="241" t="b">
        <v>0</v>
      </c>
      <c r="H869" s="237"/>
      <c r="I869" s="237"/>
      <c r="J869" s="237"/>
      <c r="K869" s="237"/>
      <c r="L869" s="237"/>
    </row>
    <row r="870" spans="8:8" ht="15.75" customHeight="1">
      <c r="F870" s="241" t="b">
        <v>0</v>
      </c>
      <c r="H870" s="237"/>
      <c r="I870" s="237"/>
      <c r="J870" s="237"/>
      <c r="K870" s="237"/>
      <c r="L870" s="237"/>
    </row>
    <row r="871" spans="8:8" ht="15.75" customHeight="1">
      <c r="F871" s="241" t="b">
        <v>0</v>
      </c>
      <c r="H871" s="237"/>
      <c r="I871" s="237"/>
      <c r="J871" s="237"/>
      <c r="K871" s="237"/>
      <c r="L871" s="237"/>
    </row>
    <row r="872" spans="8:8" ht="15.75" customHeight="1">
      <c r="F872" s="241" t="b">
        <v>0</v>
      </c>
      <c r="H872" s="237"/>
      <c r="I872" s="237"/>
      <c r="J872" s="237"/>
      <c r="K872" s="237"/>
      <c r="L872" s="237"/>
    </row>
    <row r="873" spans="8:8" ht="15.75" customHeight="1">
      <c r="F873" s="241" t="b">
        <v>0</v>
      </c>
      <c r="H873" s="237"/>
      <c r="I873" s="237"/>
      <c r="J873" s="237"/>
      <c r="K873" s="237"/>
      <c r="L873" s="237"/>
    </row>
    <row r="874" spans="8:8" ht="15.75" customHeight="1">
      <c r="F874" s="241" t="b">
        <v>0</v>
      </c>
      <c r="H874" s="237"/>
      <c r="I874" s="237"/>
      <c r="J874" s="237"/>
      <c r="K874" s="237"/>
      <c r="L874" s="237"/>
    </row>
    <row r="875" spans="8:8" ht="15.75" customHeight="1">
      <c r="F875" s="241" t="b">
        <v>0</v>
      </c>
      <c r="H875" s="237"/>
      <c r="I875" s="237"/>
      <c r="J875" s="237"/>
      <c r="K875" s="237"/>
      <c r="L875" s="237"/>
    </row>
    <row r="876" spans="8:8" ht="15.75" customHeight="1">
      <c r="F876" s="241" t="b">
        <v>0</v>
      </c>
      <c r="H876" s="237"/>
      <c r="I876" s="237"/>
      <c r="J876" s="237"/>
      <c r="K876" s="237"/>
      <c r="L876" s="237"/>
    </row>
    <row r="877" spans="8:8" ht="15.75" customHeight="1">
      <c r="F877" s="241" t="b">
        <v>0</v>
      </c>
      <c r="H877" s="237"/>
      <c r="I877" s="237"/>
      <c r="J877" s="237"/>
      <c r="K877" s="237"/>
      <c r="L877" s="237"/>
    </row>
    <row r="878" spans="8:8" ht="15.75" customHeight="1">
      <c r="F878" s="241" t="b">
        <v>0</v>
      </c>
      <c r="H878" s="237"/>
      <c r="I878" s="237"/>
      <c r="J878" s="237"/>
      <c r="K878" s="237"/>
      <c r="L878" s="237"/>
    </row>
    <row r="879" spans="8:8" ht="15.75" customHeight="1">
      <c r="F879" s="241" t="b">
        <v>0</v>
      </c>
      <c r="H879" s="237"/>
      <c r="I879" s="237"/>
      <c r="J879" s="237"/>
      <c r="K879" s="237"/>
      <c r="L879" s="237"/>
    </row>
    <row r="880" spans="8:8" ht="15.75" customHeight="1">
      <c r="F880" s="241" t="b">
        <v>0</v>
      </c>
      <c r="H880" s="237"/>
      <c r="I880" s="237"/>
      <c r="J880" s="237"/>
      <c r="K880" s="237"/>
      <c r="L880" s="237"/>
    </row>
    <row r="881" spans="8:8" ht="15.75" customHeight="1">
      <c r="F881" s="241" t="b">
        <v>0</v>
      </c>
      <c r="H881" s="237"/>
      <c r="I881" s="237"/>
      <c r="J881" s="237"/>
      <c r="K881" s="237"/>
      <c r="L881" s="237"/>
    </row>
    <row r="882" spans="8:8" ht="15.75" customHeight="1">
      <c r="F882" s="241" t="b">
        <v>0</v>
      </c>
      <c r="H882" s="237"/>
      <c r="I882" s="237"/>
      <c r="J882" s="237"/>
      <c r="K882" s="237"/>
      <c r="L882" s="237"/>
    </row>
    <row r="883" spans="8:8" ht="15.75" customHeight="1">
      <c r="F883" s="241" t="b">
        <v>0</v>
      </c>
      <c r="H883" s="237"/>
      <c r="I883" s="237"/>
      <c r="J883" s="237"/>
      <c r="K883" s="237"/>
      <c r="L883" s="237"/>
    </row>
    <row r="884" spans="8:8" ht="15.75" customHeight="1">
      <c r="F884" s="241" t="b">
        <v>0</v>
      </c>
      <c r="H884" s="237"/>
      <c r="I884" s="237"/>
      <c r="J884" s="237"/>
      <c r="K884" s="237"/>
      <c r="L884" s="237"/>
    </row>
    <row r="885" spans="8:8" ht="15.75" customHeight="1">
      <c r="F885" s="241" t="b">
        <v>0</v>
      </c>
      <c r="H885" s="237"/>
      <c r="I885" s="237"/>
      <c r="J885" s="237"/>
      <c r="K885" s="237"/>
      <c r="L885" s="237"/>
    </row>
    <row r="886" spans="8:8" ht="15.75" customHeight="1">
      <c r="F886" s="241" t="b">
        <v>0</v>
      </c>
      <c r="H886" s="237"/>
      <c r="I886" s="237"/>
      <c r="J886" s="237"/>
      <c r="K886" s="237"/>
      <c r="L886" s="237"/>
    </row>
    <row r="887" spans="8:8" ht="15.75" customHeight="1">
      <c r="F887" s="241" t="b">
        <v>0</v>
      </c>
      <c r="H887" s="237"/>
      <c r="I887" s="237"/>
      <c r="J887" s="237"/>
      <c r="K887" s="237"/>
      <c r="L887" s="237"/>
    </row>
    <row r="888" spans="8:8" ht="15.75" customHeight="1">
      <c r="F888" s="241" t="b">
        <v>0</v>
      </c>
      <c r="H888" s="237"/>
      <c r="I888" s="237"/>
      <c r="J888" s="237"/>
      <c r="K888" s="237"/>
      <c r="L888" s="237"/>
    </row>
    <row r="889" spans="8:8" ht="15.75" customHeight="1">
      <c r="F889" s="241" t="b">
        <v>0</v>
      </c>
      <c r="H889" s="237"/>
      <c r="I889" s="237"/>
      <c r="J889" s="237"/>
      <c r="K889" s="237"/>
      <c r="L889" s="237"/>
    </row>
    <row r="890" spans="8:8" ht="15.75" customHeight="1">
      <c r="F890" s="241" t="b">
        <v>0</v>
      </c>
      <c r="H890" s="237"/>
      <c r="I890" s="237"/>
      <c r="J890" s="237"/>
      <c r="K890" s="237"/>
      <c r="L890" s="237"/>
    </row>
    <row r="891" spans="8:8" ht="15.75" customHeight="1">
      <c r="F891" s="241" t="b">
        <v>0</v>
      </c>
      <c r="H891" s="237"/>
      <c r="I891" s="237"/>
      <c r="J891" s="237"/>
      <c r="K891" s="237"/>
      <c r="L891" s="237"/>
    </row>
    <row r="892" spans="8:8" ht="15.75" customHeight="1">
      <c r="F892" s="241" t="b">
        <v>0</v>
      </c>
      <c r="H892" s="237"/>
      <c r="I892" s="237"/>
      <c r="J892" s="237"/>
      <c r="K892" s="237"/>
      <c r="L892" s="237"/>
    </row>
    <row r="893" spans="8:8" ht="15.75" customHeight="1">
      <c r="F893" s="241" t="b">
        <v>0</v>
      </c>
      <c r="H893" s="237"/>
      <c r="I893" s="237"/>
      <c r="J893" s="237"/>
      <c r="K893" s="237"/>
      <c r="L893" s="237"/>
    </row>
    <row r="894" spans="8:8" ht="15.75" customHeight="1">
      <c r="F894" s="241" t="b">
        <v>0</v>
      </c>
      <c r="H894" s="237"/>
      <c r="I894" s="237"/>
      <c r="J894" s="237"/>
      <c r="K894" s="237"/>
      <c r="L894" s="237"/>
    </row>
    <row r="895" spans="8:8" ht="15.75" customHeight="1">
      <c r="F895" s="241" t="b">
        <v>0</v>
      </c>
      <c r="H895" s="237"/>
      <c r="I895" s="237"/>
      <c r="J895" s="237"/>
      <c r="K895" s="237"/>
      <c r="L895" s="237"/>
    </row>
    <row r="896" spans="8:8" ht="15.75" customHeight="1">
      <c r="F896" s="241" t="b">
        <v>0</v>
      </c>
      <c r="H896" s="237"/>
      <c r="I896" s="237"/>
      <c r="J896" s="237"/>
      <c r="K896" s="237"/>
      <c r="L896" s="237"/>
    </row>
    <row r="897" spans="8:8" ht="15.75" customHeight="1">
      <c r="F897" s="241" t="b">
        <v>0</v>
      </c>
      <c r="H897" s="237"/>
      <c r="I897" s="237"/>
      <c r="J897" s="237"/>
      <c r="K897" s="237"/>
      <c r="L897" s="237"/>
    </row>
    <row r="898" spans="8:8" ht="15.75" customHeight="1">
      <c r="F898" s="241" t="b">
        <v>0</v>
      </c>
      <c r="H898" s="237"/>
      <c r="I898" s="237"/>
      <c r="J898" s="237"/>
      <c r="K898" s="237"/>
      <c r="L898" s="237"/>
    </row>
    <row r="899" spans="8:8" ht="15.75" customHeight="1">
      <c r="F899" s="241" t="b">
        <v>0</v>
      </c>
      <c r="H899" s="237"/>
      <c r="I899" s="237"/>
      <c r="J899" s="237"/>
      <c r="K899" s="237"/>
      <c r="L899" s="237"/>
    </row>
    <row r="900" spans="8:8" ht="15.75" customHeight="1">
      <c r="F900" s="241" t="b">
        <v>0</v>
      </c>
      <c r="H900" s="237"/>
      <c r="I900" s="237"/>
      <c r="J900" s="237"/>
      <c r="K900" s="237"/>
      <c r="L900" s="237"/>
    </row>
    <row r="901" spans="8:8" ht="15.75" customHeight="1">
      <c r="F901" s="241" t="b">
        <v>0</v>
      </c>
      <c r="H901" s="237"/>
      <c r="I901" s="237"/>
      <c r="J901" s="237"/>
      <c r="K901" s="237"/>
      <c r="L901" s="237"/>
    </row>
    <row r="902" spans="8:8" ht="15.75" customHeight="1">
      <c r="F902" s="241" t="b">
        <v>0</v>
      </c>
      <c r="H902" s="237"/>
      <c r="I902" s="237"/>
      <c r="J902" s="237"/>
      <c r="K902" s="237"/>
      <c r="L902" s="237"/>
    </row>
    <row r="903" spans="8:8" ht="15.75" customHeight="1">
      <c r="F903" s="241" t="b">
        <v>0</v>
      </c>
      <c r="H903" s="237"/>
      <c r="I903" s="237"/>
      <c r="J903" s="237"/>
      <c r="K903" s="237"/>
      <c r="L903" s="237"/>
    </row>
    <row r="904" spans="8:8" ht="15.75" customHeight="1">
      <c r="F904" s="241" t="b">
        <v>0</v>
      </c>
      <c r="H904" s="237"/>
      <c r="I904" s="237"/>
      <c r="J904" s="237"/>
      <c r="K904" s="237"/>
      <c r="L904" s="237"/>
    </row>
    <row r="905" spans="8:8" ht="15.75" customHeight="1">
      <c r="F905" s="241" t="b">
        <v>0</v>
      </c>
      <c r="H905" s="237"/>
      <c r="I905" s="237"/>
      <c r="J905" s="237"/>
      <c r="K905" s="237"/>
      <c r="L905" s="237"/>
    </row>
    <row r="906" spans="8:8" ht="15.75" customHeight="1">
      <c r="F906" s="241" t="b">
        <v>0</v>
      </c>
      <c r="H906" s="237"/>
      <c r="I906" s="237"/>
      <c r="J906" s="237"/>
      <c r="K906" s="237"/>
      <c r="L906" s="237"/>
    </row>
    <row r="907" spans="8:8" ht="15.75" customHeight="1">
      <c r="F907" s="241" t="b">
        <v>0</v>
      </c>
      <c r="H907" s="237"/>
      <c r="I907" s="237"/>
      <c r="J907" s="237"/>
      <c r="K907" s="237"/>
      <c r="L907" s="237"/>
    </row>
    <row r="908" spans="8:8" ht="15.75" customHeight="1">
      <c r="F908" s="241" t="b">
        <v>0</v>
      </c>
      <c r="H908" s="237"/>
      <c r="I908" s="237"/>
      <c r="J908" s="237"/>
      <c r="K908" s="237"/>
      <c r="L908" s="237"/>
    </row>
    <row r="909" spans="8:8" ht="15.75" customHeight="1">
      <c r="F909" s="241" t="b">
        <v>0</v>
      </c>
      <c r="H909" s="237"/>
      <c r="I909" s="237"/>
      <c r="J909" s="237"/>
      <c r="K909" s="237"/>
      <c r="L909" s="237"/>
    </row>
    <row r="910" spans="8:8" ht="15.75" customHeight="1">
      <c r="F910" s="241" t="b">
        <v>0</v>
      </c>
      <c r="H910" s="237"/>
      <c r="I910" s="237"/>
      <c r="J910" s="237"/>
      <c r="K910" s="237"/>
      <c r="L910" s="237"/>
    </row>
    <row r="911" spans="8:8" ht="15.75" customHeight="1">
      <c r="F911" s="241" t="b">
        <v>0</v>
      </c>
      <c r="H911" s="237"/>
      <c r="I911" s="237"/>
      <c r="J911" s="237"/>
      <c r="K911" s="237"/>
      <c r="L911" s="237"/>
    </row>
    <row r="912" spans="8:8" ht="15.75" customHeight="1">
      <c r="F912" s="241" t="b">
        <v>0</v>
      </c>
      <c r="H912" s="237"/>
      <c r="I912" s="237"/>
      <c r="J912" s="237"/>
      <c r="K912" s="237"/>
      <c r="L912" s="237"/>
    </row>
    <row r="913" spans="8:8" ht="15.75" customHeight="1">
      <c r="F913" s="241" t="b">
        <v>0</v>
      </c>
      <c r="H913" s="237"/>
      <c r="I913" s="237"/>
      <c r="J913" s="237"/>
      <c r="K913" s="237"/>
      <c r="L913" s="237"/>
    </row>
    <row r="914" spans="8:8" ht="15.75" customHeight="1">
      <c r="F914" s="241" t="b">
        <v>0</v>
      </c>
      <c r="H914" s="237"/>
      <c r="I914" s="237"/>
      <c r="J914" s="237"/>
      <c r="K914" s="237"/>
      <c r="L914" s="237"/>
    </row>
    <row r="915" spans="8:8" ht="15.75" customHeight="1">
      <c r="F915" s="241" t="b">
        <v>0</v>
      </c>
      <c r="H915" s="237"/>
      <c r="I915" s="237"/>
      <c r="J915" s="237"/>
      <c r="K915" s="237"/>
      <c r="L915" s="237"/>
    </row>
    <row r="916" spans="8:8" ht="15.75" customHeight="1">
      <c r="F916" s="241" t="b">
        <v>0</v>
      </c>
      <c r="H916" s="237"/>
      <c r="I916" s="237"/>
      <c r="J916" s="237"/>
      <c r="K916" s="237"/>
      <c r="L916" s="237"/>
    </row>
    <row r="917" spans="8:8" ht="15.75" customHeight="1">
      <c r="F917" s="241" t="b">
        <v>0</v>
      </c>
      <c r="H917" s="237"/>
      <c r="I917" s="237"/>
      <c r="J917" s="237"/>
      <c r="K917" s="237"/>
      <c r="L917" s="237"/>
    </row>
    <row r="918" spans="8:8" ht="15.75" customHeight="1">
      <c r="F918" s="241" t="b">
        <v>0</v>
      </c>
      <c r="H918" s="237"/>
      <c r="I918" s="237"/>
      <c r="J918" s="237"/>
      <c r="K918" s="237"/>
      <c r="L918" s="237"/>
    </row>
    <row r="919" spans="8:8" ht="15.75" customHeight="1">
      <c r="F919" s="241" t="b">
        <v>0</v>
      </c>
      <c r="H919" s="237"/>
      <c r="I919" s="237"/>
      <c r="J919" s="237"/>
      <c r="K919" s="237"/>
      <c r="L919" s="237"/>
    </row>
    <row r="920" spans="8:8" ht="15.75" customHeight="1">
      <c r="F920" s="241" t="b">
        <v>0</v>
      </c>
      <c r="H920" s="237"/>
      <c r="I920" s="237"/>
      <c r="J920" s="237"/>
      <c r="K920" s="237"/>
      <c r="L920" s="237"/>
    </row>
    <row r="921" spans="8:8" ht="15.75" customHeight="1">
      <c r="F921" s="241" t="b">
        <v>0</v>
      </c>
      <c r="H921" s="237"/>
      <c r="I921" s="237"/>
      <c r="J921" s="237"/>
      <c r="K921" s="237"/>
      <c r="L921" s="237"/>
    </row>
    <row r="922" spans="8:8" ht="15.75" customHeight="1">
      <c r="F922" s="241" t="b">
        <v>0</v>
      </c>
      <c r="H922" s="237"/>
      <c r="I922" s="237"/>
      <c r="J922" s="237"/>
      <c r="K922" s="237"/>
      <c r="L922" s="237"/>
    </row>
    <row r="923" spans="8:8" ht="15.75" customHeight="1">
      <c r="F923" s="241" t="b">
        <v>0</v>
      </c>
      <c r="H923" s="237"/>
      <c r="I923" s="237"/>
      <c r="J923" s="237"/>
      <c r="K923" s="237"/>
      <c r="L923" s="237"/>
    </row>
    <row r="924" spans="8:8" ht="15.75" customHeight="1">
      <c r="F924" s="241" t="b">
        <v>0</v>
      </c>
      <c r="H924" s="237"/>
      <c r="I924" s="237"/>
      <c r="J924" s="237"/>
      <c r="K924" s="237"/>
      <c r="L924" s="237"/>
    </row>
    <row r="925" spans="8:8" ht="15.75" customHeight="1">
      <c r="F925" s="241" t="b">
        <v>0</v>
      </c>
      <c r="H925" s="237"/>
      <c r="I925" s="237"/>
      <c r="J925" s="237"/>
      <c r="K925" s="237"/>
      <c r="L925" s="237"/>
    </row>
    <row r="926" spans="8:8" ht="15.75" customHeight="1">
      <c r="F926" s="241" t="b">
        <v>0</v>
      </c>
      <c r="H926" s="237"/>
      <c r="I926" s="237"/>
      <c r="J926" s="237"/>
      <c r="K926" s="237"/>
      <c r="L926" s="237"/>
    </row>
    <row r="927" spans="8:8" ht="15.75" customHeight="1">
      <c r="F927" s="241" t="b">
        <v>0</v>
      </c>
      <c r="H927" s="237"/>
      <c r="I927" s="237"/>
      <c r="J927" s="237"/>
      <c r="K927" s="237"/>
      <c r="L927" s="237"/>
    </row>
    <row r="928" spans="8:8" ht="15.75" customHeight="1">
      <c r="F928" s="241" t="b">
        <v>0</v>
      </c>
      <c r="H928" s="237"/>
      <c r="I928" s="237"/>
      <c r="J928" s="237"/>
      <c r="K928" s="237"/>
      <c r="L928" s="237"/>
    </row>
    <row r="929" spans="8:8" ht="15.75" customHeight="1">
      <c r="F929" s="241" t="b">
        <v>0</v>
      </c>
      <c r="H929" s="237"/>
      <c r="I929" s="237"/>
      <c r="J929" s="237"/>
      <c r="K929" s="237"/>
      <c r="L929" s="237"/>
    </row>
    <row r="930" spans="8:8" ht="15.75" customHeight="1">
      <c r="F930" s="241" t="b">
        <v>0</v>
      </c>
      <c r="H930" s="237"/>
      <c r="I930" s="237"/>
      <c r="J930" s="237"/>
      <c r="K930" s="237"/>
      <c r="L930" s="237"/>
    </row>
    <row r="931" spans="8:8" ht="15.75" customHeight="1">
      <c r="F931" s="241" t="b">
        <v>0</v>
      </c>
      <c r="H931" s="237"/>
      <c r="I931" s="237"/>
      <c r="J931" s="237"/>
      <c r="K931" s="237"/>
      <c r="L931" s="237"/>
    </row>
    <row r="932" spans="8:8" ht="15.75" customHeight="1">
      <c r="F932" s="241" t="b">
        <v>0</v>
      </c>
      <c r="H932" s="237"/>
      <c r="I932" s="237"/>
      <c r="J932" s="237"/>
      <c r="K932" s="237"/>
      <c r="L932" s="237"/>
    </row>
    <row r="933" spans="8:8" ht="15.75" customHeight="1">
      <c r="F933" s="241" t="b">
        <v>0</v>
      </c>
      <c r="H933" s="237"/>
      <c r="I933" s="237"/>
      <c r="J933" s="237"/>
      <c r="K933" s="237"/>
      <c r="L933" s="237"/>
    </row>
    <row r="934" spans="8:8" ht="15.75" customHeight="1">
      <c r="F934" s="241" t="b">
        <v>0</v>
      </c>
      <c r="H934" s="237"/>
      <c r="I934" s="237"/>
      <c r="J934" s="237"/>
      <c r="K934" s="237"/>
      <c r="L934" s="237"/>
    </row>
    <row r="935" spans="8:8" ht="15.75" customHeight="1">
      <c r="F935" s="241" t="b">
        <v>0</v>
      </c>
      <c r="H935" s="237"/>
      <c r="I935" s="237"/>
      <c r="J935" s="237"/>
      <c r="K935" s="237"/>
      <c r="L935" s="237"/>
    </row>
    <row r="936" spans="8:8" ht="15.75" customHeight="1">
      <c r="F936" s="241" t="b">
        <v>0</v>
      </c>
      <c r="H936" s="237"/>
      <c r="I936" s="237"/>
      <c r="J936" s="237"/>
      <c r="K936" s="237"/>
      <c r="L936" s="237"/>
    </row>
    <row r="937" spans="8:8" ht="15.75" customHeight="1">
      <c r="F937" s="241" t="b">
        <v>0</v>
      </c>
      <c r="H937" s="237"/>
      <c r="I937" s="237"/>
      <c r="J937" s="237"/>
      <c r="K937" s="237"/>
      <c r="L937" s="237"/>
    </row>
    <row r="938" spans="8:8" ht="15.75" customHeight="1">
      <c r="F938" s="241" t="b">
        <v>0</v>
      </c>
      <c r="H938" s="237"/>
      <c r="I938" s="237"/>
      <c r="J938" s="237"/>
      <c r="K938" s="237"/>
      <c r="L938" s="237"/>
    </row>
    <row r="939" spans="8:8" ht="15.75" customHeight="1">
      <c r="F939" s="241" t="b">
        <v>0</v>
      </c>
      <c r="H939" s="237"/>
      <c r="I939" s="237"/>
      <c r="J939" s="237"/>
      <c r="K939" s="237"/>
      <c r="L939" s="237"/>
    </row>
    <row r="940" spans="8:8" ht="15.75" customHeight="1">
      <c r="F940" s="241" t="b">
        <v>0</v>
      </c>
      <c r="H940" s="237"/>
      <c r="I940" s="237"/>
      <c r="J940" s="237"/>
      <c r="K940" s="237"/>
      <c r="L940" s="237"/>
    </row>
    <row r="941" spans="8:8" ht="15.75" customHeight="1">
      <c r="F941" s="241" t="b">
        <v>0</v>
      </c>
      <c r="H941" s="237"/>
      <c r="I941" s="237"/>
      <c r="J941" s="237"/>
      <c r="K941" s="237"/>
      <c r="L941" s="237"/>
    </row>
    <row r="942" spans="8:8" ht="15.75" customHeight="1">
      <c r="F942" s="241" t="b">
        <v>0</v>
      </c>
      <c r="H942" s="237"/>
      <c r="I942" s="237"/>
      <c r="J942" s="237"/>
      <c r="K942" s="237"/>
      <c r="L942" s="237"/>
    </row>
    <row r="943" spans="8:8" ht="15.75" customHeight="1">
      <c r="F943" s="241" t="b">
        <v>0</v>
      </c>
      <c r="H943" s="237"/>
      <c r="I943" s="237"/>
      <c r="J943" s="237"/>
      <c r="K943" s="237"/>
      <c r="L943" s="237"/>
    </row>
    <row r="944" spans="8:8" ht="15.75" customHeight="1">
      <c r="F944" s="241" t="b">
        <v>0</v>
      </c>
      <c r="H944" s="237"/>
      <c r="I944" s="237"/>
      <c r="J944" s="237"/>
      <c r="K944" s="237"/>
      <c r="L944" s="237"/>
    </row>
    <row r="945" spans="8:8" ht="15.75" customHeight="1">
      <c r="F945" s="241" t="b">
        <v>0</v>
      </c>
      <c r="H945" s="237"/>
      <c r="I945" s="237"/>
      <c r="J945" s="237"/>
      <c r="K945" s="237"/>
      <c r="L945" s="237"/>
    </row>
    <row r="946" spans="8:8" ht="15.75" customHeight="1">
      <c r="F946" s="241" t="b">
        <v>0</v>
      </c>
      <c r="H946" s="237"/>
      <c r="I946" s="237"/>
      <c r="J946" s="237"/>
      <c r="K946" s="237"/>
      <c r="L946" s="237"/>
    </row>
    <row r="947" spans="8:8" ht="15.75" customHeight="1">
      <c r="F947" s="241" t="b">
        <v>0</v>
      </c>
      <c r="H947" s="237"/>
      <c r="I947" s="237"/>
      <c r="J947" s="237"/>
      <c r="K947" s="237"/>
      <c r="L947" s="237"/>
    </row>
    <row r="948" spans="8:8" ht="15.75" customHeight="1">
      <c r="F948" s="241" t="b">
        <v>0</v>
      </c>
      <c r="H948" s="237"/>
      <c r="I948" s="237"/>
      <c r="J948" s="237"/>
      <c r="K948" s="237"/>
      <c r="L948" s="237"/>
    </row>
    <row r="949" spans="8:8" ht="15.75" customHeight="1">
      <c r="F949" s="241" t="b">
        <v>0</v>
      </c>
      <c r="H949" s="237"/>
      <c r="I949" s="237"/>
      <c r="J949" s="237"/>
      <c r="K949" s="237"/>
      <c r="L949" s="237"/>
    </row>
    <row r="950" spans="8:8" ht="15.75" customHeight="1">
      <c r="F950" s="241" t="b">
        <v>0</v>
      </c>
      <c r="H950" s="237"/>
      <c r="I950" s="237"/>
      <c r="J950" s="237"/>
      <c r="K950" s="237"/>
      <c r="L950" s="237"/>
    </row>
    <row r="951" spans="8:8" ht="15.75" customHeight="1">
      <c r="F951" s="241" t="b">
        <v>0</v>
      </c>
      <c r="H951" s="237"/>
      <c r="I951" s="237"/>
      <c r="J951" s="237"/>
      <c r="K951" s="237"/>
      <c r="L951" s="237"/>
    </row>
    <row r="952" spans="8:8" ht="15.75" customHeight="1">
      <c r="F952" s="241" t="b">
        <v>0</v>
      </c>
      <c r="H952" s="237"/>
      <c r="I952" s="237"/>
      <c r="J952" s="237"/>
      <c r="K952" s="237"/>
      <c r="L952" s="237"/>
    </row>
    <row r="953" spans="8:8" ht="15.75" customHeight="1">
      <c r="F953" s="241" t="b">
        <v>0</v>
      </c>
      <c r="H953" s="237"/>
      <c r="I953" s="237"/>
      <c r="J953" s="237"/>
      <c r="K953" s="237"/>
      <c r="L953" s="237"/>
    </row>
    <row r="954" spans="8:8" ht="15.75" customHeight="1">
      <c r="F954" s="241" t="b">
        <v>0</v>
      </c>
      <c r="H954" s="237"/>
      <c r="I954" s="237"/>
      <c r="J954" s="237"/>
      <c r="K954" s="237"/>
      <c r="L954" s="237"/>
    </row>
    <row r="955" spans="8:8" ht="15.75" customHeight="1">
      <c r="F955" s="241" t="b">
        <v>0</v>
      </c>
      <c r="H955" s="237"/>
      <c r="I955" s="237"/>
      <c r="J955" s="237"/>
      <c r="K955" s="237"/>
      <c r="L955" s="237"/>
    </row>
    <row r="956" spans="8:8" ht="15.75" customHeight="1">
      <c r="F956" s="241" t="b">
        <v>0</v>
      </c>
      <c r="H956" s="237"/>
      <c r="I956" s="237"/>
      <c r="J956" s="237"/>
      <c r="K956" s="237"/>
      <c r="L956" s="237"/>
    </row>
    <row r="957" spans="8:8" ht="15.75" customHeight="1">
      <c r="F957" s="241" t="b">
        <v>0</v>
      </c>
      <c r="H957" s="237"/>
      <c r="I957" s="237"/>
      <c r="J957" s="237"/>
      <c r="K957" s="237"/>
      <c r="L957" s="237"/>
    </row>
    <row r="958" spans="8:8" ht="15.75" customHeight="1">
      <c r="F958" s="241" t="b">
        <v>0</v>
      </c>
      <c r="H958" s="237"/>
      <c r="I958" s="237"/>
      <c r="J958" s="237"/>
      <c r="K958" s="237"/>
      <c r="L958" s="237"/>
    </row>
    <row r="959" spans="8:8" ht="15.75" customHeight="1">
      <c r="F959" s="241" t="b">
        <v>0</v>
      </c>
      <c r="H959" s="237"/>
      <c r="I959" s="237"/>
      <c r="J959" s="237"/>
      <c r="K959" s="237"/>
      <c r="L959" s="237"/>
    </row>
    <row r="960" spans="8:8" ht="15.75" customHeight="1">
      <c r="F960" s="241" t="b">
        <v>0</v>
      </c>
      <c r="H960" s="237"/>
      <c r="I960" s="237"/>
      <c r="J960" s="237"/>
      <c r="K960" s="237"/>
      <c r="L960" s="237"/>
    </row>
    <row r="961" spans="8:8" ht="15.75" customHeight="1">
      <c r="F961" s="241" t="b">
        <v>0</v>
      </c>
      <c r="H961" s="237"/>
      <c r="I961" s="237"/>
      <c r="J961" s="237"/>
      <c r="K961" s="237"/>
      <c r="L961" s="237"/>
    </row>
    <row r="962" spans="8:8" ht="15.75" customHeight="1">
      <c r="F962" s="241" t="b">
        <v>0</v>
      </c>
      <c r="H962" s="237"/>
      <c r="I962" s="237"/>
      <c r="J962" s="237"/>
      <c r="K962" s="237"/>
      <c r="L962" s="237"/>
    </row>
    <row r="963" spans="8:8" ht="15.75" customHeight="1">
      <c r="F963" s="241" t="b">
        <v>0</v>
      </c>
      <c r="H963" s="237"/>
      <c r="I963" s="237"/>
      <c r="J963" s="237"/>
      <c r="K963" s="237"/>
      <c r="L963" s="237"/>
    </row>
    <row r="964" spans="8:8" ht="15.75" customHeight="1">
      <c r="F964" s="241" t="b">
        <v>0</v>
      </c>
      <c r="H964" s="237"/>
      <c r="I964" s="237"/>
      <c r="J964" s="237"/>
      <c r="K964" s="237"/>
      <c r="L964" s="237"/>
    </row>
    <row r="965" spans="8:8" ht="15.75" customHeight="1">
      <c r="F965" s="241" t="b">
        <v>0</v>
      </c>
      <c r="H965" s="237"/>
      <c r="I965" s="237"/>
      <c r="J965" s="237"/>
      <c r="K965" s="237"/>
      <c r="L965" s="237"/>
    </row>
    <row r="966" spans="8:8" ht="15.75" customHeight="1">
      <c r="F966" s="241" t="b">
        <v>0</v>
      </c>
      <c r="H966" s="237"/>
      <c r="I966" s="237"/>
      <c r="J966" s="237"/>
      <c r="K966" s="237"/>
      <c r="L966" s="237"/>
    </row>
    <row r="967" spans="8:8" ht="15.75" customHeight="1">
      <c r="F967" s="241" t="b">
        <v>0</v>
      </c>
      <c r="H967" s="237"/>
      <c r="I967" s="237"/>
      <c r="J967" s="237"/>
      <c r="K967" s="237"/>
      <c r="L967" s="237"/>
    </row>
    <row r="968" spans="8:8" ht="15.75" customHeight="1">
      <c r="F968" s="241" t="b">
        <v>0</v>
      </c>
      <c r="H968" s="237"/>
      <c r="I968" s="237"/>
      <c r="J968" s="237"/>
      <c r="K968" s="237"/>
      <c r="L968" s="237"/>
    </row>
    <row r="969" spans="8:8" ht="15.75" customHeight="1">
      <c r="F969" s="241" t="b">
        <v>0</v>
      </c>
      <c r="H969" s="237"/>
      <c r="I969" s="237"/>
      <c r="J969" s="237"/>
      <c r="K969" s="237"/>
      <c r="L969" s="237"/>
    </row>
    <row r="970" spans="8:8" ht="15.75" customHeight="1">
      <c r="F970" s="241" t="b">
        <v>0</v>
      </c>
      <c r="H970" s="237"/>
      <c r="I970" s="237"/>
      <c r="J970" s="237"/>
      <c r="K970" s="237"/>
      <c r="L970" s="237"/>
    </row>
    <row r="971" spans="8:8" ht="15.75" customHeight="1">
      <c r="F971" s="241" t="b">
        <v>0</v>
      </c>
      <c r="H971" s="237"/>
      <c r="I971" s="237"/>
      <c r="J971" s="237"/>
      <c r="K971" s="237"/>
      <c r="L971" s="237"/>
    </row>
    <row r="972" spans="8:8" ht="15.75" customHeight="1">
      <c r="F972" s="241" t="b">
        <v>0</v>
      </c>
      <c r="H972" s="237"/>
      <c r="I972" s="237"/>
      <c r="J972" s="237"/>
      <c r="K972" s="237"/>
      <c r="L972" s="237"/>
    </row>
    <row r="973" spans="8:8" ht="15.75" customHeight="1">
      <c r="F973" s="241" t="b">
        <v>0</v>
      </c>
      <c r="H973" s="237"/>
      <c r="I973" s="237"/>
      <c r="J973" s="237"/>
      <c r="K973" s="237"/>
      <c r="L973" s="237"/>
    </row>
    <row r="974" spans="8:8" ht="15.75" customHeight="1">
      <c r="F974" s="241" t="b">
        <v>0</v>
      </c>
      <c r="H974" s="237"/>
      <c r="I974" s="237"/>
      <c r="J974" s="237"/>
      <c r="K974" s="237"/>
      <c r="L974" s="237"/>
    </row>
    <row r="975" spans="8:8" ht="15.75" customHeight="1">
      <c r="F975" s="241" t="b">
        <v>0</v>
      </c>
      <c r="H975" s="237"/>
      <c r="I975" s="237"/>
      <c r="J975" s="237"/>
      <c r="K975" s="237"/>
      <c r="L975" s="237"/>
    </row>
    <row r="976" spans="8:8" ht="15.75" customHeight="1">
      <c r="F976" s="241" t="b">
        <v>0</v>
      </c>
      <c r="H976" s="237"/>
      <c r="I976" s="237"/>
      <c r="J976" s="237"/>
      <c r="K976" s="237"/>
      <c r="L976" s="237"/>
    </row>
    <row r="977" spans="8:8" ht="15.75" customHeight="1">
      <c r="F977" s="241" t="b">
        <v>0</v>
      </c>
      <c r="H977" s="237"/>
      <c r="I977" s="237"/>
      <c r="J977" s="237"/>
      <c r="K977" s="237"/>
      <c r="L977" s="237"/>
    </row>
    <row r="978" spans="8:8" ht="15.75" customHeight="1">
      <c r="F978" s="241" t="b">
        <v>0</v>
      </c>
      <c r="H978" s="237"/>
      <c r="I978" s="237"/>
      <c r="J978" s="237"/>
      <c r="K978" s="237"/>
      <c r="L978" s="237"/>
    </row>
    <row r="979" spans="8:8" ht="15.75" customHeight="1">
      <c r="F979" s="241" t="b">
        <v>0</v>
      </c>
      <c r="H979" s="237"/>
      <c r="I979" s="237"/>
      <c r="J979" s="237"/>
      <c r="K979" s="237"/>
      <c r="L979" s="237"/>
    </row>
    <row r="980" spans="8:8" ht="15.75" customHeight="1">
      <c r="F980" s="241" t="b">
        <v>0</v>
      </c>
      <c r="H980" s="237"/>
      <c r="I980" s="237"/>
      <c r="J980" s="237"/>
      <c r="K980" s="237"/>
      <c r="L980" s="237"/>
    </row>
    <row r="981" spans="8:8" ht="15.75" customHeight="1">
      <c r="F981" s="241" t="b">
        <v>0</v>
      </c>
      <c r="H981" s="237"/>
      <c r="I981" s="237"/>
      <c r="J981" s="237"/>
      <c r="K981" s="237"/>
      <c r="L981" s="237"/>
    </row>
    <row r="982" spans="8:8" ht="15.75" customHeight="1">
      <c r="F982" s="241" t="b">
        <v>0</v>
      </c>
      <c r="H982" s="237"/>
      <c r="I982" s="237"/>
      <c r="J982" s="237"/>
      <c r="K982" s="237"/>
      <c r="L982" s="237"/>
    </row>
    <row r="983" spans="8:8" ht="15.75" customHeight="1">
      <c r="F983" s="241" t="b">
        <v>0</v>
      </c>
      <c r="H983" s="237"/>
      <c r="I983" s="237"/>
      <c r="J983" s="237"/>
      <c r="K983" s="237"/>
      <c r="L983" s="237"/>
    </row>
    <row r="984" spans="8:8" ht="15.75" customHeight="1">
      <c r="F984" s="241" t="b">
        <v>0</v>
      </c>
      <c r="H984" s="237"/>
      <c r="I984" s="237"/>
      <c r="J984" s="237"/>
      <c r="K984" s="237"/>
      <c r="L984" s="237"/>
    </row>
    <row r="985" spans="8:8" ht="15.75" customHeight="1">
      <c r="F985" s="241" t="b">
        <v>0</v>
      </c>
      <c r="H985" s="237"/>
      <c r="I985" s="237"/>
      <c r="J985" s="237"/>
      <c r="K985" s="237"/>
      <c r="L985" s="237"/>
    </row>
    <row r="986" spans="8:8" ht="15.75" customHeight="1">
      <c r="F986" s="241" t="b">
        <v>0</v>
      </c>
      <c r="H986" s="237"/>
      <c r="I986" s="237"/>
      <c r="J986" s="237"/>
      <c r="K986" s="237"/>
      <c r="L986" s="237"/>
    </row>
    <row r="987" spans="8:8" ht="15.75" customHeight="1">
      <c r="F987" s="241" t="b">
        <v>0</v>
      </c>
      <c r="H987" s="237"/>
      <c r="I987" s="237"/>
      <c r="J987" s="237"/>
      <c r="K987" s="237"/>
      <c r="L987" s="237"/>
    </row>
    <row r="988" spans="8:8" ht="15.75" customHeight="1">
      <c r="F988" s="241" t="b">
        <v>0</v>
      </c>
      <c r="H988" s="237"/>
      <c r="I988" s="237"/>
      <c r="J988" s="237"/>
      <c r="K988" s="237"/>
      <c r="L988" s="237"/>
    </row>
    <row r="989" spans="8:8" ht="15.75" customHeight="1">
      <c r="F989" s="241" t="b">
        <v>0</v>
      </c>
      <c r="H989" s="237"/>
      <c r="I989" s="237"/>
      <c r="J989" s="237"/>
      <c r="K989" s="237"/>
      <c r="L989" s="237"/>
    </row>
    <row r="990" spans="8:8" ht="15.75" customHeight="1">
      <c r="F990" s="241" t="b">
        <v>0</v>
      </c>
      <c r="H990" s="237"/>
      <c r="I990" s="237"/>
      <c r="J990" s="237"/>
      <c r="K990" s="237"/>
      <c r="L990" s="237"/>
    </row>
    <row r="991" spans="8:8" ht="15.75" customHeight="1">
      <c r="F991" s="241" t="b">
        <v>0</v>
      </c>
      <c r="H991" s="237"/>
      <c r="I991" s="237"/>
      <c r="J991" s="237"/>
      <c r="K991" s="237"/>
      <c r="L991" s="237"/>
    </row>
    <row r="992" spans="8:8" ht="15.75" customHeight="1">
      <c r="F992" s="241" t="b">
        <v>0</v>
      </c>
      <c r="H992" s="237"/>
      <c r="I992" s="237"/>
      <c r="J992" s="237"/>
      <c r="K992" s="237"/>
      <c r="L992" s="237"/>
    </row>
    <row r="993" spans="8:8" ht="15.75" customHeight="1">
      <c r="F993" s="241" t="b">
        <v>0</v>
      </c>
      <c r="H993" s="237"/>
      <c r="I993" s="237"/>
      <c r="J993" s="237"/>
      <c r="K993" s="237"/>
      <c r="L993" s="237"/>
    </row>
    <row r="994" spans="8:8" ht="15.75" customHeight="1">
      <c r="F994" s="241" t="b">
        <v>0</v>
      </c>
      <c r="H994" s="237"/>
      <c r="I994" s="237"/>
      <c r="J994" s="237"/>
      <c r="K994" s="237"/>
      <c r="L994" s="237"/>
    </row>
    <row r="995" spans="8:8" ht="15.75" customHeight="1">
      <c r="F995" s="241" t="b">
        <v>0</v>
      </c>
      <c r="H995" s="237"/>
      <c r="I995" s="237"/>
      <c r="J995" s="237"/>
      <c r="K995" s="237"/>
      <c r="L995" s="237"/>
    </row>
    <row r="996" spans="8:8" ht="15.75" customHeight="1">
      <c r="F996" s="241" t="b">
        <v>0</v>
      </c>
      <c r="H996" s="237"/>
      <c r="I996" s="237"/>
      <c r="J996" s="237"/>
      <c r="K996" s="237"/>
      <c r="L996" s="237"/>
    </row>
    <row r="997" spans="8:8" ht="15.75" customHeight="1">
      <c r="F997" s="241" t="b">
        <v>0</v>
      </c>
      <c r="H997" s="237"/>
      <c r="I997" s="237"/>
      <c r="J997" s="237"/>
      <c r="K997" s="237"/>
      <c r="L997" s="237"/>
    </row>
    <row r="998" spans="8:8" ht="15.75" customHeight="1">
      <c r="F998" s="241" t="b">
        <v>0</v>
      </c>
      <c r="H998" s="237"/>
      <c r="I998" s="237"/>
      <c r="J998" s="237"/>
      <c r="K998" s="237"/>
      <c r="L998" s="237"/>
    </row>
    <row r="999" spans="8:8" ht="15.75" customHeight="1">
      <c r="F999" s="241" t="b">
        <v>0</v>
      </c>
      <c r="H999" s="237"/>
      <c r="I999" s="237"/>
      <c r="J999" s="237"/>
      <c r="K999" s="237"/>
      <c r="L999" s="237"/>
    </row>
    <row r="1000" spans="8:8" ht="15.75" customHeight="1">
      <c r="F1000" s="241" t="b">
        <v>0</v>
      </c>
      <c r="H1000" s="237"/>
      <c r="I1000" s="237"/>
      <c r="J1000" s="237"/>
      <c r="K1000" s="237"/>
      <c r="L1000" s="237"/>
    </row>
  </sheetData>
  <conditionalFormatting sqref="C149">
    <cfRule type="expression" priority="68" dxfId="247">
      <formula>COUNTIF(#REF!,C149)&gt;0</formula>
    </cfRule>
  </conditionalFormatting>
  <conditionalFormatting sqref="C136:C137">
    <cfRule type="expression" priority="79" dxfId="248">
      <formula>COUNTIF(#REF!,C136)&gt;0</formula>
    </cfRule>
  </conditionalFormatting>
  <conditionalFormatting sqref="C1">
    <cfRule type="expression" priority="174" dxfId="249">
      <formula>COUNTIF(#REF!,C1)&gt;0</formula>
    </cfRule>
  </conditionalFormatting>
  <conditionalFormatting sqref="C127">
    <cfRule type="expression" priority="88" dxfId="250">
      <formula>COUNTIF(#REF!,C127)&gt;0</formula>
    </cfRule>
  </conditionalFormatting>
  <conditionalFormatting sqref="C77">
    <cfRule type="expression" priority="125" dxfId="251">
      <formula>COUNTIF(#REF!,C77)&gt;0</formula>
    </cfRule>
  </conditionalFormatting>
  <conditionalFormatting sqref="C179">
    <cfRule type="expression" priority="45" dxfId="252">
      <formula>COUNTIF(#REF!,C179)&gt;0</formula>
    </cfRule>
  </conditionalFormatting>
  <conditionalFormatting sqref="C53:C54">
    <cfRule type="expression" priority="138" dxfId="253">
      <formula>COUNTIF(#REF!,C53)&gt;0</formula>
    </cfRule>
  </conditionalFormatting>
  <conditionalFormatting sqref="C204">
    <cfRule type="expression" priority="26" dxfId="254">
      <formula>COUNTIF(#REF!,C204)&gt;0</formula>
    </cfRule>
  </conditionalFormatting>
  <conditionalFormatting sqref="C24:C26">
    <cfRule type="expression" priority="157" dxfId="255">
      <formula>COUNTIF(#REF!,C24)&gt;0</formula>
    </cfRule>
  </conditionalFormatting>
  <conditionalFormatting sqref="C102">
    <cfRule type="expression" priority="107" dxfId="256">
      <formula>COUNTIF(#REF!,C102)&gt;0</formula>
    </cfRule>
  </conditionalFormatting>
  <conditionalFormatting sqref="C64:C65">
    <cfRule type="expression" priority="133" dxfId="257">
      <formula>COUNTIF(#REF!,C64)&gt;0</formula>
    </cfRule>
  </conditionalFormatting>
  <conditionalFormatting sqref="C128">
    <cfRule type="expression" priority="87" dxfId="258">
      <formula>COUNTIF(#REF!,C128)&gt;0</formula>
    </cfRule>
  </conditionalFormatting>
  <conditionalFormatting sqref="C82">
    <cfRule type="expression" priority="122" dxfId="259">
      <formula>COUNTIF(#REF!,C82)&gt;0</formula>
    </cfRule>
  </conditionalFormatting>
  <conditionalFormatting sqref="C153">
    <cfRule type="expression" priority="64" dxfId="260">
      <formula>COUNTIF(#REF!,C153)&gt;0</formula>
    </cfRule>
  </conditionalFormatting>
  <conditionalFormatting sqref="C38:C39">
    <cfRule type="expression" priority="151" dxfId="261">
      <formula>COUNTIF(#REF!,C38)&gt;0</formula>
    </cfRule>
  </conditionalFormatting>
  <conditionalFormatting sqref="C159:C160">
    <cfRule type="expression" priority="58" dxfId="262">
      <formula>COUNTIF(#REF!,C159)&gt;0</formula>
    </cfRule>
  </conditionalFormatting>
  <conditionalFormatting sqref="C32">
    <cfRule type="expression" priority="155" dxfId="263">
      <formula>COUNTIF(#REF!,C32)&gt;0</formula>
    </cfRule>
  </conditionalFormatting>
  <conditionalFormatting sqref="C157">
    <cfRule type="expression" priority="60" dxfId="264">
      <formula>COUNTIF(#REF!,C157)&gt;0</formula>
    </cfRule>
  </conditionalFormatting>
  <conditionalFormatting sqref="C129">
    <cfRule type="expression" priority="86" dxfId="265">
      <formula>COUNTIF(#REF!,C129)&gt;0</formula>
    </cfRule>
  </conditionalFormatting>
  <conditionalFormatting sqref="C46">
    <cfRule type="expression" priority="144" dxfId="266">
      <formula>COUNTIF(#REF!,C46)&gt;0</formula>
    </cfRule>
  </conditionalFormatting>
  <conditionalFormatting sqref="C139">
    <cfRule type="expression" priority="77" dxfId="267">
      <formula>COUNTIF(#REF!,C139)&gt;0</formula>
    </cfRule>
  </conditionalFormatting>
  <conditionalFormatting sqref="C17">
    <cfRule type="expression" priority="162" dxfId="268">
      <formula>COUNTIF(#REF!,C17)&gt;0</formula>
    </cfRule>
  </conditionalFormatting>
  <conditionalFormatting sqref="C16">
    <cfRule type="expression" priority="163" dxfId="269">
      <formula>COUNTIF(#REF!,C16)&gt;0</formula>
    </cfRule>
  </conditionalFormatting>
  <conditionalFormatting sqref="C195:C198">
    <cfRule type="expression" priority="32" dxfId="270">
      <formula>COUNTIF(#REF!,C195)&gt;0</formula>
    </cfRule>
  </conditionalFormatting>
  <conditionalFormatting sqref="C202">
    <cfRule type="expression" priority="28" dxfId="271">
      <formula>COUNTIF(#REF!,C202)&gt;0</formula>
    </cfRule>
  </conditionalFormatting>
  <conditionalFormatting sqref="C74">
    <cfRule type="expression" priority="127" dxfId="272">
      <formula>COUNTIF(#REF!,C74)&gt;0</formula>
    </cfRule>
  </conditionalFormatting>
  <conditionalFormatting sqref="C9">
    <cfRule type="expression" priority="169" dxfId="273">
      <formula>COUNTIF(#REF!,C9)&gt;0</formula>
    </cfRule>
  </conditionalFormatting>
  <conditionalFormatting sqref="C212">
    <cfRule type="expression" priority="18" dxfId="274">
      <formula>COUNTIF(#REF!,C212)&gt;0</formula>
    </cfRule>
  </conditionalFormatting>
  <conditionalFormatting sqref="C226">
    <cfRule type="expression" priority="6" dxfId="275">
      <formula>COUNTIF(#REF!,C226)&gt;0</formula>
    </cfRule>
  </conditionalFormatting>
  <conditionalFormatting sqref="C99:C100">
    <cfRule type="expression" priority="109" dxfId="276">
      <formula>COUNTIF(#REF!,C99)&gt;0</formula>
    </cfRule>
  </conditionalFormatting>
  <conditionalFormatting sqref="C14">
    <cfRule type="expression" priority="165" dxfId="277">
      <formula>COUNTIF(#REF!,C14)&gt;0</formula>
    </cfRule>
  </conditionalFormatting>
  <conditionalFormatting sqref="C87:C89">
    <cfRule type="expression" priority="117" dxfId="278">
      <formula>COUNTIF(#REF!,C87)&gt;0</formula>
    </cfRule>
  </conditionalFormatting>
  <conditionalFormatting sqref="C155">
    <cfRule type="expression" priority="62" dxfId="279">
      <formula>COUNTIF(#REF!,C155)&gt;0</formula>
    </cfRule>
  </conditionalFormatting>
  <conditionalFormatting sqref="C171">
    <cfRule type="expression" priority="51" dxfId="280">
      <formula>COUNTIF(#REF!,C171)&gt;0</formula>
    </cfRule>
  </conditionalFormatting>
  <conditionalFormatting sqref="C6:C8">
    <cfRule type="expression" priority="170" dxfId="281">
      <formula>COUNTIF(#REF!,C6)&gt;0</formula>
    </cfRule>
  </conditionalFormatting>
  <conditionalFormatting sqref="C189">
    <cfRule type="expression" priority="37" dxfId="282">
      <formula>COUNTIF(#REF!,C189)&gt;0</formula>
    </cfRule>
  </conditionalFormatting>
  <conditionalFormatting sqref="C183">
    <cfRule type="expression" priority="41" dxfId="283">
      <formula>COUNTIF(#REF!,C183)&gt;0</formula>
    </cfRule>
  </conditionalFormatting>
  <conditionalFormatting sqref="C207">
    <cfRule type="expression" priority="23" dxfId="284">
      <formula>COUNTIF(#REF!,C207)&gt;0</formula>
    </cfRule>
  </conditionalFormatting>
  <conditionalFormatting sqref="C163:C165">
    <cfRule type="expression" priority="56" dxfId="285">
      <formula>COUNTIF(#REF!,C163)&gt;0</formula>
    </cfRule>
  </conditionalFormatting>
  <conditionalFormatting sqref="C140">
    <cfRule type="expression" priority="76" dxfId="286">
      <formula>COUNTIF(#REF!,C140)&gt;0</formula>
    </cfRule>
  </conditionalFormatting>
  <conditionalFormatting sqref="C33">
    <cfRule type="expression" priority="154" dxfId="287">
      <formula>COUNTIF(#REF!,C33)&gt;0</formula>
    </cfRule>
  </conditionalFormatting>
  <conditionalFormatting sqref="C118">
    <cfRule type="expression" priority="94" dxfId="288">
      <formula>COUNTIF(#REF!,C118)&gt;0</formula>
    </cfRule>
  </conditionalFormatting>
  <conditionalFormatting sqref="C184:C186">
    <cfRule type="expression" priority="40" dxfId="289">
      <formula>COUNTIF(#REF!,C184)&gt;0</formula>
    </cfRule>
  </conditionalFormatting>
  <conditionalFormatting sqref="C173">
    <cfRule type="expression" priority="49" dxfId="290">
      <formula>COUNTIF(#REF!,C173)&gt;0</formula>
    </cfRule>
  </conditionalFormatting>
  <conditionalFormatting sqref="C50:C51">
    <cfRule type="expression" priority="140" dxfId="291">
      <formula>COUNTIF(#REF!,C50)&gt;0</formula>
    </cfRule>
  </conditionalFormatting>
  <conditionalFormatting sqref="C34">
    <cfRule type="expression" priority="153" dxfId="292">
      <formula>COUNTIF(#REF!,C34)&gt;0</formula>
    </cfRule>
  </conditionalFormatting>
  <conditionalFormatting sqref="C79:C81">
    <cfRule type="expression" priority="123" dxfId="293">
      <formula>COUNTIF(#REF!,C79)&gt;0</formula>
    </cfRule>
  </conditionalFormatting>
  <conditionalFormatting sqref="C233:C234">
    <cfRule type="expression" priority="1" dxfId="294">
      <formula>COUNTIF(#REF!,C233)&gt;0</formula>
    </cfRule>
  </conditionalFormatting>
  <conditionalFormatting sqref="C232">
    <cfRule type="expression" priority="2" dxfId="295">
      <formula>COUNTIF(#REF!,C232)&gt;0</formula>
    </cfRule>
  </conditionalFormatting>
  <conditionalFormatting sqref="C180">
    <cfRule type="expression" priority="44" dxfId="296">
      <formula>COUNTIF(#REF!,C180)&gt;0</formula>
    </cfRule>
  </conditionalFormatting>
  <conditionalFormatting sqref="C187">
    <cfRule type="expression" priority="39" dxfId="297">
      <formula>COUNTIF(#REF!,C187)&gt;0</formula>
    </cfRule>
  </conditionalFormatting>
  <conditionalFormatting sqref="C215">
    <cfRule type="expression" priority="15" dxfId="298">
      <formula>COUNTIF(#REF!,C215)&gt;0</formula>
    </cfRule>
  </conditionalFormatting>
  <conditionalFormatting sqref="C117">
    <cfRule type="expression" priority="95" dxfId="299">
      <formula>COUNTIF(#REF!,C117)&gt;0</formula>
    </cfRule>
  </conditionalFormatting>
  <conditionalFormatting sqref="C142:C143">
    <cfRule type="expression" priority="74" dxfId="300">
      <formula>COUNTIF(#REF!,C142)&gt;0</formula>
    </cfRule>
  </conditionalFormatting>
  <conditionalFormatting sqref="C94">
    <cfRule type="expression" priority="112" dxfId="301">
      <formula>COUNTIF(#REF!,C94)&gt;0</formula>
    </cfRule>
  </conditionalFormatting>
  <conditionalFormatting sqref="C211">
    <cfRule type="expression" priority="19" dxfId="302">
      <formula>COUNTIF(#REF!,C211)&gt;0</formula>
    </cfRule>
  </conditionalFormatting>
  <conditionalFormatting sqref="C132">
    <cfRule type="expression" priority="83" dxfId="303">
      <formula>COUNTIF(#REF!,C132)&gt;0</formula>
    </cfRule>
  </conditionalFormatting>
  <conditionalFormatting sqref="C227:C229">
    <cfRule type="expression" priority="5" dxfId="304">
      <formula>COUNTIF(#REF!,C227)&gt;0</formula>
    </cfRule>
  </conditionalFormatting>
  <conditionalFormatting sqref="C188">
    <cfRule type="expression" priority="38" dxfId="305">
      <formula>COUNTIF(#REF!,C188)&gt;0</formula>
    </cfRule>
  </conditionalFormatting>
  <conditionalFormatting sqref="C35:C37">
    <cfRule type="expression" priority="152" dxfId="306">
      <formula>COUNTIF(#REF!,C35)&gt;0</formula>
    </cfRule>
  </conditionalFormatting>
  <conditionalFormatting sqref="C193">
    <cfRule type="expression" priority="34" dxfId="307">
      <formula>COUNTIF(#REF!,C193)&gt;0</formula>
    </cfRule>
  </conditionalFormatting>
  <conditionalFormatting sqref="C181">
    <cfRule type="expression" priority="43" dxfId="308">
      <formula>COUNTIF(#REF!,C181)&gt;0</formula>
    </cfRule>
  </conditionalFormatting>
  <conditionalFormatting sqref="C108">
    <cfRule type="expression" priority="101" dxfId="309">
      <formula>COUNTIF(#REF!,C108)&gt;0</formula>
    </cfRule>
  </conditionalFormatting>
  <conditionalFormatting sqref="C145">
    <cfRule type="expression" priority="72" dxfId="310">
      <formula>COUNTIF(#REF!,C145)&gt;0</formula>
    </cfRule>
  </conditionalFormatting>
  <conditionalFormatting sqref="C146">
    <cfRule type="expression" priority="71" dxfId="311">
      <formula>COUNTIF(#REF!,C146)&gt;0</formula>
    </cfRule>
  </conditionalFormatting>
  <conditionalFormatting sqref="C174">
    <cfRule type="expression" priority="48" dxfId="312">
      <formula>COUNTIF(#REF!,C174)&gt;0</formula>
    </cfRule>
  </conditionalFormatting>
  <conditionalFormatting sqref="C131">
    <cfRule type="expression" priority="84" dxfId="313">
      <formula>COUNTIF(#REF!,C131)&gt;0</formula>
    </cfRule>
  </conditionalFormatting>
  <conditionalFormatting sqref="C78">
    <cfRule type="expression" priority="124" dxfId="314">
      <formula>COUNTIF(#REF!,C78)&gt;0</formula>
    </cfRule>
  </conditionalFormatting>
  <conditionalFormatting sqref="C170">
    <cfRule type="expression" priority="52" dxfId="315">
      <formula>COUNTIF(#REF!,C170)&gt;0</formula>
    </cfRule>
  </conditionalFormatting>
  <conditionalFormatting sqref="C58">
    <cfRule type="expression" priority="136" dxfId="316">
      <formula>COUNTIF(#REF!,C58)&gt;0</formula>
    </cfRule>
  </conditionalFormatting>
  <conditionalFormatting sqref="C182">
    <cfRule type="expression" priority="42" dxfId="317">
      <formula>COUNTIF(#REF!,C182)&gt;0</formula>
    </cfRule>
  </conditionalFormatting>
  <conditionalFormatting sqref="C192">
    <cfRule type="expression" priority="35" dxfId="318">
      <formula>COUNTIF(#REF!,C192)&gt;0</formula>
    </cfRule>
  </conditionalFormatting>
  <conditionalFormatting sqref="C166">
    <cfRule type="expression" priority="55" dxfId="319">
      <formula>COUNTIF(#REF!,C166)&gt;0</formula>
    </cfRule>
  </conditionalFormatting>
  <conditionalFormatting sqref="C103">
    <cfRule type="expression" priority="106" dxfId="320">
      <formula>COUNTIF(#REF!,C103)&gt;0</formula>
    </cfRule>
  </conditionalFormatting>
  <conditionalFormatting sqref="C123:C125">
    <cfRule type="expression" priority="90" dxfId="321">
      <formula>COUNTIF(#REF!,C123)&gt;0</formula>
    </cfRule>
  </conditionalFormatting>
  <conditionalFormatting sqref="C13">
    <cfRule type="expression" priority="166" dxfId="322">
      <formula>COUNTIF(#REF!,C13)&gt;0</formula>
    </cfRule>
  </conditionalFormatting>
  <conditionalFormatting sqref="C98">
    <cfRule type="expression" priority="110" dxfId="323">
      <formula>COUNTIF(#REF!,C98)&gt;0</formula>
    </cfRule>
  </conditionalFormatting>
  <conditionalFormatting sqref="C110:C113">
    <cfRule type="expression" priority="99" dxfId="324">
      <formula>COUNTIF(#REF!,C110)&gt;0</formula>
    </cfRule>
  </conditionalFormatting>
  <conditionalFormatting sqref="C115">
    <cfRule type="expression" priority="97" dxfId="325">
      <formula>COUNTIF(#REF!,C115)&gt;0</formula>
    </cfRule>
  </conditionalFormatting>
  <conditionalFormatting sqref="C101">
    <cfRule type="expression" priority="108" dxfId="326">
      <formula>COUNTIF(#REF!,C101)&gt;0</formula>
    </cfRule>
  </conditionalFormatting>
  <conditionalFormatting sqref="C67">
    <cfRule type="expression" priority="131" dxfId="327">
      <formula>COUNTIF(#REF!,C67)&gt;0</formula>
    </cfRule>
  </conditionalFormatting>
  <conditionalFormatting sqref="C216">
    <cfRule type="expression" priority="14" dxfId="328">
      <formula>COUNTIF(#REF!,C216)&gt;0</formula>
    </cfRule>
  </conditionalFormatting>
  <conditionalFormatting sqref="C209">
    <cfRule type="expression" priority="21" dxfId="329">
      <formula>COUNTIF(#REF!,C209)&gt;0</formula>
    </cfRule>
  </conditionalFormatting>
  <conditionalFormatting sqref="C42">
    <cfRule type="expression" priority="148" dxfId="330">
      <formula>COUNTIF(#REF!,C42)&gt;0</formula>
    </cfRule>
  </conditionalFormatting>
  <conditionalFormatting sqref="C210">
    <cfRule type="expression" priority="20" dxfId="331">
      <formula>COUNTIF(#REF!,C210)&gt;0</formula>
    </cfRule>
  </conditionalFormatting>
  <conditionalFormatting sqref="C49">
    <cfRule type="expression" priority="141" dxfId="332">
      <formula>COUNTIF(#REF!,C49)&gt;0</formula>
    </cfRule>
  </conditionalFormatting>
  <conditionalFormatting sqref="C104">
    <cfRule type="expression" priority="105" dxfId="333">
      <formula>COUNTIF(#REF!,C104)&gt;0</formula>
    </cfRule>
  </conditionalFormatting>
  <conditionalFormatting sqref="C91">
    <cfRule type="expression" priority="115" dxfId="334">
      <formula>COUNTIF(#REF!,C91)&gt;0</formula>
    </cfRule>
  </conditionalFormatting>
  <conditionalFormatting sqref="C230">
    <cfRule type="expression" priority="4" dxfId="335">
      <formula>COUNTIF(#REF!,C230)&gt;0</formula>
    </cfRule>
  </conditionalFormatting>
  <conditionalFormatting sqref="C4:C5">
    <cfRule type="expression" priority="171" dxfId="336">
      <formula>COUNTIF(#REF!,C4)&gt;0</formula>
    </cfRule>
  </conditionalFormatting>
  <conditionalFormatting sqref="C86">
    <cfRule type="expression" priority="118" dxfId="337">
      <formula>COUNTIF(#REF!,C86)&gt;0</formula>
    </cfRule>
  </conditionalFormatting>
  <conditionalFormatting sqref="C95:C97">
    <cfRule type="expression" priority="111" dxfId="338">
      <formula>COUNTIF(#REF!,C95)&gt;0</formula>
    </cfRule>
  </conditionalFormatting>
  <conditionalFormatting sqref="C93">
    <cfRule type="expression" priority="113" dxfId="339">
      <formula>COUNTIF(#REF!,C93)&gt;0</formula>
    </cfRule>
  </conditionalFormatting>
  <conditionalFormatting sqref="C40">
    <cfRule type="expression" priority="150" dxfId="340">
      <formula>COUNTIF(#REF!,C40)&gt;0</formula>
    </cfRule>
  </conditionalFormatting>
  <conditionalFormatting sqref="C27:C31">
    <cfRule type="expression" priority="156" dxfId="341">
      <formula>COUNTIF(#REF!,C27)&gt;0</formula>
    </cfRule>
  </conditionalFormatting>
  <conditionalFormatting sqref="C18">
    <cfRule type="expression" priority="161" dxfId="342">
      <formula>COUNTIF(#REF!,C18)&gt;0</formula>
    </cfRule>
  </conditionalFormatting>
  <conditionalFormatting sqref="C201">
    <cfRule type="expression" priority="29" dxfId="343">
      <formula>COUNTIF(#REF!,C201)&gt;0</formula>
    </cfRule>
  </conditionalFormatting>
  <conditionalFormatting sqref="C3">
    <cfRule type="expression" priority="172" dxfId="344">
      <formula>COUNTIF(#REF!,C3)&gt;0</formula>
    </cfRule>
  </conditionalFormatting>
  <conditionalFormatting sqref="C52">
    <cfRule type="expression" priority="139" dxfId="345">
      <formula>COUNTIF(#REF!,C52)&gt;0</formula>
    </cfRule>
  </conditionalFormatting>
  <conditionalFormatting sqref="C219">
    <cfRule type="expression" priority="11" dxfId="346">
      <formula>COUNTIF(#REF!,C219)&gt;0</formula>
    </cfRule>
  </conditionalFormatting>
  <conditionalFormatting sqref="C116">
    <cfRule type="expression" priority="96" dxfId="347">
      <formula>COUNTIF(#REF!,C116)&gt;0</formula>
    </cfRule>
  </conditionalFormatting>
  <conditionalFormatting sqref="C68">
    <cfRule type="expression" priority="130" dxfId="348">
      <formula>COUNTIF(#REF!,C68)&gt;0</formula>
    </cfRule>
  </conditionalFormatting>
  <conditionalFormatting sqref="C220">
    <cfRule type="expression" priority="10" dxfId="349">
      <formula>COUNTIF(#REF!,C220)&gt;0</formula>
    </cfRule>
  </conditionalFormatting>
  <conditionalFormatting sqref="C109">
    <cfRule type="expression" priority="100" dxfId="350">
      <formula>COUNTIF(#REF!,C109)&gt;0</formula>
    </cfRule>
  </conditionalFormatting>
  <conditionalFormatting sqref="C144">
    <cfRule type="expression" priority="73" dxfId="351">
      <formula>COUNTIF(#REF!,C144)&gt;0</formula>
    </cfRule>
  </conditionalFormatting>
  <conditionalFormatting sqref="C156">
    <cfRule type="expression" priority="61" dxfId="352">
      <formula>COUNTIF(#REF!,C156)&gt;0</formula>
    </cfRule>
  </conditionalFormatting>
  <conditionalFormatting sqref="C148">
    <cfRule type="expression" priority="69" dxfId="353">
      <formula>COUNTIF(#REF!,C148)&gt;0</formula>
    </cfRule>
  </conditionalFormatting>
  <conditionalFormatting sqref="C213">
    <cfRule type="expression" priority="17" dxfId="354">
      <formula>COUNTIF(#REF!,C213)&gt;0</formula>
    </cfRule>
  </conditionalFormatting>
  <conditionalFormatting sqref="C41">
    <cfRule type="expression" priority="149" dxfId="355">
      <formula>COUNTIF(#REF!,C41)&gt;0</formula>
    </cfRule>
  </conditionalFormatting>
  <conditionalFormatting sqref="C151">
    <cfRule type="expression" priority="66" dxfId="356">
      <formula>COUNTIF(#REF!,C151)&gt;0</formula>
    </cfRule>
  </conditionalFormatting>
  <conditionalFormatting sqref="C231">
    <cfRule type="expression" priority="3" dxfId="357">
      <formula>COUNTIF(#REF!,C231)&gt;0</formula>
    </cfRule>
  </conditionalFormatting>
  <conditionalFormatting sqref="C12">
    <cfRule type="expression" priority="167" dxfId="358">
      <formula>COUNTIF(#REF!,C12)&gt;0</formula>
    </cfRule>
  </conditionalFormatting>
  <conditionalFormatting sqref="C72:C73">
    <cfRule type="expression" priority="128" dxfId="359">
      <formula>COUNTIF(#REF!,C72)&gt;0</formula>
    </cfRule>
  </conditionalFormatting>
  <conditionalFormatting sqref="C44">
    <cfRule type="expression" priority="146" dxfId="360">
      <formula>COUNTIF(#REF!,C44)&gt;0</formula>
    </cfRule>
  </conditionalFormatting>
  <conditionalFormatting sqref="C133">
    <cfRule type="expression" priority="82" dxfId="361">
      <formula>COUNTIF(#REF!,C133)&gt;0</formula>
    </cfRule>
  </conditionalFormatting>
  <conditionalFormatting sqref="C107">
    <cfRule type="expression" priority="102" dxfId="362">
      <formula>COUNTIF(#REF!,C107)&gt;0</formula>
    </cfRule>
  </conditionalFormatting>
  <conditionalFormatting sqref="C150">
    <cfRule type="expression" priority="67" dxfId="363">
      <formula>COUNTIF(#REF!,C150)&gt;0</formula>
    </cfRule>
  </conditionalFormatting>
  <conditionalFormatting sqref="C83">
    <cfRule type="expression" priority="121" dxfId="364">
      <formula>COUNTIF(#REF!,C83)&gt;0</formula>
    </cfRule>
  </conditionalFormatting>
  <conditionalFormatting sqref="C84">
    <cfRule type="expression" priority="120" dxfId="365">
      <formula>COUNTIF(#REF!,C84)&gt;0</formula>
    </cfRule>
  </conditionalFormatting>
  <conditionalFormatting sqref="C69:C71">
    <cfRule type="expression" priority="129" dxfId="366">
      <formula>COUNTIF(#REF!,C69)&gt;0</formula>
    </cfRule>
  </conditionalFormatting>
  <conditionalFormatting sqref="C106">
    <cfRule type="expression" priority="103" dxfId="367">
      <formula>COUNTIF(#REF!,C106)&gt;0</formula>
    </cfRule>
  </conditionalFormatting>
  <conditionalFormatting sqref="C141">
    <cfRule type="expression" priority="75" dxfId="368">
      <formula>COUNTIF(#REF!,C141)&gt;0</formula>
    </cfRule>
  </conditionalFormatting>
  <conditionalFormatting sqref="C122">
    <cfRule type="expression" priority="91" dxfId="369">
      <formula>COUNTIF(#REF!,C122)&gt;0</formula>
    </cfRule>
  </conditionalFormatting>
  <conditionalFormatting sqref="C154">
    <cfRule type="expression" priority="63" dxfId="370">
      <formula>COUNTIF(#REF!,C154)&gt;0</formula>
    </cfRule>
  </conditionalFormatting>
  <conditionalFormatting sqref="C10:C11">
    <cfRule type="expression" priority="168" dxfId="371">
      <formula>COUNTIF(#REF!,C10)&gt;0</formula>
    </cfRule>
  </conditionalFormatting>
  <conditionalFormatting sqref="C175:C176">
    <cfRule type="expression" priority="47" dxfId="372">
      <formula>COUNTIF(#REF!,C175)&gt;0</formula>
    </cfRule>
  </conditionalFormatting>
  <conditionalFormatting sqref="C208">
    <cfRule type="expression" priority="22" dxfId="373">
      <formula>COUNTIF(#REF!,C208)&gt;0</formula>
    </cfRule>
  </conditionalFormatting>
  <conditionalFormatting sqref="C169">
    <cfRule type="expression" priority="53" dxfId="374">
      <formula>COUNTIF(#REF!,C169)&gt;0</formula>
    </cfRule>
  </conditionalFormatting>
  <conditionalFormatting sqref="C217">
    <cfRule type="expression" priority="13" dxfId="375">
      <formula>COUNTIF(#REF!,C217)&gt;0</formula>
    </cfRule>
  </conditionalFormatting>
  <conditionalFormatting sqref="C138">
    <cfRule type="expression" priority="78" dxfId="376">
      <formula>COUNTIF(#REF!,C138)&gt;0</formula>
    </cfRule>
  </conditionalFormatting>
  <conditionalFormatting sqref="C90">
    <cfRule type="expression" priority="116" dxfId="377">
      <formula>COUNTIF(#REF!,C90)&gt;0</formula>
    </cfRule>
  </conditionalFormatting>
  <conditionalFormatting sqref="C199">
    <cfRule type="expression" priority="31" dxfId="378">
      <formula>COUNTIF(#REF!,C199)&gt;0</formula>
    </cfRule>
  </conditionalFormatting>
  <conditionalFormatting sqref="C45">
    <cfRule type="expression" priority="145" dxfId="379">
      <formula>COUNTIF(#REF!,C45)&gt;0</formula>
    </cfRule>
  </conditionalFormatting>
  <conditionalFormatting sqref="C205">
    <cfRule type="expression" priority="25" dxfId="380">
      <formula>COUNTIF(#REF!,C205)&gt;0</formula>
    </cfRule>
  </conditionalFormatting>
  <conditionalFormatting sqref="C221">
    <cfRule type="expression" priority="9" dxfId="381">
      <formula>COUNTIF(#REF!,C221)&gt;0</formula>
    </cfRule>
  </conditionalFormatting>
  <conditionalFormatting sqref="C190:C191">
    <cfRule type="expression" priority="36" dxfId="382">
      <formula>COUNTIF(#REF!,C190)&gt;0</formula>
    </cfRule>
  </conditionalFormatting>
  <conditionalFormatting sqref="C21">
    <cfRule type="expression" priority="159" dxfId="383">
      <formula>COUNTIF(#REF!,C21)&gt;0</formula>
    </cfRule>
  </conditionalFormatting>
  <conditionalFormatting sqref="C2">
    <cfRule type="expression" priority="173" dxfId="384">
      <formula>COUNTIF(#REF!,C2)&gt;0</formula>
    </cfRule>
  </conditionalFormatting>
  <conditionalFormatting sqref="C105">
    <cfRule type="expression" priority="104" dxfId="385">
      <formula>COUNTIF(#REF!,C105)&gt;0</formula>
    </cfRule>
  </conditionalFormatting>
  <conditionalFormatting sqref="C158">
    <cfRule type="expression" priority="59" dxfId="386">
      <formula>COUNTIF(#REF!,C158)&gt;0</formula>
    </cfRule>
  </conditionalFormatting>
  <conditionalFormatting sqref="C75:C76">
    <cfRule type="expression" priority="126" dxfId="387">
      <formula>COUNTIF(#REF!,C75)&gt;0</formula>
    </cfRule>
  </conditionalFormatting>
  <conditionalFormatting sqref="C135">
    <cfRule type="expression" priority="80" dxfId="388">
      <formula>COUNTIF(#REF!,C135)&gt;0</formula>
    </cfRule>
  </conditionalFormatting>
  <conditionalFormatting sqref="C55:C57">
    <cfRule type="expression" priority="137" dxfId="389">
      <formula>COUNTIF(#REF!,C55)&gt;0</formula>
    </cfRule>
  </conditionalFormatting>
  <conditionalFormatting sqref="C85">
    <cfRule type="expression" priority="119" dxfId="390">
      <formula>COUNTIF(#REF!,C85)&gt;0</formula>
    </cfRule>
  </conditionalFormatting>
  <conditionalFormatting sqref="C15">
    <cfRule type="expression" priority="164" dxfId="391">
      <formula>COUNTIF(#REF!,C15)&gt;0</formula>
    </cfRule>
  </conditionalFormatting>
  <conditionalFormatting sqref="C130">
    <cfRule type="expression" priority="85" dxfId="392">
      <formula>COUNTIF(#REF!,C130)&gt;0</formula>
    </cfRule>
  </conditionalFormatting>
  <conditionalFormatting sqref="C66">
    <cfRule type="expression" priority="132" dxfId="393">
      <formula>COUNTIF(#REF!,C66)&gt;0</formula>
    </cfRule>
  </conditionalFormatting>
  <conditionalFormatting sqref="C19:C20">
    <cfRule type="expression" priority="160" dxfId="394">
      <formula>COUNTIF(#REF!,C19)&gt;0</formula>
    </cfRule>
  </conditionalFormatting>
  <conditionalFormatting sqref="C47">
    <cfRule type="expression" priority="143" dxfId="395">
      <formula>COUNTIF(#REF!,C47)&gt;0</formula>
    </cfRule>
  </conditionalFormatting>
  <conditionalFormatting sqref="C147">
    <cfRule type="expression" priority="70" dxfId="396">
      <formula>COUNTIF(#REF!,C147)&gt;0</formula>
    </cfRule>
  </conditionalFormatting>
  <conditionalFormatting sqref="C48">
    <cfRule type="expression" priority="142" dxfId="397">
      <formula>COUNTIF(#REF!,C48)&gt;0</formula>
    </cfRule>
  </conditionalFormatting>
  <conditionalFormatting sqref="C218">
    <cfRule type="expression" priority="12" dxfId="398">
      <formula>COUNTIF(#REF!,C218)&gt;0</formula>
    </cfRule>
  </conditionalFormatting>
  <conditionalFormatting sqref="C59:C60">
    <cfRule type="expression" priority="135" dxfId="399">
      <formula>COUNTIF(#REF!,C59)&gt;0</formula>
    </cfRule>
  </conditionalFormatting>
  <conditionalFormatting sqref="C225">
    <cfRule type="expression" priority="7" dxfId="400">
      <formula>COUNTIF(#REF!,C225)&gt;0</formula>
    </cfRule>
  </conditionalFormatting>
  <conditionalFormatting sqref="C61:C63">
    <cfRule type="expression" priority="134" dxfId="401">
      <formula>COUNTIF(#REF!,C61)&gt;0</formula>
    </cfRule>
  </conditionalFormatting>
  <conditionalFormatting sqref="C92">
    <cfRule type="expression" priority="114" dxfId="402">
      <formula>COUNTIF(#REF!,C92)&gt;0</formula>
    </cfRule>
  </conditionalFormatting>
  <conditionalFormatting sqref="C120:C121">
    <cfRule type="expression" priority="92" dxfId="403">
      <formula>COUNTIF(#REF!,C120)&gt;0</formula>
    </cfRule>
  </conditionalFormatting>
  <conditionalFormatting sqref="C172">
    <cfRule type="expression" priority="50" dxfId="404">
      <formula>COUNTIF(#REF!,C172)&gt;0</formula>
    </cfRule>
  </conditionalFormatting>
  <conditionalFormatting sqref="C214">
    <cfRule type="expression" priority="16" dxfId="405">
      <formula>COUNTIF(#REF!,C214)&gt;0</formula>
    </cfRule>
  </conditionalFormatting>
  <conditionalFormatting sqref="C119">
    <cfRule type="expression" priority="93" dxfId="406">
      <formula>COUNTIF(#REF!,C119)&gt;0</formula>
    </cfRule>
  </conditionalFormatting>
  <conditionalFormatting sqref="C203">
    <cfRule type="expression" priority="27" dxfId="407">
      <formula>COUNTIF(#REF!,C203)&gt;0</formula>
    </cfRule>
  </conditionalFormatting>
  <conditionalFormatting sqref="C152">
    <cfRule type="expression" priority="65" dxfId="408">
      <formula>COUNTIF(#REF!,C152)&gt;0</formula>
    </cfRule>
  </conditionalFormatting>
  <conditionalFormatting sqref="C134">
    <cfRule type="expression" priority="81" dxfId="409">
      <formula>COUNTIF(#REF!,C134)&gt;0</formula>
    </cfRule>
  </conditionalFormatting>
  <conditionalFormatting sqref="C177:C178">
    <cfRule type="expression" priority="46" dxfId="410">
      <formula>COUNTIF(#REF!,C177)&gt;0</formula>
    </cfRule>
  </conditionalFormatting>
  <conditionalFormatting sqref="C126">
    <cfRule type="expression" priority="89" dxfId="411">
      <formula>COUNTIF(#REF!,C126)&gt;0</formula>
    </cfRule>
  </conditionalFormatting>
  <conditionalFormatting sqref="C161:C162">
    <cfRule type="expression" priority="57" dxfId="412">
      <formula>COUNTIF(#REF!,C161)&gt;0</formula>
    </cfRule>
  </conditionalFormatting>
  <conditionalFormatting sqref="C222:C224">
    <cfRule type="expression" priority="8" dxfId="413">
      <formula>COUNTIF(#REF!,C222)&gt;0</formula>
    </cfRule>
  </conditionalFormatting>
  <conditionalFormatting sqref="C22:C23">
    <cfRule type="expression" priority="158" dxfId="414">
      <formula>COUNTIF(#REF!,C22)&gt;0</formula>
    </cfRule>
  </conditionalFormatting>
  <conditionalFormatting sqref="C114">
    <cfRule type="expression" priority="98" dxfId="415">
      <formula>COUNTIF(#REF!,C114)&gt;0</formula>
    </cfRule>
  </conditionalFormatting>
  <conditionalFormatting sqref="C167:C168">
    <cfRule type="expression" priority="54" dxfId="416">
      <formula>COUNTIF(#REF!,C167)&gt;0</formula>
    </cfRule>
  </conditionalFormatting>
  <conditionalFormatting sqref="C194">
    <cfRule type="expression" priority="33" dxfId="417">
      <formula>COUNTIF(#REF!,C194)&gt;0</formula>
    </cfRule>
  </conditionalFormatting>
  <conditionalFormatting sqref="C200">
    <cfRule type="expression" priority="30" dxfId="418">
      <formula>COUNTIF(#REF!,C200)&gt;0</formula>
    </cfRule>
  </conditionalFormatting>
  <conditionalFormatting sqref="C43">
    <cfRule type="expression" priority="147" dxfId="419">
      <formula>COUNTIF(#REF!,C43)&gt;0</formula>
    </cfRule>
  </conditionalFormatting>
  <conditionalFormatting sqref="C206">
    <cfRule type="expression" priority="24" dxfId="420">
      <formula>COUNTIF(#REF!,C206)&gt;0</formula>
    </cfRule>
  </conditionalFormatting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Z268"/>
  <sheetViews>
    <sheetView workbookViewId="0">
      <selection activeCell="A1" sqref="A1"/>
    </sheetView>
  </sheetViews>
  <sheetFormatPr defaultRowHeight="15.0" customHeight="1" defaultColWidth="12"/>
  <cols>
    <col min="1" max="1" customWidth="1" width="34.128906" style="0"/>
    <col min="3" max="3" customWidth="1" width="22.25" style="0"/>
    <col min="4" max="5" customWidth="1" width="35.75" style="0"/>
    <col min="7" max="7" customWidth="1" width="18.878906" style="0"/>
    <col min="8" max="8" customWidth="1" width="29.25" style="0"/>
    <col min="9" max="9" customWidth="1" width="23.128906" style="0"/>
  </cols>
  <sheetData>
    <row r="1" spans="8:8" ht="15.75" customHeight="1">
      <c r="A1" s="267"/>
      <c r="B1" s="267"/>
      <c r="C1" s="267"/>
      <c r="D1" s="267"/>
      <c r="E1" s="135">
        <v>9.0</v>
      </c>
      <c r="F1" s="237"/>
      <c r="G1" s="269">
        <v>6.0</v>
      </c>
      <c r="H1" s="268" t="s">
        <v>4028</v>
      </c>
      <c r="I1" s="269">
        <v>240053.0</v>
      </c>
      <c r="J1" s="268" t="s">
        <v>4858</v>
      </c>
      <c r="K1" s="269" t="s">
        <v>28</v>
      </c>
    </row>
    <row r="2" spans="8:8" ht="15.75" customHeight="1">
      <c r="A2" s="288" t="s">
        <v>4028</v>
      </c>
      <c r="B2" s="287">
        <v>240053.0</v>
      </c>
      <c r="C2" s="288" t="s">
        <v>4858</v>
      </c>
      <c r="D2" s="287" t="s">
        <v>28</v>
      </c>
      <c r="E2" s="135">
        <v>9.0</v>
      </c>
      <c r="F2" s="237"/>
      <c r="G2" s="269">
        <v>7.0</v>
      </c>
      <c r="H2" s="268" t="s">
        <v>3202</v>
      </c>
      <c r="I2" s="269">
        <v>240019.0</v>
      </c>
      <c r="J2" s="268" t="s">
        <v>4858</v>
      </c>
      <c r="K2" s="269" t="s">
        <v>28</v>
      </c>
    </row>
    <row r="3" spans="8:8" ht="15.75" customHeight="1">
      <c r="A3" s="288" t="s">
        <v>3202</v>
      </c>
      <c r="B3" s="287">
        <v>240019.0</v>
      </c>
      <c r="C3" s="288" t="s">
        <v>4858</v>
      </c>
      <c r="D3" s="287" t="s">
        <v>28</v>
      </c>
      <c r="E3" s="135">
        <v>9.0</v>
      </c>
      <c r="F3" s="237"/>
      <c r="G3" s="269">
        <v>9.0</v>
      </c>
      <c r="H3" s="268" t="s">
        <v>4669</v>
      </c>
      <c r="I3" s="269">
        <v>240010.0</v>
      </c>
      <c r="J3" s="268" t="s">
        <v>4858</v>
      </c>
      <c r="K3" s="269" t="s">
        <v>28</v>
      </c>
    </row>
    <row r="4" spans="8:8" ht="15.75" customHeight="1">
      <c r="A4" s="288" t="s">
        <v>4669</v>
      </c>
      <c r="B4" s="287">
        <v>240010.0</v>
      </c>
      <c r="C4" s="288" t="s">
        <v>4858</v>
      </c>
      <c r="D4" s="287" t="s">
        <v>28</v>
      </c>
      <c r="E4" s="135">
        <v>9.0</v>
      </c>
      <c r="F4" s="237"/>
      <c r="G4" s="269">
        <v>10.0</v>
      </c>
      <c r="H4" s="268" t="s">
        <v>4670</v>
      </c>
      <c r="I4" s="269">
        <v>240240.0</v>
      </c>
      <c r="J4" s="268" t="s">
        <v>4858</v>
      </c>
      <c r="K4" s="269" t="s">
        <v>28</v>
      </c>
    </row>
    <row r="5" spans="8:8" ht="15.75" customHeight="1">
      <c r="A5" s="288" t="s">
        <v>4670</v>
      </c>
      <c r="B5" s="287">
        <v>240240.0</v>
      </c>
      <c r="C5" s="288" t="s">
        <v>4858</v>
      </c>
      <c r="D5" s="287" t="s">
        <v>28</v>
      </c>
      <c r="E5" s="135">
        <v>9.0</v>
      </c>
      <c r="F5" s="237"/>
      <c r="G5" s="269">
        <v>11.0</v>
      </c>
      <c r="H5" s="268" t="s">
        <v>3203</v>
      </c>
      <c r="I5" s="269">
        <v>240020.0</v>
      </c>
      <c r="J5" s="268" t="s">
        <v>4858</v>
      </c>
      <c r="K5" s="269" t="s">
        <v>28</v>
      </c>
    </row>
    <row r="6" spans="8:8" ht="15.75" customHeight="1">
      <c r="A6" s="288" t="s">
        <v>3203</v>
      </c>
      <c r="B6" s="287">
        <v>240020.0</v>
      </c>
      <c r="C6" s="288" t="s">
        <v>4858</v>
      </c>
      <c r="D6" s="287" t="s">
        <v>28</v>
      </c>
      <c r="E6" s="135">
        <v>9.0</v>
      </c>
      <c r="F6" s="237"/>
      <c r="G6" s="269">
        <v>12.0</v>
      </c>
      <c r="H6" s="268" t="s">
        <v>3204</v>
      </c>
      <c r="I6" s="269">
        <v>240236.0</v>
      </c>
      <c r="J6" s="268" t="s">
        <v>4858</v>
      </c>
      <c r="K6" s="269" t="s">
        <v>28</v>
      </c>
    </row>
    <row r="7" spans="8:8" ht="15.75" customHeight="1">
      <c r="A7" s="288" t="s">
        <v>3204</v>
      </c>
      <c r="B7" s="287">
        <v>240236.0</v>
      </c>
      <c r="C7" s="288" t="s">
        <v>4858</v>
      </c>
      <c r="D7" s="287" t="s">
        <v>28</v>
      </c>
      <c r="E7" s="135">
        <v>9.0</v>
      </c>
      <c r="F7" s="237"/>
      <c r="G7" s="269">
        <v>13.0</v>
      </c>
      <c r="H7" s="268" t="s">
        <v>4671</v>
      </c>
      <c r="I7" s="269">
        <v>240154.0</v>
      </c>
      <c r="J7" s="268" t="s">
        <v>4858</v>
      </c>
      <c r="K7" s="269" t="s">
        <v>28</v>
      </c>
    </row>
    <row r="8" spans="8:8" ht="15.75" customHeight="1">
      <c r="A8" s="288" t="s">
        <v>4671</v>
      </c>
      <c r="B8" s="287">
        <v>240154.0</v>
      </c>
      <c r="C8" s="288" t="s">
        <v>4858</v>
      </c>
      <c r="D8" s="287" t="s">
        <v>28</v>
      </c>
      <c r="E8" s="135">
        <v>9.0</v>
      </c>
      <c r="F8" s="237"/>
      <c r="G8" s="269">
        <v>15.0</v>
      </c>
      <c r="H8" s="268" t="s">
        <v>1568</v>
      </c>
      <c r="I8" s="269">
        <v>241936.0</v>
      </c>
      <c r="J8" s="268" t="s">
        <v>5004</v>
      </c>
      <c r="K8" s="269" t="s">
        <v>28</v>
      </c>
    </row>
    <row r="9" spans="8:8" ht="15.75" customHeight="1">
      <c r="A9" s="288" t="s">
        <v>1568</v>
      </c>
      <c r="B9" s="287">
        <v>241936.0</v>
      </c>
      <c r="C9" s="288" t="s">
        <v>5004</v>
      </c>
      <c r="D9" s="287" t="s">
        <v>28</v>
      </c>
      <c r="E9" s="135">
        <v>9.0</v>
      </c>
      <c r="F9" s="237"/>
      <c r="G9" s="269">
        <v>17.0</v>
      </c>
      <c r="H9" s="268" t="s">
        <v>4672</v>
      </c>
      <c r="I9" s="269">
        <v>240552.0</v>
      </c>
      <c r="J9" s="268" t="s">
        <v>5004</v>
      </c>
      <c r="K9" s="269" t="s">
        <v>28</v>
      </c>
    </row>
    <row r="10" spans="8:8" ht="15.75" customHeight="1">
      <c r="A10" s="288" t="s">
        <v>4672</v>
      </c>
      <c r="B10" s="287">
        <v>240552.0</v>
      </c>
      <c r="C10" s="288" t="s">
        <v>5004</v>
      </c>
      <c r="D10" s="287" t="s">
        <v>28</v>
      </c>
      <c r="E10" s="135">
        <v>9.0</v>
      </c>
      <c r="F10" s="237"/>
      <c r="G10" s="269">
        <v>19.0</v>
      </c>
      <c r="H10" s="266" t="s">
        <v>4673</v>
      </c>
      <c r="I10" s="269">
        <v>251885.0</v>
      </c>
      <c r="J10" s="268" t="s">
        <v>4860</v>
      </c>
      <c r="K10" s="269" t="s">
        <v>28</v>
      </c>
    </row>
    <row r="11" spans="8:8" ht="15.75" customHeight="1">
      <c r="A11" s="266" t="s">
        <v>4673</v>
      </c>
      <c r="B11" s="267">
        <v>251885.0</v>
      </c>
      <c r="C11" s="266" t="s">
        <v>4860</v>
      </c>
      <c r="D11" s="287" t="s">
        <v>28</v>
      </c>
      <c r="E11" s="135">
        <v>9.0</v>
      </c>
      <c r="F11" s="237"/>
      <c r="G11" s="269">
        <v>21.0</v>
      </c>
      <c r="H11" s="268" t="s">
        <v>2513</v>
      </c>
      <c r="I11" s="269">
        <v>253105.0</v>
      </c>
      <c r="J11" s="266" t="s">
        <v>5020</v>
      </c>
      <c r="K11" s="269" t="s">
        <v>28</v>
      </c>
    </row>
    <row r="12" spans="8:8" ht="15.75" customHeight="1">
      <c r="A12" s="266" t="s">
        <v>2513</v>
      </c>
      <c r="B12" s="267">
        <v>253105.0</v>
      </c>
      <c r="C12" s="266" t="s">
        <v>5020</v>
      </c>
      <c r="D12" s="287" t="s">
        <v>28</v>
      </c>
      <c r="E12" s="135">
        <v>9.0</v>
      </c>
      <c r="F12" s="237"/>
      <c r="G12" s="269">
        <v>8.0</v>
      </c>
      <c r="H12" s="268" t="s">
        <v>3237</v>
      </c>
      <c r="I12" s="269">
        <v>240015.0</v>
      </c>
      <c r="J12" s="268" t="s">
        <v>4858</v>
      </c>
      <c r="K12" s="269" t="s">
        <v>580</v>
      </c>
    </row>
    <row r="13" spans="8:8" ht="15.75" customHeight="1">
      <c r="A13" s="288" t="s">
        <v>3237</v>
      </c>
      <c r="B13" s="287">
        <v>240015.0</v>
      </c>
      <c r="C13" s="288" t="s">
        <v>4858</v>
      </c>
      <c r="D13" s="287" t="s">
        <v>580</v>
      </c>
      <c r="E13" s="135">
        <v>9.0</v>
      </c>
      <c r="F13" s="237"/>
      <c r="G13" s="269">
        <v>3.0</v>
      </c>
      <c r="H13" s="268" t="s">
        <v>4524</v>
      </c>
      <c r="I13" s="269">
        <v>240137.0</v>
      </c>
      <c r="J13" s="268" t="s">
        <v>4858</v>
      </c>
      <c r="K13" s="269" t="s">
        <v>580</v>
      </c>
    </row>
    <row r="14" spans="8:8" ht="15.75" customHeight="1">
      <c r="A14" s="288" t="s">
        <v>4524</v>
      </c>
      <c r="B14" s="287">
        <v>240137.0</v>
      </c>
      <c r="C14" s="288" t="s">
        <v>4858</v>
      </c>
      <c r="D14" s="287" t="s">
        <v>580</v>
      </c>
      <c r="E14" s="135">
        <v>9.0</v>
      </c>
      <c r="F14" s="237"/>
      <c r="G14" s="269">
        <v>6.0</v>
      </c>
      <c r="H14" s="268" t="s">
        <v>4700</v>
      </c>
      <c r="I14" s="269">
        <v>240164.0</v>
      </c>
      <c r="J14" s="268" t="s">
        <v>4858</v>
      </c>
      <c r="K14" s="269" t="s">
        <v>580</v>
      </c>
    </row>
    <row r="15" spans="8:8" ht="15.75" customHeight="1">
      <c r="A15" s="288" t="s">
        <v>4700</v>
      </c>
      <c r="B15" s="287">
        <v>240164.0</v>
      </c>
      <c r="C15" s="288" t="s">
        <v>4858</v>
      </c>
      <c r="D15" s="287" t="s">
        <v>580</v>
      </c>
      <c r="E15" s="135">
        <v>9.0</v>
      </c>
      <c r="F15" s="237"/>
      <c r="G15" s="269">
        <v>21.0</v>
      </c>
      <c r="H15" s="268" t="s">
        <v>1505</v>
      </c>
      <c r="I15" s="269">
        <v>240547.0</v>
      </c>
      <c r="J15" s="268" t="s">
        <v>4948</v>
      </c>
      <c r="K15" s="269" t="s">
        <v>580</v>
      </c>
    </row>
    <row r="16" spans="8:8" ht="15.75" customHeight="1">
      <c r="A16" s="288" t="s">
        <v>1505</v>
      </c>
      <c r="B16" s="287">
        <v>240547.0</v>
      </c>
      <c r="C16" s="288" t="s">
        <v>4948</v>
      </c>
      <c r="D16" s="287" t="s">
        <v>580</v>
      </c>
      <c r="E16" s="135">
        <v>9.0</v>
      </c>
      <c r="F16" s="237"/>
      <c r="G16" s="269">
        <v>23.0</v>
      </c>
      <c r="H16" s="288" t="s">
        <v>1506</v>
      </c>
      <c r="I16" s="269">
        <v>240914.0</v>
      </c>
      <c r="J16" s="268" t="s">
        <v>4948</v>
      </c>
      <c r="K16" s="269" t="s">
        <v>580</v>
      </c>
    </row>
    <row r="17" spans="8:8" ht="15.75" customHeight="1">
      <c r="A17" s="288" t="s">
        <v>1506</v>
      </c>
      <c r="B17" s="287">
        <v>240914.0</v>
      </c>
      <c r="C17" s="288" t="s">
        <v>4948</v>
      </c>
      <c r="D17" s="287" t="s">
        <v>580</v>
      </c>
      <c r="E17" s="135">
        <v>9.0</v>
      </c>
      <c r="F17" s="237"/>
      <c r="G17" s="269">
        <v>24.0</v>
      </c>
      <c r="H17" s="268" t="s">
        <v>1502</v>
      </c>
      <c r="I17" s="269">
        <v>240962.0</v>
      </c>
      <c r="J17" s="268" t="s">
        <v>4948</v>
      </c>
      <c r="K17" s="269" t="s">
        <v>580</v>
      </c>
    </row>
    <row r="18" spans="8:8" ht="15.75" customHeight="1">
      <c r="A18" s="288" t="s">
        <v>1502</v>
      </c>
      <c r="B18" s="287">
        <v>240962.0</v>
      </c>
      <c r="C18" s="288" t="s">
        <v>4948</v>
      </c>
      <c r="D18" s="287" t="s">
        <v>580</v>
      </c>
      <c r="E18" s="135">
        <v>9.0</v>
      </c>
      <c r="F18" s="237"/>
      <c r="G18" s="296">
        <v>28.0</v>
      </c>
      <c r="H18" s="292" t="s">
        <v>4682</v>
      </c>
      <c r="I18" s="297">
        <v>240537.0</v>
      </c>
      <c r="J18" s="292" t="s">
        <v>4883</v>
      </c>
      <c r="K18" s="293" t="s">
        <v>580</v>
      </c>
    </row>
    <row r="19" spans="8:8" ht="15.75" customHeight="1">
      <c r="A19" s="266" t="s">
        <v>4682</v>
      </c>
      <c r="B19" s="267">
        <v>240537.0</v>
      </c>
      <c r="C19" s="266" t="s">
        <v>4883</v>
      </c>
      <c r="D19" s="287" t="s">
        <v>580</v>
      </c>
      <c r="E19" s="135">
        <v>9.0</v>
      </c>
      <c r="F19" s="237"/>
      <c r="G19" s="269">
        <v>20.0</v>
      </c>
      <c r="H19" s="268" t="s">
        <v>4683</v>
      </c>
      <c r="I19" s="269">
        <v>240918.0</v>
      </c>
      <c r="J19" s="268" t="s">
        <v>4988</v>
      </c>
      <c r="K19" s="269" t="s">
        <v>580</v>
      </c>
    </row>
    <row r="20" spans="8:8" ht="15.75" customHeight="1">
      <c r="A20" s="288" t="s">
        <v>4683</v>
      </c>
      <c r="B20" s="287">
        <v>240918.0</v>
      </c>
      <c r="C20" s="288" t="s">
        <v>4988</v>
      </c>
      <c r="D20" s="287" t="s">
        <v>580</v>
      </c>
      <c r="E20" s="135">
        <v>9.0</v>
      </c>
      <c r="F20" s="237"/>
      <c r="G20" s="269">
        <v>26.0</v>
      </c>
      <c r="H20" s="268" t="s">
        <v>4684</v>
      </c>
      <c r="I20" s="269">
        <v>241882.0</v>
      </c>
      <c r="J20" s="288" t="s">
        <v>4971</v>
      </c>
      <c r="K20" s="269" t="s">
        <v>580</v>
      </c>
    </row>
    <row r="21" spans="8:8" ht="15.75" customHeight="1">
      <c r="A21" s="288" t="s">
        <v>4684</v>
      </c>
      <c r="B21" s="287">
        <v>241882.0</v>
      </c>
      <c r="C21" s="288" t="s">
        <v>4971</v>
      </c>
      <c r="D21" s="287" t="s">
        <v>580</v>
      </c>
      <c r="E21" s="135">
        <v>9.0</v>
      </c>
      <c r="F21" s="237"/>
      <c r="G21" s="269">
        <v>25.0</v>
      </c>
      <c r="H21" s="268" t="s">
        <v>1499</v>
      </c>
      <c r="I21" s="269">
        <v>240605.0</v>
      </c>
      <c r="J21" s="268" t="s">
        <v>4883</v>
      </c>
      <c r="K21" s="269" t="s">
        <v>580</v>
      </c>
    </row>
    <row r="22" spans="8:8" ht="15.75" customHeight="1">
      <c r="A22" s="288" t="s">
        <v>1499</v>
      </c>
      <c r="B22" s="287">
        <v>240605.0</v>
      </c>
      <c r="C22" s="288" t="s">
        <v>4883</v>
      </c>
      <c r="D22" s="287" t="s">
        <v>580</v>
      </c>
      <c r="E22" s="135">
        <v>9.0</v>
      </c>
      <c r="F22" s="237"/>
      <c r="G22" s="269">
        <v>20.0</v>
      </c>
      <c r="H22" s="268" t="s">
        <v>1487</v>
      </c>
      <c r="I22" s="269">
        <v>240925.0</v>
      </c>
      <c r="J22" s="268" t="s">
        <v>4988</v>
      </c>
      <c r="K22" s="269" t="s">
        <v>781</v>
      </c>
    </row>
    <row r="23" spans="8:8" ht="15.75" customHeight="1">
      <c r="A23" s="288" t="s">
        <v>1487</v>
      </c>
      <c r="B23" s="287">
        <v>240925.0</v>
      </c>
      <c r="C23" s="288" t="s">
        <v>4988</v>
      </c>
      <c r="D23" s="287" t="s">
        <v>781</v>
      </c>
      <c r="E23" s="135">
        <v>9.0</v>
      </c>
      <c r="F23" s="237"/>
      <c r="G23" s="269">
        <v>20.0</v>
      </c>
      <c r="H23" s="268" t="s">
        <v>3434</v>
      </c>
      <c r="I23" s="269">
        <v>240133.0</v>
      </c>
      <c r="J23" s="268" t="s">
        <v>4858</v>
      </c>
      <c r="K23" s="269" t="s">
        <v>781</v>
      </c>
    </row>
    <row r="24" spans="8:8" ht="15.75" customHeight="1">
      <c r="A24" s="298" t="s">
        <v>3434</v>
      </c>
      <c r="B24" s="299">
        <v>240133.0</v>
      </c>
      <c r="C24" s="298" t="s">
        <v>4858</v>
      </c>
      <c r="D24" s="299" t="s">
        <v>781</v>
      </c>
      <c r="E24" s="135">
        <v>9.0</v>
      </c>
      <c r="F24" s="237"/>
      <c r="G24" s="269">
        <v>9.0</v>
      </c>
      <c r="H24" s="268" t="s">
        <v>3249</v>
      </c>
      <c r="I24" s="269">
        <v>240044.0</v>
      </c>
      <c r="J24" s="268" t="s">
        <v>4858</v>
      </c>
      <c r="K24" s="269" t="s">
        <v>781</v>
      </c>
    </row>
    <row r="25" spans="8:8" ht="15.75" customHeight="1">
      <c r="A25" s="288" t="s">
        <v>3249</v>
      </c>
      <c r="B25" s="287">
        <v>240044.0</v>
      </c>
      <c r="C25" s="288" t="s">
        <v>4858</v>
      </c>
      <c r="D25" s="287" t="s">
        <v>781</v>
      </c>
      <c r="E25" s="135">
        <v>9.0</v>
      </c>
      <c r="F25" s="237"/>
      <c r="G25" s="269">
        <v>11.0</v>
      </c>
      <c r="H25" s="268" t="s">
        <v>3250</v>
      </c>
      <c r="I25" s="269">
        <v>240070.0</v>
      </c>
      <c r="J25" s="268" t="s">
        <v>4858</v>
      </c>
      <c r="K25" s="269" t="s">
        <v>781</v>
      </c>
    </row>
    <row r="26" spans="8:8" ht="15.75" customHeight="1">
      <c r="A26" s="288" t="s">
        <v>3250</v>
      </c>
      <c r="B26" s="287">
        <v>240070.0</v>
      </c>
      <c r="C26" s="288" t="s">
        <v>4858</v>
      </c>
      <c r="D26" s="287" t="s">
        <v>781</v>
      </c>
      <c r="E26" s="135">
        <v>9.0</v>
      </c>
      <c r="F26" s="237"/>
      <c r="G26" s="269">
        <v>14.0</v>
      </c>
      <c r="H26" s="268" t="s">
        <v>3251</v>
      </c>
      <c r="I26" s="269">
        <v>240074.0</v>
      </c>
      <c r="J26" s="268" t="s">
        <v>4858</v>
      </c>
      <c r="K26" s="269" t="s">
        <v>781</v>
      </c>
    </row>
    <row r="27" spans="8:8" ht="15.75" customHeight="1">
      <c r="A27" s="288" t="s">
        <v>3251</v>
      </c>
      <c r="B27" s="287">
        <v>240074.0</v>
      </c>
      <c r="C27" s="288" t="s">
        <v>4858</v>
      </c>
      <c r="D27" s="287" t="s">
        <v>781</v>
      </c>
      <c r="E27" s="135">
        <v>9.0</v>
      </c>
      <c r="F27" s="237"/>
      <c r="G27" s="269">
        <v>8.0</v>
      </c>
      <c r="H27" s="268" t="s">
        <v>4687</v>
      </c>
      <c r="I27" s="269">
        <v>240025.0</v>
      </c>
      <c r="J27" s="268" t="s">
        <v>4858</v>
      </c>
      <c r="K27" s="269" t="s">
        <v>781</v>
      </c>
    </row>
    <row r="28" spans="8:8" ht="15.75" customHeight="1">
      <c r="A28" s="288" t="s">
        <v>4687</v>
      </c>
      <c r="B28" s="287">
        <v>240025.0</v>
      </c>
      <c r="C28" s="288" t="s">
        <v>4858</v>
      </c>
      <c r="D28" s="287" t="s">
        <v>781</v>
      </c>
      <c r="E28" s="135">
        <v>9.0</v>
      </c>
      <c r="F28" s="237"/>
      <c r="G28" s="269">
        <v>9.0</v>
      </c>
      <c r="H28" s="268" t="s">
        <v>4688</v>
      </c>
      <c r="I28" s="269">
        <v>240195.0</v>
      </c>
      <c r="J28" s="268" t="s">
        <v>4858</v>
      </c>
      <c r="K28" s="269" t="s">
        <v>781</v>
      </c>
    </row>
    <row r="29" spans="8:8" ht="15.75" customHeight="1">
      <c r="A29" s="288" t="s">
        <v>4688</v>
      </c>
      <c r="B29" s="287">
        <v>240195.0</v>
      </c>
      <c r="C29" s="288" t="s">
        <v>4858</v>
      </c>
      <c r="D29" s="287" t="s">
        <v>781</v>
      </c>
      <c r="E29" s="135">
        <v>9.0</v>
      </c>
      <c r="F29" s="237"/>
      <c r="G29" s="269">
        <v>10.0</v>
      </c>
      <c r="H29" s="268" t="s">
        <v>3252</v>
      </c>
      <c r="I29" s="269">
        <v>240088.0</v>
      </c>
      <c r="J29" s="268" t="s">
        <v>4858</v>
      </c>
      <c r="K29" s="269" t="s">
        <v>781</v>
      </c>
    </row>
    <row r="30" spans="8:8" ht="15.75" customHeight="1">
      <c r="A30" s="288" t="s">
        <v>3252</v>
      </c>
      <c r="B30" s="287">
        <v>240088.0</v>
      </c>
      <c r="C30" s="288" t="s">
        <v>4858</v>
      </c>
      <c r="D30" s="287" t="s">
        <v>781</v>
      </c>
      <c r="E30" s="135">
        <v>9.0</v>
      </c>
      <c r="F30" s="237"/>
      <c r="G30" s="269">
        <v>11.0</v>
      </c>
      <c r="H30" s="268" t="s">
        <v>3253</v>
      </c>
      <c r="I30" s="269">
        <v>240159.0</v>
      </c>
      <c r="J30" s="268" t="s">
        <v>4858</v>
      </c>
      <c r="K30" s="269" t="s">
        <v>781</v>
      </c>
    </row>
    <row r="31" spans="8:8" ht="15.75" customHeight="1">
      <c r="A31" s="288" t="s">
        <v>3253</v>
      </c>
      <c r="B31" s="287">
        <v>240159.0</v>
      </c>
      <c r="C31" s="288" t="s">
        <v>4858</v>
      </c>
      <c r="D31" s="287" t="s">
        <v>781</v>
      </c>
      <c r="E31" s="135">
        <v>9.0</v>
      </c>
      <c r="F31" s="237"/>
      <c r="G31" s="296">
        <v>12.0</v>
      </c>
      <c r="H31" s="300" t="s">
        <v>3254</v>
      </c>
      <c r="I31" s="296">
        <v>240157.0</v>
      </c>
      <c r="J31" s="300" t="s">
        <v>4858</v>
      </c>
      <c r="K31" s="296" t="s">
        <v>781</v>
      </c>
    </row>
    <row r="32" spans="8:8" ht="15.75" customHeight="1">
      <c r="A32" s="288" t="s">
        <v>3254</v>
      </c>
      <c r="B32" s="287">
        <v>240157.0</v>
      </c>
      <c r="C32" s="288" t="s">
        <v>4858</v>
      </c>
      <c r="D32" s="287" t="s">
        <v>781</v>
      </c>
      <c r="E32" s="135">
        <v>9.0</v>
      </c>
      <c r="F32" s="237"/>
      <c r="G32" s="269">
        <v>14.0</v>
      </c>
      <c r="H32" s="268" t="s">
        <v>3255</v>
      </c>
      <c r="I32" s="269">
        <v>240043.0</v>
      </c>
      <c r="J32" s="268" t="s">
        <v>4858</v>
      </c>
      <c r="K32" s="269" t="s">
        <v>781</v>
      </c>
    </row>
    <row r="33" spans="8:8" ht="15.75" customHeight="1">
      <c r="A33" s="288" t="s">
        <v>3255</v>
      </c>
      <c r="B33" s="287">
        <v>240043.0</v>
      </c>
      <c r="C33" s="288" t="s">
        <v>4858</v>
      </c>
      <c r="D33" s="287" t="s">
        <v>781</v>
      </c>
      <c r="E33" s="135">
        <v>9.0</v>
      </c>
      <c r="F33" s="237"/>
      <c r="G33" s="269">
        <v>16.0</v>
      </c>
      <c r="H33" s="268" t="s">
        <v>3256</v>
      </c>
      <c r="I33" s="269">
        <v>240082.0</v>
      </c>
      <c r="J33" s="268" t="s">
        <v>4858</v>
      </c>
      <c r="K33" s="269" t="s">
        <v>781</v>
      </c>
    </row>
    <row r="34" spans="8:8" ht="15.75" customHeight="1">
      <c r="A34" s="288" t="s">
        <v>3256</v>
      </c>
      <c r="B34" s="287">
        <v>240082.0</v>
      </c>
      <c r="C34" s="288" t="s">
        <v>4858</v>
      </c>
      <c r="D34" s="287" t="s">
        <v>781</v>
      </c>
      <c r="E34" s="135">
        <v>9.0</v>
      </c>
      <c r="F34" s="237"/>
      <c r="G34" s="269">
        <v>17.0</v>
      </c>
      <c r="H34" s="268" t="s">
        <v>3257</v>
      </c>
      <c r="I34" s="269">
        <v>240211.0</v>
      </c>
      <c r="J34" s="268" t="s">
        <v>4858</v>
      </c>
      <c r="K34" s="269" t="s">
        <v>781</v>
      </c>
    </row>
    <row r="35" spans="8:8" ht="15.75" customHeight="1">
      <c r="A35" s="288" t="s">
        <v>3257</v>
      </c>
      <c r="B35" s="287">
        <v>240211.0</v>
      </c>
      <c r="C35" s="288" t="s">
        <v>4858</v>
      </c>
      <c r="D35" s="287" t="s">
        <v>781</v>
      </c>
      <c r="E35" s="135">
        <v>9.0</v>
      </c>
      <c r="F35" s="237"/>
      <c r="G35" s="269">
        <v>18.0</v>
      </c>
      <c r="H35" s="268" t="s">
        <v>4689</v>
      </c>
      <c r="I35" s="269">
        <v>240083.0</v>
      </c>
      <c r="J35" s="268" t="s">
        <v>4858</v>
      </c>
      <c r="K35" s="269" t="s">
        <v>781</v>
      </c>
    </row>
    <row r="36" spans="8:8" ht="15.75" customHeight="1">
      <c r="A36" s="288" t="s">
        <v>4689</v>
      </c>
      <c r="B36" s="287">
        <v>240083.0</v>
      </c>
      <c r="C36" s="288" t="s">
        <v>4858</v>
      </c>
      <c r="D36" s="287" t="s">
        <v>781</v>
      </c>
      <c r="E36" s="135">
        <v>9.0</v>
      </c>
      <c r="F36" s="237"/>
      <c r="G36" s="269">
        <v>19.0</v>
      </c>
      <c r="H36" s="268" t="s">
        <v>4743</v>
      </c>
      <c r="I36" s="269">
        <v>240173.0</v>
      </c>
      <c r="J36" s="268" t="s">
        <v>4858</v>
      </c>
      <c r="K36" s="269" t="s">
        <v>781</v>
      </c>
    </row>
    <row r="37" spans="8:8" ht="15.75" customHeight="1">
      <c r="A37" s="288" t="s">
        <v>4743</v>
      </c>
      <c r="B37" s="287">
        <v>240173.0</v>
      </c>
      <c r="C37" s="288" t="s">
        <v>4858</v>
      </c>
      <c r="D37" s="287" t="s">
        <v>781</v>
      </c>
      <c r="E37" s="135">
        <v>9.0</v>
      </c>
      <c r="F37" s="237"/>
      <c r="G37" s="269">
        <v>18.0</v>
      </c>
      <c r="H37" s="268" t="s">
        <v>3259</v>
      </c>
      <c r="I37" s="269">
        <v>240092.0</v>
      </c>
      <c r="J37" s="268" t="s">
        <v>4858</v>
      </c>
      <c r="K37" s="269" t="s">
        <v>781</v>
      </c>
    </row>
    <row r="38" spans="8:8" ht="15.75" customHeight="1">
      <c r="A38" s="288" t="s">
        <v>3259</v>
      </c>
      <c r="B38" s="287">
        <v>240092.0</v>
      </c>
      <c r="C38" s="288" t="s">
        <v>4858</v>
      </c>
      <c r="D38" s="287" t="s">
        <v>781</v>
      </c>
      <c r="E38" s="135">
        <v>9.0</v>
      </c>
      <c r="F38" s="237"/>
      <c r="G38" s="269">
        <v>9.0</v>
      </c>
      <c r="H38" s="268" t="s">
        <v>4981</v>
      </c>
      <c r="I38" s="269">
        <v>240225.0</v>
      </c>
      <c r="J38" s="268" t="s">
        <v>4858</v>
      </c>
      <c r="K38" s="269" t="s">
        <v>1645</v>
      </c>
    </row>
    <row r="39" spans="8:8" ht="15.75" customHeight="1">
      <c r="A39" s="301" t="s">
        <v>4981</v>
      </c>
      <c r="B39" s="302">
        <v>240225.0</v>
      </c>
      <c r="C39" s="301" t="s">
        <v>4858</v>
      </c>
      <c r="D39" s="302" t="s">
        <v>1645</v>
      </c>
      <c r="E39" s="303">
        <v>9.0</v>
      </c>
      <c r="F39" s="237"/>
      <c r="G39" s="269">
        <v>1.0</v>
      </c>
      <c r="H39" s="268" t="s">
        <v>4442</v>
      </c>
      <c r="I39" s="269">
        <v>240242.0</v>
      </c>
      <c r="J39" s="268" t="s">
        <v>5008</v>
      </c>
      <c r="K39" s="269" t="s">
        <v>111</v>
      </c>
      <c r="M39" s="304"/>
      <c r="N39" s="304"/>
      <c r="O39" s="304"/>
      <c r="P39" s="304"/>
      <c r="Q39" s="304"/>
      <c r="R39" s="304"/>
      <c r="S39" s="304"/>
      <c r="T39" s="304"/>
      <c r="U39" s="304"/>
      <c r="V39" s="304"/>
      <c r="W39" s="304"/>
      <c r="X39" s="304"/>
    </row>
    <row r="40" spans="8:8" ht="15.75" customHeight="1">
      <c r="A40" s="288" t="s">
        <v>4442</v>
      </c>
      <c r="B40" s="287">
        <v>240242.0</v>
      </c>
      <c r="C40" s="288" t="s">
        <v>5008</v>
      </c>
      <c r="D40" s="287" t="s">
        <v>111</v>
      </c>
      <c r="E40" s="135">
        <v>12.0</v>
      </c>
      <c r="F40" s="237"/>
      <c r="G40" s="269">
        <v>10.0</v>
      </c>
      <c r="H40" s="268" t="s">
        <v>3436</v>
      </c>
      <c r="I40" s="269">
        <v>240399.0</v>
      </c>
      <c r="J40" s="268" t="s">
        <v>5008</v>
      </c>
      <c r="K40" s="269" t="s">
        <v>111</v>
      </c>
    </row>
    <row r="41" spans="8:8" ht="15.75" customHeight="1">
      <c r="A41" s="288" t="s">
        <v>3436</v>
      </c>
      <c r="B41" s="287">
        <v>240399.0</v>
      </c>
      <c r="C41" s="288" t="s">
        <v>5008</v>
      </c>
      <c r="D41" s="287" t="s">
        <v>111</v>
      </c>
      <c r="E41" s="135">
        <v>12.0</v>
      </c>
      <c r="F41" s="237"/>
      <c r="G41" s="269">
        <v>11.0</v>
      </c>
      <c r="H41" s="268" t="s">
        <v>2931</v>
      </c>
      <c r="I41" s="269">
        <v>240434.0</v>
      </c>
      <c r="J41" s="268" t="s">
        <v>5008</v>
      </c>
      <c r="K41" s="269" t="s">
        <v>111</v>
      </c>
    </row>
    <row r="42" spans="8:8" ht="15.75" customHeight="1">
      <c r="A42" s="288" t="s">
        <v>2931</v>
      </c>
      <c r="B42" s="287">
        <v>240434.0</v>
      </c>
      <c r="C42" s="288" t="s">
        <v>5008</v>
      </c>
      <c r="D42" s="287" t="s">
        <v>111</v>
      </c>
      <c r="E42" s="135">
        <v>12.0</v>
      </c>
      <c r="F42" s="237"/>
      <c r="G42" s="269">
        <v>15.0</v>
      </c>
      <c r="H42" s="268" t="s">
        <v>5079</v>
      </c>
      <c r="I42" s="269">
        <v>240408.0</v>
      </c>
      <c r="J42" s="268" t="s">
        <v>5008</v>
      </c>
      <c r="K42" s="269" t="s">
        <v>111</v>
      </c>
    </row>
    <row r="43" spans="8:8" ht="15.75" customHeight="1">
      <c r="A43" s="288" t="s">
        <v>5079</v>
      </c>
      <c r="B43" s="287">
        <v>240408.0</v>
      </c>
      <c r="C43" s="288" t="s">
        <v>5008</v>
      </c>
      <c r="D43" s="287" t="s">
        <v>111</v>
      </c>
      <c r="E43" s="135">
        <v>12.0</v>
      </c>
      <c r="F43" s="237"/>
      <c r="G43" s="269">
        <v>16.0</v>
      </c>
      <c r="H43" s="268" t="s">
        <v>4692</v>
      </c>
      <c r="I43" s="269">
        <v>240253.0</v>
      </c>
      <c r="J43" s="268" t="s">
        <v>5008</v>
      </c>
      <c r="K43" s="269" t="s">
        <v>111</v>
      </c>
    </row>
    <row r="44" spans="8:8" ht="15.75" customHeight="1">
      <c r="A44" s="288" t="s">
        <v>4692</v>
      </c>
      <c r="B44" s="287">
        <v>240253.0</v>
      </c>
      <c r="C44" s="288" t="s">
        <v>5008</v>
      </c>
      <c r="D44" s="287" t="s">
        <v>111</v>
      </c>
      <c r="E44" s="135">
        <v>12.0</v>
      </c>
      <c r="F44" s="237"/>
      <c r="G44" s="269">
        <v>17.0</v>
      </c>
      <c r="H44" s="268" t="s">
        <v>5080</v>
      </c>
      <c r="I44" s="269">
        <v>240371.0</v>
      </c>
      <c r="J44" s="268" t="s">
        <v>5008</v>
      </c>
      <c r="K44" s="269" t="s">
        <v>111</v>
      </c>
    </row>
    <row r="45" spans="8:8" ht="15.75" customHeight="1">
      <c r="A45" s="288" t="s">
        <v>5080</v>
      </c>
      <c r="B45" s="287">
        <v>240371.0</v>
      </c>
      <c r="C45" s="288" t="s">
        <v>5008</v>
      </c>
      <c r="D45" s="287" t="s">
        <v>111</v>
      </c>
      <c r="E45" s="135">
        <v>12.0</v>
      </c>
      <c r="F45" s="237"/>
      <c r="G45" s="269">
        <v>19.0</v>
      </c>
      <c r="H45" s="268" t="s">
        <v>4693</v>
      </c>
      <c r="I45" s="269">
        <v>240904.0</v>
      </c>
      <c r="J45" s="268" t="s">
        <v>4861</v>
      </c>
      <c r="K45" s="269" t="s">
        <v>111</v>
      </c>
    </row>
    <row r="46" spans="8:8" ht="15.75" customHeight="1">
      <c r="A46" s="288" t="s">
        <v>4693</v>
      </c>
      <c r="B46" s="287">
        <v>240904.0</v>
      </c>
      <c r="C46" s="288" t="s">
        <v>4861</v>
      </c>
      <c r="D46" s="287" t="s">
        <v>111</v>
      </c>
      <c r="E46" s="135">
        <v>12.0</v>
      </c>
      <c r="F46" s="237"/>
      <c r="G46" s="296">
        <v>1.0</v>
      </c>
      <c r="H46" s="292" t="s">
        <v>4680</v>
      </c>
      <c r="I46" s="297">
        <v>240439.0</v>
      </c>
      <c r="J46" s="292" t="s">
        <v>5008</v>
      </c>
      <c r="K46" s="293" t="s">
        <v>580</v>
      </c>
    </row>
    <row r="47" spans="8:8" ht="15.75" customHeight="1">
      <c r="A47" s="288" t="s">
        <v>4680</v>
      </c>
      <c r="B47" s="287">
        <v>240439.0</v>
      </c>
      <c r="C47" s="288" t="s">
        <v>5008</v>
      </c>
      <c r="D47" s="287" t="s">
        <v>580</v>
      </c>
      <c r="E47" s="135">
        <v>12.0</v>
      </c>
      <c r="F47" s="237"/>
      <c r="G47" s="269">
        <v>2.0</v>
      </c>
      <c r="H47" s="268" t="s">
        <v>3224</v>
      </c>
      <c r="I47" s="269">
        <v>240450.0</v>
      </c>
      <c r="J47" s="268" t="s">
        <v>5008</v>
      </c>
      <c r="K47" s="269" t="s">
        <v>580</v>
      </c>
    </row>
    <row r="48" spans="8:8" ht="15.75" customHeight="1">
      <c r="A48" s="288" t="s">
        <v>3224</v>
      </c>
      <c r="B48" s="287">
        <v>240450.0</v>
      </c>
      <c r="C48" s="288" t="s">
        <v>5008</v>
      </c>
      <c r="D48" s="287" t="s">
        <v>580</v>
      </c>
      <c r="E48" s="135">
        <v>12.0</v>
      </c>
      <c r="F48" s="237"/>
      <c r="G48" s="269">
        <v>3.0</v>
      </c>
      <c r="H48" s="268" t="s">
        <v>3225</v>
      </c>
      <c r="I48" s="269">
        <v>240453.0</v>
      </c>
      <c r="J48" s="268" t="s">
        <v>5008</v>
      </c>
      <c r="K48" s="269" t="s">
        <v>580</v>
      </c>
    </row>
    <row r="49" spans="8:8" ht="15.75" customHeight="1">
      <c r="A49" s="288" t="s">
        <v>3225</v>
      </c>
      <c r="B49" s="287">
        <v>240453.0</v>
      </c>
      <c r="C49" s="288" t="s">
        <v>5008</v>
      </c>
      <c r="D49" s="287" t="s">
        <v>580</v>
      </c>
      <c r="E49" s="135">
        <v>12.0</v>
      </c>
      <c r="F49" s="237"/>
      <c r="G49" s="269">
        <v>4.0</v>
      </c>
      <c r="H49" s="268" t="s">
        <v>3226</v>
      </c>
      <c r="I49" s="269">
        <v>240457.0</v>
      </c>
      <c r="J49" s="268" t="s">
        <v>5008</v>
      </c>
      <c r="K49" s="269" t="s">
        <v>580</v>
      </c>
    </row>
    <row r="50" spans="8:8" ht="15.75" customHeight="1">
      <c r="A50" s="288" t="s">
        <v>3226</v>
      </c>
      <c r="B50" s="287">
        <v>240457.0</v>
      </c>
      <c r="C50" s="288" t="s">
        <v>5008</v>
      </c>
      <c r="D50" s="287" t="s">
        <v>580</v>
      </c>
      <c r="E50" s="135">
        <v>12.0</v>
      </c>
      <c r="F50" s="237"/>
      <c r="G50" s="269">
        <v>5.0</v>
      </c>
      <c r="H50" s="268" t="s">
        <v>3227</v>
      </c>
      <c r="I50" s="269">
        <v>240258.0</v>
      </c>
      <c r="J50" s="268" t="s">
        <v>5008</v>
      </c>
      <c r="K50" s="269" t="s">
        <v>580</v>
      </c>
    </row>
    <row r="51" spans="8:8" ht="15.75" customHeight="1">
      <c r="A51" s="288" t="s">
        <v>3227</v>
      </c>
      <c r="B51" s="287">
        <v>240258.0</v>
      </c>
      <c r="C51" s="288" t="s">
        <v>5008</v>
      </c>
      <c r="D51" s="287" t="s">
        <v>580</v>
      </c>
      <c r="E51" s="135">
        <v>12.0</v>
      </c>
      <c r="F51" s="237"/>
      <c r="G51" s="269">
        <v>6.0</v>
      </c>
      <c r="H51" s="268" t="s">
        <v>4523</v>
      </c>
      <c r="I51" s="269">
        <v>240259.0</v>
      </c>
      <c r="J51" s="268" t="s">
        <v>5008</v>
      </c>
      <c r="K51" s="269" t="s">
        <v>580</v>
      </c>
    </row>
    <row r="52" spans="8:8" ht="15.75" customHeight="1">
      <c r="A52" s="288" t="s">
        <v>4523</v>
      </c>
      <c r="B52" s="287">
        <v>240259.0</v>
      </c>
      <c r="C52" s="288" t="s">
        <v>5008</v>
      </c>
      <c r="D52" s="287" t="s">
        <v>580</v>
      </c>
      <c r="E52" s="135">
        <v>12.0</v>
      </c>
      <c r="F52" s="237"/>
      <c r="G52" s="269">
        <v>11.0</v>
      </c>
      <c r="H52" s="268" t="s">
        <v>3228</v>
      </c>
      <c r="I52" s="269">
        <v>240315.0</v>
      </c>
      <c r="J52" s="268" t="s">
        <v>5008</v>
      </c>
      <c r="K52" s="269" t="s">
        <v>580</v>
      </c>
    </row>
    <row r="53" spans="8:8" ht="15.75" customHeight="1">
      <c r="A53" s="288" t="s">
        <v>3228</v>
      </c>
      <c r="B53" s="287">
        <v>240315.0</v>
      </c>
      <c r="C53" s="288" t="s">
        <v>5008</v>
      </c>
      <c r="D53" s="287" t="s">
        <v>580</v>
      </c>
      <c r="E53" s="135">
        <v>12.0</v>
      </c>
      <c r="F53" s="237"/>
      <c r="G53" s="269">
        <v>12.0</v>
      </c>
      <c r="H53" s="268" t="s">
        <v>3229</v>
      </c>
      <c r="I53" s="269">
        <v>240321.0</v>
      </c>
      <c r="J53" s="268" t="s">
        <v>5008</v>
      </c>
      <c r="K53" s="269" t="s">
        <v>580</v>
      </c>
    </row>
    <row r="54" spans="8:8" ht="15.75" customHeight="1">
      <c r="A54" s="288" t="s">
        <v>3229</v>
      </c>
      <c r="B54" s="287">
        <v>240321.0</v>
      </c>
      <c r="C54" s="288" t="s">
        <v>5008</v>
      </c>
      <c r="D54" s="287" t="s">
        <v>580</v>
      </c>
      <c r="E54" s="135">
        <v>12.0</v>
      </c>
      <c r="F54" s="237"/>
      <c r="G54" s="269">
        <v>15.0</v>
      </c>
      <c r="H54" s="288" t="s">
        <v>5081</v>
      </c>
      <c r="I54" s="269">
        <v>240326.0</v>
      </c>
      <c r="J54" s="268" t="s">
        <v>5008</v>
      </c>
      <c r="K54" s="269" t="s">
        <v>580</v>
      </c>
    </row>
    <row r="55" spans="8:8" ht="15.75" customHeight="1">
      <c r="A55" s="288" t="s">
        <v>5081</v>
      </c>
      <c r="B55" s="287">
        <v>240326.0</v>
      </c>
      <c r="C55" s="288" t="s">
        <v>5008</v>
      </c>
      <c r="D55" s="287" t="s">
        <v>580</v>
      </c>
      <c r="E55" s="135">
        <v>12.0</v>
      </c>
      <c r="F55" s="237"/>
      <c r="G55" s="269">
        <v>16.0</v>
      </c>
      <c r="H55" s="268" t="s">
        <v>3230</v>
      </c>
      <c r="I55" s="269">
        <v>240328.0</v>
      </c>
      <c r="J55" s="268" t="s">
        <v>5008</v>
      </c>
      <c r="K55" s="269" t="s">
        <v>580</v>
      </c>
    </row>
    <row r="56" spans="8:8" ht="15.75" customHeight="1">
      <c r="A56" s="288" t="s">
        <v>3230</v>
      </c>
      <c r="B56" s="287">
        <v>240328.0</v>
      </c>
      <c r="C56" s="288" t="s">
        <v>5008</v>
      </c>
      <c r="D56" s="287" t="s">
        <v>580</v>
      </c>
      <c r="E56" s="135">
        <v>12.0</v>
      </c>
      <c r="F56" s="237"/>
      <c r="G56" s="269">
        <v>17.0</v>
      </c>
      <c r="H56" s="268" t="s">
        <v>3231</v>
      </c>
      <c r="I56" s="269">
        <v>240329.0</v>
      </c>
      <c r="J56" s="268" t="s">
        <v>5008</v>
      </c>
      <c r="K56" s="269" t="s">
        <v>580</v>
      </c>
    </row>
    <row r="57" spans="8:8" ht="15.75" customHeight="1">
      <c r="A57" s="288" t="s">
        <v>3231</v>
      </c>
      <c r="B57" s="287">
        <v>240329.0</v>
      </c>
      <c r="C57" s="288" t="s">
        <v>5008</v>
      </c>
      <c r="D57" s="287" t="s">
        <v>580</v>
      </c>
      <c r="E57" s="135">
        <v>12.0</v>
      </c>
      <c r="F57" s="237"/>
      <c r="G57" s="269">
        <v>18.0</v>
      </c>
      <c r="H57" s="268" t="s">
        <v>5082</v>
      </c>
      <c r="I57" s="269">
        <v>240331.0</v>
      </c>
      <c r="J57" s="268" t="s">
        <v>5008</v>
      </c>
      <c r="K57" s="269" t="s">
        <v>580</v>
      </c>
    </row>
    <row r="58" spans="8:8" ht="15.75" customHeight="1">
      <c r="A58" s="288" t="s">
        <v>5082</v>
      </c>
      <c r="B58" s="287">
        <v>240331.0</v>
      </c>
      <c r="C58" s="288" t="s">
        <v>5008</v>
      </c>
      <c r="D58" s="287" t="s">
        <v>580</v>
      </c>
      <c r="E58" s="135">
        <v>12.0</v>
      </c>
      <c r="F58" s="237"/>
      <c r="G58" s="269">
        <v>20.0</v>
      </c>
      <c r="H58" s="268" t="s">
        <v>3232</v>
      </c>
      <c r="I58" s="269">
        <v>240342.0</v>
      </c>
      <c r="J58" s="268" t="s">
        <v>5008</v>
      </c>
      <c r="K58" s="269" t="s">
        <v>580</v>
      </c>
    </row>
    <row r="59" spans="8:8" ht="15.75" customHeight="1">
      <c r="A59" s="288" t="s">
        <v>3232</v>
      </c>
      <c r="B59" s="287">
        <v>240342.0</v>
      </c>
      <c r="C59" s="288" t="s">
        <v>5008</v>
      </c>
      <c r="D59" s="287" t="s">
        <v>580</v>
      </c>
      <c r="E59" s="135">
        <v>12.0</v>
      </c>
      <c r="F59" s="237"/>
      <c r="G59" s="269">
        <v>21.0</v>
      </c>
      <c r="H59" s="268" t="s">
        <v>3233</v>
      </c>
      <c r="I59" s="269">
        <v>240366.0</v>
      </c>
      <c r="J59" s="268" t="s">
        <v>5008</v>
      </c>
      <c r="K59" s="269" t="s">
        <v>580</v>
      </c>
    </row>
    <row r="60" spans="8:8" ht="15.75" customHeight="1">
      <c r="A60" s="288" t="s">
        <v>3233</v>
      </c>
      <c r="B60" s="287">
        <v>240366.0</v>
      </c>
      <c r="C60" s="288" t="s">
        <v>5008</v>
      </c>
      <c r="D60" s="287" t="s">
        <v>580</v>
      </c>
      <c r="E60" s="135">
        <v>12.0</v>
      </c>
      <c r="F60" s="237"/>
      <c r="G60" s="269">
        <v>23.0</v>
      </c>
      <c r="H60" s="268" t="s">
        <v>3234</v>
      </c>
      <c r="I60" s="269">
        <v>240461.0</v>
      </c>
      <c r="J60" s="268" t="s">
        <v>5008</v>
      </c>
      <c r="K60" s="269" t="s">
        <v>580</v>
      </c>
    </row>
    <row r="61" spans="8:8" ht="15.75" customHeight="1">
      <c r="A61" s="288" t="s">
        <v>3234</v>
      </c>
      <c r="B61" s="287">
        <v>240461.0</v>
      </c>
      <c r="C61" s="288" t="s">
        <v>5008</v>
      </c>
      <c r="D61" s="287" t="s">
        <v>580</v>
      </c>
      <c r="E61" s="135">
        <v>12.0</v>
      </c>
      <c r="F61" s="237"/>
      <c r="G61" s="269">
        <v>24.0</v>
      </c>
      <c r="H61" s="268" t="s">
        <v>1497</v>
      </c>
      <c r="I61" s="269">
        <v>240858.0</v>
      </c>
      <c r="J61" s="268" t="s">
        <v>4861</v>
      </c>
      <c r="K61" s="269" t="s">
        <v>580</v>
      </c>
    </row>
    <row r="62" spans="8:8" ht="15.75" customHeight="1">
      <c r="A62" s="288" t="s">
        <v>1497</v>
      </c>
      <c r="B62" s="287">
        <v>240858.0</v>
      </c>
      <c r="C62" s="288" t="s">
        <v>4861</v>
      </c>
      <c r="D62" s="287" t="s">
        <v>580</v>
      </c>
      <c r="E62" s="135">
        <v>12.0</v>
      </c>
      <c r="F62" s="237"/>
      <c r="G62" s="269">
        <v>2.0</v>
      </c>
      <c r="H62" s="268" t="s">
        <v>4699</v>
      </c>
      <c r="I62" s="269">
        <v>240747.0</v>
      </c>
      <c r="J62" s="268" t="s">
        <v>4861</v>
      </c>
      <c r="K62" s="269" t="s">
        <v>580</v>
      </c>
    </row>
    <row r="63" spans="8:8" ht="15.75" customHeight="1">
      <c r="A63" s="288" t="s">
        <v>4699</v>
      </c>
      <c r="B63" s="287">
        <v>240747.0</v>
      </c>
      <c r="C63" s="288" t="s">
        <v>4861</v>
      </c>
      <c r="D63" s="287" t="s">
        <v>580</v>
      </c>
      <c r="E63" s="135">
        <v>12.0</v>
      </c>
      <c r="F63" s="237"/>
      <c r="G63" s="269">
        <v>19.0</v>
      </c>
      <c r="H63" s="268" t="s">
        <v>1498</v>
      </c>
      <c r="I63" s="269">
        <v>240952.0</v>
      </c>
      <c r="J63" s="268" t="s">
        <v>4861</v>
      </c>
      <c r="K63" s="269" t="s">
        <v>580</v>
      </c>
    </row>
    <row r="64" spans="8:8" ht="15.75" customHeight="1">
      <c r="A64" s="288" t="s">
        <v>1498</v>
      </c>
      <c r="B64" s="287">
        <v>240952.0</v>
      </c>
      <c r="C64" s="288" t="s">
        <v>4861</v>
      </c>
      <c r="D64" s="287" t="s">
        <v>580</v>
      </c>
      <c r="E64" s="135">
        <v>12.0</v>
      </c>
      <c r="F64" s="237"/>
      <c r="G64" s="269">
        <v>23.0</v>
      </c>
      <c r="H64" s="268" t="s">
        <v>4701</v>
      </c>
      <c r="I64" s="269">
        <v>240835.0</v>
      </c>
      <c r="J64" s="268" t="s">
        <v>4861</v>
      </c>
      <c r="K64" s="269" t="s">
        <v>580</v>
      </c>
    </row>
    <row r="65" spans="8:8" ht="15.75" customHeight="1">
      <c r="A65" s="288" t="s">
        <v>4701</v>
      </c>
      <c r="B65" s="287">
        <v>240835.0</v>
      </c>
      <c r="C65" s="288" t="s">
        <v>4861</v>
      </c>
      <c r="D65" s="287" t="s">
        <v>580</v>
      </c>
      <c r="E65" s="135">
        <v>12.0</v>
      </c>
      <c r="F65" s="237"/>
      <c r="G65" s="269">
        <v>24.0</v>
      </c>
      <c r="H65" s="268" t="s">
        <v>4690</v>
      </c>
      <c r="I65" s="269">
        <v>240881.0</v>
      </c>
      <c r="J65" s="268" t="s">
        <v>4948</v>
      </c>
      <c r="K65" s="269" t="s">
        <v>781</v>
      </c>
    </row>
    <row r="66" spans="8:8" ht="15.75" customHeight="1">
      <c r="A66" s="266" t="s">
        <v>4690</v>
      </c>
      <c r="B66" s="267">
        <v>240881.0</v>
      </c>
      <c r="C66" s="266" t="s">
        <v>4948</v>
      </c>
      <c r="D66" s="287" t="s">
        <v>781</v>
      </c>
      <c r="E66" s="135">
        <v>12.0</v>
      </c>
      <c r="F66" s="237"/>
      <c r="G66" s="269">
        <v>22.0</v>
      </c>
      <c r="H66" s="268" t="s">
        <v>1488</v>
      </c>
      <c r="I66" s="269">
        <v>240863.0</v>
      </c>
      <c r="J66" s="268" t="s">
        <v>4948</v>
      </c>
      <c r="K66" s="269" t="s">
        <v>781</v>
      </c>
    </row>
    <row r="67" spans="8:8" ht="15.75" customHeight="1">
      <c r="A67" s="288" t="s">
        <v>1488</v>
      </c>
      <c r="B67" s="287">
        <v>240863.0</v>
      </c>
      <c r="C67" s="288" t="s">
        <v>4948</v>
      </c>
      <c r="D67" s="287" t="s">
        <v>781</v>
      </c>
      <c r="E67" s="135">
        <v>12.0</v>
      </c>
      <c r="F67" s="237"/>
      <c r="G67" s="287"/>
      <c r="H67" s="264" t="s">
        <v>1844</v>
      </c>
      <c r="I67" s="249">
        <v>241924.0</v>
      </c>
      <c r="J67" s="264" t="s">
        <v>4948</v>
      </c>
      <c r="K67" s="305" t="s">
        <v>1827</v>
      </c>
    </row>
    <row r="68" spans="8:8" ht="15.75" customHeight="1">
      <c r="A68" s="306" t="s">
        <v>1844</v>
      </c>
      <c r="B68" s="307">
        <v>241924.0</v>
      </c>
      <c r="C68" s="306" t="s">
        <v>4948</v>
      </c>
      <c r="D68" s="308" t="s">
        <v>1827</v>
      </c>
      <c r="E68" s="303">
        <v>12.0</v>
      </c>
      <c r="F68" s="237"/>
      <c r="G68" s="237"/>
      <c r="H68" s="237"/>
      <c r="I68" s="237"/>
      <c r="J68" s="237"/>
      <c r="K68" s="237"/>
      <c r="M68" s="304"/>
      <c r="N68" s="304"/>
      <c r="O68" s="304"/>
      <c r="P68" s="304"/>
      <c r="Q68" s="304"/>
      <c r="R68" s="304"/>
      <c r="S68" s="304"/>
      <c r="T68" s="304"/>
      <c r="U68" s="304"/>
      <c r="V68" s="304"/>
      <c r="W68" s="304"/>
      <c r="X68" s="304"/>
    </row>
    <row r="69" spans="8:8" ht="15.75" customHeight="1">
      <c r="F69" s="237"/>
      <c r="G69" s="237"/>
      <c r="H69" s="237"/>
      <c r="I69" s="237"/>
      <c r="J69" s="237"/>
      <c r="K69" s="237"/>
    </row>
    <row r="70" spans="8:8" ht="15.75" customHeight="1">
      <c r="F70" s="237"/>
      <c r="G70" s="237"/>
      <c r="H70" s="237"/>
      <c r="I70" s="237"/>
      <c r="J70" s="237"/>
      <c r="K70" s="237"/>
    </row>
    <row r="71" spans="8:8" ht="15.75" customHeight="1">
      <c r="F71" s="237"/>
      <c r="G71" s="237"/>
      <c r="H71" s="237"/>
      <c r="I71" s="237"/>
      <c r="J71" s="237"/>
      <c r="K71" s="237"/>
    </row>
    <row r="72" spans="8:8" ht="15.75" customHeight="1">
      <c r="F72" s="237"/>
      <c r="G72" s="237"/>
      <c r="H72" s="237"/>
      <c r="I72" s="237"/>
      <c r="J72" s="237"/>
      <c r="K72" s="237"/>
    </row>
    <row r="73" spans="8:8" ht="15.75" customHeight="1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</row>
    <row r="74" spans="8:8" ht="15.75" customHeight="1">
      <c r="A74" s="309"/>
      <c r="B74" s="309"/>
      <c r="C74" s="237"/>
      <c r="D74" s="237"/>
      <c r="E74" s="237"/>
      <c r="F74" s="237"/>
      <c r="G74" s="237"/>
      <c r="H74" s="237"/>
      <c r="I74" s="237"/>
      <c r="J74" s="237"/>
      <c r="K74" s="237"/>
    </row>
    <row r="75" spans="8:8" ht="15.75" customHeight="1">
      <c r="A75" s="310"/>
      <c r="B75" s="310"/>
      <c r="C75" s="237"/>
      <c r="D75" s="289"/>
      <c r="E75" s="289"/>
      <c r="F75" s="237"/>
      <c r="G75" s="237"/>
      <c r="H75" s="237"/>
      <c r="I75" s="237"/>
      <c r="J75" s="237"/>
      <c r="K75" s="237"/>
    </row>
    <row r="76" spans="8:8" ht="15.75" customHeight="1">
      <c r="A76" s="310"/>
      <c r="B76" s="310"/>
      <c r="C76" s="237"/>
      <c r="D76" s="289"/>
      <c r="E76" s="289"/>
      <c r="F76" s="237"/>
      <c r="G76" s="237"/>
      <c r="H76" s="237"/>
      <c r="I76" s="237"/>
      <c r="J76" s="237"/>
      <c r="K76" s="237"/>
    </row>
    <row r="77" spans="8:8" ht="15.75" customHeight="1">
      <c r="A77" s="310"/>
      <c r="B77" s="310"/>
      <c r="C77" s="237"/>
      <c r="D77" s="289"/>
      <c r="E77" s="289"/>
      <c r="F77" s="237"/>
      <c r="G77" s="237"/>
      <c r="H77" s="237"/>
      <c r="I77" s="237"/>
      <c r="J77" s="237"/>
      <c r="K77" s="237"/>
    </row>
    <row r="78" spans="8:8" ht="15.75" customHeight="1">
      <c r="A78" s="310"/>
      <c r="B78" s="310"/>
      <c r="C78" s="237"/>
      <c r="D78" s="289"/>
      <c r="E78" s="289"/>
      <c r="F78" s="237"/>
      <c r="G78" s="237"/>
      <c r="H78" s="237"/>
      <c r="I78" s="237"/>
      <c r="J78" s="237"/>
      <c r="K78" s="237"/>
    </row>
    <row r="79" spans="8:8" ht="15.75" customHeight="1">
      <c r="A79" s="310"/>
      <c r="B79" s="310"/>
      <c r="C79" s="237"/>
      <c r="D79" s="289"/>
      <c r="E79" s="289"/>
      <c r="F79" s="237"/>
      <c r="G79" s="237"/>
      <c r="H79" s="237"/>
      <c r="I79" s="237"/>
      <c r="J79" s="237"/>
      <c r="K79" s="237"/>
    </row>
    <row r="80" spans="8:8" ht="15.75" customHeight="1">
      <c r="A80" s="310"/>
      <c r="B80" s="310"/>
      <c r="C80" s="237"/>
      <c r="D80" s="289"/>
      <c r="E80" s="289"/>
      <c r="F80" s="237"/>
      <c r="G80" s="237"/>
      <c r="H80" s="237"/>
      <c r="I80" s="237"/>
      <c r="J80" s="237"/>
      <c r="K80" s="237"/>
    </row>
    <row r="81" spans="8:8" ht="15.75" customHeight="1">
      <c r="A81" s="310"/>
      <c r="B81" s="310"/>
      <c r="C81" s="237"/>
      <c r="D81" s="289"/>
      <c r="E81" s="289"/>
      <c r="F81" s="237"/>
      <c r="G81" s="237"/>
      <c r="H81" s="237"/>
      <c r="I81" s="237"/>
      <c r="J81" s="237"/>
      <c r="K81" s="237"/>
    </row>
    <row r="82" spans="8:8" ht="15.75" customHeight="1">
      <c r="A82" s="310"/>
      <c r="B82" s="310"/>
      <c r="C82" s="237"/>
      <c r="D82" s="289"/>
      <c r="E82" s="289"/>
      <c r="F82" s="237"/>
      <c r="G82" s="237"/>
      <c r="H82" s="237"/>
      <c r="I82" s="237"/>
      <c r="J82" s="237"/>
      <c r="K82" s="237"/>
    </row>
    <row r="83" spans="8:8" ht="15.75" customHeight="1">
      <c r="A83" s="310"/>
      <c r="B83" s="310"/>
      <c r="C83" s="237"/>
      <c r="D83" s="289"/>
      <c r="E83" s="289"/>
      <c r="F83" s="237"/>
      <c r="G83" s="237"/>
      <c r="H83" s="237"/>
      <c r="I83" s="237"/>
      <c r="J83" s="237"/>
      <c r="K83" s="237"/>
    </row>
    <row r="84" spans="8:8" ht="15.75" customHeight="1">
      <c r="A84" s="310"/>
      <c r="B84" s="310"/>
      <c r="C84" s="237"/>
      <c r="D84" s="289"/>
      <c r="E84" s="289"/>
      <c r="F84" s="237"/>
      <c r="G84" s="237"/>
      <c r="H84" s="237"/>
      <c r="I84" s="237"/>
      <c r="J84" s="237"/>
      <c r="K84" s="237"/>
    </row>
    <row r="85" spans="8:8" ht="15.75" customHeight="1">
      <c r="A85" s="310"/>
      <c r="B85" s="310"/>
      <c r="C85" s="237"/>
      <c r="D85" s="311"/>
      <c r="E85" s="311"/>
      <c r="F85" s="237"/>
      <c r="G85" s="237"/>
      <c r="H85" s="237"/>
      <c r="I85" s="237"/>
      <c r="J85" s="237"/>
      <c r="K85" s="237"/>
    </row>
    <row r="86" spans="8:8" ht="15.75" customHeight="1">
      <c r="A86" s="310"/>
      <c r="B86" s="310"/>
      <c r="C86" s="237"/>
      <c r="D86" s="289"/>
      <c r="E86" s="289"/>
      <c r="F86" s="237"/>
      <c r="G86" s="237"/>
      <c r="H86" s="237"/>
      <c r="I86" s="237"/>
      <c r="J86" s="237"/>
      <c r="K86" s="237"/>
    </row>
    <row r="87" spans="8:8" ht="15.75" customHeight="1">
      <c r="A87" s="310"/>
      <c r="B87" s="310"/>
      <c r="C87" s="237"/>
      <c r="D87" s="289"/>
      <c r="E87" s="289"/>
      <c r="F87" s="237"/>
      <c r="G87" s="237"/>
      <c r="H87" s="237"/>
      <c r="I87" s="237"/>
      <c r="J87" s="237"/>
      <c r="K87" s="237"/>
    </row>
    <row r="88" spans="8:8" ht="15.75" customHeight="1">
      <c r="A88" s="310"/>
      <c r="B88" s="310"/>
      <c r="C88" s="237"/>
      <c r="D88" s="289"/>
      <c r="E88" s="289"/>
      <c r="F88" s="237"/>
      <c r="G88" s="237"/>
      <c r="H88" s="237"/>
      <c r="I88" s="237"/>
      <c r="J88" s="237"/>
      <c r="K88" s="237"/>
    </row>
    <row r="89" spans="8:8" ht="15.75" customHeight="1">
      <c r="A89" s="310"/>
      <c r="B89" s="310"/>
      <c r="C89" s="237"/>
      <c r="D89" s="289"/>
      <c r="E89" s="289"/>
      <c r="F89" s="237"/>
      <c r="G89" s="237"/>
      <c r="H89" s="237"/>
      <c r="I89" s="237"/>
      <c r="J89" s="237"/>
      <c r="K89" s="237"/>
    </row>
    <row r="90" spans="8:8" ht="15.75" customHeight="1">
      <c r="A90" s="310"/>
      <c r="B90" s="310"/>
      <c r="C90" s="237"/>
      <c r="D90" s="289"/>
      <c r="E90" s="289"/>
      <c r="F90" s="237"/>
      <c r="G90" s="237"/>
      <c r="H90" s="237"/>
      <c r="I90" s="237"/>
      <c r="J90" s="237"/>
      <c r="K90" s="237"/>
    </row>
    <row r="91" spans="8:8" ht="15.75" customHeight="1">
      <c r="A91" s="310"/>
      <c r="B91" s="310"/>
      <c r="C91" s="237"/>
      <c r="D91" s="289"/>
      <c r="E91" s="289"/>
      <c r="F91" s="237"/>
      <c r="G91" s="237"/>
      <c r="H91" s="237"/>
      <c r="I91" s="237"/>
      <c r="J91" s="237"/>
      <c r="K91" s="237"/>
    </row>
    <row r="92" spans="8:8" ht="15.75" customHeight="1">
      <c r="A92" s="310"/>
      <c r="B92" s="310"/>
      <c r="C92" s="237"/>
      <c r="D92" s="289"/>
      <c r="E92" s="289"/>
      <c r="F92" s="237"/>
      <c r="G92" s="237"/>
      <c r="H92" s="237"/>
      <c r="I92" s="237"/>
      <c r="J92" s="237"/>
      <c r="K92" s="237"/>
    </row>
    <row r="93" spans="8:8" ht="15.75" customHeight="1">
      <c r="A93" s="310"/>
      <c r="B93" s="310"/>
      <c r="C93" s="237"/>
      <c r="D93" s="289"/>
      <c r="E93" s="289"/>
      <c r="F93" s="237"/>
      <c r="G93" s="237"/>
      <c r="H93" s="237"/>
      <c r="I93" s="237"/>
      <c r="J93" s="237"/>
      <c r="K93" s="237"/>
    </row>
    <row r="94" spans="8:8" ht="15.75" customHeight="1">
      <c r="A94" s="310"/>
      <c r="B94" s="310"/>
      <c r="C94" s="237"/>
      <c r="D94" s="289"/>
      <c r="E94" s="289"/>
      <c r="F94" s="237"/>
      <c r="G94" s="237"/>
      <c r="H94" s="237"/>
      <c r="I94" s="237"/>
      <c r="J94" s="237"/>
      <c r="K94" s="237"/>
    </row>
    <row r="95" spans="8:8" ht="15.75" customHeight="1">
      <c r="A95" s="310"/>
      <c r="B95" s="310"/>
      <c r="C95" s="237"/>
      <c r="D95" s="289"/>
      <c r="E95" s="289"/>
      <c r="F95" s="237"/>
      <c r="G95" s="237"/>
      <c r="H95" s="237"/>
      <c r="I95" s="237"/>
      <c r="J95" s="237"/>
      <c r="K95" s="237"/>
    </row>
    <row r="96" spans="8:8" ht="15.75" customHeight="1">
      <c r="A96" s="312"/>
      <c r="B96" s="313"/>
      <c r="C96" s="237"/>
      <c r="D96" s="289"/>
      <c r="E96" s="289"/>
      <c r="F96" s="237"/>
      <c r="G96" s="237"/>
      <c r="H96" s="237"/>
      <c r="I96" s="237"/>
      <c r="J96" s="237"/>
      <c r="K96" s="237"/>
    </row>
    <row r="97" spans="8:8" ht="15.75" customHeight="1">
      <c r="A97" s="310"/>
      <c r="B97" s="310"/>
      <c r="C97" s="237"/>
      <c r="D97" s="289"/>
      <c r="E97" s="289"/>
      <c r="F97" s="237"/>
      <c r="G97" s="237"/>
      <c r="H97" s="237"/>
      <c r="I97" s="237"/>
      <c r="J97" s="237"/>
      <c r="K97" s="237"/>
    </row>
    <row r="98" spans="8:8" ht="15.75" customHeight="1">
      <c r="A98" s="310"/>
      <c r="B98" s="310"/>
      <c r="C98" s="237"/>
      <c r="D98" s="289"/>
      <c r="E98" s="289"/>
      <c r="F98" s="237"/>
      <c r="G98" s="237"/>
      <c r="H98" s="237"/>
      <c r="I98" s="237"/>
      <c r="J98" s="237"/>
      <c r="K98" s="237"/>
    </row>
    <row r="99" spans="8:8" ht="15.75" customHeight="1">
      <c r="A99" s="310"/>
      <c r="B99" s="310"/>
      <c r="C99" s="237"/>
      <c r="D99" s="289"/>
      <c r="E99" s="289"/>
      <c r="F99" s="237"/>
      <c r="G99" s="237"/>
      <c r="H99" s="237"/>
      <c r="I99" s="237"/>
      <c r="J99" s="237"/>
      <c r="K99" s="237"/>
    </row>
    <row r="100" spans="8:8" ht="15.75" customHeight="1">
      <c r="A100" s="310"/>
      <c r="B100" s="310"/>
      <c r="C100" s="237"/>
      <c r="D100" s="289"/>
      <c r="E100" s="289"/>
      <c r="F100" s="237"/>
      <c r="G100" s="237"/>
      <c r="H100" s="237"/>
      <c r="I100" s="237"/>
      <c r="J100" s="237"/>
      <c r="K100" s="237"/>
    </row>
    <row r="101" spans="8:8" ht="15.75" customHeight="1">
      <c r="A101" s="310"/>
      <c r="B101" s="310"/>
      <c r="C101" s="237"/>
      <c r="D101" s="289"/>
      <c r="E101" s="289"/>
      <c r="F101" s="237"/>
      <c r="G101" s="237"/>
      <c r="H101" s="237"/>
      <c r="I101" s="237"/>
      <c r="J101" s="237"/>
      <c r="K101" s="237"/>
    </row>
    <row r="102" spans="8:8" ht="15.75" customHeight="1">
      <c r="A102" s="310"/>
      <c r="B102" s="310"/>
      <c r="C102" s="237"/>
      <c r="D102" s="289"/>
      <c r="E102" s="289"/>
      <c r="F102" s="237"/>
      <c r="G102" s="237"/>
      <c r="H102" s="237"/>
      <c r="I102" s="237"/>
      <c r="J102" s="237"/>
      <c r="K102" s="237"/>
    </row>
    <row r="103" spans="8:8" ht="15.75" customHeight="1">
      <c r="A103" s="310"/>
      <c r="B103" s="310"/>
      <c r="C103" s="237"/>
      <c r="D103" s="289"/>
      <c r="E103" s="289"/>
      <c r="F103" s="237"/>
      <c r="G103" s="237"/>
      <c r="H103" s="237"/>
      <c r="I103" s="237"/>
      <c r="J103" s="237"/>
      <c r="K103" s="237"/>
    </row>
    <row r="104" spans="8:8" ht="15.75" customHeight="1">
      <c r="A104" s="310"/>
      <c r="B104" s="310"/>
      <c r="C104" s="237"/>
      <c r="D104" s="289"/>
      <c r="E104" s="289"/>
      <c r="F104" s="237"/>
      <c r="G104" s="237"/>
      <c r="H104" s="237"/>
      <c r="I104" s="237"/>
      <c r="J104" s="237"/>
      <c r="K104" s="237"/>
    </row>
    <row r="105" spans="8:8" ht="15.75" customHeight="1">
      <c r="A105" s="310"/>
      <c r="B105" s="310"/>
      <c r="C105" s="237"/>
      <c r="D105" s="289"/>
      <c r="E105" s="289"/>
      <c r="F105" s="237"/>
      <c r="G105" s="237"/>
      <c r="H105" s="237"/>
      <c r="I105" s="237"/>
      <c r="J105" s="237"/>
      <c r="K105" s="237"/>
    </row>
    <row r="106" spans="8:8" ht="15.75" customHeight="1">
      <c r="A106" s="310"/>
      <c r="B106" s="310"/>
      <c r="C106" s="237"/>
      <c r="D106" s="289"/>
      <c r="E106" s="289"/>
      <c r="F106" s="237"/>
      <c r="G106" s="237"/>
      <c r="H106" s="237"/>
      <c r="I106" s="237"/>
      <c r="J106" s="237"/>
      <c r="K106" s="237"/>
    </row>
    <row r="107" spans="8:8" ht="15.75" customHeight="1">
      <c r="A107" s="310"/>
      <c r="B107" s="310"/>
      <c r="C107" s="237"/>
      <c r="D107" s="289"/>
      <c r="E107" s="289"/>
      <c r="F107" s="237"/>
      <c r="G107" s="237"/>
      <c r="H107" s="237"/>
      <c r="I107" s="237"/>
      <c r="J107" s="237"/>
      <c r="K107" s="237"/>
    </row>
    <row r="108" spans="8:8" ht="15.75" customHeight="1">
      <c r="A108" s="310"/>
      <c r="B108" s="310"/>
      <c r="C108" s="237"/>
      <c r="D108" s="289"/>
      <c r="E108" s="289"/>
      <c r="F108" s="237"/>
      <c r="G108" s="237"/>
      <c r="H108" s="237"/>
      <c r="I108" s="237"/>
      <c r="J108" s="237"/>
      <c r="K108" s="237"/>
    </row>
    <row r="109" spans="8:8" ht="15.75" customHeight="1">
      <c r="A109" s="310"/>
      <c r="B109" s="310"/>
      <c r="C109" s="237"/>
      <c r="D109" s="289"/>
      <c r="E109" s="289"/>
      <c r="F109" s="237"/>
      <c r="G109" s="237"/>
      <c r="H109" s="237"/>
      <c r="I109" s="237"/>
      <c r="J109" s="237"/>
      <c r="K109" s="237"/>
    </row>
    <row r="110" spans="8:8" ht="15.75" customHeight="1">
      <c r="A110" s="310"/>
      <c r="B110" s="310"/>
      <c r="C110" s="237"/>
      <c r="D110" s="289"/>
      <c r="E110" s="289"/>
      <c r="F110" s="237"/>
      <c r="G110" s="237"/>
      <c r="H110" s="237"/>
      <c r="I110" s="237"/>
      <c r="J110" s="237"/>
      <c r="K110" s="237"/>
    </row>
    <row r="111" spans="8:8" ht="15.75" customHeight="1">
      <c r="A111" s="310"/>
      <c r="B111" s="310"/>
      <c r="C111" s="237"/>
      <c r="D111" s="311"/>
      <c r="E111" s="311"/>
      <c r="F111" s="237"/>
      <c r="G111" s="237"/>
      <c r="H111" s="237"/>
      <c r="I111" s="237"/>
      <c r="J111" s="237"/>
      <c r="K111" s="237"/>
    </row>
    <row r="112" spans="8:8" ht="15.75" customHeight="1">
      <c r="A112" s="310"/>
      <c r="B112" s="310"/>
      <c r="C112" s="237"/>
      <c r="D112" s="289"/>
      <c r="E112" s="289"/>
      <c r="F112" s="237"/>
      <c r="G112" s="237"/>
      <c r="H112" s="237"/>
      <c r="I112" s="237"/>
      <c r="J112" s="237"/>
      <c r="K112" s="237"/>
    </row>
    <row r="113" spans="8:8" ht="15.75" customHeight="1">
      <c r="A113" s="310"/>
      <c r="B113" s="310"/>
      <c r="C113" s="237"/>
      <c r="D113" s="289"/>
      <c r="E113" s="289"/>
      <c r="F113" s="237"/>
      <c r="G113" s="237"/>
      <c r="H113" s="237"/>
      <c r="I113" s="237"/>
      <c r="J113" s="237"/>
      <c r="K113" s="237"/>
    </row>
    <row r="114" spans="8:8" ht="15.75" customHeight="1">
      <c r="A114" s="310"/>
      <c r="B114" s="310"/>
      <c r="C114" s="237"/>
      <c r="D114" s="289"/>
      <c r="E114" s="289"/>
      <c r="F114" s="237"/>
      <c r="G114" s="237"/>
      <c r="H114" s="237"/>
      <c r="I114" s="237"/>
      <c r="J114" s="237"/>
      <c r="K114" s="237"/>
    </row>
    <row r="115" spans="8:8" ht="15.75" customHeight="1">
      <c r="A115" s="310"/>
      <c r="B115" s="310"/>
      <c r="C115" s="237"/>
      <c r="D115" s="289"/>
      <c r="E115" s="289"/>
      <c r="F115" s="237"/>
      <c r="G115" s="237"/>
      <c r="H115" s="237"/>
      <c r="I115" s="237"/>
      <c r="J115" s="237"/>
      <c r="K115" s="237"/>
    </row>
    <row r="116" spans="8:8" ht="15.75" customHeight="1">
      <c r="A116" s="310"/>
      <c r="B116" s="310"/>
      <c r="C116" s="237"/>
      <c r="D116" s="289"/>
      <c r="E116" s="289"/>
      <c r="F116" s="237"/>
      <c r="G116" s="237"/>
      <c r="H116" s="237"/>
      <c r="I116" s="237"/>
      <c r="J116" s="237"/>
      <c r="K116" s="237"/>
    </row>
    <row r="117" spans="8:8" ht="15.75" customHeight="1">
      <c r="A117" s="309"/>
      <c r="B117" s="309"/>
      <c r="C117" s="237"/>
      <c r="D117" s="289"/>
      <c r="E117" s="289"/>
      <c r="F117" s="237"/>
      <c r="G117" s="237"/>
      <c r="H117" s="237"/>
      <c r="I117" s="237"/>
      <c r="J117" s="237"/>
      <c r="K117" s="237"/>
    </row>
    <row r="118" spans="8:8" ht="15.75" customHeight="1">
      <c r="A118" s="310"/>
      <c r="B118" s="310"/>
      <c r="C118" s="237"/>
      <c r="D118" s="289"/>
      <c r="E118" s="289"/>
      <c r="F118" s="237"/>
      <c r="G118" s="237"/>
      <c r="H118" s="237"/>
      <c r="I118" s="237"/>
      <c r="J118" s="237"/>
      <c r="K118" s="237"/>
    </row>
    <row r="119" spans="8:8" ht="15.75" customHeight="1">
      <c r="A119" s="310"/>
      <c r="B119" s="310"/>
      <c r="C119" s="237"/>
      <c r="D119" s="289"/>
      <c r="E119" s="289"/>
      <c r="F119" s="237"/>
      <c r="G119" s="237"/>
      <c r="H119" s="237"/>
      <c r="I119" s="237"/>
      <c r="J119" s="237"/>
      <c r="K119" s="237"/>
    </row>
    <row r="120" spans="8:8" ht="15.75" customHeight="1">
      <c r="A120" s="310"/>
      <c r="B120" s="310"/>
      <c r="C120" s="237"/>
      <c r="D120" s="289"/>
      <c r="E120" s="289"/>
      <c r="F120" s="237"/>
      <c r="G120" s="237"/>
      <c r="H120" s="237"/>
      <c r="I120" s="237"/>
      <c r="J120" s="237"/>
      <c r="K120" s="237"/>
    </row>
    <row r="121" spans="8:8" ht="15.75" customHeight="1">
      <c r="A121" s="310"/>
      <c r="B121" s="310"/>
      <c r="C121" s="237"/>
      <c r="D121" s="289"/>
      <c r="E121" s="289"/>
      <c r="F121" s="237"/>
      <c r="G121" s="237"/>
      <c r="H121" s="237"/>
      <c r="I121" s="237"/>
      <c r="J121" s="237"/>
      <c r="K121" s="237"/>
    </row>
    <row r="122" spans="8:8" ht="15.75" customHeight="1">
      <c r="A122" s="310"/>
      <c r="B122" s="310"/>
      <c r="C122" s="237"/>
      <c r="D122" s="289"/>
      <c r="E122" s="289"/>
      <c r="F122" s="237"/>
      <c r="G122" s="237"/>
      <c r="H122" s="237"/>
      <c r="I122" s="237"/>
      <c r="J122" s="237"/>
      <c r="K122" s="237"/>
    </row>
    <row r="123" spans="8:8" ht="15.75" customHeight="1">
      <c r="A123" s="312"/>
      <c r="B123" s="313"/>
      <c r="C123" s="237"/>
      <c r="D123" s="289"/>
      <c r="E123" s="289"/>
      <c r="F123" s="237"/>
      <c r="G123" s="237"/>
      <c r="H123" s="237"/>
      <c r="I123" s="237"/>
      <c r="J123" s="237"/>
      <c r="K123" s="237"/>
    </row>
    <row r="124" spans="8:8" ht="15.75" customHeight="1">
      <c r="A124" s="310"/>
      <c r="B124" s="310"/>
      <c r="C124" s="237"/>
      <c r="D124" s="289"/>
      <c r="E124" s="289"/>
      <c r="F124" s="237"/>
      <c r="G124" s="237"/>
      <c r="H124" s="237"/>
      <c r="I124" s="237"/>
      <c r="J124" s="237"/>
      <c r="K124" s="237"/>
    </row>
    <row r="125" spans="8:8" ht="15.75" customHeight="1">
      <c r="A125" s="310"/>
      <c r="B125" s="310"/>
      <c r="C125" s="237"/>
      <c r="D125" s="289"/>
      <c r="E125" s="289"/>
      <c r="F125" s="237"/>
      <c r="G125" s="237"/>
      <c r="H125" s="237"/>
      <c r="I125" s="237"/>
      <c r="J125" s="237"/>
      <c r="K125" s="237"/>
    </row>
    <row r="126" spans="8:8" ht="15.75" customHeight="1">
      <c r="A126" s="310"/>
      <c r="B126" s="310"/>
      <c r="C126" s="237"/>
      <c r="D126" s="289"/>
      <c r="E126" s="289"/>
      <c r="F126" s="237"/>
      <c r="G126" s="237"/>
      <c r="H126" s="237"/>
      <c r="I126" s="237"/>
      <c r="J126" s="237"/>
      <c r="K126" s="237"/>
    </row>
    <row r="127" spans="8:8" ht="15.75" customHeight="1">
      <c r="A127" s="310"/>
      <c r="B127" s="310"/>
      <c r="C127" s="237"/>
      <c r="D127" s="289"/>
      <c r="E127" s="289"/>
      <c r="F127" s="237"/>
      <c r="G127" s="237"/>
      <c r="H127" s="237"/>
      <c r="I127" s="237"/>
      <c r="J127" s="237"/>
      <c r="K127" s="237"/>
    </row>
    <row r="128" spans="8:8" ht="15.75" customHeight="1">
      <c r="A128" s="310"/>
      <c r="B128" s="310"/>
      <c r="C128" s="237"/>
      <c r="D128" s="289"/>
      <c r="E128" s="289"/>
      <c r="F128" s="237"/>
      <c r="G128" s="237"/>
      <c r="H128" s="237"/>
      <c r="I128" s="237"/>
      <c r="J128" s="237"/>
      <c r="K128" s="237"/>
    </row>
    <row r="129" spans="8:8" ht="15.75" customHeight="1">
      <c r="A129" s="310"/>
      <c r="B129" s="310"/>
      <c r="C129" s="237"/>
      <c r="D129" s="289"/>
      <c r="E129" s="289"/>
      <c r="F129" s="237"/>
      <c r="G129" s="237"/>
      <c r="H129" s="237"/>
      <c r="I129" s="237"/>
      <c r="J129" s="237"/>
      <c r="K129" s="237"/>
    </row>
    <row r="130" spans="8:8" ht="15.75" customHeight="1">
      <c r="A130" s="310"/>
      <c r="B130" s="310"/>
      <c r="C130" s="237"/>
      <c r="D130" s="289"/>
      <c r="E130" s="289"/>
      <c r="F130" s="237"/>
      <c r="G130" s="237"/>
      <c r="H130" s="237"/>
      <c r="I130" s="237"/>
      <c r="J130" s="237"/>
      <c r="K130" s="237"/>
    </row>
    <row r="131" spans="8:8" ht="15.75" customHeight="1">
      <c r="A131" s="310"/>
      <c r="B131" s="310"/>
      <c r="C131" s="237"/>
      <c r="D131" s="289"/>
      <c r="E131" s="289"/>
      <c r="F131" s="237"/>
      <c r="G131" s="237"/>
      <c r="H131" s="237"/>
      <c r="I131" s="237"/>
      <c r="J131" s="237"/>
      <c r="K131" s="237"/>
    </row>
    <row r="132" spans="8:8" ht="15.75" customHeight="1">
      <c r="A132" s="310"/>
      <c r="B132" s="310"/>
      <c r="C132" s="237"/>
      <c r="D132" s="289"/>
      <c r="E132" s="289"/>
      <c r="F132" s="237"/>
      <c r="G132" s="237"/>
      <c r="H132" s="237"/>
      <c r="I132" s="237"/>
      <c r="J132" s="237"/>
      <c r="K132" s="237"/>
    </row>
    <row r="133" spans="8:8" ht="15.75" customHeight="1">
      <c r="A133" s="310"/>
      <c r="B133" s="310"/>
      <c r="C133" s="237"/>
      <c r="D133" s="289"/>
      <c r="E133" s="289"/>
      <c r="F133" s="237"/>
      <c r="G133" s="237"/>
      <c r="H133" s="237"/>
      <c r="I133" s="237"/>
      <c r="J133" s="237"/>
      <c r="K133" s="237"/>
    </row>
    <row r="134" spans="8:8" ht="15.75" customHeight="1">
      <c r="A134" s="310"/>
      <c r="B134" s="310"/>
      <c r="C134" s="237"/>
      <c r="D134" s="289"/>
      <c r="E134" s="289"/>
      <c r="F134" s="237"/>
      <c r="G134" s="237"/>
      <c r="H134" s="237"/>
      <c r="I134" s="237"/>
      <c r="J134" s="237"/>
      <c r="K134" s="237"/>
    </row>
    <row r="135" spans="8:8" ht="15.75" customHeight="1">
      <c r="A135" s="310"/>
      <c r="B135" s="310"/>
      <c r="C135" s="237"/>
      <c r="D135" s="289"/>
      <c r="E135" s="289"/>
      <c r="F135" s="237"/>
      <c r="G135" s="237"/>
      <c r="H135" s="237"/>
      <c r="I135" s="237"/>
      <c r="J135" s="237"/>
      <c r="K135" s="237"/>
    </row>
    <row r="136" spans="8:8" ht="15.75" customHeight="1">
      <c r="A136" s="310"/>
      <c r="B136" s="310"/>
      <c r="C136" s="237"/>
      <c r="D136" s="311"/>
      <c r="E136" s="311"/>
      <c r="F136" s="237"/>
      <c r="G136" s="237"/>
      <c r="H136" s="237"/>
      <c r="I136" s="237"/>
      <c r="J136" s="237"/>
      <c r="K136" s="237"/>
    </row>
    <row r="137" spans="8:8" ht="15.75" customHeight="1">
      <c r="A137" s="310"/>
      <c r="B137" s="310"/>
      <c r="C137" s="237"/>
      <c r="D137" s="289"/>
      <c r="E137" s="289"/>
      <c r="F137" s="237"/>
      <c r="G137" s="237"/>
      <c r="H137" s="237"/>
      <c r="I137" s="237"/>
      <c r="J137" s="237"/>
      <c r="K137" s="237"/>
    </row>
    <row r="138" spans="8:8" ht="15.75" customHeight="1">
      <c r="A138" s="310"/>
      <c r="B138" s="310"/>
      <c r="C138" s="237"/>
      <c r="D138" s="289"/>
      <c r="E138" s="289"/>
      <c r="F138" s="237"/>
      <c r="G138" s="237"/>
      <c r="H138" s="237"/>
      <c r="I138" s="237"/>
      <c r="J138" s="237"/>
      <c r="K138" s="237"/>
    </row>
    <row r="139" spans="8:8" ht="15.75" customHeight="1">
      <c r="A139" s="310"/>
      <c r="B139" s="310"/>
      <c r="C139" s="237"/>
      <c r="D139" s="289"/>
      <c r="E139" s="289"/>
      <c r="F139" s="237"/>
      <c r="G139" s="237"/>
      <c r="H139" s="237"/>
      <c r="I139" s="237"/>
      <c r="J139" s="237"/>
      <c r="K139" s="237"/>
    </row>
    <row r="140" spans="8:8" ht="15.75" customHeight="1">
      <c r="A140" s="310"/>
      <c r="B140" s="310"/>
      <c r="C140" s="237"/>
      <c r="D140" s="289"/>
      <c r="E140" s="289"/>
      <c r="F140" s="237"/>
      <c r="G140" s="237"/>
      <c r="H140" s="237"/>
      <c r="I140" s="237"/>
      <c r="J140" s="237"/>
      <c r="K140" s="237"/>
    </row>
    <row r="141" spans="8:8" ht="15.75" customHeight="1">
      <c r="A141" s="310"/>
      <c r="B141" s="310"/>
      <c r="C141" s="237"/>
      <c r="D141" s="289"/>
      <c r="E141" s="289"/>
      <c r="F141" s="237"/>
      <c r="G141" s="237"/>
      <c r="H141" s="237"/>
      <c r="I141" s="237"/>
      <c r="J141" s="237"/>
      <c r="K141" s="237"/>
    </row>
    <row r="142" spans="8:8" ht="15.75" customHeight="1">
      <c r="A142" s="310"/>
      <c r="B142" s="310"/>
      <c r="C142" s="237"/>
      <c r="D142" s="289"/>
      <c r="E142" s="289"/>
      <c r="F142" s="237"/>
      <c r="G142" s="237"/>
      <c r="H142" s="237"/>
      <c r="I142" s="237"/>
      <c r="J142" s="237"/>
      <c r="K142" s="237"/>
    </row>
    <row r="143" spans="8:8" ht="15.75" customHeight="1">
      <c r="A143" s="310"/>
      <c r="B143" s="310"/>
      <c r="C143" s="237"/>
      <c r="D143" s="289"/>
      <c r="E143" s="289"/>
      <c r="F143" s="237"/>
      <c r="G143" s="237"/>
      <c r="H143" s="237"/>
      <c r="I143" s="237"/>
      <c r="J143" s="237"/>
      <c r="K143" s="237"/>
    </row>
    <row r="144" spans="8:8" ht="15.75" customHeight="1">
      <c r="A144" s="310"/>
      <c r="B144" s="310"/>
      <c r="C144" s="237"/>
      <c r="D144" s="289"/>
      <c r="E144" s="289"/>
      <c r="F144" s="237"/>
      <c r="G144" s="237"/>
      <c r="H144" s="237"/>
      <c r="I144" s="237"/>
      <c r="J144" s="237"/>
      <c r="K144" s="237"/>
    </row>
    <row r="145" spans="8:8" ht="15.75" customHeight="1">
      <c r="A145" s="310"/>
      <c r="B145" s="310"/>
      <c r="C145" s="237"/>
      <c r="D145" s="289"/>
      <c r="E145" s="289"/>
      <c r="F145" s="237"/>
      <c r="G145" s="237"/>
      <c r="H145" s="237"/>
      <c r="I145" s="237"/>
      <c r="J145" s="237"/>
      <c r="K145" s="237"/>
    </row>
    <row r="146" spans="8:8" ht="15.75" customHeight="1">
      <c r="A146" s="310"/>
      <c r="B146" s="310"/>
      <c r="C146" s="237"/>
      <c r="D146" s="289"/>
      <c r="E146" s="289"/>
      <c r="F146" s="237"/>
      <c r="G146" s="237"/>
      <c r="H146" s="237"/>
      <c r="I146" s="237"/>
      <c r="J146" s="237"/>
      <c r="K146" s="237"/>
    </row>
    <row r="147" spans="8:8" ht="15.75" customHeight="1">
      <c r="A147" s="310"/>
      <c r="B147" s="310"/>
      <c r="C147" s="237"/>
      <c r="D147" s="289"/>
      <c r="E147" s="289"/>
      <c r="F147" s="237"/>
      <c r="G147" s="237"/>
      <c r="H147" s="237"/>
      <c r="I147" s="237"/>
      <c r="J147" s="237"/>
      <c r="K147" s="237"/>
    </row>
    <row r="148" spans="8:8" ht="15.75" customHeight="1">
      <c r="A148" s="310"/>
      <c r="B148" s="310"/>
      <c r="C148" s="237"/>
      <c r="D148" s="289"/>
      <c r="E148" s="289"/>
      <c r="F148" s="237"/>
      <c r="G148" s="237"/>
      <c r="H148" s="237"/>
      <c r="I148" s="237"/>
      <c r="J148" s="237"/>
      <c r="K148" s="237"/>
    </row>
    <row r="149" spans="8:8" ht="15.75" customHeight="1">
      <c r="A149" s="312"/>
      <c r="B149" s="313"/>
      <c r="C149" s="237"/>
      <c r="D149" s="289"/>
      <c r="E149" s="289"/>
      <c r="F149" s="237"/>
      <c r="G149" s="237"/>
      <c r="H149" s="237"/>
      <c r="I149" s="237"/>
      <c r="J149" s="237"/>
      <c r="K149" s="237"/>
    </row>
    <row r="150" spans="8:8" ht="15.75" customHeight="1">
      <c r="A150" s="310"/>
      <c r="B150" s="310"/>
      <c r="C150" s="237"/>
      <c r="D150" s="289"/>
      <c r="E150" s="289"/>
      <c r="F150" s="237"/>
      <c r="G150" s="237"/>
      <c r="H150" s="237"/>
      <c r="I150" s="237"/>
      <c r="J150" s="237"/>
      <c r="K150" s="237"/>
    </row>
    <row r="151" spans="8:8" ht="15.75" customHeight="1">
      <c r="A151" s="310"/>
      <c r="B151" s="310"/>
      <c r="C151" s="237"/>
      <c r="D151" s="289"/>
      <c r="E151" s="289"/>
      <c r="F151" s="237"/>
      <c r="G151" s="237"/>
      <c r="H151" s="237"/>
      <c r="I151" s="237"/>
      <c r="J151" s="237"/>
      <c r="K151" s="237"/>
    </row>
    <row r="152" spans="8:8" ht="15.75" customHeight="1">
      <c r="A152" s="310"/>
      <c r="B152" s="310"/>
      <c r="C152" s="237"/>
      <c r="D152" s="289"/>
      <c r="E152" s="289"/>
      <c r="F152" s="237"/>
      <c r="G152" s="237"/>
      <c r="H152" s="237"/>
      <c r="I152" s="237"/>
      <c r="J152" s="237"/>
      <c r="K152" s="237"/>
    </row>
    <row r="153" spans="8:8" ht="15.75" customHeight="1">
      <c r="A153" s="310"/>
      <c r="B153" s="310"/>
      <c r="C153" s="237"/>
      <c r="D153" s="289"/>
      <c r="E153" s="289"/>
      <c r="F153" s="237"/>
      <c r="G153" s="237"/>
      <c r="H153" s="237"/>
      <c r="I153" s="237"/>
      <c r="J153" s="237"/>
      <c r="K153" s="237"/>
    </row>
    <row r="154" spans="8:8" ht="15.75" customHeight="1">
      <c r="A154" s="310"/>
      <c r="B154" s="310"/>
      <c r="C154" s="237"/>
      <c r="D154" s="289"/>
      <c r="E154" s="289"/>
      <c r="F154" s="237"/>
      <c r="G154" s="237"/>
      <c r="H154" s="237"/>
      <c r="I154" s="237"/>
      <c r="J154" s="237"/>
      <c r="K154" s="237"/>
    </row>
    <row r="155" spans="8:8" ht="15.75" customHeight="1">
      <c r="A155" s="310"/>
      <c r="B155" s="310"/>
      <c r="C155" s="237"/>
      <c r="D155" s="289"/>
      <c r="E155" s="289"/>
      <c r="F155" s="237"/>
      <c r="G155" s="237"/>
      <c r="H155" s="237"/>
      <c r="I155" s="237"/>
      <c r="J155" s="237"/>
      <c r="K155" s="237"/>
    </row>
    <row r="156" spans="8:8" ht="15.75" customHeight="1">
      <c r="A156" s="310"/>
      <c r="B156" s="310"/>
      <c r="C156" s="237"/>
      <c r="D156" s="289"/>
      <c r="E156" s="289"/>
      <c r="F156" s="237"/>
      <c r="G156" s="237"/>
      <c r="H156" s="237"/>
      <c r="I156" s="237"/>
      <c r="J156" s="237"/>
      <c r="K156" s="237"/>
    </row>
    <row r="157" spans="8:8" ht="15.75" customHeight="1">
      <c r="A157" s="310"/>
      <c r="B157" s="310"/>
      <c r="C157" s="237"/>
      <c r="D157" s="289"/>
      <c r="E157" s="289"/>
      <c r="F157" s="237"/>
      <c r="G157" s="237"/>
      <c r="H157" s="237"/>
      <c r="I157" s="237"/>
      <c r="J157" s="237"/>
      <c r="K157" s="237"/>
    </row>
    <row r="158" spans="8:8" ht="15.75" customHeight="1">
      <c r="A158" s="310"/>
      <c r="B158" s="310"/>
      <c r="C158" s="237"/>
      <c r="D158" s="289"/>
      <c r="E158" s="289"/>
      <c r="F158" s="237"/>
      <c r="G158" s="237"/>
      <c r="H158" s="237"/>
      <c r="I158" s="237"/>
      <c r="J158" s="237"/>
      <c r="K158" s="237"/>
    </row>
    <row r="159" spans="8:8" ht="15.75" customHeight="1">
      <c r="A159" s="310"/>
      <c r="B159" s="310"/>
      <c r="C159" s="237"/>
      <c r="D159" s="289"/>
      <c r="E159" s="289"/>
      <c r="F159" s="237"/>
      <c r="G159" s="237"/>
      <c r="H159" s="237"/>
      <c r="I159" s="237"/>
      <c r="J159" s="237"/>
      <c r="K159" s="237"/>
    </row>
    <row r="160" spans="8:8" ht="15.75" customHeight="1">
      <c r="A160" s="310"/>
      <c r="B160" s="310"/>
      <c r="C160" s="237"/>
      <c r="D160" s="289"/>
      <c r="E160" s="289"/>
      <c r="F160" s="237"/>
      <c r="G160" s="237"/>
      <c r="H160" s="237"/>
      <c r="I160" s="237"/>
      <c r="J160" s="237"/>
      <c r="K160" s="237"/>
    </row>
    <row r="161" spans="8:8" ht="15.75" customHeight="1">
      <c r="A161" s="310"/>
      <c r="B161" s="310"/>
      <c r="C161" s="237"/>
      <c r="D161" s="289"/>
      <c r="E161" s="289"/>
      <c r="F161" s="237"/>
      <c r="G161" s="237"/>
      <c r="H161" s="237"/>
      <c r="I161" s="237"/>
      <c r="J161" s="237"/>
      <c r="K161" s="237"/>
    </row>
    <row r="162" spans="8:8" ht="15.75" customHeight="1">
      <c r="A162" s="310"/>
      <c r="B162" s="310"/>
      <c r="C162" s="237"/>
      <c r="D162" s="311"/>
      <c r="E162" s="311"/>
      <c r="F162" s="237"/>
      <c r="G162" s="237"/>
      <c r="H162" s="237"/>
      <c r="I162" s="237"/>
      <c r="J162" s="237"/>
      <c r="K162" s="237"/>
    </row>
    <row r="163" spans="8:8" ht="15.75" customHeight="1">
      <c r="A163" s="310"/>
      <c r="B163" s="310"/>
      <c r="C163" s="237"/>
      <c r="D163" s="311"/>
      <c r="E163" s="311"/>
      <c r="F163" s="237"/>
      <c r="G163" s="237"/>
      <c r="H163" s="237"/>
      <c r="I163" s="237"/>
      <c r="J163" s="237"/>
      <c r="K163" s="237"/>
    </row>
    <row r="164" spans="8:8" ht="15.75" customHeight="1">
      <c r="A164" s="310"/>
      <c r="B164" s="310"/>
      <c r="C164" s="237"/>
      <c r="D164" s="289"/>
      <c r="E164" s="289"/>
      <c r="F164" s="237"/>
      <c r="G164" s="237"/>
      <c r="H164" s="237"/>
      <c r="I164" s="237"/>
      <c r="J164" s="237"/>
      <c r="K164" s="237"/>
    </row>
    <row r="165" spans="8:8" ht="15.75" customHeight="1">
      <c r="A165" s="310"/>
      <c r="B165" s="310"/>
      <c r="C165" s="237"/>
      <c r="D165" s="289"/>
      <c r="E165" s="289"/>
      <c r="F165" s="237"/>
      <c r="G165" s="237"/>
      <c r="H165" s="237"/>
      <c r="I165" s="237"/>
      <c r="J165" s="237"/>
      <c r="K165" s="237"/>
    </row>
    <row r="166" spans="8:8" ht="15.75" customHeight="1">
      <c r="A166" s="310"/>
      <c r="B166" s="310"/>
      <c r="C166" s="237"/>
      <c r="D166" s="289"/>
      <c r="E166" s="289"/>
      <c r="F166" s="237"/>
      <c r="G166" s="237"/>
      <c r="H166" s="237"/>
      <c r="I166" s="237"/>
      <c r="J166" s="237"/>
      <c r="K166" s="237"/>
    </row>
    <row r="167" spans="8:8" ht="15.75" customHeight="1">
      <c r="A167" s="310"/>
      <c r="B167" s="310"/>
      <c r="C167" s="237"/>
      <c r="D167" s="289"/>
      <c r="E167" s="289"/>
      <c r="F167" s="237"/>
      <c r="G167" s="237"/>
      <c r="H167" s="237"/>
      <c r="I167" s="237"/>
      <c r="J167" s="237"/>
      <c r="K167" s="237"/>
    </row>
    <row r="168" spans="8:8" ht="15.75" customHeight="1">
      <c r="A168" s="310"/>
      <c r="B168" s="310"/>
      <c r="C168" s="237"/>
      <c r="D168" s="289"/>
      <c r="E168" s="289"/>
      <c r="F168" s="237"/>
      <c r="G168" s="237"/>
      <c r="H168" s="237"/>
      <c r="I168" s="237"/>
      <c r="J168" s="237"/>
      <c r="K168" s="237"/>
    </row>
    <row r="169" spans="8:8" ht="15.75" customHeight="1">
      <c r="A169" s="310"/>
      <c r="B169" s="310"/>
      <c r="C169" s="237"/>
      <c r="D169" s="289"/>
      <c r="E169" s="289"/>
      <c r="F169" s="237"/>
      <c r="G169" s="237"/>
      <c r="H169" s="237"/>
      <c r="I169" s="237"/>
      <c r="J169" s="237"/>
      <c r="K169" s="237"/>
    </row>
    <row r="170" spans="8:8" ht="15.75" customHeight="1">
      <c r="A170" s="310"/>
      <c r="B170" s="310"/>
      <c r="C170" s="237"/>
      <c r="D170" s="289"/>
      <c r="E170" s="289"/>
      <c r="F170" s="237"/>
      <c r="G170" s="237"/>
      <c r="H170" s="237"/>
      <c r="I170" s="237"/>
      <c r="J170" s="237"/>
      <c r="K170" s="237"/>
    </row>
    <row r="171" spans="8:8" ht="15.75" customHeight="1">
      <c r="A171" s="310"/>
      <c r="B171" s="310"/>
      <c r="C171" s="237"/>
      <c r="D171" s="289"/>
      <c r="E171" s="289"/>
      <c r="F171" s="237"/>
      <c r="G171" s="237"/>
      <c r="H171" s="237"/>
      <c r="I171" s="237"/>
      <c r="J171" s="237"/>
      <c r="K171" s="237"/>
    </row>
    <row r="172" spans="8:8" ht="15.75" customHeight="1">
      <c r="A172" s="310"/>
      <c r="B172" s="310"/>
      <c r="C172" s="237"/>
      <c r="D172" s="289"/>
      <c r="E172" s="289"/>
      <c r="F172" s="237"/>
      <c r="G172" s="237"/>
      <c r="H172" s="237"/>
      <c r="I172" s="237"/>
      <c r="J172" s="237"/>
      <c r="K172" s="237"/>
    </row>
    <row r="173" spans="8:8" ht="15.75" customHeight="1">
      <c r="A173" s="310"/>
      <c r="B173" s="310"/>
      <c r="C173" s="237"/>
      <c r="D173" s="289"/>
      <c r="E173" s="289"/>
      <c r="F173" s="237"/>
      <c r="G173" s="237"/>
      <c r="H173" s="237"/>
      <c r="I173" s="237"/>
      <c r="J173" s="237"/>
      <c r="K173" s="237"/>
    </row>
    <row r="174" spans="8:8" ht="15.75" customHeight="1">
      <c r="A174" s="310"/>
      <c r="B174" s="310"/>
      <c r="C174" s="237"/>
      <c r="D174" s="289"/>
      <c r="E174" s="289"/>
      <c r="F174" s="237"/>
      <c r="G174" s="237"/>
      <c r="H174" s="237"/>
      <c r="I174" s="237"/>
      <c r="J174" s="237"/>
      <c r="K174" s="237"/>
    </row>
    <row r="175" spans="8:8" ht="15.75" customHeight="1">
      <c r="A175" s="310"/>
      <c r="B175" s="310"/>
      <c r="C175" s="237"/>
      <c r="D175" s="289"/>
      <c r="E175" s="289"/>
      <c r="F175" s="237"/>
      <c r="G175" s="237"/>
      <c r="H175" s="237"/>
      <c r="I175" s="237"/>
      <c r="J175" s="237"/>
      <c r="K175" s="237"/>
    </row>
    <row r="176" spans="8:8" ht="15.75" customHeight="1">
      <c r="A176" s="310"/>
      <c r="B176" s="310"/>
      <c r="C176" s="237"/>
      <c r="D176" s="289"/>
      <c r="E176" s="289"/>
      <c r="F176" s="237"/>
      <c r="G176" s="237"/>
      <c r="H176" s="237"/>
      <c r="I176" s="237"/>
      <c r="J176" s="237"/>
      <c r="K176" s="237"/>
    </row>
    <row r="177" spans="8:8" ht="15.75" customHeight="1">
      <c r="A177" s="310"/>
      <c r="B177" s="310"/>
      <c r="C177" s="237"/>
      <c r="D177" s="289"/>
      <c r="E177" s="289"/>
      <c r="F177" s="237"/>
      <c r="G177" s="237"/>
      <c r="H177" s="237"/>
      <c r="I177" s="237"/>
      <c r="J177" s="237"/>
      <c r="K177" s="237"/>
    </row>
    <row r="178" spans="8:8" ht="15.75" customHeight="1">
      <c r="A178" s="310"/>
      <c r="B178" s="310"/>
      <c r="C178" s="237"/>
      <c r="D178" s="289"/>
      <c r="E178" s="289"/>
      <c r="F178" s="237"/>
      <c r="G178" s="237"/>
      <c r="H178" s="237"/>
      <c r="I178" s="237"/>
      <c r="J178" s="237"/>
      <c r="K178" s="237"/>
    </row>
    <row r="179" spans="8:8" ht="15.75" customHeight="1">
      <c r="A179" s="310"/>
      <c r="B179" s="310"/>
      <c r="C179" s="237"/>
      <c r="D179" s="289"/>
      <c r="E179" s="289"/>
      <c r="F179" s="237"/>
      <c r="G179" s="237"/>
      <c r="H179" s="237"/>
      <c r="I179" s="237"/>
      <c r="J179" s="237"/>
      <c r="K179" s="237"/>
    </row>
    <row r="180" spans="8:8" ht="15.75" customHeight="1">
      <c r="A180" s="310"/>
      <c r="B180" s="310"/>
      <c r="C180" s="237"/>
      <c r="D180" s="289"/>
      <c r="E180" s="289"/>
      <c r="F180" s="237"/>
      <c r="G180" s="237"/>
      <c r="H180" s="237"/>
      <c r="I180" s="237"/>
      <c r="J180" s="237"/>
      <c r="K180" s="237"/>
    </row>
    <row r="181" spans="8:8" ht="15.75" customHeight="1">
      <c r="A181" s="312"/>
      <c r="B181" s="313"/>
      <c r="C181" s="237"/>
      <c r="D181" s="289"/>
      <c r="E181" s="289"/>
      <c r="F181" s="237"/>
      <c r="G181" s="237"/>
      <c r="H181" s="237"/>
      <c r="I181" s="237"/>
      <c r="J181" s="237"/>
      <c r="K181" s="237"/>
    </row>
    <row r="182" spans="8:8" ht="15.75" customHeight="1">
      <c r="A182" s="310"/>
      <c r="B182" s="310"/>
      <c r="C182" s="237"/>
      <c r="D182" s="289"/>
      <c r="E182" s="289"/>
      <c r="F182" s="237"/>
      <c r="G182" s="237"/>
      <c r="H182" s="237"/>
      <c r="I182" s="237"/>
      <c r="J182" s="237"/>
      <c r="K182" s="237"/>
    </row>
    <row r="183" spans="8:8" ht="15.75" customHeight="1">
      <c r="A183" s="310"/>
      <c r="B183" s="310"/>
      <c r="C183" s="237"/>
      <c r="D183" s="289"/>
      <c r="E183" s="289"/>
      <c r="F183" s="237"/>
      <c r="G183" s="237"/>
      <c r="H183" s="237"/>
      <c r="I183" s="237"/>
      <c r="J183" s="237"/>
      <c r="K183" s="237"/>
    </row>
    <row r="184" spans="8:8" ht="15.75" customHeight="1">
      <c r="A184" s="310"/>
      <c r="B184" s="310"/>
      <c r="C184" s="237"/>
      <c r="D184" s="289"/>
      <c r="E184" s="289"/>
      <c r="F184" s="237"/>
      <c r="G184" s="237"/>
      <c r="H184" s="237"/>
      <c r="I184" s="237"/>
      <c r="J184" s="237"/>
      <c r="K184" s="237"/>
    </row>
    <row r="185" spans="8:8" ht="15.75" customHeight="1">
      <c r="A185" s="310"/>
      <c r="B185" s="310"/>
      <c r="C185" s="237"/>
      <c r="D185" s="289"/>
      <c r="E185" s="289"/>
      <c r="F185" s="237"/>
      <c r="G185" s="237"/>
      <c r="H185" s="237"/>
      <c r="I185" s="237"/>
      <c r="J185" s="237"/>
      <c r="K185" s="237"/>
    </row>
    <row r="186" spans="8:8" ht="15.75" customHeight="1">
      <c r="A186" s="310"/>
      <c r="B186" s="310"/>
      <c r="C186" s="237"/>
      <c r="D186" s="289"/>
      <c r="E186" s="289"/>
      <c r="F186" s="237"/>
      <c r="G186" s="237"/>
      <c r="H186" s="237"/>
      <c r="I186" s="237"/>
      <c r="J186" s="237"/>
      <c r="K186" s="237"/>
    </row>
    <row r="187" spans="8:8" ht="15.75" customHeight="1">
      <c r="A187" s="310"/>
      <c r="B187" s="310"/>
      <c r="C187" s="237"/>
      <c r="D187" s="289"/>
      <c r="E187" s="289"/>
      <c r="F187" s="237"/>
      <c r="G187" s="237"/>
      <c r="H187" s="237"/>
      <c r="I187" s="237"/>
      <c r="J187" s="237"/>
      <c r="K187" s="237"/>
    </row>
    <row r="188" spans="8:8" ht="15.75" customHeight="1">
      <c r="A188" s="310"/>
      <c r="B188" s="310"/>
      <c r="C188" s="237"/>
      <c r="D188" s="311"/>
      <c r="E188" s="311"/>
      <c r="F188" s="237"/>
      <c r="G188" s="237"/>
      <c r="H188" s="237"/>
      <c r="I188" s="237"/>
      <c r="J188" s="237"/>
      <c r="K188" s="237"/>
    </row>
    <row r="189" spans="8:8" ht="15.75" customHeight="1">
      <c r="A189" s="310"/>
      <c r="B189" s="310"/>
      <c r="C189" s="237"/>
      <c r="D189" s="289"/>
      <c r="E189" s="289"/>
      <c r="F189" s="237"/>
      <c r="G189" s="237"/>
      <c r="H189" s="237"/>
      <c r="I189" s="237"/>
      <c r="J189" s="237"/>
      <c r="K189" s="237"/>
    </row>
    <row r="190" spans="8:8" ht="15.75" customHeight="1">
      <c r="A190" s="310"/>
      <c r="B190" s="310"/>
      <c r="C190" s="237"/>
      <c r="D190" s="289"/>
      <c r="E190" s="289"/>
      <c r="F190" s="237"/>
      <c r="G190" s="237"/>
      <c r="H190" s="237"/>
      <c r="I190" s="237"/>
      <c r="J190" s="237"/>
      <c r="K190" s="237"/>
    </row>
    <row r="191" spans="8:8" ht="15.75" customHeight="1">
      <c r="A191" s="310"/>
      <c r="B191" s="310"/>
      <c r="C191" s="237"/>
      <c r="D191" s="289"/>
      <c r="E191" s="289"/>
      <c r="F191" s="237"/>
      <c r="G191" s="237"/>
      <c r="H191" s="237"/>
      <c r="I191" s="237"/>
      <c r="J191" s="237"/>
      <c r="K191" s="237"/>
    </row>
    <row r="192" spans="8:8" ht="15.75" customHeight="1">
      <c r="A192" s="310"/>
      <c r="B192" s="310"/>
      <c r="C192" s="237"/>
      <c r="D192" s="289"/>
      <c r="E192" s="289"/>
      <c r="F192" s="237"/>
      <c r="G192" s="237"/>
      <c r="H192" s="237"/>
      <c r="I192" s="237"/>
      <c r="J192" s="237"/>
      <c r="K192" s="237"/>
    </row>
    <row r="193" spans="8:8" ht="15.75" customHeight="1">
      <c r="A193" s="310"/>
      <c r="B193" s="310"/>
      <c r="C193" s="237"/>
      <c r="D193" s="289"/>
      <c r="E193" s="289"/>
      <c r="F193" s="237"/>
      <c r="G193" s="237"/>
      <c r="H193" s="237"/>
      <c r="I193" s="237"/>
      <c r="J193" s="237"/>
      <c r="K193" s="237"/>
    </row>
    <row r="194" spans="8:8" ht="15.75" customHeight="1">
      <c r="A194" s="310"/>
      <c r="B194" s="310"/>
      <c r="C194" s="237"/>
      <c r="D194" s="289"/>
      <c r="E194" s="289"/>
      <c r="F194" s="237"/>
      <c r="G194" s="237"/>
      <c r="H194" s="237"/>
      <c r="I194" s="237"/>
      <c r="J194" s="237"/>
      <c r="K194" s="237"/>
    </row>
    <row r="195" spans="8:8" ht="15.75" customHeight="1">
      <c r="A195" s="310"/>
      <c r="B195" s="310"/>
      <c r="C195" s="237"/>
      <c r="D195" s="289"/>
      <c r="E195" s="289"/>
      <c r="F195" s="237"/>
      <c r="G195" s="237"/>
      <c r="H195" s="237"/>
      <c r="I195" s="237"/>
      <c r="J195" s="237"/>
      <c r="K195" s="237"/>
    </row>
    <row r="196" spans="8:8" ht="15.75" customHeight="1">
      <c r="A196" s="310"/>
      <c r="B196" s="310"/>
      <c r="C196" s="237"/>
      <c r="D196" s="289"/>
      <c r="E196" s="289"/>
      <c r="F196" s="237"/>
      <c r="G196" s="237"/>
      <c r="H196" s="237"/>
      <c r="I196" s="237"/>
      <c r="J196" s="237"/>
      <c r="K196" s="237"/>
    </row>
    <row r="197" spans="8:8" ht="15.75" customHeight="1">
      <c r="A197" s="310"/>
      <c r="B197" s="310"/>
      <c r="C197" s="237"/>
      <c r="D197" s="289"/>
      <c r="E197" s="289"/>
      <c r="F197" s="237"/>
      <c r="G197" s="237"/>
      <c r="H197" s="237"/>
      <c r="I197" s="237"/>
      <c r="J197" s="237"/>
      <c r="K197" s="237"/>
    </row>
    <row r="198" spans="8:8" ht="15.75" customHeight="1">
      <c r="A198" s="310"/>
      <c r="B198" s="310"/>
      <c r="C198" s="237"/>
      <c r="D198" s="289"/>
      <c r="E198" s="289"/>
      <c r="F198" s="237"/>
      <c r="G198" s="237"/>
      <c r="H198" s="237"/>
      <c r="I198" s="237"/>
      <c r="J198" s="237"/>
      <c r="K198" s="237"/>
    </row>
    <row r="199" spans="8:8" ht="15.75" customHeight="1">
      <c r="A199" s="310"/>
      <c r="B199" s="310"/>
      <c r="C199" s="237"/>
      <c r="D199" s="289"/>
      <c r="E199" s="289"/>
      <c r="F199" s="237"/>
      <c r="G199" s="237"/>
      <c r="H199" s="237"/>
      <c r="I199" s="237"/>
      <c r="J199" s="237"/>
      <c r="K199" s="237"/>
    </row>
    <row r="200" spans="8:8" ht="15.75" customHeight="1">
      <c r="A200" s="310"/>
      <c r="B200" s="310"/>
      <c r="C200" s="237"/>
      <c r="D200" s="289"/>
      <c r="E200" s="289"/>
      <c r="F200" s="237"/>
      <c r="G200" s="237"/>
      <c r="H200" s="237"/>
      <c r="I200" s="237"/>
      <c r="J200" s="237"/>
      <c r="K200" s="237"/>
    </row>
    <row r="201" spans="8:8" ht="15.75" customHeight="1">
      <c r="A201" s="310"/>
      <c r="B201" s="310"/>
      <c r="C201" s="237"/>
      <c r="D201" s="289"/>
      <c r="E201" s="289"/>
      <c r="F201" s="237"/>
      <c r="G201" s="237"/>
      <c r="H201" s="237"/>
      <c r="I201" s="237"/>
      <c r="J201" s="237"/>
      <c r="K201" s="237"/>
    </row>
    <row r="202" spans="8:8" ht="15.75" customHeight="1">
      <c r="A202" s="310"/>
      <c r="B202" s="310"/>
      <c r="C202" s="237"/>
      <c r="D202" s="289"/>
      <c r="E202" s="289"/>
      <c r="F202" s="237"/>
      <c r="G202" s="237"/>
      <c r="H202" s="237"/>
      <c r="I202" s="237"/>
      <c r="J202" s="237"/>
      <c r="K202" s="237"/>
    </row>
    <row r="203" spans="8:8" ht="15.75" customHeight="1">
      <c r="A203" s="310"/>
      <c r="B203" s="310"/>
      <c r="C203" s="237"/>
      <c r="D203" s="289"/>
      <c r="E203" s="289"/>
      <c r="F203" s="237"/>
      <c r="G203" s="237"/>
      <c r="H203" s="237"/>
      <c r="I203" s="237"/>
      <c r="J203" s="237"/>
      <c r="K203" s="237"/>
    </row>
    <row r="204" spans="8:8" ht="15.75" customHeight="1">
      <c r="A204" s="310"/>
      <c r="B204" s="310"/>
      <c r="C204" s="237"/>
      <c r="D204" s="289"/>
      <c r="E204" s="289"/>
      <c r="F204" s="237"/>
      <c r="G204" s="237"/>
      <c r="H204" s="237"/>
      <c r="I204" s="237"/>
      <c r="J204" s="237"/>
      <c r="K204" s="237"/>
    </row>
    <row r="205" spans="8:8" ht="15.75" customHeight="1">
      <c r="A205" s="310"/>
      <c r="B205" s="310"/>
      <c r="C205" s="237"/>
      <c r="D205" s="289"/>
      <c r="E205" s="289"/>
      <c r="F205" s="237"/>
      <c r="G205" s="237"/>
      <c r="H205" s="237"/>
      <c r="I205" s="237"/>
      <c r="J205" s="237"/>
      <c r="K205" s="237"/>
    </row>
    <row r="206" spans="8:8" ht="15.75" customHeight="1">
      <c r="A206" s="310"/>
      <c r="B206" s="310"/>
      <c r="C206" s="237"/>
      <c r="D206" s="289"/>
      <c r="E206" s="289"/>
      <c r="F206" s="237"/>
      <c r="G206" s="237"/>
      <c r="H206" s="237"/>
      <c r="I206" s="237"/>
      <c r="J206" s="237"/>
      <c r="K206" s="237"/>
    </row>
    <row r="207" spans="8:8" ht="15.75" customHeight="1">
      <c r="A207" s="310"/>
      <c r="B207" s="310"/>
      <c r="C207" s="237"/>
      <c r="D207" s="289"/>
      <c r="E207" s="289"/>
      <c r="F207" s="237"/>
      <c r="G207" s="237"/>
      <c r="H207" s="237"/>
      <c r="I207" s="237"/>
      <c r="J207" s="237"/>
      <c r="K207" s="237"/>
    </row>
    <row r="208" spans="8:8" ht="15.75" customHeight="1">
      <c r="A208" s="310"/>
      <c r="B208" s="310"/>
      <c r="C208" s="237"/>
      <c r="D208" s="289"/>
      <c r="E208" s="289"/>
      <c r="F208" s="237"/>
      <c r="G208" s="237"/>
      <c r="H208" s="237"/>
      <c r="I208" s="237"/>
      <c r="J208" s="237"/>
      <c r="K208" s="237"/>
    </row>
    <row r="209" spans="8:8" ht="15.75" customHeight="1">
      <c r="A209" s="312"/>
      <c r="B209" s="313"/>
      <c r="C209" s="237"/>
      <c r="D209" s="289"/>
      <c r="E209" s="289"/>
      <c r="F209" s="237"/>
      <c r="G209" s="237"/>
      <c r="H209" s="237"/>
      <c r="I209" s="237"/>
      <c r="J209" s="237"/>
      <c r="K209" s="237"/>
    </row>
    <row r="210" spans="8:8" ht="15.75" customHeight="1">
      <c r="A210" s="310"/>
      <c r="B210" s="310"/>
      <c r="C210" s="237"/>
      <c r="D210" s="311"/>
      <c r="E210" s="311"/>
      <c r="F210" s="237"/>
      <c r="G210" s="237"/>
      <c r="H210" s="237"/>
      <c r="I210" s="237"/>
      <c r="J210" s="237"/>
      <c r="K210" s="237"/>
    </row>
    <row r="211" spans="8:8" ht="15.75" customHeight="1">
      <c r="A211" s="310"/>
      <c r="B211" s="310"/>
      <c r="C211" s="237"/>
      <c r="D211" s="289"/>
      <c r="E211" s="289"/>
      <c r="F211" s="237"/>
      <c r="G211" s="237"/>
      <c r="H211" s="237"/>
      <c r="I211" s="237"/>
      <c r="J211" s="237"/>
      <c r="K211" s="237"/>
    </row>
    <row r="212" spans="8:8" ht="15.75" customHeight="1">
      <c r="A212" s="310"/>
      <c r="B212" s="310"/>
      <c r="C212" s="237"/>
      <c r="D212" s="289"/>
      <c r="E212" s="289"/>
      <c r="F212" s="237"/>
      <c r="G212" s="237"/>
      <c r="H212" s="237"/>
      <c r="I212" s="237"/>
      <c r="J212" s="237"/>
      <c r="K212" s="237"/>
    </row>
    <row r="213" spans="8:8" ht="15.75" customHeight="1">
      <c r="A213" s="310"/>
      <c r="B213" s="310"/>
      <c r="C213" s="237"/>
      <c r="D213" s="289"/>
      <c r="E213" s="289"/>
      <c r="F213" s="237"/>
      <c r="G213" s="237"/>
      <c r="H213" s="237"/>
      <c r="I213" s="237"/>
      <c r="J213" s="237"/>
      <c r="K213" s="237"/>
    </row>
    <row r="214" spans="8:8" ht="15.75" customHeight="1">
      <c r="A214" s="310"/>
      <c r="B214" s="310"/>
      <c r="C214" s="237"/>
      <c r="D214" s="289"/>
      <c r="E214" s="289"/>
      <c r="F214" s="237"/>
      <c r="G214" s="237"/>
      <c r="H214" s="237"/>
      <c r="I214" s="237"/>
      <c r="J214" s="237"/>
      <c r="K214" s="237"/>
    </row>
    <row r="215" spans="8:8" ht="15.75" customHeight="1">
      <c r="A215" s="310"/>
      <c r="B215" s="310"/>
      <c r="C215" s="237"/>
      <c r="D215" s="289"/>
      <c r="E215" s="289"/>
      <c r="F215" s="237"/>
      <c r="G215" s="237"/>
      <c r="H215" s="237"/>
      <c r="I215" s="237"/>
      <c r="J215" s="237"/>
      <c r="K215" s="237"/>
    </row>
    <row r="216" spans="8:8" ht="15.75" customHeight="1">
      <c r="A216" s="310"/>
      <c r="B216" s="310"/>
      <c r="C216" s="237"/>
      <c r="D216" s="289"/>
      <c r="E216" s="289"/>
      <c r="F216" s="237"/>
      <c r="G216" s="237"/>
      <c r="H216" s="237"/>
      <c r="I216" s="237"/>
      <c r="J216" s="237"/>
      <c r="K216" s="237"/>
    </row>
    <row r="217" spans="8:8" ht="15.75" customHeight="1">
      <c r="A217" s="310"/>
      <c r="B217" s="310"/>
      <c r="C217" s="237"/>
      <c r="D217" s="289"/>
      <c r="E217" s="289"/>
      <c r="F217" s="237"/>
      <c r="G217" s="237"/>
      <c r="H217" s="237"/>
      <c r="I217" s="237"/>
      <c r="J217" s="237"/>
      <c r="K217" s="237"/>
    </row>
    <row r="218" spans="8:8" ht="15.75" customHeight="1">
      <c r="A218" s="310"/>
      <c r="B218" s="310"/>
      <c r="C218" s="237"/>
      <c r="D218" s="289"/>
      <c r="E218" s="289"/>
      <c r="F218" s="237"/>
      <c r="G218" s="237"/>
      <c r="H218" s="237"/>
      <c r="I218" s="237"/>
      <c r="J218" s="237"/>
      <c r="K218" s="237"/>
    </row>
    <row r="219" spans="8:8" ht="15.75" customHeight="1">
      <c r="A219" s="310"/>
      <c r="B219" s="310"/>
      <c r="C219" s="237"/>
      <c r="D219" s="289"/>
      <c r="E219" s="289"/>
      <c r="F219" s="237"/>
      <c r="G219" s="237"/>
      <c r="H219" s="237"/>
      <c r="I219" s="237"/>
      <c r="J219" s="237"/>
      <c r="K219" s="237"/>
    </row>
    <row r="220" spans="8:8" ht="15.75" customHeight="1">
      <c r="A220" s="310"/>
      <c r="B220" s="310"/>
      <c r="C220" s="237"/>
      <c r="D220" s="289"/>
      <c r="E220" s="289"/>
      <c r="F220" s="237"/>
      <c r="G220" s="237"/>
      <c r="H220" s="237"/>
      <c r="I220" s="237"/>
      <c r="J220" s="237"/>
      <c r="K220" s="237"/>
    </row>
    <row r="221" spans="8:8" ht="15.75" customHeight="1">
      <c r="A221" s="310"/>
      <c r="B221" s="310"/>
      <c r="C221" s="237"/>
      <c r="D221" s="289"/>
      <c r="E221" s="289"/>
      <c r="F221" s="237"/>
      <c r="G221" s="237"/>
      <c r="H221" s="237"/>
      <c r="I221" s="237"/>
      <c r="J221" s="237"/>
      <c r="K221" s="237"/>
    </row>
    <row r="222" spans="8:8" ht="15.75" customHeight="1">
      <c r="A222" s="310"/>
      <c r="B222" s="310"/>
      <c r="C222" s="237"/>
      <c r="D222" s="289"/>
      <c r="E222" s="289"/>
      <c r="F222" s="237"/>
      <c r="G222" s="237"/>
      <c r="H222" s="237"/>
      <c r="I222" s="237"/>
      <c r="J222" s="237"/>
      <c r="K222" s="237"/>
    </row>
    <row r="223" spans="8:8" ht="15.75" customHeight="1">
      <c r="A223" s="310"/>
      <c r="B223" s="310"/>
      <c r="C223" s="237"/>
      <c r="D223" s="289"/>
      <c r="E223" s="289"/>
      <c r="F223" s="237"/>
      <c r="G223" s="237"/>
      <c r="H223" s="237"/>
      <c r="I223" s="237"/>
      <c r="J223" s="237"/>
      <c r="K223" s="237"/>
    </row>
    <row r="224" spans="8:8" ht="15.75" customHeight="1">
      <c r="A224" s="310"/>
      <c r="B224" s="310"/>
      <c r="C224" s="237"/>
      <c r="D224" s="289"/>
      <c r="E224" s="289"/>
      <c r="F224" s="237"/>
      <c r="G224" s="237"/>
      <c r="H224" s="237"/>
      <c r="I224" s="237"/>
      <c r="J224" s="237"/>
      <c r="K224" s="237"/>
    </row>
    <row r="225" spans="8:8" ht="15.75" customHeight="1">
      <c r="A225" s="310"/>
      <c r="B225" s="310"/>
      <c r="C225" s="237"/>
      <c r="D225" s="289"/>
      <c r="E225" s="289"/>
      <c r="F225" s="237"/>
      <c r="G225" s="237"/>
      <c r="H225" s="237"/>
      <c r="I225" s="237"/>
      <c r="J225" s="237"/>
      <c r="K225" s="237"/>
    </row>
    <row r="226" spans="8:8" ht="15.75" customHeight="1">
      <c r="A226" s="310"/>
      <c r="B226" s="310"/>
      <c r="C226" s="237"/>
      <c r="D226" s="289"/>
      <c r="E226" s="289"/>
      <c r="F226" s="237"/>
      <c r="G226" s="237"/>
      <c r="H226" s="237"/>
      <c r="I226" s="237"/>
      <c r="J226" s="237"/>
      <c r="K226" s="237"/>
    </row>
    <row r="227" spans="8:8" ht="15.75" customHeight="1">
      <c r="A227" s="310"/>
      <c r="B227" s="310"/>
      <c r="C227" s="237"/>
      <c r="D227" s="289"/>
      <c r="E227" s="289"/>
      <c r="F227" s="237"/>
      <c r="G227" s="237"/>
      <c r="H227" s="237"/>
      <c r="I227" s="237"/>
      <c r="J227" s="237"/>
      <c r="K227" s="237"/>
    </row>
    <row r="228" spans="8:8" ht="15.75" customHeight="1">
      <c r="A228" s="310"/>
      <c r="B228" s="310"/>
      <c r="C228" s="237"/>
      <c r="D228" s="289"/>
      <c r="E228" s="289"/>
      <c r="F228" s="237"/>
      <c r="G228" s="237"/>
      <c r="H228" s="237"/>
      <c r="I228" s="237"/>
      <c r="J228" s="237"/>
      <c r="K228" s="237"/>
    </row>
    <row r="229" spans="8:8" ht="15.75" customHeight="1">
      <c r="A229" s="310"/>
      <c r="B229" s="310"/>
      <c r="C229" s="237"/>
      <c r="D229" s="289"/>
      <c r="E229" s="289"/>
      <c r="F229" s="237"/>
      <c r="G229" s="237"/>
      <c r="H229" s="237"/>
      <c r="I229" s="237"/>
      <c r="J229" s="237"/>
      <c r="K229" s="237"/>
    </row>
    <row r="230" spans="8:8" ht="15.75" customHeight="1">
      <c r="A230" s="310"/>
      <c r="B230" s="310"/>
      <c r="C230" s="237"/>
      <c r="D230" s="289"/>
      <c r="E230" s="289"/>
      <c r="F230" s="237"/>
      <c r="G230" s="237"/>
      <c r="H230" s="237"/>
      <c r="I230" s="237"/>
      <c r="J230" s="237"/>
      <c r="K230" s="237"/>
    </row>
    <row r="231" spans="8:8" ht="15.75" customHeight="1">
      <c r="A231" s="312"/>
      <c r="B231" s="313"/>
      <c r="C231" s="237"/>
      <c r="D231" s="311"/>
      <c r="E231" s="311"/>
      <c r="F231" s="237"/>
      <c r="G231" s="237"/>
      <c r="H231" s="237"/>
      <c r="I231" s="237"/>
      <c r="J231" s="237"/>
      <c r="K231" s="237"/>
    </row>
    <row r="232" spans="8:8" ht="15.75" customHeight="1">
      <c r="A232" s="310"/>
      <c r="B232" s="310"/>
      <c r="C232" s="237"/>
      <c r="D232" s="289"/>
      <c r="E232" s="289"/>
      <c r="F232" s="237"/>
      <c r="G232" s="237"/>
      <c r="H232" s="237"/>
      <c r="I232" s="237"/>
      <c r="J232" s="237"/>
      <c r="K232" s="237"/>
    </row>
    <row r="233" spans="8:8" ht="15.75" customHeight="1">
      <c r="A233" s="310"/>
      <c r="B233" s="310"/>
      <c r="C233" s="237"/>
      <c r="D233" s="289"/>
      <c r="E233" s="289"/>
      <c r="F233" s="237"/>
      <c r="G233" s="237"/>
      <c r="H233" s="237"/>
      <c r="I233" s="237"/>
      <c r="J233" s="237"/>
      <c r="K233" s="237"/>
    </row>
    <row r="234" spans="8:8" ht="15.75" customHeight="1">
      <c r="A234" s="310"/>
      <c r="B234" s="310"/>
      <c r="C234" s="237"/>
      <c r="D234" s="289"/>
      <c r="E234" s="289"/>
      <c r="F234" s="237"/>
      <c r="G234" s="237"/>
      <c r="H234" s="237"/>
      <c r="I234" s="237"/>
      <c r="J234" s="237"/>
      <c r="K234" s="237"/>
    </row>
    <row r="235" spans="8:8" ht="15.75" customHeight="1">
      <c r="A235" s="310"/>
      <c r="B235" s="310"/>
      <c r="C235" s="237"/>
      <c r="D235" s="289"/>
      <c r="E235" s="289"/>
      <c r="F235" s="237"/>
      <c r="G235" s="237"/>
      <c r="H235" s="237"/>
      <c r="I235" s="237"/>
      <c r="J235" s="237"/>
      <c r="K235" s="237"/>
    </row>
    <row r="236" spans="8:8" ht="15.75" customHeight="1">
      <c r="A236" s="310"/>
      <c r="B236" s="310"/>
      <c r="C236" s="237"/>
      <c r="D236" s="289"/>
      <c r="E236" s="289"/>
      <c r="F236" s="237"/>
      <c r="G236" s="237"/>
      <c r="H236" s="237"/>
      <c r="I236" s="237"/>
      <c r="J236" s="237"/>
      <c r="K236" s="237"/>
    </row>
    <row r="237" spans="8:8" ht="15.75" customHeight="1">
      <c r="A237" s="310"/>
      <c r="B237" s="310"/>
      <c r="C237" s="237"/>
      <c r="D237" s="289"/>
      <c r="E237" s="289"/>
      <c r="F237" s="237"/>
      <c r="G237" s="237"/>
      <c r="H237" s="237"/>
      <c r="I237" s="237"/>
      <c r="J237" s="237"/>
      <c r="K237" s="237"/>
    </row>
    <row r="238" spans="8:8" ht="15.75" customHeight="1">
      <c r="A238" s="310"/>
      <c r="B238" s="310"/>
      <c r="C238" s="237"/>
      <c r="D238" s="289"/>
      <c r="E238" s="289"/>
      <c r="F238" s="237"/>
      <c r="G238" s="237"/>
      <c r="H238" s="237"/>
      <c r="I238" s="237"/>
      <c r="J238" s="237"/>
      <c r="K238" s="237"/>
    </row>
    <row r="239" spans="8:8" ht="15.75" customHeight="1">
      <c r="A239" s="310"/>
      <c r="B239" s="310"/>
      <c r="C239" s="237"/>
      <c r="D239" s="289"/>
      <c r="E239" s="289"/>
      <c r="F239" s="237"/>
      <c r="G239" s="237"/>
      <c r="H239" s="237"/>
      <c r="I239" s="237"/>
      <c r="J239" s="237"/>
      <c r="K239" s="237"/>
    </row>
    <row r="240" spans="8:8" ht="15.75" customHeight="1">
      <c r="A240" s="310"/>
      <c r="B240" s="310"/>
      <c r="C240" s="237"/>
      <c r="D240" s="289"/>
      <c r="E240" s="289"/>
      <c r="F240" s="237"/>
      <c r="G240" s="237"/>
      <c r="H240" s="237"/>
      <c r="I240" s="237"/>
      <c r="J240" s="237"/>
      <c r="K240" s="237"/>
    </row>
    <row r="241" spans="8:8" ht="15.75" customHeight="1">
      <c r="A241" s="310"/>
      <c r="B241" s="310"/>
      <c r="C241" s="237"/>
      <c r="D241" s="289"/>
      <c r="E241" s="289"/>
      <c r="F241" s="237"/>
      <c r="G241" s="237"/>
      <c r="H241" s="237"/>
      <c r="I241" s="237"/>
      <c r="J241" s="237"/>
      <c r="K241" s="237"/>
    </row>
    <row r="242" spans="8:8" ht="15.75" customHeight="1">
      <c r="A242" s="310"/>
      <c r="B242" s="310"/>
      <c r="C242" s="237"/>
      <c r="D242" s="289"/>
      <c r="E242" s="289"/>
      <c r="F242" s="237"/>
      <c r="G242" s="237"/>
      <c r="H242" s="237"/>
      <c r="I242" s="237"/>
      <c r="J242" s="237"/>
      <c r="K242" s="237"/>
    </row>
    <row r="243" spans="8:8" ht="15.75" customHeight="1">
      <c r="A243" s="310"/>
      <c r="B243" s="310"/>
      <c r="C243" s="237"/>
      <c r="D243" s="289"/>
      <c r="E243" s="289"/>
      <c r="F243" s="237"/>
      <c r="G243" s="237"/>
      <c r="H243" s="237"/>
      <c r="I243" s="237"/>
      <c r="J243" s="237"/>
      <c r="K243" s="237"/>
    </row>
    <row r="244" spans="8:8" ht="15.75" customHeight="1">
      <c r="A244" s="310"/>
      <c r="B244" s="310"/>
      <c r="C244" s="237"/>
      <c r="D244" s="289"/>
      <c r="E244" s="289"/>
      <c r="F244" s="237"/>
      <c r="G244" s="237"/>
      <c r="H244" s="237"/>
      <c r="I244" s="237"/>
      <c r="J244" s="237"/>
      <c r="K244" s="237"/>
    </row>
    <row r="245" spans="8:8" ht="15.75" customHeight="1">
      <c r="A245" s="310"/>
      <c r="B245" s="310"/>
      <c r="C245" s="237"/>
      <c r="D245" s="289"/>
      <c r="E245" s="289"/>
      <c r="F245" s="237"/>
      <c r="G245" s="237"/>
      <c r="H245" s="237"/>
      <c r="I245" s="237"/>
      <c r="J245" s="237"/>
      <c r="K245" s="237"/>
    </row>
    <row r="246" spans="8:8" ht="15.75" customHeight="1">
      <c r="A246" s="310"/>
      <c r="B246" s="310"/>
      <c r="C246" s="237"/>
      <c r="D246" s="289"/>
      <c r="E246" s="289"/>
      <c r="F246" s="237"/>
      <c r="G246" s="237"/>
      <c r="H246" s="237"/>
      <c r="I246" s="237"/>
      <c r="J246" s="237"/>
      <c r="K246" s="237"/>
    </row>
    <row r="247" spans="8:8" ht="15.75" customHeight="1">
      <c r="A247" s="310"/>
      <c r="B247" s="310"/>
      <c r="C247" s="237"/>
      <c r="D247" s="289"/>
      <c r="E247" s="289"/>
      <c r="F247" s="237"/>
      <c r="G247" s="237"/>
      <c r="H247" s="237"/>
      <c r="I247" s="237"/>
      <c r="J247" s="237"/>
      <c r="K247" s="237"/>
    </row>
    <row r="248" spans="8:8" ht="15.75" customHeight="1">
      <c r="A248" s="310"/>
      <c r="B248" s="310"/>
      <c r="C248" s="237"/>
      <c r="D248" s="289"/>
      <c r="E248" s="289"/>
      <c r="F248" s="237"/>
      <c r="G248" s="237"/>
      <c r="H248" s="237"/>
      <c r="I248" s="237"/>
      <c r="J248" s="237"/>
      <c r="K248" s="237"/>
    </row>
    <row r="249" spans="8:8" ht="15.75" customHeight="1">
      <c r="A249" s="310"/>
      <c r="B249" s="310"/>
      <c r="C249" s="237"/>
      <c r="D249" s="289"/>
      <c r="E249" s="289"/>
      <c r="F249" s="237"/>
      <c r="G249" s="237"/>
      <c r="H249" s="237"/>
      <c r="I249" s="237"/>
      <c r="J249" s="237"/>
      <c r="K249" s="237"/>
    </row>
    <row r="250" spans="8:8" ht="15.75" customHeight="1">
      <c r="A250" s="310"/>
      <c r="B250" s="310"/>
      <c r="C250" s="237"/>
      <c r="D250" s="289"/>
      <c r="E250" s="289"/>
      <c r="F250" s="237"/>
      <c r="G250" s="237"/>
      <c r="H250" s="237"/>
      <c r="I250" s="237"/>
      <c r="J250" s="237"/>
      <c r="K250" s="237"/>
    </row>
    <row r="251" spans="8:8" ht="15.75" customHeight="1">
      <c r="A251" s="310"/>
      <c r="B251" s="310"/>
      <c r="C251" s="237"/>
      <c r="D251" s="289"/>
      <c r="E251" s="289"/>
      <c r="F251" s="237"/>
      <c r="G251" s="237"/>
      <c r="H251" s="237"/>
      <c r="I251" s="237"/>
      <c r="J251" s="237"/>
      <c r="K251" s="237"/>
    </row>
    <row r="252" spans="8:8" ht="15.75" customHeight="1">
      <c r="A252" s="310"/>
      <c r="B252" s="310"/>
      <c r="C252" s="237"/>
      <c r="D252" s="289"/>
      <c r="E252" s="289"/>
      <c r="F252" s="237"/>
      <c r="G252" s="237"/>
      <c r="H252" s="237"/>
      <c r="I252" s="237"/>
      <c r="J252" s="237"/>
      <c r="K252" s="237"/>
    </row>
    <row r="253" spans="8:8" ht="15.75" customHeight="1">
      <c r="A253" s="312"/>
      <c r="B253" s="313"/>
      <c r="C253" s="237"/>
      <c r="D253" s="289"/>
      <c r="E253" s="289"/>
      <c r="F253" s="237"/>
      <c r="G253" s="237"/>
      <c r="H253" s="237"/>
      <c r="I253" s="237"/>
      <c r="J253" s="237"/>
      <c r="K253" s="237"/>
    </row>
    <row r="254" spans="8:8" ht="15.75" customHeight="1">
      <c r="A254" s="310"/>
      <c r="B254" s="310"/>
      <c r="C254" s="237"/>
      <c r="D254" s="311"/>
      <c r="E254" s="311"/>
      <c r="F254" s="237"/>
      <c r="G254" s="237"/>
      <c r="H254" s="237"/>
      <c r="I254" s="237"/>
      <c r="J254" s="237"/>
      <c r="K254" s="237"/>
    </row>
    <row r="255" spans="8:8" ht="15.75" customHeight="1">
      <c r="A255" s="310"/>
      <c r="B255" s="310"/>
      <c r="C255" s="237"/>
      <c r="D255" s="289"/>
      <c r="E255" s="289"/>
      <c r="F255" s="237"/>
      <c r="G255" s="237"/>
      <c r="H255" s="237"/>
      <c r="I255" s="237"/>
      <c r="J255" s="237"/>
      <c r="K255" s="237"/>
    </row>
    <row r="256" spans="8:8" ht="15.75" customHeight="1">
      <c r="A256" s="310"/>
      <c r="B256" s="310"/>
      <c r="C256" s="237"/>
      <c r="D256" s="289"/>
      <c r="E256" s="289"/>
      <c r="F256" s="237"/>
      <c r="G256" s="237"/>
      <c r="H256" s="237"/>
      <c r="I256" s="237"/>
      <c r="J256" s="237"/>
      <c r="K256" s="237"/>
    </row>
    <row r="257" spans="8:8" ht="15.75" customHeight="1">
      <c r="A257" s="310"/>
      <c r="B257" s="310"/>
      <c r="C257" s="237"/>
      <c r="D257" s="289"/>
      <c r="E257" s="289"/>
      <c r="F257" s="237"/>
      <c r="G257" s="237"/>
      <c r="H257" s="237"/>
      <c r="I257" s="237"/>
      <c r="J257" s="237"/>
      <c r="K257" s="237"/>
    </row>
    <row r="258" spans="8:8" ht="15.75" customHeight="1">
      <c r="A258" s="310"/>
      <c r="B258" s="310"/>
      <c r="C258" s="237"/>
      <c r="D258" s="289"/>
      <c r="E258" s="289"/>
      <c r="F258" s="237"/>
      <c r="G258" s="237"/>
      <c r="H258" s="237"/>
      <c r="I258" s="237"/>
      <c r="J258" s="237"/>
      <c r="K258" s="237"/>
    </row>
    <row r="259" spans="8:8" ht="15.75" customHeight="1">
      <c r="A259" s="310"/>
      <c r="B259" s="310"/>
      <c r="C259" s="237"/>
      <c r="D259" s="289"/>
      <c r="E259" s="289"/>
      <c r="F259" s="237"/>
      <c r="G259" s="237"/>
      <c r="H259" s="237"/>
      <c r="I259" s="237"/>
      <c r="J259" s="237"/>
      <c r="K259" s="237"/>
    </row>
    <row r="260" spans="8:8" ht="15.75" customHeight="1">
      <c r="A260" s="310"/>
      <c r="B260" s="310"/>
      <c r="C260" s="237"/>
      <c r="D260" s="289"/>
      <c r="E260" s="289"/>
      <c r="F260" s="237"/>
      <c r="G260" s="237"/>
      <c r="H260" s="237"/>
      <c r="I260" s="237"/>
      <c r="J260" s="237"/>
      <c r="K260" s="237"/>
    </row>
    <row r="261" spans="8:8" ht="15.75" customHeight="1">
      <c r="A261" s="310"/>
      <c r="B261" s="310"/>
      <c r="C261" s="237"/>
      <c r="D261" s="289"/>
      <c r="E261" s="289"/>
      <c r="F261" s="237"/>
      <c r="G261" s="237"/>
      <c r="H261" s="237"/>
      <c r="I261" s="237"/>
      <c r="J261" s="237"/>
      <c r="K261" s="237"/>
    </row>
    <row r="262" spans="8:8" ht="15.75" customHeight="1">
      <c r="A262" s="310"/>
      <c r="B262" s="310"/>
      <c r="C262" s="237"/>
      <c r="D262" s="289"/>
      <c r="E262" s="289"/>
      <c r="F262" s="237"/>
      <c r="G262" s="237"/>
      <c r="H262" s="237"/>
      <c r="I262" s="237"/>
      <c r="J262" s="237"/>
      <c r="K262" s="237"/>
    </row>
    <row r="263" spans="8:8" ht="15.75" customHeight="1">
      <c r="A263" s="310"/>
      <c r="B263" s="310"/>
      <c r="C263" s="237"/>
      <c r="D263" s="289"/>
      <c r="E263" s="289"/>
      <c r="F263" s="237"/>
      <c r="G263" s="237"/>
      <c r="H263" s="237"/>
      <c r="I263" s="237"/>
      <c r="J263" s="237"/>
      <c r="K263" s="237"/>
    </row>
    <row r="264" spans="8:8" ht="15.75" customHeight="1">
      <c r="A264" s="310"/>
      <c r="B264" s="310"/>
      <c r="C264" s="237"/>
      <c r="D264" s="289"/>
      <c r="E264" s="289"/>
      <c r="F264" s="237"/>
      <c r="G264" s="237"/>
      <c r="H264" s="237"/>
      <c r="I264" s="237"/>
      <c r="J264" s="237"/>
      <c r="K264" s="237"/>
    </row>
    <row r="265" spans="8:8" ht="15.75" customHeight="1">
      <c r="A265" s="310"/>
      <c r="B265" s="310"/>
      <c r="C265" s="237"/>
      <c r="D265" s="289"/>
      <c r="E265" s="289"/>
      <c r="F265" s="237"/>
      <c r="G265" s="237"/>
      <c r="H265" s="237"/>
      <c r="I265" s="237"/>
      <c r="J265" s="237"/>
      <c r="K265" s="237"/>
    </row>
    <row r="266" spans="8:8" ht="15.75" customHeight="1">
      <c r="A266" s="310"/>
      <c r="B266" s="310"/>
      <c r="C266" s="237"/>
      <c r="D266" s="289"/>
      <c r="E266" s="289"/>
      <c r="F266" s="237"/>
      <c r="G266" s="237"/>
      <c r="H266" s="237"/>
      <c r="I266" s="237"/>
      <c r="J266" s="237"/>
      <c r="K266" s="237"/>
    </row>
    <row r="267" spans="8:8" ht="15.75" customHeight="1">
      <c r="A267" s="310"/>
      <c r="B267" s="310"/>
      <c r="C267" s="237"/>
      <c r="D267" s="289"/>
      <c r="E267" s="289"/>
      <c r="F267" s="237"/>
      <c r="G267" s="237"/>
      <c r="H267" s="237"/>
      <c r="I267" s="237"/>
      <c r="J267" s="237"/>
      <c r="K267" s="237"/>
    </row>
    <row r="268" spans="8:8" ht="15.75" customHeight="1">
      <c r="A268" s="310"/>
      <c r="B268" s="310"/>
      <c r="C268" s="237"/>
      <c r="D268" s="289"/>
      <c r="E268" s="289"/>
      <c r="F268" s="237"/>
      <c r="G268" s="237"/>
      <c r="H268" s="237"/>
      <c r="I268" s="237"/>
      <c r="J268" s="237"/>
      <c r="K268" s="237"/>
    </row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7">
    <mergeCell ref="A96:B96"/>
    <mergeCell ref="A123:B123"/>
    <mergeCell ref="A149:B149"/>
    <mergeCell ref="A181:B181"/>
    <mergeCell ref="A209:B209"/>
    <mergeCell ref="A231:B231"/>
    <mergeCell ref="A253:B253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M774"/>
  <sheetViews>
    <sheetView workbookViewId="0">
      <selection activeCell="A1" sqref="A1"/>
    </sheetView>
  </sheetViews>
  <sheetFormatPr defaultRowHeight="15.0" customHeight="1" defaultColWidth="12"/>
  <sheetData>
    <row r="1" spans="8:8" ht="15.75" customHeight="1">
      <c r="A1" s="314">
        <v>1.0</v>
      </c>
      <c r="B1" s="315" t="s">
        <v>4537</v>
      </c>
      <c r="C1" s="214">
        <v>250668.0</v>
      </c>
      <c r="D1" s="315" t="s">
        <v>56</v>
      </c>
      <c r="E1" s="214" t="s">
        <v>1512</v>
      </c>
      <c r="G1" s="316" t="s">
        <v>5083</v>
      </c>
      <c r="H1" s="316" t="s">
        <v>19</v>
      </c>
      <c r="I1" s="316" t="s">
        <v>1870</v>
      </c>
      <c r="J1" s="316" t="s">
        <v>4530</v>
      </c>
      <c r="K1" s="316" t="s">
        <v>22</v>
      </c>
    </row>
    <row r="2" spans="8:8" ht="15.75" customHeight="1">
      <c r="A2" s="314">
        <v>2.0</v>
      </c>
      <c r="B2" s="315" t="s">
        <v>1543</v>
      </c>
      <c r="C2" s="214">
        <v>250749.0</v>
      </c>
      <c r="D2" s="315" t="s">
        <v>56</v>
      </c>
      <c r="E2" s="214" t="s">
        <v>1512</v>
      </c>
      <c r="G2" s="283">
        <v>1.0</v>
      </c>
      <c r="H2" s="317" t="s">
        <v>4710</v>
      </c>
      <c r="I2" s="283">
        <v>251259.0</v>
      </c>
      <c r="J2" s="317" t="s">
        <v>5084</v>
      </c>
      <c r="K2" s="283" t="s">
        <v>28</v>
      </c>
    </row>
    <row r="3" spans="8:8" ht="15.75" customHeight="1">
      <c r="A3" s="314">
        <v>3.0</v>
      </c>
      <c r="B3" s="315" t="s">
        <v>1557</v>
      </c>
      <c r="C3" s="214">
        <v>252812.0</v>
      </c>
      <c r="D3" s="315" t="s">
        <v>27</v>
      </c>
      <c r="E3" s="214" t="s">
        <v>1512</v>
      </c>
      <c r="G3" s="283">
        <v>2.0</v>
      </c>
      <c r="H3" s="317" t="s">
        <v>4007</v>
      </c>
      <c r="I3" s="283">
        <v>251284.0</v>
      </c>
      <c r="J3" s="317" t="s">
        <v>5084</v>
      </c>
      <c r="K3" s="283" t="s">
        <v>28</v>
      </c>
    </row>
    <row r="4" spans="8:8" ht="15.75" customHeight="1">
      <c r="A4" s="314">
        <v>4.0</v>
      </c>
      <c r="B4" s="315" t="s">
        <v>1544</v>
      </c>
      <c r="C4" s="214">
        <v>250767.0</v>
      </c>
      <c r="D4" s="315" t="s">
        <v>56</v>
      </c>
      <c r="E4" s="214" t="s">
        <v>1512</v>
      </c>
      <c r="G4" s="283">
        <v>3.0</v>
      </c>
      <c r="H4" s="317" t="s">
        <v>4008</v>
      </c>
      <c r="I4" s="283">
        <v>251297.0</v>
      </c>
      <c r="J4" s="317" t="s">
        <v>5084</v>
      </c>
      <c r="K4" s="283" t="s">
        <v>28</v>
      </c>
    </row>
    <row r="5" spans="8:8" ht="15.75" customHeight="1">
      <c r="A5" s="314">
        <v>5.0</v>
      </c>
      <c r="B5" s="315" t="s">
        <v>1535</v>
      </c>
      <c r="C5" s="214">
        <v>250784.0</v>
      </c>
      <c r="D5" s="315" t="s">
        <v>56</v>
      </c>
      <c r="E5" s="214" t="s">
        <v>1512</v>
      </c>
      <c r="G5" s="283">
        <v>4.0</v>
      </c>
      <c r="H5" s="317" t="s">
        <v>4009</v>
      </c>
      <c r="I5" s="283">
        <v>251299.0</v>
      </c>
      <c r="J5" s="317" t="s">
        <v>5084</v>
      </c>
      <c r="K5" s="283" t="s">
        <v>28</v>
      </c>
    </row>
    <row r="6" spans="8:8" ht="15.75" customHeight="1">
      <c r="A6" s="314">
        <v>6.0</v>
      </c>
      <c r="B6" s="315" t="s">
        <v>1558</v>
      </c>
      <c r="C6" s="214">
        <v>250808.0</v>
      </c>
      <c r="D6" s="315" t="s">
        <v>56</v>
      </c>
      <c r="E6" s="214" t="s">
        <v>1512</v>
      </c>
      <c r="G6" s="283">
        <v>5.0</v>
      </c>
      <c r="H6" s="317" t="s">
        <v>4011</v>
      </c>
      <c r="I6" s="283">
        <v>251317.0</v>
      </c>
      <c r="J6" s="317" t="s">
        <v>5084</v>
      </c>
      <c r="K6" s="283" t="s">
        <v>28</v>
      </c>
    </row>
    <row r="7" spans="8:8" ht="15.75" customHeight="1">
      <c r="A7" s="314">
        <v>7.0</v>
      </c>
      <c r="B7" s="315" t="s">
        <v>1559</v>
      </c>
      <c r="C7" s="214">
        <v>250809.0</v>
      </c>
      <c r="D7" s="315" t="s">
        <v>56</v>
      </c>
      <c r="E7" s="214" t="s">
        <v>1512</v>
      </c>
      <c r="G7" s="283">
        <v>6.0</v>
      </c>
      <c r="H7" s="317" t="s">
        <v>4012</v>
      </c>
      <c r="I7" s="283">
        <v>251329.0</v>
      </c>
      <c r="J7" s="317" t="s">
        <v>5084</v>
      </c>
      <c r="K7" s="283" t="s">
        <v>28</v>
      </c>
    </row>
    <row r="8" spans="8:8" ht="15.75" customHeight="1">
      <c r="A8" s="314">
        <v>8.0</v>
      </c>
      <c r="B8" s="315" t="s">
        <v>1536</v>
      </c>
      <c r="C8" s="214">
        <v>250810.0</v>
      </c>
      <c r="D8" s="315" t="s">
        <v>56</v>
      </c>
      <c r="E8" s="214" t="s">
        <v>1512</v>
      </c>
      <c r="G8" s="283">
        <v>7.0</v>
      </c>
      <c r="H8" s="317" t="s">
        <v>4013</v>
      </c>
      <c r="I8" s="283">
        <v>251331.0</v>
      </c>
      <c r="J8" s="317" t="s">
        <v>5084</v>
      </c>
      <c r="K8" s="283" t="s">
        <v>28</v>
      </c>
    </row>
    <row r="9" spans="8:8" ht="15.75" customHeight="1">
      <c r="A9" s="314">
        <v>9.0</v>
      </c>
      <c r="B9" s="315" t="s">
        <v>4538</v>
      </c>
      <c r="C9" s="214">
        <v>250818.0</v>
      </c>
      <c r="D9" s="315" t="s">
        <v>56</v>
      </c>
      <c r="E9" s="214" t="s">
        <v>1512</v>
      </c>
      <c r="G9" s="283">
        <v>8.0</v>
      </c>
      <c r="H9" s="317" t="s">
        <v>4891</v>
      </c>
      <c r="I9" s="283">
        <v>251580.0</v>
      </c>
      <c r="J9" s="317" t="s">
        <v>5084</v>
      </c>
      <c r="K9" s="283" t="s">
        <v>28</v>
      </c>
    </row>
    <row r="10" spans="8:8" ht="15.75" customHeight="1">
      <c r="A10" s="314">
        <v>10.0</v>
      </c>
      <c r="B10" s="315" t="s">
        <v>1560</v>
      </c>
      <c r="C10" s="214">
        <v>250824.0</v>
      </c>
      <c r="D10" s="315" t="s">
        <v>56</v>
      </c>
      <c r="E10" s="214" t="s">
        <v>1512</v>
      </c>
      <c r="G10" s="283">
        <v>9.0</v>
      </c>
      <c r="H10" s="317" t="s">
        <v>4014</v>
      </c>
      <c r="I10" s="283">
        <v>251354.0</v>
      </c>
      <c r="J10" s="317" t="s">
        <v>5084</v>
      </c>
      <c r="K10" s="283" t="s">
        <v>28</v>
      </c>
    </row>
    <row r="11" spans="8:8" ht="15.75" customHeight="1">
      <c r="A11" s="314">
        <v>11.0</v>
      </c>
      <c r="B11" s="315" t="s">
        <v>1561</v>
      </c>
      <c r="C11" s="214">
        <v>250834.0</v>
      </c>
      <c r="D11" s="315" t="s">
        <v>56</v>
      </c>
      <c r="E11" s="214" t="s">
        <v>1512</v>
      </c>
      <c r="G11" s="283">
        <v>10.0</v>
      </c>
      <c r="H11" s="317" t="s">
        <v>4712</v>
      </c>
      <c r="I11" s="283">
        <v>251394.0</v>
      </c>
      <c r="J11" s="317" t="s">
        <v>5084</v>
      </c>
      <c r="K11" s="283" t="s">
        <v>28</v>
      </c>
    </row>
    <row r="12" spans="8:8" ht="15.75" customHeight="1">
      <c r="A12" s="314">
        <v>12.0</v>
      </c>
      <c r="B12" s="315" t="s">
        <v>4539</v>
      </c>
      <c r="C12" s="214">
        <v>250680.0</v>
      </c>
      <c r="D12" s="315" t="s">
        <v>56</v>
      </c>
      <c r="E12" s="214" t="s">
        <v>1512</v>
      </c>
      <c r="G12" s="283">
        <v>11.0</v>
      </c>
      <c r="H12" s="317" t="s">
        <v>4015</v>
      </c>
      <c r="I12" s="283">
        <v>251399.0</v>
      </c>
      <c r="J12" s="317" t="s">
        <v>5084</v>
      </c>
      <c r="K12" s="283" t="s">
        <v>28</v>
      </c>
    </row>
    <row r="13" spans="8:8" ht="15.75" customHeight="1">
      <c r="A13" s="314">
        <v>13.0</v>
      </c>
      <c r="B13" s="315" t="s">
        <v>1552</v>
      </c>
      <c r="C13" s="214">
        <v>250887.0</v>
      </c>
      <c r="D13" s="315" t="s">
        <v>56</v>
      </c>
      <c r="E13" s="214" t="s">
        <v>1512</v>
      </c>
      <c r="G13" s="283">
        <v>12.0</v>
      </c>
      <c r="H13" s="317" t="s">
        <v>4016</v>
      </c>
      <c r="I13" s="283">
        <v>251400.0</v>
      </c>
      <c r="J13" s="317" t="s">
        <v>5084</v>
      </c>
      <c r="K13" s="283" t="s">
        <v>28</v>
      </c>
    </row>
    <row r="14" spans="8:8" ht="15.75" customHeight="1">
      <c r="A14" s="314">
        <v>14.0</v>
      </c>
      <c r="B14" s="315" t="s">
        <v>4540</v>
      </c>
      <c r="C14" s="214">
        <v>250911.0</v>
      </c>
      <c r="D14" s="315" t="s">
        <v>56</v>
      </c>
      <c r="E14" s="214" t="s">
        <v>1512</v>
      </c>
      <c r="G14" s="283">
        <v>13.0</v>
      </c>
      <c r="H14" s="317" t="s">
        <v>4018</v>
      </c>
      <c r="I14" s="283">
        <v>251405.0</v>
      </c>
      <c r="J14" s="317" t="s">
        <v>5084</v>
      </c>
      <c r="K14" s="283" t="s">
        <v>28</v>
      </c>
    </row>
    <row r="15" spans="8:8" ht="15.75" customHeight="1">
      <c r="A15" s="314">
        <v>15.0</v>
      </c>
      <c r="B15" s="315" t="s">
        <v>1643</v>
      </c>
      <c r="C15" s="214">
        <v>250917.0</v>
      </c>
      <c r="D15" s="315" t="s">
        <v>56</v>
      </c>
      <c r="E15" s="214" t="s">
        <v>1512</v>
      </c>
      <c r="G15" s="283">
        <v>14.0</v>
      </c>
      <c r="H15" s="317" t="s">
        <v>4714</v>
      </c>
      <c r="I15" s="283">
        <v>251529.0</v>
      </c>
      <c r="J15" s="317" t="s">
        <v>5084</v>
      </c>
      <c r="K15" s="283" t="s">
        <v>28</v>
      </c>
    </row>
    <row r="16" spans="8:8" ht="15.75" customHeight="1">
      <c r="A16" s="314">
        <v>16.0</v>
      </c>
      <c r="B16" s="315" t="s">
        <v>4541</v>
      </c>
      <c r="C16" s="214">
        <v>250940.0</v>
      </c>
      <c r="D16" s="315" t="s">
        <v>56</v>
      </c>
      <c r="E16" s="214" t="s">
        <v>1512</v>
      </c>
      <c r="G16" s="283">
        <v>15.0</v>
      </c>
      <c r="H16" s="317" t="s">
        <v>4019</v>
      </c>
      <c r="I16" s="283">
        <v>251531.0</v>
      </c>
      <c r="J16" s="317" t="s">
        <v>5084</v>
      </c>
      <c r="K16" s="283" t="s">
        <v>28</v>
      </c>
    </row>
    <row r="17" spans="8:8" ht="15.75" customHeight="1">
      <c r="A17" s="314">
        <v>17.0</v>
      </c>
      <c r="B17" s="315" t="s">
        <v>1562</v>
      </c>
      <c r="C17" s="214">
        <v>250927.0</v>
      </c>
      <c r="D17" s="315" t="s">
        <v>56</v>
      </c>
      <c r="E17" s="214" t="s">
        <v>1512</v>
      </c>
      <c r="G17" s="283">
        <v>16.0</v>
      </c>
      <c r="H17" s="317" t="s">
        <v>4020</v>
      </c>
      <c r="I17" s="283">
        <v>251535.0</v>
      </c>
      <c r="J17" s="317" t="s">
        <v>5084</v>
      </c>
      <c r="K17" s="283" t="s">
        <v>28</v>
      </c>
    </row>
    <row r="18" spans="8:8" ht="15.75" customHeight="1">
      <c r="A18" s="314">
        <v>18.0</v>
      </c>
      <c r="B18" s="315" t="s">
        <v>4994</v>
      </c>
      <c r="C18" s="214">
        <v>250942.0</v>
      </c>
      <c r="D18" s="315" t="s">
        <v>56</v>
      </c>
      <c r="E18" s="214" t="s">
        <v>1512</v>
      </c>
      <c r="G18" s="283">
        <v>17.0</v>
      </c>
      <c r="H18" s="317" t="s">
        <v>4715</v>
      </c>
      <c r="I18" s="283">
        <v>251538.0</v>
      </c>
      <c r="J18" s="317" t="s">
        <v>5084</v>
      </c>
      <c r="K18" s="283" t="s">
        <v>28</v>
      </c>
    </row>
    <row r="19" spans="8:8" ht="15.75" customHeight="1">
      <c r="A19" s="314">
        <v>19.0</v>
      </c>
      <c r="B19" s="315" t="s">
        <v>1534</v>
      </c>
      <c r="C19" s="214">
        <v>250957.0</v>
      </c>
      <c r="D19" s="315" t="s">
        <v>56</v>
      </c>
      <c r="E19" s="214" t="s">
        <v>1512</v>
      </c>
      <c r="G19" s="283">
        <v>18.0</v>
      </c>
      <c r="H19" s="317" t="s">
        <v>4021</v>
      </c>
      <c r="I19" s="283">
        <v>251546.0</v>
      </c>
      <c r="J19" s="317" t="s">
        <v>5084</v>
      </c>
      <c r="K19" s="283" t="s">
        <v>28</v>
      </c>
    </row>
    <row r="20" spans="8:8" ht="15.75" customHeight="1">
      <c r="A20" s="314">
        <v>20.0</v>
      </c>
      <c r="B20" s="315" t="s">
        <v>4995</v>
      </c>
      <c r="C20" s="214">
        <v>250954.0</v>
      </c>
      <c r="D20" s="315" t="s">
        <v>56</v>
      </c>
      <c r="E20" s="214" t="s">
        <v>1512</v>
      </c>
      <c r="G20" s="283">
        <v>19.0</v>
      </c>
      <c r="H20" s="317" t="s">
        <v>4022</v>
      </c>
      <c r="I20" s="283">
        <v>251590.0</v>
      </c>
      <c r="J20" s="317" t="s">
        <v>5084</v>
      </c>
      <c r="K20" s="283" t="s">
        <v>28</v>
      </c>
    </row>
    <row r="21" spans="8:8" ht="15.75" customHeight="1">
      <c r="A21" s="314">
        <v>21.0</v>
      </c>
      <c r="B21" s="315" t="s">
        <v>4996</v>
      </c>
      <c r="C21" s="214">
        <v>250962.0</v>
      </c>
      <c r="D21" s="315" t="s">
        <v>56</v>
      </c>
      <c r="E21" s="214" t="s">
        <v>1512</v>
      </c>
      <c r="G21" s="283">
        <v>20.0</v>
      </c>
      <c r="H21" s="317" t="s">
        <v>4463</v>
      </c>
      <c r="I21" s="283">
        <v>251275.0</v>
      </c>
      <c r="J21" s="317" t="s">
        <v>5084</v>
      </c>
      <c r="K21" s="283" t="s">
        <v>580</v>
      </c>
    </row>
    <row r="22" spans="8:8" ht="15.75" customHeight="1">
      <c r="A22" s="314">
        <v>22.0</v>
      </c>
      <c r="B22" s="315" t="s">
        <v>4542</v>
      </c>
      <c r="C22" s="214">
        <v>250963.0</v>
      </c>
      <c r="D22" s="315" t="s">
        <v>56</v>
      </c>
      <c r="E22" s="214" t="s">
        <v>1512</v>
      </c>
      <c r="G22" s="283">
        <v>21.0</v>
      </c>
      <c r="H22" s="317" t="s">
        <v>4739</v>
      </c>
      <c r="I22" s="283">
        <v>251325.0</v>
      </c>
      <c r="J22" s="317" t="s">
        <v>5084</v>
      </c>
      <c r="K22" s="283" t="s">
        <v>580</v>
      </c>
    </row>
    <row r="23" spans="8:8" ht="15.75" customHeight="1">
      <c r="A23" s="314">
        <v>23.0</v>
      </c>
      <c r="B23" s="315" t="s">
        <v>4543</v>
      </c>
      <c r="C23" s="214">
        <v>250978.0</v>
      </c>
      <c r="D23" s="315" t="s">
        <v>56</v>
      </c>
      <c r="E23" s="214" t="s">
        <v>1512</v>
      </c>
      <c r="G23" s="283">
        <v>22.0</v>
      </c>
      <c r="H23" s="317" t="s">
        <v>4754</v>
      </c>
      <c r="I23" s="283">
        <v>251664.0</v>
      </c>
      <c r="J23" s="317" t="s">
        <v>5084</v>
      </c>
      <c r="K23" s="283" t="s">
        <v>28</v>
      </c>
    </row>
    <row r="24" spans="8:8" ht="15.75" customHeight="1">
      <c r="A24" s="314">
        <v>24.0</v>
      </c>
      <c r="B24" s="315" t="s">
        <v>1622</v>
      </c>
      <c r="C24" s="214">
        <v>250080.0</v>
      </c>
      <c r="D24" s="315" t="s">
        <v>27</v>
      </c>
      <c r="E24" s="214" t="s">
        <v>1512</v>
      </c>
      <c r="G24" s="283">
        <v>23.0</v>
      </c>
      <c r="H24" s="317" t="s">
        <v>4956</v>
      </c>
      <c r="I24" s="283">
        <v>251674.0</v>
      </c>
      <c r="J24" s="317" t="s">
        <v>5084</v>
      </c>
      <c r="K24" s="283" t="s">
        <v>28</v>
      </c>
    </row>
    <row r="25" spans="8:8" ht="15.75" customHeight="1">
      <c r="A25" s="314">
        <v>25.0</v>
      </c>
      <c r="B25" s="315" t="s">
        <v>1623</v>
      </c>
      <c r="C25" s="214">
        <v>250084.0</v>
      </c>
      <c r="D25" s="315" t="s">
        <v>27</v>
      </c>
      <c r="E25" s="214" t="s">
        <v>1512</v>
      </c>
      <c r="G25" s="283">
        <v>24.0</v>
      </c>
      <c r="H25" s="317" t="s">
        <v>4756</v>
      </c>
      <c r="I25" s="283">
        <v>251752.0</v>
      </c>
      <c r="J25" s="317" t="s">
        <v>5084</v>
      </c>
      <c r="K25" s="283" t="s">
        <v>28</v>
      </c>
    </row>
    <row r="26" spans="8:8" ht="15.75" customHeight="1">
      <c r="A26" s="314">
        <v>26.0</v>
      </c>
      <c r="B26" s="315" t="s">
        <v>4987</v>
      </c>
      <c r="C26" s="214">
        <v>250261.0</v>
      </c>
      <c r="D26" s="315" t="s">
        <v>27</v>
      </c>
      <c r="E26" s="214" t="s">
        <v>1512</v>
      </c>
      <c r="G26" s="283">
        <v>25.0</v>
      </c>
      <c r="H26" s="317" t="s">
        <v>4499</v>
      </c>
      <c r="I26" s="283">
        <v>252975.0</v>
      </c>
      <c r="J26" s="317" t="s">
        <v>5084</v>
      </c>
      <c r="K26" s="283" t="s">
        <v>28</v>
      </c>
    </row>
    <row r="27" spans="8:8" ht="15.75" customHeight="1">
      <c r="G27" s="283">
        <v>26.0</v>
      </c>
      <c r="H27" s="317" t="s">
        <v>4401</v>
      </c>
      <c r="I27" s="283">
        <v>251561.0</v>
      </c>
      <c r="J27" s="317" t="s">
        <v>5084</v>
      </c>
      <c r="K27" s="283" t="s">
        <v>28</v>
      </c>
    </row>
    <row r="28" spans="8:8" ht="15.75" customHeight="1">
      <c r="G28" s="283">
        <v>27.0</v>
      </c>
      <c r="H28" s="317" t="s">
        <v>4402</v>
      </c>
      <c r="I28" s="283">
        <v>251442.0</v>
      </c>
      <c r="J28" s="317" t="s">
        <v>5084</v>
      </c>
      <c r="K28" s="283" t="s">
        <v>28</v>
      </c>
    </row>
    <row r="29" spans="8:8" ht="15.75" customHeight="1">
      <c r="G29" s="283">
        <v>28.0</v>
      </c>
      <c r="H29" s="317" t="s">
        <v>4410</v>
      </c>
      <c r="I29" s="283">
        <v>251486.0</v>
      </c>
      <c r="J29" s="317" t="s">
        <v>5084</v>
      </c>
      <c r="K29" s="283" t="s">
        <v>28</v>
      </c>
    </row>
    <row r="30" spans="8:8" ht="15.75" customHeight="1">
      <c r="G30" s="283">
        <v>29.0</v>
      </c>
      <c r="H30" s="317" t="s">
        <v>4403</v>
      </c>
      <c r="I30" s="283">
        <v>251491.0</v>
      </c>
      <c r="J30" s="317" t="s">
        <v>5084</v>
      </c>
      <c r="K30" s="283" t="s">
        <v>28</v>
      </c>
    </row>
    <row r="31" spans="8:8" ht="15.75" customHeight="1">
      <c r="G31" s="283">
        <v>30.0</v>
      </c>
      <c r="H31" s="317" t="s">
        <v>4757</v>
      </c>
      <c r="I31" s="283">
        <v>251495.0</v>
      </c>
      <c r="J31" s="317" t="s">
        <v>5084</v>
      </c>
      <c r="K31" s="283" t="s">
        <v>28</v>
      </c>
    </row>
    <row r="32" spans="8:8" ht="15.75" customHeight="1">
      <c r="G32" s="283">
        <v>31.0</v>
      </c>
      <c r="H32" s="317" t="s">
        <v>4406</v>
      </c>
      <c r="I32" s="283">
        <v>251474.0</v>
      </c>
      <c r="J32" s="317" t="s">
        <v>5084</v>
      </c>
      <c r="K32" s="283" t="s">
        <v>28</v>
      </c>
    </row>
    <row r="33" spans="8:8" ht="15.75" customHeight="1">
      <c r="G33" s="283">
        <v>32.0</v>
      </c>
      <c r="H33" s="317" t="s">
        <v>4405</v>
      </c>
      <c r="I33" s="283">
        <v>251639.0</v>
      </c>
      <c r="J33" s="317" t="s">
        <v>5084</v>
      </c>
      <c r="K33" s="283" t="s">
        <v>28</v>
      </c>
    </row>
    <row r="34" spans="8:8" ht="15.75" customHeight="1">
      <c r="G34" s="283">
        <v>33.0</v>
      </c>
      <c r="H34" s="317" t="s">
        <v>4407</v>
      </c>
      <c r="I34" s="283">
        <v>251493.0</v>
      </c>
      <c r="J34" s="317" t="s">
        <v>5084</v>
      </c>
      <c r="K34" s="283" t="s">
        <v>28</v>
      </c>
    </row>
    <row r="35" spans="8:8" ht="15.75" customHeight="1">
      <c r="G35" s="283">
        <v>34.0</v>
      </c>
      <c r="H35" s="317" t="s">
        <v>4504</v>
      </c>
      <c r="I35" s="283">
        <v>251494.0</v>
      </c>
      <c r="J35" s="317" t="s">
        <v>5084</v>
      </c>
      <c r="K35" s="283" t="s">
        <v>28</v>
      </c>
    </row>
    <row r="36" spans="8:8" ht="15.75" customHeight="1">
      <c r="G36" s="283">
        <v>35.0</v>
      </c>
      <c r="H36" s="317" t="s">
        <v>4413</v>
      </c>
      <c r="I36" s="283">
        <v>251662.0</v>
      </c>
      <c r="J36" s="317" t="s">
        <v>5084</v>
      </c>
      <c r="K36" s="283" t="s">
        <v>28</v>
      </c>
    </row>
    <row r="37" spans="8:8" ht="15.75" customHeight="1">
      <c r="G37" s="283">
        <v>36.0</v>
      </c>
      <c r="H37" s="317" t="s">
        <v>4409</v>
      </c>
      <c r="I37" s="283">
        <v>251669.0</v>
      </c>
      <c r="J37" s="317" t="s">
        <v>5084</v>
      </c>
      <c r="K37" s="283" t="s">
        <v>28</v>
      </c>
    </row>
    <row r="38" spans="8:8" ht="15.75" customHeight="1">
      <c r="G38" s="283">
        <v>37.0</v>
      </c>
      <c r="H38" s="317" t="s">
        <v>4414</v>
      </c>
      <c r="I38" s="283">
        <v>251672.0</v>
      </c>
      <c r="J38" s="317" t="s">
        <v>5084</v>
      </c>
      <c r="K38" s="283" t="s">
        <v>28</v>
      </c>
    </row>
    <row r="39" spans="8:8" ht="15.75" customHeight="1">
      <c r="G39" s="283">
        <v>39.0</v>
      </c>
      <c r="H39" s="317" t="s">
        <v>4423</v>
      </c>
      <c r="I39" s="283">
        <v>251785.0</v>
      </c>
      <c r="J39" s="317" t="s">
        <v>5084</v>
      </c>
      <c r="K39" s="283" t="s">
        <v>111</v>
      </c>
    </row>
    <row r="40" spans="8:8" ht="15.75" customHeight="1">
      <c r="G40" s="283">
        <v>40.0</v>
      </c>
      <c r="H40" s="317" t="s">
        <v>4965</v>
      </c>
      <c r="I40" s="283">
        <v>251792.0</v>
      </c>
      <c r="J40" s="317" t="s">
        <v>5084</v>
      </c>
      <c r="K40" s="283" t="s">
        <v>111</v>
      </c>
    </row>
    <row r="41" spans="8:8" ht="15.75" customHeight="1">
      <c r="G41" s="283">
        <v>41.0</v>
      </c>
      <c r="H41" s="317" t="s">
        <v>4772</v>
      </c>
      <c r="I41" s="283">
        <v>251500.0</v>
      </c>
      <c r="J41" s="317" t="s">
        <v>5084</v>
      </c>
      <c r="K41" s="283" t="s">
        <v>111</v>
      </c>
    </row>
    <row r="42" spans="8:8" ht="15.75" customHeight="1">
      <c r="G42" s="283">
        <v>42.0</v>
      </c>
      <c r="H42" s="317" t="s">
        <v>4448</v>
      </c>
      <c r="I42" s="283">
        <v>251629.0</v>
      </c>
      <c r="J42" s="317" t="s">
        <v>5084</v>
      </c>
      <c r="K42" s="283" t="s">
        <v>580</v>
      </c>
    </row>
    <row r="43" spans="8:8" ht="15.75" customHeight="1">
      <c r="G43" s="283">
        <v>43.0</v>
      </c>
      <c r="H43" s="317" t="s">
        <v>4912</v>
      </c>
      <c r="I43" s="283">
        <v>251791.0</v>
      </c>
      <c r="J43" s="317" t="s">
        <v>5084</v>
      </c>
      <c r="K43" s="283" t="s">
        <v>580</v>
      </c>
    </row>
    <row r="44" spans="8:8" ht="15.75" customHeight="1">
      <c r="G44" s="283">
        <v>44.0</v>
      </c>
      <c r="H44" s="317" t="s">
        <v>4471</v>
      </c>
      <c r="I44" s="283">
        <v>251475.0</v>
      </c>
      <c r="J44" s="317" t="s">
        <v>5084</v>
      </c>
      <c r="K44" s="283" t="s">
        <v>781</v>
      </c>
    </row>
    <row r="45" spans="8:8" ht="15.75" customHeight="1">
      <c r="G45" s="283">
        <v>45.0</v>
      </c>
      <c r="H45" s="317" t="s">
        <v>4892</v>
      </c>
      <c r="I45" s="283">
        <v>252876.0</v>
      </c>
      <c r="J45" s="318" t="s">
        <v>5085</v>
      </c>
      <c r="K45" s="283" t="s">
        <v>28</v>
      </c>
    </row>
    <row r="46" spans="8:8" ht="15.75" customHeight="1">
      <c r="G46" s="283">
        <v>46.0</v>
      </c>
      <c r="H46" s="317" t="s">
        <v>4895</v>
      </c>
      <c r="I46" s="283">
        <v>252044.0</v>
      </c>
      <c r="J46" s="318" t="s">
        <v>5085</v>
      </c>
      <c r="K46" s="283" t="s">
        <v>28</v>
      </c>
    </row>
    <row r="47" spans="8:8" ht="15.75" customHeight="1">
      <c r="G47" s="283">
        <v>47.0</v>
      </c>
      <c r="H47" s="317" t="s">
        <v>1865</v>
      </c>
      <c r="I47" s="283">
        <v>252120.0</v>
      </c>
      <c r="J47" s="318" t="s">
        <v>5085</v>
      </c>
      <c r="K47" s="283" t="s">
        <v>28</v>
      </c>
    </row>
    <row r="48" spans="8:8" ht="15.75" customHeight="1">
      <c r="G48" s="283">
        <v>48.0</v>
      </c>
      <c r="H48" s="317" t="s">
        <v>4758</v>
      </c>
      <c r="I48" s="283">
        <v>252154.0</v>
      </c>
      <c r="J48" s="318" t="s">
        <v>5085</v>
      </c>
      <c r="K48" s="283" t="s">
        <v>28</v>
      </c>
    </row>
    <row r="49" spans="8:8" ht="15.75" customHeight="1">
      <c r="G49" s="283">
        <v>49.0</v>
      </c>
      <c r="H49" s="317" t="s">
        <v>2916</v>
      </c>
      <c r="I49" s="283">
        <v>252884.0</v>
      </c>
      <c r="J49" s="318" t="s">
        <v>5085</v>
      </c>
      <c r="K49" s="283" t="s">
        <v>28</v>
      </c>
    </row>
    <row r="50" spans="8:8" ht="15.75" customHeight="1">
      <c r="G50" s="283">
        <v>50.0</v>
      </c>
      <c r="H50" s="317" t="s">
        <v>4759</v>
      </c>
      <c r="I50" s="283">
        <v>251833.0</v>
      </c>
      <c r="J50" s="318" t="s">
        <v>5085</v>
      </c>
      <c r="K50" s="283" t="s">
        <v>28</v>
      </c>
    </row>
    <row r="51" spans="8:8" ht="15.75" customHeight="1">
      <c r="G51" s="283">
        <v>51.0</v>
      </c>
      <c r="H51" s="317" t="s">
        <v>4415</v>
      </c>
      <c r="I51" s="283">
        <v>252936.0</v>
      </c>
      <c r="J51" s="318" t="s">
        <v>5085</v>
      </c>
      <c r="K51" s="283" t="s">
        <v>28</v>
      </c>
    </row>
    <row r="52" spans="8:8" ht="15.75" customHeight="1">
      <c r="G52" s="283">
        <v>52.0</v>
      </c>
      <c r="H52" s="317" t="s">
        <v>5025</v>
      </c>
      <c r="I52" s="283">
        <v>253167.0</v>
      </c>
      <c r="J52" s="318" t="s">
        <v>5085</v>
      </c>
      <c r="K52" s="283" t="s">
        <v>28</v>
      </c>
    </row>
    <row r="53" spans="8:8" ht="15.75" customHeight="1">
      <c r="G53" s="283">
        <v>53.0</v>
      </c>
      <c r="H53" s="317" t="s">
        <v>2919</v>
      </c>
      <c r="I53" s="283">
        <v>252961.0</v>
      </c>
      <c r="J53" s="318" t="s">
        <v>5085</v>
      </c>
      <c r="K53" s="283" t="s">
        <v>28</v>
      </c>
    </row>
    <row r="54" spans="8:8" ht="15.75" customHeight="1">
      <c r="G54" s="283">
        <v>54.0</v>
      </c>
      <c r="H54" s="317" t="s">
        <v>2913</v>
      </c>
      <c r="I54" s="283">
        <v>252347.0</v>
      </c>
      <c r="J54" s="318" t="s">
        <v>5085</v>
      </c>
      <c r="K54" s="283" t="s">
        <v>28</v>
      </c>
    </row>
    <row r="55" spans="8:8" ht="15.75" customHeight="1">
      <c r="G55" s="283">
        <v>55.0</v>
      </c>
      <c r="H55" s="317" t="s">
        <v>5026</v>
      </c>
      <c r="I55" s="283">
        <v>252348.0</v>
      </c>
      <c r="J55" s="318" t="s">
        <v>5085</v>
      </c>
      <c r="K55" s="283" t="s">
        <v>28</v>
      </c>
    </row>
    <row r="56" spans="8:8" ht="15.75" customHeight="1">
      <c r="G56" s="283">
        <v>56.0</v>
      </c>
      <c r="H56" s="317" t="s">
        <v>3207</v>
      </c>
      <c r="I56" s="283">
        <v>252471.0</v>
      </c>
      <c r="J56" s="318" t="s">
        <v>5085</v>
      </c>
      <c r="K56" s="283" t="s">
        <v>28</v>
      </c>
    </row>
    <row r="57" spans="8:8" ht="15.75" customHeight="1">
      <c r="G57" s="283">
        <v>57.0</v>
      </c>
      <c r="H57" s="317" t="s">
        <v>3208</v>
      </c>
      <c r="I57" s="283">
        <v>252444.0</v>
      </c>
      <c r="J57" s="318" t="s">
        <v>5085</v>
      </c>
      <c r="K57" s="283" t="s">
        <v>28</v>
      </c>
    </row>
    <row r="58" spans="8:8" ht="15.75" customHeight="1">
      <c r="G58" s="283">
        <v>58.0</v>
      </c>
      <c r="H58" s="317" t="s">
        <v>2489</v>
      </c>
      <c r="I58" s="283">
        <v>252089.0</v>
      </c>
      <c r="J58" s="318" t="s">
        <v>5085</v>
      </c>
      <c r="K58" s="283" t="s">
        <v>28</v>
      </c>
    </row>
    <row r="59" spans="8:8" ht="15.75" customHeight="1">
      <c r="G59" s="283">
        <v>59.0</v>
      </c>
      <c r="H59" s="317" t="s">
        <v>4615</v>
      </c>
      <c r="I59" s="283">
        <v>252002.0</v>
      </c>
      <c r="J59" s="318" t="s">
        <v>5085</v>
      </c>
      <c r="K59" s="283" t="s">
        <v>28</v>
      </c>
    </row>
    <row r="60" spans="8:8" ht="15.75" customHeight="1">
      <c r="G60" s="283">
        <v>60.0</v>
      </c>
      <c r="H60" s="317" t="s">
        <v>4617</v>
      </c>
      <c r="I60" s="283">
        <v>251936.0</v>
      </c>
      <c r="J60" s="318" t="s">
        <v>5085</v>
      </c>
      <c r="K60" s="283" t="s">
        <v>28</v>
      </c>
    </row>
    <row r="61" spans="8:8" ht="15.75" customHeight="1">
      <c r="G61" s="283">
        <v>61.0</v>
      </c>
      <c r="H61" s="317" t="s">
        <v>4419</v>
      </c>
      <c r="I61" s="283">
        <v>253066.0</v>
      </c>
      <c r="J61" s="318" t="s">
        <v>5085</v>
      </c>
      <c r="K61" s="283" t="s">
        <v>28</v>
      </c>
    </row>
    <row r="62" spans="8:8" ht="15.75" customHeight="1">
      <c r="G62" s="283">
        <v>62.0</v>
      </c>
      <c r="H62" s="317" t="s">
        <v>4507</v>
      </c>
      <c r="I62" s="283">
        <v>253063.0</v>
      </c>
      <c r="J62" s="318" t="s">
        <v>5085</v>
      </c>
      <c r="K62" s="283" t="s">
        <v>28</v>
      </c>
    </row>
    <row r="63" spans="8:8" ht="15.75" customHeight="1">
      <c r="G63" s="283">
        <v>63.0</v>
      </c>
      <c r="H63" s="317" t="s">
        <v>5046</v>
      </c>
      <c r="I63" s="283">
        <v>252472.0</v>
      </c>
      <c r="J63" s="318" t="s">
        <v>5085</v>
      </c>
      <c r="K63" s="283" t="s">
        <v>28</v>
      </c>
    </row>
    <row r="64" spans="8:8" ht="15.75" customHeight="1">
      <c r="G64" s="283">
        <v>64.0</v>
      </c>
      <c r="H64" s="317" t="s">
        <v>5047</v>
      </c>
      <c r="I64" s="283">
        <v>252464.0</v>
      </c>
      <c r="J64" s="318" t="s">
        <v>5085</v>
      </c>
      <c r="K64" s="283" t="s">
        <v>28</v>
      </c>
    </row>
    <row r="65" spans="8:8" ht="15.75" customHeight="1">
      <c r="G65" s="283">
        <v>65.0</v>
      </c>
      <c r="H65" s="317" t="s">
        <v>4694</v>
      </c>
      <c r="I65" s="283">
        <v>252461.0</v>
      </c>
      <c r="J65" s="318" t="s">
        <v>5085</v>
      </c>
      <c r="K65" s="283" t="s">
        <v>28</v>
      </c>
    </row>
    <row r="66" spans="8:8" ht="15.75" customHeight="1">
      <c r="G66" s="283">
        <v>66.0</v>
      </c>
      <c r="H66" s="317" t="s">
        <v>5048</v>
      </c>
      <c r="I66" s="283">
        <v>251962.0</v>
      </c>
      <c r="J66" s="318" t="s">
        <v>5085</v>
      </c>
      <c r="K66" s="283" t="s">
        <v>28</v>
      </c>
    </row>
    <row r="67" spans="8:8" ht="15.75" customHeight="1">
      <c r="G67" s="283">
        <v>67.0</v>
      </c>
      <c r="H67" s="317" t="s">
        <v>3438</v>
      </c>
      <c r="I67" s="283">
        <v>252358.0</v>
      </c>
      <c r="J67" s="318" t="s">
        <v>5085</v>
      </c>
      <c r="K67" s="283" t="s">
        <v>111</v>
      </c>
    </row>
    <row r="68" spans="8:8" ht="15.75" customHeight="1">
      <c r="G68" s="283">
        <v>68.0</v>
      </c>
      <c r="H68" s="317" t="s">
        <v>4698</v>
      </c>
      <c r="I68" s="283">
        <v>241902.0</v>
      </c>
      <c r="J68" s="317" t="s">
        <v>5086</v>
      </c>
      <c r="K68" s="283" t="s">
        <v>111</v>
      </c>
    </row>
    <row r="69" spans="8:8" ht="15.75" customHeight="1">
      <c r="G69" s="283">
        <v>69.0</v>
      </c>
      <c r="H69" s="317" t="s">
        <v>3439</v>
      </c>
      <c r="I69" s="283">
        <v>252451.0</v>
      </c>
      <c r="J69" s="318" t="s">
        <v>5085</v>
      </c>
      <c r="K69" s="283" t="s">
        <v>111</v>
      </c>
    </row>
    <row r="70" spans="8:8" ht="15.75" customHeight="1">
      <c r="G70" s="283">
        <v>70.0</v>
      </c>
      <c r="H70" s="317" t="s">
        <v>4734</v>
      </c>
      <c r="I70" s="283">
        <v>252327.0</v>
      </c>
      <c r="J70" s="318" t="s">
        <v>5085</v>
      </c>
      <c r="K70" s="283" t="s">
        <v>111</v>
      </c>
    </row>
    <row r="71" spans="8:8" ht="15.75" customHeight="1">
      <c r="G71" s="283">
        <v>71.0</v>
      </c>
      <c r="H71" s="317" t="s">
        <v>2945</v>
      </c>
      <c r="I71" s="283">
        <v>252370.0</v>
      </c>
      <c r="J71" s="318" t="s">
        <v>5085</v>
      </c>
      <c r="K71" s="283" t="s">
        <v>580</v>
      </c>
    </row>
    <row r="72" spans="8:8" ht="15.75" customHeight="1">
      <c r="G72" s="283">
        <v>72.0</v>
      </c>
      <c r="H72" s="317" t="s">
        <v>5054</v>
      </c>
      <c r="I72" s="283">
        <v>252414.0</v>
      </c>
      <c r="J72" s="318" t="s">
        <v>5085</v>
      </c>
      <c r="K72" s="283" t="s">
        <v>580</v>
      </c>
    </row>
    <row r="73" spans="8:8" ht="15.75" customHeight="1">
      <c r="G73" s="283">
        <v>73.0</v>
      </c>
      <c r="H73" s="317" t="s">
        <v>4665</v>
      </c>
      <c r="I73" s="283">
        <v>241432.0</v>
      </c>
      <c r="J73" s="317" t="s">
        <v>5086</v>
      </c>
      <c r="K73" s="283" t="s">
        <v>580</v>
      </c>
    </row>
    <row r="74" spans="8:8" ht="15.75" customHeight="1">
      <c r="G74" s="283">
        <v>75.0</v>
      </c>
      <c r="H74" s="317" t="s">
        <v>4484</v>
      </c>
      <c r="I74" s="283">
        <v>253009.0</v>
      </c>
      <c r="J74" s="318" t="s">
        <v>5085</v>
      </c>
      <c r="K74" s="283" t="s">
        <v>781</v>
      </c>
    </row>
    <row r="75" spans="8:8" ht="15.75" customHeight="1">
      <c r="G75" s="283">
        <v>76.0</v>
      </c>
      <c r="H75" s="317" t="s">
        <v>4605</v>
      </c>
      <c r="I75" s="283">
        <v>252207.0</v>
      </c>
      <c r="J75" s="318" t="s">
        <v>5085</v>
      </c>
      <c r="K75" s="283" t="s">
        <v>28</v>
      </c>
    </row>
    <row r="76" spans="8:8" ht="15.75" customHeight="1">
      <c r="G76" s="283">
        <v>77.0</v>
      </c>
      <c r="H76" s="317" t="s">
        <v>2893</v>
      </c>
      <c r="I76" s="283">
        <v>251957.0</v>
      </c>
      <c r="J76" s="318" t="s">
        <v>5085</v>
      </c>
      <c r="K76" s="283" t="s">
        <v>28</v>
      </c>
    </row>
    <row r="77" spans="8:8" ht="15.75" customHeight="1">
      <c r="G77" s="283">
        <v>78.0</v>
      </c>
      <c r="H77" s="317" t="s">
        <v>4658</v>
      </c>
      <c r="I77" s="283">
        <v>252958.0</v>
      </c>
      <c r="J77" s="318" t="s">
        <v>5085</v>
      </c>
      <c r="K77" s="283" t="s">
        <v>580</v>
      </c>
    </row>
    <row r="78" spans="8:8" ht="15.75" customHeight="1">
      <c r="G78" s="283">
        <v>79.0</v>
      </c>
      <c r="H78" s="317" t="s">
        <v>4661</v>
      </c>
      <c r="I78" s="283">
        <v>251932.0</v>
      </c>
      <c r="J78" s="318" t="s">
        <v>5085</v>
      </c>
      <c r="K78" s="283" t="s">
        <v>580</v>
      </c>
    </row>
    <row r="79" spans="8:8" ht="15.75" customHeight="1">
      <c r="G79" s="283">
        <v>80.0</v>
      </c>
      <c r="H79" s="317" t="s">
        <v>4673</v>
      </c>
      <c r="I79" s="283">
        <v>251885.0</v>
      </c>
      <c r="J79" s="318" t="s">
        <v>5085</v>
      </c>
      <c r="K79" s="283" t="s">
        <v>28</v>
      </c>
    </row>
    <row r="80" spans="8:8" ht="15.75" customHeight="1">
      <c r="G80" s="283">
        <v>81.0</v>
      </c>
      <c r="H80" s="317" t="s">
        <v>4889</v>
      </c>
      <c r="I80" s="283">
        <v>252425.0</v>
      </c>
      <c r="J80" s="318" t="s">
        <v>5085</v>
      </c>
      <c r="K80" s="283" t="s">
        <v>28</v>
      </c>
    </row>
    <row r="81" spans="8:8" ht="15.75" customHeight="1">
      <c r="G81" s="283">
        <v>82.0</v>
      </c>
      <c r="H81" s="317" t="s">
        <v>1542</v>
      </c>
      <c r="I81" s="283">
        <v>241616.0</v>
      </c>
      <c r="J81" s="317" t="s">
        <v>5086</v>
      </c>
      <c r="K81" s="283" t="s">
        <v>28</v>
      </c>
    </row>
    <row r="82" spans="8:8" ht="15.75" customHeight="1">
      <c r="G82" s="283">
        <v>83.0</v>
      </c>
      <c r="H82" s="317" t="s">
        <v>4720</v>
      </c>
      <c r="I82" s="283">
        <v>241900.0</v>
      </c>
      <c r="J82" s="317" t="s">
        <v>5086</v>
      </c>
      <c r="K82" s="283" t="s">
        <v>28</v>
      </c>
    </row>
    <row r="83" spans="8:8" ht="15.75" customHeight="1">
      <c r="G83" s="283">
        <v>84.0</v>
      </c>
      <c r="H83" s="317" t="s">
        <v>4432</v>
      </c>
      <c r="I83" s="283">
        <v>241870.0</v>
      </c>
      <c r="J83" s="317" t="s">
        <v>5086</v>
      </c>
      <c r="K83" s="283" t="s">
        <v>111</v>
      </c>
    </row>
    <row r="84" spans="8:8" ht="15.75" customHeight="1">
      <c r="G84" s="283">
        <v>85.0</v>
      </c>
      <c r="H84" s="317" t="s">
        <v>4433</v>
      </c>
      <c r="I84" s="283">
        <v>241299.0</v>
      </c>
      <c r="J84" s="317" t="s">
        <v>5086</v>
      </c>
      <c r="K84" s="283" t="s">
        <v>111</v>
      </c>
    </row>
    <row r="85" spans="8:8" ht="15.75" customHeight="1">
      <c r="G85" s="283">
        <v>86.0</v>
      </c>
      <c r="H85" s="317" t="s">
        <v>4434</v>
      </c>
      <c r="I85" s="283">
        <v>241874.0</v>
      </c>
      <c r="J85" s="317" t="s">
        <v>5086</v>
      </c>
      <c r="K85" s="283" t="s">
        <v>111</v>
      </c>
    </row>
    <row r="86" spans="8:8" ht="15.75" customHeight="1">
      <c r="G86" s="283">
        <v>87.0</v>
      </c>
      <c r="H86" s="317" t="s">
        <v>4731</v>
      </c>
      <c r="I86" s="283">
        <v>241377.0</v>
      </c>
      <c r="J86" s="317" t="s">
        <v>5086</v>
      </c>
      <c r="K86" s="283" t="s">
        <v>111</v>
      </c>
    </row>
    <row r="87" spans="8:8" ht="15.75" customHeight="1">
      <c r="G87" s="283">
        <v>88.0</v>
      </c>
      <c r="H87" s="317" t="s">
        <v>4464</v>
      </c>
      <c r="I87" s="283">
        <v>241826.0</v>
      </c>
      <c r="J87" s="317" t="s">
        <v>5086</v>
      </c>
      <c r="K87" s="283" t="s">
        <v>580</v>
      </c>
    </row>
    <row r="88" spans="8:8" ht="15.75" customHeight="1">
      <c r="G88" s="283">
        <v>89.0</v>
      </c>
      <c r="H88" s="317" t="s">
        <v>4465</v>
      </c>
      <c r="I88" s="283">
        <v>241305.0</v>
      </c>
      <c r="J88" s="317" t="s">
        <v>5086</v>
      </c>
      <c r="K88" s="283" t="s">
        <v>580</v>
      </c>
    </row>
    <row r="89" spans="8:8" ht="15.75" customHeight="1">
      <c r="G89" s="283">
        <v>90.0</v>
      </c>
      <c r="H89" s="317" t="s">
        <v>4466</v>
      </c>
      <c r="I89" s="283">
        <v>241415.0</v>
      </c>
      <c r="J89" s="317" t="s">
        <v>5086</v>
      </c>
      <c r="K89" s="283" t="s">
        <v>580</v>
      </c>
    </row>
    <row r="90" spans="8:8" ht="15.75" customHeight="1">
      <c r="G90" s="283">
        <v>91.0</v>
      </c>
      <c r="H90" s="317" t="s">
        <v>4467</v>
      </c>
      <c r="I90" s="283">
        <v>241423.0</v>
      </c>
      <c r="J90" s="317" t="s">
        <v>5086</v>
      </c>
      <c r="K90" s="283" t="s">
        <v>580</v>
      </c>
    </row>
    <row r="91" spans="8:8" ht="15.75" customHeight="1">
      <c r="G91" s="283">
        <v>92.0</v>
      </c>
      <c r="H91" s="317" t="s">
        <v>4468</v>
      </c>
      <c r="I91" s="283">
        <v>241424.0</v>
      </c>
      <c r="J91" s="317" t="s">
        <v>5086</v>
      </c>
      <c r="K91" s="283" t="s">
        <v>580</v>
      </c>
    </row>
    <row r="92" spans="8:8" ht="15.75" customHeight="1">
      <c r="G92" s="283">
        <v>93.0</v>
      </c>
      <c r="H92" s="317" t="s">
        <v>4469</v>
      </c>
      <c r="I92" s="283">
        <v>241369.0</v>
      </c>
      <c r="J92" s="317" t="s">
        <v>5086</v>
      </c>
      <c r="K92" s="283" t="s">
        <v>580</v>
      </c>
    </row>
    <row r="93" spans="8:8" ht="15.75" customHeight="1">
      <c r="G93" s="283">
        <v>94.0</v>
      </c>
      <c r="H93" s="317" t="s">
        <v>4478</v>
      </c>
      <c r="I93" s="283">
        <v>241659.0</v>
      </c>
      <c r="J93" s="317" t="s">
        <v>5086</v>
      </c>
      <c r="K93" s="283" t="s">
        <v>781</v>
      </c>
    </row>
    <row r="94" spans="8:8" ht="15.75" customHeight="1">
      <c r="G94" s="283">
        <v>96.0</v>
      </c>
      <c r="H94" s="317" t="s">
        <v>4479</v>
      </c>
      <c r="I94" s="283">
        <v>241899.0</v>
      </c>
      <c r="J94" s="317" t="s">
        <v>5086</v>
      </c>
      <c r="K94" s="283" t="s">
        <v>781</v>
      </c>
    </row>
    <row r="95" spans="8:8" ht="15.75" customHeight="1">
      <c r="G95" s="283">
        <v>97.0</v>
      </c>
      <c r="H95" s="317" t="s">
        <v>4480</v>
      </c>
      <c r="I95" s="283">
        <v>241390.0</v>
      </c>
      <c r="J95" s="317" t="s">
        <v>5086</v>
      </c>
      <c r="K95" s="283" t="s">
        <v>781</v>
      </c>
    </row>
    <row r="96" spans="8:8" ht="15.75" customHeight="1">
      <c r="G96" s="283">
        <v>98.0</v>
      </c>
      <c r="H96" s="317" t="s">
        <v>4408</v>
      </c>
      <c r="I96" s="283">
        <v>241281.0</v>
      </c>
      <c r="J96" s="317" t="s">
        <v>5086</v>
      </c>
      <c r="K96" s="283" t="s">
        <v>28</v>
      </c>
    </row>
    <row r="97" spans="8:8" ht="15.75" customHeight="1">
      <c r="G97" s="283">
        <v>99.0</v>
      </c>
      <c r="H97" s="317" t="s">
        <v>4411</v>
      </c>
      <c r="I97" s="283">
        <v>241272.0</v>
      </c>
      <c r="J97" s="317" t="s">
        <v>5086</v>
      </c>
      <c r="K97" s="283" t="s">
        <v>28</v>
      </c>
    </row>
    <row r="98" spans="8:8" ht="15.75" customHeight="1">
      <c r="G98" s="283">
        <v>100.0</v>
      </c>
      <c r="H98" s="317" t="s">
        <v>4547</v>
      </c>
      <c r="I98" s="283">
        <v>241256.0</v>
      </c>
      <c r="J98" s="317" t="s">
        <v>5086</v>
      </c>
      <c r="K98" s="283" t="s">
        <v>28</v>
      </c>
    </row>
    <row r="99" spans="8:8" ht="15.75" customHeight="1">
      <c r="G99" s="283">
        <v>101.0</v>
      </c>
      <c r="H99" s="317" t="s">
        <v>4404</v>
      </c>
      <c r="I99" s="283">
        <v>241951.0</v>
      </c>
      <c r="J99" s="317" t="s">
        <v>5086</v>
      </c>
      <c r="K99" s="283" t="s">
        <v>28</v>
      </c>
    </row>
    <row r="100" spans="8:8" ht="15.75" customHeight="1">
      <c r="G100" s="283">
        <v>102.0</v>
      </c>
      <c r="H100" s="317" t="s">
        <v>4770</v>
      </c>
      <c r="I100" s="283">
        <v>252046.0</v>
      </c>
      <c r="J100" s="318" t="s">
        <v>5085</v>
      </c>
      <c r="K100" s="283" t="s">
        <v>111</v>
      </c>
    </row>
    <row r="101" spans="8:8" ht="15.75" customHeight="1">
      <c r="G101" s="283">
        <v>103.0</v>
      </c>
      <c r="H101" s="317" t="s">
        <v>4771</v>
      </c>
      <c r="I101" s="283">
        <v>241495.0</v>
      </c>
      <c r="J101" s="317" t="s">
        <v>5086</v>
      </c>
      <c r="K101" s="283" t="s">
        <v>111</v>
      </c>
    </row>
    <row r="102" spans="8:8" ht="15.75" customHeight="1">
      <c r="G102" s="283">
        <v>104.0</v>
      </c>
      <c r="H102" s="317" t="s">
        <v>4424</v>
      </c>
      <c r="I102" s="283">
        <v>241550.0</v>
      </c>
      <c r="J102" s="317" t="s">
        <v>5086</v>
      </c>
      <c r="K102" s="283" t="s">
        <v>111</v>
      </c>
    </row>
    <row r="103" spans="8:8" ht="15.75" customHeight="1">
      <c r="G103" s="283">
        <v>105.0</v>
      </c>
      <c r="H103" s="317" t="s">
        <v>4969</v>
      </c>
      <c r="I103" s="283">
        <v>241954.0</v>
      </c>
      <c r="J103" s="317" t="s">
        <v>5086</v>
      </c>
      <c r="K103" s="283" t="s">
        <v>111</v>
      </c>
    </row>
    <row r="104" spans="8:8" ht="15.75" customHeight="1">
      <c r="G104" s="283">
        <v>106.0</v>
      </c>
      <c r="H104" s="317" t="s">
        <v>4527</v>
      </c>
      <c r="I104" s="283">
        <v>241181.0</v>
      </c>
      <c r="J104" s="317" t="s">
        <v>5086</v>
      </c>
      <c r="K104" s="283" t="s">
        <v>580</v>
      </c>
    </row>
    <row r="105" spans="8:8" ht="15.75" customHeight="1">
      <c r="G105" s="283">
        <v>107.0</v>
      </c>
      <c r="H105" s="317" t="s">
        <v>4449</v>
      </c>
      <c r="I105" s="283">
        <v>241534.0</v>
      </c>
      <c r="J105" s="317" t="s">
        <v>5086</v>
      </c>
      <c r="K105" s="283" t="s">
        <v>580</v>
      </c>
    </row>
    <row r="106" spans="8:8" ht="15.75" customHeight="1">
      <c r="G106" s="283">
        <v>108.0</v>
      </c>
      <c r="H106" s="317" t="s">
        <v>4450</v>
      </c>
      <c r="I106" s="283">
        <v>241548.0</v>
      </c>
      <c r="J106" s="317" t="s">
        <v>5086</v>
      </c>
      <c r="K106" s="283" t="s">
        <v>580</v>
      </c>
    </row>
    <row r="107" spans="8:8" ht="15.75" customHeight="1">
      <c r="G107" s="283">
        <v>109.0</v>
      </c>
      <c r="H107" s="317" t="s">
        <v>4176</v>
      </c>
      <c r="I107" s="283">
        <v>241555.0</v>
      </c>
      <c r="J107" s="317" t="s">
        <v>5086</v>
      </c>
      <c r="K107" s="283" t="s">
        <v>580</v>
      </c>
    </row>
    <row r="108" spans="8:8" ht="15.75" customHeight="1">
      <c r="G108" s="283">
        <v>110.0</v>
      </c>
      <c r="H108" s="317" t="s">
        <v>4451</v>
      </c>
      <c r="I108" s="283">
        <v>241585.0</v>
      </c>
      <c r="J108" s="317" t="s">
        <v>5086</v>
      </c>
      <c r="K108" s="283" t="s">
        <v>580</v>
      </c>
    </row>
    <row r="109" spans="8:8" ht="15.75" customHeight="1">
      <c r="G109" s="283">
        <v>111.0</v>
      </c>
      <c r="H109" s="317" t="s">
        <v>4452</v>
      </c>
      <c r="I109" s="283">
        <v>241464.0</v>
      </c>
      <c r="J109" s="317" t="s">
        <v>5086</v>
      </c>
      <c r="K109" s="283" t="s">
        <v>580</v>
      </c>
    </row>
    <row r="110" spans="8:8" ht="15.75" customHeight="1">
      <c r="G110" s="283">
        <v>112.0</v>
      </c>
      <c r="H110" s="317" t="s">
        <v>4779</v>
      </c>
      <c r="I110" s="283">
        <v>241465.0</v>
      </c>
      <c r="J110" s="317" t="s">
        <v>5086</v>
      </c>
      <c r="K110" s="283" t="s">
        <v>580</v>
      </c>
    </row>
    <row r="111" spans="8:8" ht="15.75" customHeight="1">
      <c r="G111" s="283">
        <v>113.0</v>
      </c>
      <c r="H111" s="317" t="s">
        <v>4453</v>
      </c>
      <c r="I111" s="283">
        <v>241189.0</v>
      </c>
      <c r="J111" s="317" t="s">
        <v>5086</v>
      </c>
      <c r="K111" s="283" t="s">
        <v>580</v>
      </c>
    </row>
    <row r="112" spans="8:8" ht="15.75" customHeight="1">
      <c r="G112" s="283">
        <v>114.0</v>
      </c>
      <c r="H112" s="317" t="s">
        <v>4454</v>
      </c>
      <c r="I112" s="283">
        <v>241190.0</v>
      </c>
      <c r="J112" s="317" t="s">
        <v>5086</v>
      </c>
      <c r="K112" s="283" t="s">
        <v>580</v>
      </c>
    </row>
    <row r="113" spans="8:8" ht="15.75" customHeight="1">
      <c r="G113" s="283">
        <v>115.0</v>
      </c>
      <c r="H113" s="317" t="s">
        <v>4455</v>
      </c>
      <c r="I113" s="283">
        <v>241191.0</v>
      </c>
      <c r="J113" s="317" t="s">
        <v>5086</v>
      </c>
      <c r="K113" s="283" t="s">
        <v>580</v>
      </c>
    </row>
    <row r="114" spans="8:8" ht="15.75" customHeight="1">
      <c r="G114" s="283">
        <v>116.0</v>
      </c>
      <c r="H114" s="317" t="s">
        <v>4526</v>
      </c>
      <c r="I114" s="283">
        <v>241192.0</v>
      </c>
      <c r="J114" s="317" t="s">
        <v>5086</v>
      </c>
      <c r="K114" s="283" t="s">
        <v>580</v>
      </c>
    </row>
    <row r="115" spans="8:8" ht="15.75" customHeight="1">
      <c r="G115" s="283">
        <v>117.0</v>
      </c>
      <c r="H115" s="317" t="s">
        <v>4456</v>
      </c>
      <c r="I115" s="283">
        <v>241207.0</v>
      </c>
      <c r="J115" s="317" t="s">
        <v>5086</v>
      </c>
      <c r="K115" s="283" t="s">
        <v>580</v>
      </c>
    </row>
    <row r="116" spans="8:8" ht="15.75" customHeight="1">
      <c r="G116" s="283">
        <v>118.0</v>
      </c>
      <c r="H116" s="317" t="s">
        <v>4525</v>
      </c>
      <c r="I116" s="283">
        <v>241212.0</v>
      </c>
      <c r="J116" s="317" t="s">
        <v>5086</v>
      </c>
      <c r="K116" s="283" t="s">
        <v>580</v>
      </c>
    </row>
    <row r="117" spans="8:8" ht="15.75" customHeight="1">
      <c r="G117" s="283">
        <v>119.0</v>
      </c>
      <c r="H117" s="317" t="s">
        <v>4457</v>
      </c>
      <c r="I117" s="283">
        <v>241214.0</v>
      </c>
      <c r="J117" s="317" t="s">
        <v>5086</v>
      </c>
      <c r="K117" s="283" t="s">
        <v>580</v>
      </c>
    </row>
    <row r="118" spans="8:8" ht="15.75" customHeight="1">
      <c r="G118" s="283">
        <v>120.0</v>
      </c>
      <c r="H118" s="317" t="s">
        <v>4458</v>
      </c>
      <c r="I118" s="283">
        <v>241139.0</v>
      </c>
      <c r="J118" s="317" t="s">
        <v>5086</v>
      </c>
      <c r="K118" s="283" t="s">
        <v>580</v>
      </c>
    </row>
    <row r="119" spans="8:8" ht="15.75" customHeight="1">
      <c r="G119" s="283">
        <v>121.0</v>
      </c>
      <c r="H119" s="317" t="s">
        <v>4459</v>
      </c>
      <c r="I119" s="283">
        <v>241513.0</v>
      </c>
      <c r="J119" s="317" t="s">
        <v>5086</v>
      </c>
      <c r="K119" s="283" t="s">
        <v>580</v>
      </c>
    </row>
    <row r="120" spans="8:8" ht="15.75" customHeight="1">
      <c r="G120" s="283">
        <v>122.0</v>
      </c>
      <c r="H120" s="317" t="s">
        <v>4460</v>
      </c>
      <c r="I120" s="283">
        <v>241518.0</v>
      </c>
      <c r="J120" s="317" t="s">
        <v>5086</v>
      </c>
      <c r="K120" s="283" t="s">
        <v>580</v>
      </c>
    </row>
    <row r="121" spans="8:8" ht="15.75" customHeight="1">
      <c r="G121" s="283">
        <v>123.0</v>
      </c>
      <c r="H121" s="317" t="s">
        <v>4461</v>
      </c>
      <c r="I121" s="283">
        <v>241523.0</v>
      </c>
      <c r="J121" s="317" t="s">
        <v>5086</v>
      </c>
      <c r="K121" s="283" t="s">
        <v>580</v>
      </c>
    </row>
    <row r="122" spans="8:8" ht="15.75" customHeight="1">
      <c r="G122" s="283">
        <v>124.0</v>
      </c>
      <c r="H122" s="317" t="s">
        <v>4518</v>
      </c>
      <c r="I122" s="283">
        <v>241527.0</v>
      </c>
      <c r="J122" s="317" t="s">
        <v>5086</v>
      </c>
      <c r="K122" s="283" t="s">
        <v>580</v>
      </c>
    </row>
    <row r="123" spans="8:8" ht="15.75" customHeight="1">
      <c r="G123" s="283">
        <v>125.0</v>
      </c>
      <c r="H123" s="317" t="s">
        <v>4519</v>
      </c>
      <c r="I123" s="283">
        <v>241530.0</v>
      </c>
      <c r="J123" s="317" t="s">
        <v>5086</v>
      </c>
      <c r="K123" s="283" t="s">
        <v>580</v>
      </c>
    </row>
    <row r="124" spans="8:8" ht="15.75" customHeight="1">
      <c r="G124" s="283">
        <v>126.0</v>
      </c>
      <c r="H124" s="317" t="s">
        <v>4520</v>
      </c>
      <c r="I124" s="283">
        <v>241193.0</v>
      </c>
      <c r="J124" s="317" t="s">
        <v>5086</v>
      </c>
      <c r="K124" s="283" t="s">
        <v>580</v>
      </c>
    </row>
    <row r="125" spans="8:8" ht="15.75" customHeight="1">
      <c r="G125" s="283">
        <v>127.0</v>
      </c>
      <c r="H125" s="317" t="s">
        <v>4740</v>
      </c>
      <c r="I125" s="283">
        <v>241234.0</v>
      </c>
      <c r="J125" s="317" t="s">
        <v>5086</v>
      </c>
      <c r="K125" s="283" t="s">
        <v>580</v>
      </c>
    </row>
    <row r="126" spans="8:8" ht="15.75" customHeight="1">
      <c r="G126" s="283">
        <v>128.0</v>
      </c>
      <c r="H126" s="317" t="s">
        <v>4521</v>
      </c>
      <c r="I126" s="283">
        <v>241268.0</v>
      </c>
      <c r="J126" s="317" t="s">
        <v>5086</v>
      </c>
      <c r="K126" s="283" t="s">
        <v>580</v>
      </c>
    </row>
    <row r="127" spans="8:8" ht="15.75" customHeight="1">
      <c r="G127" s="283">
        <v>129.0</v>
      </c>
      <c r="H127" s="317" t="s">
        <v>4472</v>
      </c>
      <c r="I127" s="283">
        <v>241472.0</v>
      </c>
      <c r="J127" s="317" t="s">
        <v>5086</v>
      </c>
      <c r="K127" s="283" t="s">
        <v>781</v>
      </c>
    </row>
    <row r="128" spans="8:8" ht="15.75" customHeight="1">
      <c r="G128" s="283">
        <v>130.0</v>
      </c>
      <c r="H128" s="317" t="s">
        <v>4780</v>
      </c>
      <c r="I128" s="283">
        <v>241143.0</v>
      </c>
      <c r="J128" s="317" t="s">
        <v>5086</v>
      </c>
      <c r="K128" s="283" t="s">
        <v>781</v>
      </c>
    </row>
    <row r="129" spans="8:8" ht="15.75" customHeight="1">
      <c r="G129" s="283">
        <v>131.0</v>
      </c>
      <c r="H129" s="317" t="s">
        <v>5087</v>
      </c>
      <c r="I129" s="283">
        <v>241200.0</v>
      </c>
      <c r="J129" s="317" t="s">
        <v>5086</v>
      </c>
      <c r="K129" s="283" t="s">
        <v>781</v>
      </c>
    </row>
    <row r="130" spans="8:8" ht="15.75" customHeight="1">
      <c r="G130" s="283">
        <v>132.0</v>
      </c>
      <c r="H130" s="317" t="s">
        <v>4474</v>
      </c>
      <c r="I130" s="283">
        <v>241222.0</v>
      </c>
      <c r="J130" s="317" t="s">
        <v>5086</v>
      </c>
      <c r="K130" s="283" t="s">
        <v>781</v>
      </c>
    </row>
    <row r="131" spans="8:8" ht="15.75" customHeight="1">
      <c r="G131" s="283">
        <v>133.0</v>
      </c>
      <c r="H131" s="317" t="s">
        <v>1481</v>
      </c>
      <c r="I131" s="283">
        <v>241577.0</v>
      </c>
      <c r="J131" s="317" t="s">
        <v>5086</v>
      </c>
      <c r="K131" s="283" t="s">
        <v>781</v>
      </c>
    </row>
    <row r="132" spans="8:8" ht="15.75" customHeight="1">
      <c r="G132" s="283">
        <v>134.0</v>
      </c>
      <c r="H132" s="317" t="s">
        <v>3258</v>
      </c>
      <c r="I132" s="283">
        <v>251851.0</v>
      </c>
      <c r="J132" s="318" t="s">
        <v>5085</v>
      </c>
      <c r="K132" s="283" t="s">
        <v>781</v>
      </c>
    </row>
    <row r="133" spans="8:8" ht="15.75" customHeight="1">
      <c r="G133" s="283">
        <v>135.0</v>
      </c>
      <c r="H133" s="317" t="s">
        <v>4475</v>
      </c>
      <c r="I133" s="283">
        <v>241178.0</v>
      </c>
      <c r="J133" s="317" t="s">
        <v>5086</v>
      </c>
      <c r="K133" s="283" t="s">
        <v>781</v>
      </c>
    </row>
    <row r="134" spans="8:8" ht="15.75" customHeight="1">
      <c r="G134" s="283">
        <v>137.0</v>
      </c>
      <c r="H134" s="317" t="s">
        <v>4476</v>
      </c>
      <c r="I134" s="283">
        <v>241449.0</v>
      </c>
      <c r="J134" s="317" t="s">
        <v>5086</v>
      </c>
      <c r="K134" s="283" t="s">
        <v>781</v>
      </c>
    </row>
    <row r="135" spans="8:8" ht="15.75" customHeight="1">
      <c r="G135" s="283">
        <v>138.0</v>
      </c>
      <c r="H135" s="317" t="s">
        <v>4483</v>
      </c>
      <c r="I135" s="283">
        <v>241461.0</v>
      </c>
      <c r="J135" s="317" t="s">
        <v>5086</v>
      </c>
      <c r="K135" s="283" t="s">
        <v>781</v>
      </c>
    </row>
    <row r="136" spans="8:8" ht="15.75" customHeight="1">
      <c r="G136" s="283">
        <v>139.0</v>
      </c>
      <c r="H136" s="317" t="s">
        <v>4032</v>
      </c>
      <c r="I136" s="283">
        <v>241544.0</v>
      </c>
      <c r="J136" s="317" t="s">
        <v>5086</v>
      </c>
      <c r="K136" s="283" t="s">
        <v>1645</v>
      </c>
    </row>
    <row r="137" spans="8:8" ht="15.75" customHeight="1">
      <c r="G137" s="283">
        <v>140.0</v>
      </c>
      <c r="H137" s="317" t="s">
        <v>4713</v>
      </c>
      <c r="I137" s="283">
        <v>251994.0</v>
      </c>
      <c r="J137" s="318" t="s">
        <v>5085</v>
      </c>
      <c r="K137" s="283" t="s">
        <v>28</v>
      </c>
    </row>
    <row r="138" spans="8:8" ht="15.75" customHeight="1">
      <c r="G138" s="283">
        <v>141.0</v>
      </c>
      <c r="H138" s="317" t="s">
        <v>4893</v>
      </c>
      <c r="I138" s="283">
        <v>251995.0</v>
      </c>
      <c r="J138" s="318" t="s">
        <v>5085</v>
      </c>
      <c r="K138" s="283" t="s">
        <v>28</v>
      </c>
    </row>
    <row r="139" spans="8:8" ht="15.75" customHeight="1">
      <c r="G139" s="283">
        <v>142.0</v>
      </c>
      <c r="H139" s="317" t="s">
        <v>4894</v>
      </c>
      <c r="I139" s="283">
        <v>252010.0</v>
      </c>
      <c r="J139" s="318" t="s">
        <v>5085</v>
      </c>
      <c r="K139" s="283" t="s">
        <v>28</v>
      </c>
    </row>
    <row r="140" spans="8:8" ht="15.75" customHeight="1">
      <c r="G140" s="283">
        <v>143.0</v>
      </c>
      <c r="H140" s="317" t="s">
        <v>4024</v>
      </c>
      <c r="I140" s="283">
        <v>252038.0</v>
      </c>
      <c r="J140" s="318" t="s">
        <v>5085</v>
      </c>
      <c r="K140" s="283" t="s">
        <v>28</v>
      </c>
    </row>
    <row r="141" spans="8:8" ht="15.75" customHeight="1">
      <c r="G141" s="283">
        <v>144.0</v>
      </c>
      <c r="H141" s="317" t="s">
        <v>1639</v>
      </c>
      <c r="I141" s="283">
        <v>252055.0</v>
      </c>
      <c r="J141" s="318" t="s">
        <v>5085</v>
      </c>
      <c r="K141" s="283" t="s">
        <v>28</v>
      </c>
    </row>
    <row r="142" spans="8:8" ht="15.75" customHeight="1">
      <c r="G142" s="283">
        <v>145.0</v>
      </c>
      <c r="H142" s="317" t="s">
        <v>4724</v>
      </c>
      <c r="I142" s="283">
        <v>252067.0</v>
      </c>
      <c r="J142" s="318" t="s">
        <v>5085</v>
      </c>
      <c r="K142" s="283" t="s">
        <v>28</v>
      </c>
    </row>
    <row r="143" spans="8:8" ht="15.75" customHeight="1">
      <c r="G143" s="283">
        <v>146.0</v>
      </c>
      <c r="H143" s="317" t="s">
        <v>3217</v>
      </c>
      <c r="I143" s="283">
        <v>252074.0</v>
      </c>
      <c r="J143" s="318" t="s">
        <v>5085</v>
      </c>
      <c r="K143" s="283" t="s">
        <v>28</v>
      </c>
    </row>
    <row r="144" spans="8:8" ht="15.75" customHeight="1">
      <c r="G144" s="283">
        <v>147.0</v>
      </c>
      <c r="H144" s="317" t="s">
        <v>4896</v>
      </c>
      <c r="I144" s="283">
        <v>252087.0</v>
      </c>
      <c r="J144" s="318" t="s">
        <v>5085</v>
      </c>
      <c r="K144" s="283" t="s">
        <v>28</v>
      </c>
    </row>
    <row r="145" spans="8:8" ht="15.75" customHeight="1">
      <c r="G145" s="283">
        <v>148.0</v>
      </c>
      <c r="H145" s="317" t="s">
        <v>4498</v>
      </c>
      <c r="I145" s="283">
        <v>252090.0</v>
      </c>
      <c r="J145" s="318" t="s">
        <v>5085</v>
      </c>
      <c r="K145" s="283" t="s">
        <v>28</v>
      </c>
    </row>
    <row r="146" spans="8:8" ht="15.75" customHeight="1">
      <c r="G146" s="283">
        <v>149.0</v>
      </c>
      <c r="H146" s="317" t="s">
        <v>4422</v>
      </c>
      <c r="I146" s="283">
        <v>252110.0</v>
      </c>
      <c r="J146" s="318" t="s">
        <v>5085</v>
      </c>
      <c r="K146" s="283" t="s">
        <v>28</v>
      </c>
    </row>
    <row r="147" spans="8:8" ht="15.75" customHeight="1">
      <c r="G147" s="283">
        <v>150.0</v>
      </c>
      <c r="H147" s="317" t="s">
        <v>4509</v>
      </c>
      <c r="I147" s="283">
        <v>252125.0</v>
      </c>
      <c r="J147" s="318" t="s">
        <v>5085</v>
      </c>
      <c r="K147" s="283" t="s">
        <v>28</v>
      </c>
    </row>
    <row r="148" spans="8:8" ht="15.75" customHeight="1">
      <c r="G148" s="283">
        <v>151.0</v>
      </c>
      <c r="H148" s="317" t="s">
        <v>4421</v>
      </c>
      <c r="I148" s="283">
        <v>252127.0</v>
      </c>
      <c r="J148" s="318" t="s">
        <v>5085</v>
      </c>
      <c r="K148" s="283" t="s">
        <v>28</v>
      </c>
    </row>
    <row r="149" spans="8:8" ht="15.75" customHeight="1">
      <c r="G149" s="283">
        <v>152.0</v>
      </c>
      <c r="H149" s="317" t="s">
        <v>2907</v>
      </c>
      <c r="I149" s="283">
        <v>252130.0</v>
      </c>
      <c r="J149" s="318" t="s">
        <v>5085</v>
      </c>
      <c r="K149" s="283" t="s">
        <v>28</v>
      </c>
    </row>
    <row r="150" spans="8:8" ht="15.75" customHeight="1">
      <c r="G150" s="283">
        <v>153.0</v>
      </c>
      <c r="H150" s="317" t="s">
        <v>4416</v>
      </c>
      <c r="I150" s="283">
        <v>252134.0</v>
      </c>
      <c r="J150" s="318" t="s">
        <v>5085</v>
      </c>
      <c r="K150" s="283" t="s">
        <v>28</v>
      </c>
    </row>
    <row r="151" spans="8:8" ht="15.75" customHeight="1">
      <c r="G151" s="283">
        <v>154.0</v>
      </c>
      <c r="H151" s="317" t="s">
        <v>4417</v>
      </c>
      <c r="I151" s="283">
        <v>252141.0</v>
      </c>
      <c r="J151" s="318" t="s">
        <v>5085</v>
      </c>
      <c r="K151" s="283" t="s">
        <v>28</v>
      </c>
    </row>
    <row r="152" spans="8:8" ht="15.75" customHeight="1">
      <c r="G152" s="283">
        <v>155.0</v>
      </c>
      <c r="H152" s="317" t="s">
        <v>4514</v>
      </c>
      <c r="I152" s="283">
        <v>252149.0</v>
      </c>
      <c r="J152" s="318" t="s">
        <v>5085</v>
      </c>
      <c r="K152" s="283" t="s">
        <v>28</v>
      </c>
    </row>
    <row r="153" spans="8:8" ht="15.75" customHeight="1">
      <c r="G153" s="283">
        <v>156.0</v>
      </c>
      <c r="H153" s="317" t="s">
        <v>3437</v>
      </c>
      <c r="I153" s="283">
        <v>251982.0</v>
      </c>
      <c r="J153" s="318" t="s">
        <v>5085</v>
      </c>
      <c r="K153" s="283" t="s">
        <v>28</v>
      </c>
    </row>
    <row r="154" spans="8:8" ht="15.75" customHeight="1">
      <c r="G154" s="283">
        <v>157.0</v>
      </c>
      <c r="H154" s="317" t="s">
        <v>5050</v>
      </c>
      <c r="I154" s="283">
        <v>252076.0</v>
      </c>
      <c r="J154" s="318" t="s">
        <v>5085</v>
      </c>
      <c r="K154" s="283" t="s">
        <v>111</v>
      </c>
    </row>
    <row r="155" spans="8:8" ht="15.75" customHeight="1">
      <c r="G155" s="283">
        <v>158.0</v>
      </c>
      <c r="H155" s="317" t="s">
        <v>5057</v>
      </c>
      <c r="I155" s="283">
        <v>251827.0</v>
      </c>
      <c r="J155" s="318" t="s">
        <v>5085</v>
      </c>
      <c r="K155" s="283" t="s">
        <v>28</v>
      </c>
    </row>
    <row r="156" spans="8:8" ht="15.75" customHeight="1">
      <c r="G156" s="283">
        <v>159.0</v>
      </c>
      <c r="H156" s="317" t="s">
        <v>2884</v>
      </c>
      <c r="I156" s="283">
        <v>251901.0</v>
      </c>
      <c r="J156" s="318" t="s">
        <v>5085</v>
      </c>
      <c r="K156" s="283" t="s">
        <v>28</v>
      </c>
    </row>
    <row r="157" spans="8:8" ht="15.75" customHeight="1">
      <c r="G157" s="283">
        <v>160.0</v>
      </c>
      <c r="H157" s="317" t="s">
        <v>4604</v>
      </c>
      <c r="I157" s="283">
        <v>251839.0</v>
      </c>
      <c r="J157" s="318" t="s">
        <v>5085</v>
      </c>
      <c r="K157" s="283" t="s">
        <v>28</v>
      </c>
    </row>
    <row r="158" spans="8:8" ht="15.75" customHeight="1">
      <c r="G158" s="283">
        <v>161.0</v>
      </c>
      <c r="H158" s="317" t="s">
        <v>2885</v>
      </c>
      <c r="I158" s="283">
        <v>251842.0</v>
      </c>
      <c r="J158" s="318" t="s">
        <v>5085</v>
      </c>
      <c r="K158" s="283" t="s">
        <v>28</v>
      </c>
    </row>
    <row r="159" spans="8:8" ht="15.75" customHeight="1">
      <c r="G159" s="283">
        <v>162.0</v>
      </c>
      <c r="H159" s="317" t="s">
        <v>2886</v>
      </c>
      <c r="I159" s="283">
        <v>251845.0</v>
      </c>
      <c r="J159" s="318" t="s">
        <v>5085</v>
      </c>
      <c r="K159" s="283" t="s">
        <v>28</v>
      </c>
    </row>
    <row r="160" spans="8:8" ht="15.75" customHeight="1">
      <c r="G160" s="283">
        <v>163.0</v>
      </c>
      <c r="H160" s="317" t="s">
        <v>5063</v>
      </c>
      <c r="I160" s="283">
        <v>251834.0</v>
      </c>
      <c r="J160" s="318" t="s">
        <v>5085</v>
      </c>
      <c r="K160" s="283" t="s">
        <v>28</v>
      </c>
    </row>
    <row r="161" spans="8:8" ht="15.75" customHeight="1">
      <c r="G161" s="283">
        <v>164.0</v>
      </c>
      <c r="H161" s="317" t="s">
        <v>2887</v>
      </c>
      <c r="I161" s="283">
        <v>251857.0</v>
      </c>
      <c r="J161" s="318" t="s">
        <v>5085</v>
      </c>
      <c r="K161" s="283" t="s">
        <v>28</v>
      </c>
    </row>
    <row r="162" spans="8:8" ht="15.75" customHeight="1">
      <c r="G162" s="283">
        <v>165.0</v>
      </c>
      <c r="H162" s="317" t="s">
        <v>2888</v>
      </c>
      <c r="I162" s="283">
        <v>251864.0</v>
      </c>
      <c r="J162" s="318" t="s">
        <v>5085</v>
      </c>
      <c r="K162" s="283" t="s">
        <v>28</v>
      </c>
    </row>
    <row r="163" spans="8:8" ht="15.75" customHeight="1">
      <c r="G163" s="283">
        <v>166.0</v>
      </c>
      <c r="H163" s="317" t="s">
        <v>2889</v>
      </c>
      <c r="I163" s="283">
        <v>251882.0</v>
      </c>
      <c r="J163" s="318" t="s">
        <v>5085</v>
      </c>
      <c r="K163" s="283" t="s">
        <v>28</v>
      </c>
    </row>
    <row r="164" spans="8:8" ht="15.75" customHeight="1">
      <c r="G164" s="283">
        <v>167.0</v>
      </c>
      <c r="H164" s="317" t="s">
        <v>2890</v>
      </c>
      <c r="I164" s="283">
        <v>251900.0</v>
      </c>
      <c r="J164" s="318" t="s">
        <v>5085</v>
      </c>
      <c r="K164" s="283" t="s">
        <v>28</v>
      </c>
    </row>
    <row r="165" spans="8:8" ht="15.75" customHeight="1">
      <c r="G165" s="283">
        <v>168.0</v>
      </c>
      <c r="H165" s="317" t="s">
        <v>5065</v>
      </c>
      <c r="I165" s="283">
        <v>251854.0</v>
      </c>
      <c r="J165" s="318" t="s">
        <v>5085</v>
      </c>
      <c r="K165" s="283" t="s">
        <v>28</v>
      </c>
    </row>
    <row r="166" spans="8:8" ht="15.75" customHeight="1">
      <c r="G166" s="283">
        <v>169.0</v>
      </c>
      <c r="H166" s="317" t="s">
        <v>2914</v>
      </c>
      <c r="I166" s="283">
        <v>251920.0</v>
      </c>
      <c r="J166" s="318" t="s">
        <v>5085</v>
      </c>
      <c r="K166" s="283" t="s">
        <v>28</v>
      </c>
    </row>
    <row r="167" spans="8:8" ht="15.75" customHeight="1">
      <c r="G167" s="283">
        <v>170.0</v>
      </c>
      <c r="H167" s="317" t="s">
        <v>2891</v>
      </c>
      <c r="I167" s="283">
        <v>251921.0</v>
      </c>
      <c r="J167" s="318" t="s">
        <v>5085</v>
      </c>
      <c r="K167" s="283" t="s">
        <v>28</v>
      </c>
    </row>
    <row r="168" spans="8:8" ht="15.75" customHeight="1">
      <c r="G168" s="283">
        <v>171.0</v>
      </c>
      <c r="H168" s="317" t="s">
        <v>2892</v>
      </c>
      <c r="I168" s="283">
        <v>251796.0</v>
      </c>
      <c r="J168" s="318" t="s">
        <v>5085</v>
      </c>
      <c r="K168" s="283" t="s">
        <v>28</v>
      </c>
    </row>
    <row r="169" spans="8:8" ht="15.75" customHeight="1">
      <c r="G169" s="283">
        <v>172.0</v>
      </c>
      <c r="H169" s="317" t="s">
        <v>5066</v>
      </c>
      <c r="I169" s="283">
        <v>251938.0</v>
      </c>
      <c r="J169" s="318" t="s">
        <v>5085</v>
      </c>
      <c r="K169" s="283" t="s">
        <v>28</v>
      </c>
    </row>
    <row r="170" spans="8:8" ht="15.75" customHeight="1">
      <c r="G170" s="283">
        <v>173.0</v>
      </c>
      <c r="H170" s="317" t="s">
        <v>5067</v>
      </c>
      <c r="I170" s="283">
        <v>251968.0</v>
      </c>
      <c r="J170" s="318" t="s">
        <v>5085</v>
      </c>
      <c r="K170" s="283" t="s">
        <v>28</v>
      </c>
    </row>
    <row r="171" spans="8:8" ht="15.75" customHeight="1">
      <c r="G171" s="283">
        <v>174.0</v>
      </c>
      <c r="H171" s="317" t="s">
        <v>4607</v>
      </c>
      <c r="I171" s="283">
        <v>251971.0</v>
      </c>
      <c r="J171" s="318" t="s">
        <v>5085</v>
      </c>
      <c r="K171" s="283" t="s">
        <v>28</v>
      </c>
    </row>
    <row r="172" spans="8:8" ht="15.75" customHeight="1">
      <c r="G172" s="283">
        <v>175.0</v>
      </c>
      <c r="H172" s="317" t="s">
        <v>4618</v>
      </c>
      <c r="I172" s="283">
        <v>252166.0</v>
      </c>
      <c r="J172" s="318" t="s">
        <v>5085</v>
      </c>
      <c r="K172" s="283" t="s">
        <v>28</v>
      </c>
    </row>
    <row r="173" spans="8:8" ht="15.75" customHeight="1">
      <c r="G173" s="283">
        <v>176.0</v>
      </c>
      <c r="H173" s="317" t="s">
        <v>4619</v>
      </c>
      <c r="I173" s="283">
        <v>252182.0</v>
      </c>
      <c r="J173" s="318" t="s">
        <v>5085</v>
      </c>
      <c r="K173" s="283" t="s">
        <v>28</v>
      </c>
    </row>
    <row r="174" spans="8:8" ht="15.75" customHeight="1">
      <c r="G174" s="283">
        <v>177.0</v>
      </c>
      <c r="H174" s="317" t="s">
        <v>2898</v>
      </c>
      <c r="I174" s="283">
        <v>252179.0</v>
      </c>
      <c r="J174" s="318" t="s">
        <v>5085</v>
      </c>
      <c r="K174" s="283" t="s">
        <v>28</v>
      </c>
    </row>
    <row r="175" spans="8:8" ht="15.75" customHeight="1">
      <c r="G175" s="283">
        <v>178.0</v>
      </c>
      <c r="H175" s="317" t="s">
        <v>2899</v>
      </c>
      <c r="I175" s="283">
        <v>252178.0</v>
      </c>
      <c r="J175" s="318" t="s">
        <v>5085</v>
      </c>
      <c r="K175" s="283" t="s">
        <v>28</v>
      </c>
    </row>
    <row r="176" spans="8:8" ht="15.75" customHeight="1">
      <c r="G176" s="283">
        <v>179.0</v>
      </c>
      <c r="H176" s="317" t="s">
        <v>2503</v>
      </c>
      <c r="I176" s="283">
        <v>252187.0</v>
      </c>
      <c r="J176" s="318" t="s">
        <v>5085</v>
      </c>
      <c r="K176" s="283" t="s">
        <v>28</v>
      </c>
    </row>
    <row r="177" spans="8:8" ht="15.75" customHeight="1">
      <c r="G177" s="283">
        <v>180.0</v>
      </c>
      <c r="H177" s="317" t="s">
        <v>5069</v>
      </c>
      <c r="I177" s="283">
        <v>252220.0</v>
      </c>
      <c r="J177" s="318" t="s">
        <v>5085</v>
      </c>
      <c r="K177" s="283" t="s">
        <v>28</v>
      </c>
    </row>
    <row r="178" spans="8:8" ht="15.75" customHeight="1">
      <c r="G178" s="283">
        <v>181.0</v>
      </c>
      <c r="H178" s="317" t="s">
        <v>5070</v>
      </c>
      <c r="I178" s="283">
        <v>252282.0</v>
      </c>
      <c r="J178" s="318" t="s">
        <v>5085</v>
      </c>
      <c r="K178" s="283" t="s">
        <v>28</v>
      </c>
    </row>
    <row r="179" spans="8:8" ht="15.75" customHeight="1">
      <c r="G179" s="283">
        <v>182.0</v>
      </c>
      <c r="H179" s="317" t="s">
        <v>4623</v>
      </c>
      <c r="I179" s="283">
        <v>252222.0</v>
      </c>
      <c r="J179" s="318" t="s">
        <v>5085</v>
      </c>
      <c r="K179" s="283" t="s">
        <v>28</v>
      </c>
    </row>
    <row r="180" spans="8:8" ht="15.75" customHeight="1">
      <c r="G180" s="283">
        <v>183.0</v>
      </c>
      <c r="H180" s="317" t="s">
        <v>4624</v>
      </c>
      <c r="I180" s="283">
        <v>252277.0</v>
      </c>
      <c r="J180" s="318" t="s">
        <v>5085</v>
      </c>
      <c r="K180" s="283" t="s">
        <v>28</v>
      </c>
    </row>
    <row r="181" spans="8:8" ht="15.75" customHeight="1">
      <c r="G181" s="283">
        <v>184.0</v>
      </c>
      <c r="H181" s="317" t="s">
        <v>2900</v>
      </c>
      <c r="I181" s="283">
        <v>252251.0</v>
      </c>
      <c r="J181" s="318" t="s">
        <v>5085</v>
      </c>
      <c r="K181" s="283" t="s">
        <v>28</v>
      </c>
    </row>
    <row r="182" spans="8:8" ht="15.75" customHeight="1">
      <c r="G182" s="283">
        <v>185.0</v>
      </c>
      <c r="H182" s="317" t="s">
        <v>2901</v>
      </c>
      <c r="I182" s="283">
        <v>252283.0</v>
      </c>
      <c r="J182" s="318" t="s">
        <v>5085</v>
      </c>
      <c r="K182" s="283" t="s">
        <v>28</v>
      </c>
    </row>
    <row r="183" spans="8:8" ht="15.75" customHeight="1">
      <c r="G183" s="283">
        <v>186.0</v>
      </c>
      <c r="H183" s="317" t="s">
        <v>4625</v>
      </c>
      <c r="I183" s="283">
        <v>252202.0</v>
      </c>
      <c r="J183" s="318" t="s">
        <v>5085</v>
      </c>
      <c r="K183" s="283" t="s">
        <v>28</v>
      </c>
    </row>
    <row r="184" spans="8:8" ht="15.75" customHeight="1">
      <c r="G184" s="283">
        <v>187.0</v>
      </c>
      <c r="H184" s="317" t="s">
        <v>4626</v>
      </c>
      <c r="I184" s="283">
        <v>252219.0</v>
      </c>
      <c r="J184" s="318" t="s">
        <v>5085</v>
      </c>
      <c r="K184" s="283" t="s">
        <v>28</v>
      </c>
    </row>
    <row r="185" spans="8:8" ht="15.75" customHeight="1">
      <c r="G185" s="283">
        <v>188.0</v>
      </c>
      <c r="H185" s="317" t="s">
        <v>4555</v>
      </c>
      <c r="I185" s="283">
        <v>252276.0</v>
      </c>
      <c r="J185" s="318" t="s">
        <v>5085</v>
      </c>
      <c r="K185" s="283" t="s">
        <v>28</v>
      </c>
    </row>
    <row r="186" spans="8:8" ht="15.75" customHeight="1">
      <c r="G186" s="283">
        <v>189.0</v>
      </c>
      <c r="H186" s="317" t="s">
        <v>2902</v>
      </c>
      <c r="I186" s="283">
        <v>252262.0</v>
      </c>
      <c r="J186" s="318" t="s">
        <v>5085</v>
      </c>
      <c r="K186" s="283" t="s">
        <v>28</v>
      </c>
    </row>
    <row r="187" spans="8:8" ht="15.75" customHeight="1">
      <c r="G187" s="283">
        <v>191.0</v>
      </c>
      <c r="H187" s="317" t="s">
        <v>2903</v>
      </c>
      <c r="I187" s="283">
        <v>252323.0</v>
      </c>
      <c r="J187" s="318" t="s">
        <v>5085</v>
      </c>
      <c r="K187" s="283" t="s">
        <v>28</v>
      </c>
    </row>
    <row r="188" spans="8:8" ht="15.75" customHeight="1">
      <c r="G188" s="283">
        <v>192.0</v>
      </c>
      <c r="H188" s="317" t="s">
        <v>4627</v>
      </c>
      <c r="I188" s="283">
        <v>252334.0</v>
      </c>
      <c r="J188" s="318" t="s">
        <v>5085</v>
      </c>
      <c r="K188" s="283" t="s">
        <v>28</v>
      </c>
    </row>
    <row r="189" spans="8:8" ht="15.75" customHeight="1">
      <c r="G189" s="283">
        <v>193.0</v>
      </c>
      <c r="H189" s="317" t="s">
        <v>5073</v>
      </c>
      <c r="I189" s="283">
        <v>252236.0</v>
      </c>
      <c r="J189" s="318" t="s">
        <v>5085</v>
      </c>
      <c r="K189" s="283" t="s">
        <v>111</v>
      </c>
    </row>
    <row r="190" spans="8:8" ht="15.75" customHeight="1">
      <c r="G190" s="283">
        <v>194.0</v>
      </c>
      <c r="H190" s="317" t="s">
        <v>3441</v>
      </c>
      <c r="I190" s="283">
        <v>252213.0</v>
      </c>
      <c r="J190" s="318" t="s">
        <v>5085</v>
      </c>
      <c r="K190" s="283" t="s">
        <v>111</v>
      </c>
    </row>
    <row r="191" spans="8:8" ht="15.75" customHeight="1">
      <c r="G191" s="283">
        <v>195.0</v>
      </c>
      <c r="H191" s="317" t="s">
        <v>2928</v>
      </c>
      <c r="I191" s="283">
        <v>252210.0</v>
      </c>
      <c r="J191" s="318" t="s">
        <v>5085</v>
      </c>
      <c r="K191" s="283" t="s">
        <v>111</v>
      </c>
    </row>
    <row r="192" spans="8:8" ht="15.75" customHeight="1">
      <c r="G192" s="283">
        <v>196.0</v>
      </c>
      <c r="H192" s="317" t="s">
        <v>5074</v>
      </c>
      <c r="I192" s="283">
        <v>252211.0</v>
      </c>
      <c r="J192" s="318" t="s">
        <v>5085</v>
      </c>
      <c r="K192" s="283" t="s">
        <v>111</v>
      </c>
    </row>
    <row r="193" spans="8:8" ht="15.75" customHeight="1">
      <c r="G193" s="283">
        <v>197.0</v>
      </c>
      <c r="H193" s="317" t="s">
        <v>2938</v>
      </c>
      <c r="I193" s="283">
        <v>252256.0</v>
      </c>
      <c r="J193" s="318" t="s">
        <v>5085</v>
      </c>
      <c r="K193" s="283" t="s">
        <v>580</v>
      </c>
    </row>
    <row r="194" spans="8:8" ht="15.75" customHeight="1">
      <c r="G194" s="283">
        <v>198.0</v>
      </c>
      <c r="H194" s="317" t="s">
        <v>4656</v>
      </c>
      <c r="I194" s="283">
        <v>252280.0</v>
      </c>
      <c r="J194" s="318" t="s">
        <v>5085</v>
      </c>
      <c r="K194" s="283" t="s">
        <v>580</v>
      </c>
    </row>
    <row r="195" spans="8:8" ht="15.75" customHeight="1">
      <c r="G195" s="283">
        <v>199.0</v>
      </c>
      <c r="H195" s="317" t="s">
        <v>5078</v>
      </c>
      <c r="I195" s="283">
        <v>252341.0</v>
      </c>
      <c r="J195" s="318" t="s">
        <v>5085</v>
      </c>
      <c r="K195" s="283" t="s">
        <v>781</v>
      </c>
    </row>
    <row r="196" spans="8:8" ht="15.75" customHeight="1">
      <c r="G196" s="283">
        <v>200.0</v>
      </c>
      <c r="H196" s="318" t="s">
        <v>1561</v>
      </c>
      <c r="I196" s="319">
        <v>250834.0</v>
      </c>
      <c r="J196" s="318" t="s">
        <v>5085</v>
      </c>
      <c r="K196" s="320" t="s">
        <v>28</v>
      </c>
    </row>
    <row r="197" spans="8:8" ht="15.75" customHeight="1">
      <c r="G197" s="283">
        <v>201.0</v>
      </c>
      <c r="H197" s="318" t="s">
        <v>5088</v>
      </c>
      <c r="I197" s="319">
        <v>240908.0</v>
      </c>
      <c r="J197" s="317" t="s">
        <v>5086</v>
      </c>
      <c r="K197" s="321"/>
    </row>
    <row r="198" spans="8:8" ht="15.75" customHeight="1">
      <c r="G198" s="283">
        <v>202.0</v>
      </c>
      <c r="H198" s="317" t="s">
        <v>4764</v>
      </c>
      <c r="I198" s="283">
        <v>251638.0</v>
      </c>
      <c r="J198" s="318" t="s">
        <v>5085</v>
      </c>
      <c r="K198" s="283" t="s">
        <v>28</v>
      </c>
    </row>
    <row r="199" spans="8:8" ht="15.75" customHeight="1">
      <c r="G199" s="283">
        <v>203.0</v>
      </c>
      <c r="H199" s="317" t="s">
        <v>2912</v>
      </c>
      <c r="I199" s="283">
        <v>252607.0</v>
      </c>
      <c r="J199" s="318" t="s">
        <v>5085</v>
      </c>
      <c r="K199" s="283" t="s">
        <v>28</v>
      </c>
    </row>
    <row r="200" spans="8:8" ht="15.75" customHeight="1">
      <c r="G200" s="283">
        <v>204.0</v>
      </c>
      <c r="H200" s="318" t="s">
        <v>1622</v>
      </c>
      <c r="I200" s="319">
        <v>250080.0</v>
      </c>
      <c r="J200" s="318" t="s">
        <v>5089</v>
      </c>
      <c r="K200" s="320" t="s">
        <v>28</v>
      </c>
    </row>
    <row r="201" spans="8:8" ht="15.75" customHeight="1">
      <c r="G201" s="283">
        <v>205.0</v>
      </c>
      <c r="H201" s="318" t="s">
        <v>1623</v>
      </c>
      <c r="I201" s="319">
        <v>250084.0</v>
      </c>
      <c r="J201" s="318" t="s">
        <v>5089</v>
      </c>
      <c r="K201" s="320" t="s">
        <v>28</v>
      </c>
    </row>
    <row r="202" spans="8:8" ht="15.75" customHeight="1">
      <c r="G202" s="283">
        <v>206.0</v>
      </c>
      <c r="H202" s="318" t="s">
        <v>4985</v>
      </c>
      <c r="I202" s="319">
        <v>250183.0</v>
      </c>
      <c r="J202" s="318" t="s">
        <v>5089</v>
      </c>
      <c r="K202" s="320" t="s">
        <v>28</v>
      </c>
    </row>
    <row r="203" spans="8:8" ht="15.75" customHeight="1">
      <c r="G203" s="283">
        <v>207.0</v>
      </c>
      <c r="H203" s="318" t="s">
        <v>1626</v>
      </c>
      <c r="I203" s="319">
        <v>250204.0</v>
      </c>
      <c r="J203" s="318" t="s">
        <v>5089</v>
      </c>
      <c r="K203" s="320" t="s">
        <v>28</v>
      </c>
    </row>
    <row r="204" spans="8:8" ht="15.75" customHeight="1">
      <c r="G204" s="283">
        <v>208.0</v>
      </c>
      <c r="H204" s="318" t="s">
        <v>1627</v>
      </c>
      <c r="I204" s="319">
        <v>250224.0</v>
      </c>
      <c r="J204" s="318" t="s">
        <v>5089</v>
      </c>
      <c r="K204" s="320" t="s">
        <v>28</v>
      </c>
    </row>
    <row r="205" spans="8:8" ht="15.75" customHeight="1">
      <c r="G205" s="283">
        <v>209.0</v>
      </c>
      <c r="H205" s="318" t="s">
        <v>1628</v>
      </c>
      <c r="I205" s="319">
        <v>250220.0</v>
      </c>
      <c r="J205" s="318" t="s">
        <v>5089</v>
      </c>
      <c r="K205" s="320" t="s">
        <v>28</v>
      </c>
    </row>
    <row r="206" spans="8:8" ht="15.75" customHeight="1">
      <c r="G206" s="283">
        <v>210.0</v>
      </c>
      <c r="H206" s="318" t="s">
        <v>1629</v>
      </c>
      <c r="I206" s="319">
        <v>250219.0</v>
      </c>
      <c r="J206" s="318" t="s">
        <v>5089</v>
      </c>
      <c r="K206" s="320" t="s">
        <v>28</v>
      </c>
    </row>
    <row r="207" spans="8:8" ht="15.75" customHeight="1">
      <c r="G207" s="283">
        <v>211.0</v>
      </c>
      <c r="H207" s="318" t="s">
        <v>4550</v>
      </c>
      <c r="I207" s="319">
        <v>250218.0</v>
      </c>
      <c r="J207" s="318" t="s">
        <v>5089</v>
      </c>
      <c r="K207" s="320" t="s">
        <v>28</v>
      </c>
    </row>
    <row r="208" spans="8:8" ht="15.75" customHeight="1">
      <c r="G208" s="283">
        <v>212.0</v>
      </c>
      <c r="H208" s="318" t="s">
        <v>4551</v>
      </c>
      <c r="I208" s="319">
        <v>250223.0</v>
      </c>
      <c r="J208" s="318" t="s">
        <v>5089</v>
      </c>
      <c r="K208" s="320" t="s">
        <v>28</v>
      </c>
    </row>
    <row r="209" spans="8:8" ht="15.75" customHeight="1">
      <c r="G209" s="283">
        <v>213.0</v>
      </c>
      <c r="H209" s="318" t="s">
        <v>1630</v>
      </c>
      <c r="I209" s="319">
        <v>250247.0</v>
      </c>
      <c r="J209" s="318" t="s">
        <v>5089</v>
      </c>
      <c r="K209" s="320" t="s">
        <v>28</v>
      </c>
    </row>
    <row r="210" spans="8:8" ht="15.75" customHeight="1">
      <c r="G210" s="283">
        <v>214.0</v>
      </c>
      <c r="H210" s="318" t="s">
        <v>4987</v>
      </c>
      <c r="I210" s="319">
        <v>250261.0</v>
      </c>
      <c r="J210" s="318" t="s">
        <v>5089</v>
      </c>
      <c r="K210" s="320" t="s">
        <v>28</v>
      </c>
    </row>
    <row r="211" spans="8:8" ht="15.75" customHeight="1">
      <c r="G211" s="283">
        <v>215.0</v>
      </c>
      <c r="H211" s="318" t="s">
        <v>1632</v>
      </c>
      <c r="I211" s="319">
        <v>252817.0</v>
      </c>
      <c r="J211" s="318" t="s">
        <v>5089</v>
      </c>
      <c r="K211" s="320" t="s">
        <v>28</v>
      </c>
    </row>
    <row r="212" spans="8:8" ht="15.75" customHeight="1">
      <c r="G212" s="283">
        <v>216.0</v>
      </c>
      <c r="H212" s="318" t="s">
        <v>1635</v>
      </c>
      <c r="I212" s="319">
        <v>253070.0</v>
      </c>
      <c r="J212" s="318" t="s">
        <v>5089</v>
      </c>
      <c r="K212" s="320" t="s">
        <v>28</v>
      </c>
    </row>
    <row r="213" spans="8:8" ht="15.75" customHeight="1">
      <c r="G213" s="283">
        <v>217.0</v>
      </c>
      <c r="H213" s="318" t="s">
        <v>1557</v>
      </c>
      <c r="I213" s="319">
        <v>252812.0</v>
      </c>
      <c r="J213" s="318" t="s">
        <v>5089</v>
      </c>
      <c r="K213" s="320" t="s">
        <v>28</v>
      </c>
    </row>
    <row r="214" spans="8:8" ht="15.75" customHeight="1">
      <c r="G214" s="283">
        <v>218.0</v>
      </c>
      <c r="H214" s="318" t="s">
        <v>1636</v>
      </c>
      <c r="I214" s="319">
        <v>253161.0</v>
      </c>
      <c r="J214" s="318" t="s">
        <v>5089</v>
      </c>
      <c r="K214" s="320" t="s">
        <v>28</v>
      </c>
    </row>
    <row r="215" spans="8:8" ht="15.75" customHeight="1">
      <c r="G215" s="283">
        <v>220.0</v>
      </c>
      <c r="H215" s="318" t="s">
        <v>1459</v>
      </c>
      <c r="I215" s="319">
        <v>253114.0</v>
      </c>
      <c r="J215" s="318" t="s">
        <v>5089</v>
      </c>
      <c r="K215" s="320" t="s">
        <v>111</v>
      </c>
    </row>
    <row r="216" spans="8:8" ht="15.75" customHeight="1">
      <c r="G216" s="283">
        <v>222.0</v>
      </c>
      <c r="H216" s="318" t="s">
        <v>4573</v>
      </c>
      <c r="I216" s="319">
        <v>250114.0</v>
      </c>
      <c r="J216" s="318" t="s">
        <v>5089</v>
      </c>
      <c r="K216" s="320" t="s">
        <v>580</v>
      </c>
    </row>
    <row r="217" spans="8:8" ht="15.75" customHeight="1">
      <c r="G217" s="283">
        <v>223.0</v>
      </c>
      <c r="H217" s="318" t="s">
        <v>1480</v>
      </c>
      <c r="I217" s="319">
        <v>250174.0</v>
      </c>
      <c r="J217" s="318" t="s">
        <v>5089</v>
      </c>
      <c r="K217" s="320" t="s">
        <v>781</v>
      </c>
    </row>
    <row r="218" spans="8:8" ht="15.75" customHeight="1">
      <c r="G218" s="283">
        <v>224.0</v>
      </c>
      <c r="H218" s="318" t="s">
        <v>4577</v>
      </c>
      <c r="I218" s="319">
        <v>250380.0</v>
      </c>
      <c r="J218" s="318" t="s">
        <v>5089</v>
      </c>
      <c r="K218" s="320" t="s">
        <v>28</v>
      </c>
    </row>
    <row r="219" spans="8:8" ht="15.75" customHeight="1">
      <c r="G219" s="283">
        <v>225.0</v>
      </c>
      <c r="H219" s="318" t="s">
        <v>1511</v>
      </c>
      <c r="I219" s="319">
        <v>250386.0</v>
      </c>
      <c r="J219" s="318" t="s">
        <v>5089</v>
      </c>
      <c r="K219" s="320" t="s">
        <v>28</v>
      </c>
    </row>
    <row r="220" spans="8:8" ht="15.75" customHeight="1">
      <c r="G220" s="283">
        <v>226.0</v>
      </c>
      <c r="H220" s="318" t="s">
        <v>1513</v>
      </c>
      <c r="I220" s="319">
        <v>250389.0</v>
      </c>
      <c r="J220" s="318" t="s">
        <v>5089</v>
      </c>
      <c r="K220" s="320" t="s">
        <v>28</v>
      </c>
    </row>
    <row r="221" spans="8:8" ht="15.75" customHeight="1">
      <c r="G221" s="283">
        <v>227.0</v>
      </c>
      <c r="H221" s="318" t="s">
        <v>5002</v>
      </c>
      <c r="I221" s="319">
        <v>250467.0</v>
      </c>
      <c r="J221" s="318" t="s">
        <v>5089</v>
      </c>
      <c r="K221" s="320" t="s">
        <v>28</v>
      </c>
    </row>
    <row r="222" spans="8:8" ht="15.75" customHeight="1">
      <c r="G222" s="283">
        <v>228.0</v>
      </c>
      <c r="H222" s="318" t="s">
        <v>4578</v>
      </c>
      <c r="I222" s="319">
        <v>250533.0</v>
      </c>
      <c r="J222" s="318" t="s">
        <v>5089</v>
      </c>
      <c r="K222" s="320" t="s">
        <v>28</v>
      </c>
    </row>
    <row r="223" spans="8:8" ht="15.75" customHeight="1">
      <c r="G223" s="283">
        <v>229.0</v>
      </c>
      <c r="H223" s="318" t="s">
        <v>5003</v>
      </c>
      <c r="I223" s="319">
        <v>250535.0</v>
      </c>
      <c r="J223" s="318" t="s">
        <v>5089</v>
      </c>
      <c r="K223" s="320" t="s">
        <v>28</v>
      </c>
    </row>
    <row r="224" spans="8:8" ht="15.75" customHeight="1">
      <c r="G224" s="283">
        <v>230.0</v>
      </c>
      <c r="H224" s="318" t="s">
        <v>1515</v>
      </c>
      <c r="I224" s="319">
        <v>250548.0</v>
      </c>
      <c r="J224" s="318" t="s">
        <v>5089</v>
      </c>
      <c r="K224" s="320" t="s">
        <v>28</v>
      </c>
    </row>
    <row r="225" spans="8:8" ht="15.75" customHeight="1">
      <c r="G225" s="283">
        <v>231.0</v>
      </c>
      <c r="H225" s="318" t="s">
        <v>1528</v>
      </c>
      <c r="I225" s="319">
        <v>250625.0</v>
      </c>
      <c r="J225" s="318" t="s">
        <v>5089</v>
      </c>
      <c r="K225" s="320" t="s">
        <v>28</v>
      </c>
    </row>
    <row r="226" spans="8:8" ht="15.75" customHeight="1">
      <c r="G226" s="283">
        <v>232.0</v>
      </c>
      <c r="H226" s="318" t="s">
        <v>1529</v>
      </c>
      <c r="I226" s="319">
        <v>250629.0</v>
      </c>
      <c r="J226" s="318" t="s">
        <v>5089</v>
      </c>
      <c r="K226" s="320" t="s">
        <v>28</v>
      </c>
    </row>
    <row r="227" spans="8:8" ht="15.75" customHeight="1">
      <c r="G227" s="283">
        <v>233.0</v>
      </c>
      <c r="H227" s="318" t="s">
        <v>1530</v>
      </c>
      <c r="I227" s="319">
        <v>250417.0</v>
      </c>
      <c r="J227" s="318" t="s">
        <v>5089</v>
      </c>
      <c r="K227" s="320" t="s">
        <v>28</v>
      </c>
    </row>
    <row r="228" spans="8:8" ht="15.75" customHeight="1">
      <c r="G228" s="283">
        <v>234.0</v>
      </c>
      <c r="H228" s="318" t="s">
        <v>5090</v>
      </c>
      <c r="I228" s="322"/>
      <c r="J228" s="318" t="s">
        <v>5089</v>
      </c>
      <c r="K228" s="320" t="s">
        <v>28</v>
      </c>
    </row>
    <row r="229" spans="8:8" ht="15.75" customHeight="1">
      <c r="G229" s="283">
        <v>235.0</v>
      </c>
      <c r="H229" s="318" t="s">
        <v>4512</v>
      </c>
      <c r="I229" s="319">
        <v>253079.0</v>
      </c>
      <c r="J229" s="318" t="s">
        <v>5089</v>
      </c>
      <c r="K229" s="320" t="s">
        <v>28</v>
      </c>
    </row>
    <row r="230" spans="8:8" ht="15.75" customHeight="1">
      <c r="G230" s="283">
        <v>236.0</v>
      </c>
      <c r="H230" s="318" t="s">
        <v>1476</v>
      </c>
      <c r="I230" s="319">
        <v>250558.0</v>
      </c>
      <c r="J230" s="318" t="s">
        <v>5089</v>
      </c>
      <c r="K230" s="320" t="s">
        <v>781</v>
      </c>
    </row>
    <row r="231" spans="8:8" ht="15.75" customHeight="1">
      <c r="G231" s="283">
        <v>237.0</v>
      </c>
      <c r="H231" s="318" t="s">
        <v>4999</v>
      </c>
      <c r="I231" s="319">
        <v>253058.0</v>
      </c>
      <c r="J231" s="318" t="s">
        <v>5089</v>
      </c>
      <c r="K231" s="320" t="s">
        <v>580</v>
      </c>
    </row>
    <row r="232" spans="8:8" ht="15.75" customHeight="1">
      <c r="G232" s="283">
        <v>238.0</v>
      </c>
      <c r="H232" s="317" t="s">
        <v>4442</v>
      </c>
      <c r="I232" s="283">
        <v>240242.0</v>
      </c>
      <c r="J232" s="318" t="s">
        <v>5091</v>
      </c>
      <c r="K232" s="283" t="s">
        <v>111</v>
      </c>
    </row>
    <row r="233" spans="8:8" ht="15.75" customHeight="1">
      <c r="G233" s="283">
        <v>239.0</v>
      </c>
      <c r="H233" s="317" t="s">
        <v>3224</v>
      </c>
      <c r="I233" s="283">
        <v>240450.0</v>
      </c>
      <c r="J233" s="318" t="s">
        <v>5091</v>
      </c>
      <c r="K233" s="283" t="s">
        <v>580</v>
      </c>
    </row>
    <row r="234" spans="8:8" ht="15.75" customHeight="1">
      <c r="G234" s="283">
        <v>240.0</v>
      </c>
      <c r="H234" s="317" t="s">
        <v>3225</v>
      </c>
      <c r="I234" s="283">
        <v>240453.0</v>
      </c>
      <c r="J234" s="318" t="s">
        <v>5091</v>
      </c>
      <c r="K234" s="283" t="s">
        <v>580</v>
      </c>
    </row>
    <row r="235" spans="8:8" ht="15.75" customHeight="1">
      <c r="G235" s="283">
        <v>241.0</v>
      </c>
      <c r="H235" s="317" t="s">
        <v>3226</v>
      </c>
      <c r="I235" s="283">
        <v>240457.0</v>
      </c>
      <c r="J235" s="318" t="s">
        <v>5091</v>
      </c>
      <c r="K235" s="283" t="s">
        <v>580</v>
      </c>
    </row>
    <row r="236" spans="8:8" ht="15.75" customHeight="1">
      <c r="G236" s="283">
        <v>242.0</v>
      </c>
      <c r="H236" s="317" t="s">
        <v>3227</v>
      </c>
      <c r="I236" s="283">
        <v>240258.0</v>
      </c>
      <c r="J236" s="318" t="s">
        <v>5091</v>
      </c>
      <c r="K236" s="283" t="s">
        <v>580</v>
      </c>
    </row>
    <row r="237" spans="8:8" ht="15.75" customHeight="1">
      <c r="G237" s="283">
        <v>243.0</v>
      </c>
      <c r="H237" s="317" t="s">
        <v>4523</v>
      </c>
      <c r="I237" s="283">
        <v>240259.0</v>
      </c>
      <c r="J237" s="318" t="s">
        <v>5091</v>
      </c>
      <c r="K237" s="283" t="s">
        <v>580</v>
      </c>
    </row>
    <row r="238" spans="8:8" ht="15.75" customHeight="1">
      <c r="G238" s="283">
        <v>244.0</v>
      </c>
      <c r="H238" s="317" t="s">
        <v>3228</v>
      </c>
      <c r="I238" s="283">
        <v>240315.0</v>
      </c>
      <c r="J238" s="318" t="s">
        <v>5091</v>
      </c>
      <c r="K238" s="283" t="s">
        <v>580</v>
      </c>
    </row>
    <row r="239" spans="8:8" ht="15.75" customHeight="1">
      <c r="G239" s="283">
        <v>245.0</v>
      </c>
      <c r="H239" s="317" t="s">
        <v>3229</v>
      </c>
      <c r="I239" s="283">
        <v>240321.0</v>
      </c>
      <c r="J239" s="318" t="s">
        <v>5091</v>
      </c>
      <c r="K239" s="283" t="s">
        <v>580</v>
      </c>
    </row>
    <row r="240" spans="8:8" ht="15.75" customHeight="1">
      <c r="G240" s="283">
        <v>246.0</v>
      </c>
      <c r="H240" s="317" t="s">
        <v>5092</v>
      </c>
      <c r="I240" s="283">
        <v>240326.0</v>
      </c>
      <c r="J240" s="318" t="s">
        <v>5091</v>
      </c>
      <c r="K240" s="283" t="s">
        <v>580</v>
      </c>
    </row>
    <row r="241" spans="8:8" ht="15.75" customHeight="1">
      <c r="G241" s="283">
        <v>247.0</v>
      </c>
      <c r="H241" s="317" t="s">
        <v>3230</v>
      </c>
      <c r="I241" s="283">
        <v>240328.0</v>
      </c>
      <c r="J241" s="318" t="s">
        <v>5091</v>
      </c>
      <c r="K241" s="283" t="s">
        <v>580</v>
      </c>
    </row>
    <row r="242" spans="8:8" ht="15.75" customHeight="1">
      <c r="G242" s="283">
        <v>248.0</v>
      </c>
      <c r="H242" s="317" t="s">
        <v>3231</v>
      </c>
      <c r="I242" s="283">
        <v>240329.0</v>
      </c>
      <c r="J242" s="318" t="s">
        <v>5091</v>
      </c>
      <c r="K242" s="283" t="s">
        <v>580</v>
      </c>
    </row>
    <row r="243" spans="8:8" ht="15.75" customHeight="1">
      <c r="G243" s="283">
        <v>249.0</v>
      </c>
      <c r="H243" s="317" t="s">
        <v>5082</v>
      </c>
      <c r="I243" s="283">
        <v>240331.0</v>
      </c>
      <c r="J243" s="318" t="s">
        <v>5091</v>
      </c>
      <c r="K243" s="283" t="s">
        <v>580</v>
      </c>
    </row>
    <row r="244" spans="8:8" ht="15.75" customHeight="1">
      <c r="G244" s="283">
        <v>250.0</v>
      </c>
      <c r="H244" s="317" t="s">
        <v>3232</v>
      </c>
      <c r="I244" s="283">
        <v>240342.0</v>
      </c>
      <c r="J244" s="318" t="s">
        <v>5091</v>
      </c>
      <c r="K244" s="283" t="s">
        <v>580</v>
      </c>
    </row>
    <row r="245" spans="8:8" ht="15.75" customHeight="1">
      <c r="G245" s="283">
        <v>251.0</v>
      </c>
      <c r="H245" s="317" t="s">
        <v>3233</v>
      </c>
      <c r="I245" s="283">
        <v>240366.0</v>
      </c>
      <c r="J245" s="318" t="s">
        <v>5091</v>
      </c>
      <c r="K245" s="283" t="s">
        <v>580</v>
      </c>
    </row>
    <row r="246" spans="8:8" ht="15.75" customHeight="1">
      <c r="G246" s="283">
        <v>252.0</v>
      </c>
      <c r="H246" s="317" t="s">
        <v>3234</v>
      </c>
      <c r="I246" s="283">
        <v>240461.0</v>
      </c>
      <c r="J246" s="318" t="s">
        <v>5091</v>
      </c>
      <c r="K246" s="283" t="s">
        <v>580</v>
      </c>
    </row>
    <row r="247" spans="8:8" ht="15.75" customHeight="1">
      <c r="G247" s="283">
        <v>254.0</v>
      </c>
      <c r="H247" s="317" t="s">
        <v>3249</v>
      </c>
      <c r="I247" s="283">
        <v>240044.0</v>
      </c>
      <c r="J247" s="318" t="s">
        <v>5091</v>
      </c>
      <c r="K247" s="283" t="s">
        <v>781</v>
      </c>
    </row>
    <row r="248" spans="8:8" ht="15.75" customHeight="1">
      <c r="G248" s="283">
        <v>255.0</v>
      </c>
      <c r="H248" s="317" t="s">
        <v>3250</v>
      </c>
      <c r="I248" s="283">
        <v>240070.0</v>
      </c>
      <c r="J248" s="318" t="s">
        <v>5091</v>
      </c>
      <c r="K248" s="283" t="s">
        <v>781</v>
      </c>
    </row>
    <row r="249" spans="8:8" ht="15.75" customHeight="1">
      <c r="G249" s="283">
        <v>256.0</v>
      </c>
      <c r="H249" s="317" t="s">
        <v>3251</v>
      </c>
      <c r="I249" s="283">
        <v>240074.0</v>
      </c>
      <c r="J249" s="318" t="s">
        <v>5091</v>
      </c>
      <c r="K249" s="283" t="s">
        <v>781</v>
      </c>
    </row>
    <row r="250" spans="8:8" ht="15.75" customHeight="1">
      <c r="G250" s="283">
        <v>257.0</v>
      </c>
      <c r="H250" s="317" t="s">
        <v>4687</v>
      </c>
      <c r="I250" s="283">
        <v>240025.0</v>
      </c>
      <c r="J250" s="318" t="s">
        <v>5091</v>
      </c>
      <c r="K250" s="283" t="s">
        <v>781</v>
      </c>
    </row>
    <row r="251" spans="8:8" ht="15.75" customHeight="1">
      <c r="G251" s="283">
        <v>258.0</v>
      </c>
      <c r="H251" s="317" t="s">
        <v>3252</v>
      </c>
      <c r="I251" s="283">
        <v>240088.0</v>
      </c>
      <c r="J251" s="318" t="s">
        <v>5091</v>
      </c>
      <c r="K251" s="283" t="s">
        <v>781</v>
      </c>
    </row>
    <row r="252" spans="8:8" ht="15.75" customHeight="1">
      <c r="G252" s="283">
        <v>259.0</v>
      </c>
      <c r="H252" s="317" t="s">
        <v>3253</v>
      </c>
      <c r="I252" s="283">
        <v>240159.0</v>
      </c>
      <c r="J252" s="318" t="s">
        <v>5091</v>
      </c>
      <c r="K252" s="283" t="s">
        <v>781</v>
      </c>
    </row>
    <row r="253" spans="8:8" ht="15.75" customHeight="1">
      <c r="G253" s="283">
        <v>260.0</v>
      </c>
      <c r="H253" s="317" t="s">
        <v>3254</v>
      </c>
      <c r="I253" s="283">
        <v>240157.0</v>
      </c>
      <c r="J253" s="318" t="s">
        <v>5091</v>
      </c>
      <c r="K253" s="283" t="s">
        <v>781</v>
      </c>
    </row>
    <row r="254" spans="8:8" ht="15.75" customHeight="1">
      <c r="G254" s="283">
        <v>261.0</v>
      </c>
      <c r="H254" s="317" t="s">
        <v>3256</v>
      </c>
      <c r="I254" s="283">
        <v>240082.0</v>
      </c>
      <c r="J254" s="318" t="s">
        <v>5091</v>
      </c>
      <c r="K254" s="283" t="s">
        <v>781</v>
      </c>
    </row>
    <row r="255" spans="8:8" ht="15.75" customHeight="1">
      <c r="G255" s="283">
        <v>262.0</v>
      </c>
      <c r="H255" s="317" t="s">
        <v>3257</v>
      </c>
      <c r="I255" s="283">
        <v>240211.0</v>
      </c>
      <c r="J255" s="318" t="s">
        <v>5091</v>
      </c>
      <c r="K255" s="283" t="s">
        <v>781</v>
      </c>
    </row>
    <row r="256" spans="8:8" ht="15.75" customHeight="1">
      <c r="G256" s="283">
        <v>263.0</v>
      </c>
      <c r="H256" s="317" t="s">
        <v>4524</v>
      </c>
      <c r="I256" s="283">
        <v>240137.0</v>
      </c>
      <c r="J256" s="318" t="s">
        <v>5091</v>
      </c>
      <c r="K256" s="283" t="s">
        <v>580</v>
      </c>
    </row>
    <row r="257" spans="8:8" ht="15.75" customHeight="1">
      <c r="G257" s="283">
        <v>264.0</v>
      </c>
      <c r="H257" s="317" t="s">
        <v>4700</v>
      </c>
      <c r="I257" s="283">
        <v>240164.0</v>
      </c>
      <c r="J257" s="318" t="s">
        <v>5091</v>
      </c>
      <c r="K257" s="283" t="s">
        <v>580</v>
      </c>
    </row>
    <row r="258" spans="8:8" ht="15.75" customHeight="1">
      <c r="G258" s="283">
        <v>265.0</v>
      </c>
      <c r="H258" s="317" t="s">
        <v>3237</v>
      </c>
      <c r="I258" s="283">
        <v>240015.0</v>
      </c>
      <c r="J258" s="318" t="s">
        <v>5091</v>
      </c>
      <c r="K258" s="283" t="s">
        <v>580</v>
      </c>
    </row>
    <row r="259" spans="8:8" ht="15.75" customHeight="1">
      <c r="G259" s="283">
        <v>266.0</v>
      </c>
      <c r="H259" s="317" t="s">
        <v>3202</v>
      </c>
      <c r="I259" s="283">
        <v>240019.0</v>
      </c>
      <c r="J259" s="318" t="s">
        <v>5091</v>
      </c>
      <c r="K259" s="283" t="s">
        <v>28</v>
      </c>
    </row>
    <row r="260" spans="8:8" ht="15.75" customHeight="1">
      <c r="G260" s="283">
        <v>267.0</v>
      </c>
      <c r="H260" s="317" t="s">
        <v>3204</v>
      </c>
      <c r="I260" s="283">
        <v>240236.0</v>
      </c>
      <c r="J260" s="318" t="s">
        <v>5091</v>
      </c>
      <c r="K260" s="283" t="s">
        <v>28</v>
      </c>
    </row>
    <row r="261" spans="8:8" ht="15.75" customHeight="1">
      <c r="G261" s="283">
        <v>268.0</v>
      </c>
      <c r="H261" s="317" t="s">
        <v>4025</v>
      </c>
      <c r="I261" s="283">
        <v>252940.0</v>
      </c>
      <c r="J261" s="317" t="s">
        <v>5093</v>
      </c>
      <c r="K261" s="283" t="s">
        <v>28</v>
      </c>
    </row>
    <row r="262" spans="8:8" ht="15.75" customHeight="1">
      <c r="G262" s="283">
        <v>269.0</v>
      </c>
      <c r="H262" s="317" t="s">
        <v>4721</v>
      </c>
      <c r="I262" s="283">
        <v>252787.0</v>
      </c>
      <c r="J262" s="317" t="s">
        <v>5093</v>
      </c>
      <c r="K262" s="283" t="s">
        <v>28</v>
      </c>
    </row>
    <row r="263" spans="8:8" ht="15.75" customHeight="1">
      <c r="G263" s="283">
        <v>270.0</v>
      </c>
      <c r="H263" s="317" t="s">
        <v>4722</v>
      </c>
      <c r="I263" s="283">
        <v>252596.0</v>
      </c>
      <c r="J263" s="317" t="s">
        <v>5093</v>
      </c>
      <c r="K263" s="283" t="s">
        <v>28</v>
      </c>
    </row>
    <row r="264" spans="8:8" ht="15.75" customHeight="1">
      <c r="G264" s="283">
        <v>271.0</v>
      </c>
      <c r="H264" s="317" t="s">
        <v>1866</v>
      </c>
      <c r="I264" s="283">
        <v>252758.0</v>
      </c>
      <c r="J264" s="317" t="s">
        <v>5093</v>
      </c>
      <c r="K264" s="283" t="s">
        <v>28</v>
      </c>
    </row>
    <row r="265" spans="8:8" ht="15.75" customHeight="1">
      <c r="G265" s="283">
        <v>272.0</v>
      </c>
      <c r="H265" s="317" t="s">
        <v>4027</v>
      </c>
      <c r="I265" s="283">
        <v>252756.0</v>
      </c>
      <c r="J265" s="317" t="s">
        <v>5093</v>
      </c>
      <c r="K265" s="283" t="s">
        <v>28</v>
      </c>
    </row>
    <row r="266" spans="8:8" ht="15.75" customHeight="1">
      <c r="G266" s="283">
        <v>273.0</v>
      </c>
      <c r="H266" s="317" t="s">
        <v>4725</v>
      </c>
      <c r="I266" s="283">
        <v>252950.0</v>
      </c>
      <c r="J266" s="317" t="s">
        <v>5093</v>
      </c>
      <c r="K266" s="283" t="s">
        <v>28</v>
      </c>
    </row>
    <row r="267" spans="8:8" ht="15.75" customHeight="1">
      <c r="G267" s="283">
        <v>274.0</v>
      </c>
      <c r="H267" s="317" t="s">
        <v>2502</v>
      </c>
      <c r="I267" s="283">
        <v>252761.0</v>
      </c>
      <c r="J267" s="317" t="s">
        <v>5093</v>
      </c>
      <c r="K267" s="283" t="s">
        <v>28</v>
      </c>
    </row>
    <row r="268" spans="8:8" ht="15.75" customHeight="1">
      <c r="G268" s="283">
        <v>275.0</v>
      </c>
      <c r="H268" s="317" t="s">
        <v>4959</v>
      </c>
      <c r="I268" s="283">
        <v>252945.0</v>
      </c>
      <c r="J268" s="317" t="s">
        <v>5093</v>
      </c>
      <c r="K268" s="283" t="s">
        <v>28</v>
      </c>
    </row>
    <row r="269" spans="8:8" ht="15.75" customHeight="1">
      <c r="G269" s="283">
        <v>276.0</v>
      </c>
      <c r="H269" s="317" t="s">
        <v>3205</v>
      </c>
      <c r="I269" s="283">
        <v>252994.0</v>
      </c>
      <c r="J269" s="317" t="s">
        <v>5093</v>
      </c>
      <c r="K269" s="283" t="s">
        <v>28</v>
      </c>
    </row>
    <row r="270" spans="8:8" ht="15.75" customHeight="1">
      <c r="G270" s="283">
        <v>277.0</v>
      </c>
      <c r="H270" s="317" t="s">
        <v>3206</v>
      </c>
      <c r="I270" s="283">
        <v>252581.0</v>
      </c>
      <c r="J270" s="317" t="s">
        <v>5093</v>
      </c>
      <c r="K270" s="283" t="s">
        <v>28</v>
      </c>
    </row>
    <row r="271" spans="8:8" ht="15.75" customHeight="1">
      <c r="G271" s="283">
        <v>278.0</v>
      </c>
      <c r="H271" s="317" t="s">
        <v>2917</v>
      </c>
      <c r="I271" s="283">
        <v>253088.0</v>
      </c>
      <c r="J271" s="317" t="s">
        <v>5093</v>
      </c>
      <c r="K271" s="283" t="s">
        <v>28</v>
      </c>
    </row>
    <row r="272" spans="8:8" ht="15.75" customHeight="1">
      <c r="G272" s="283">
        <v>279.0</v>
      </c>
      <c r="H272" s="317" t="s">
        <v>4674</v>
      </c>
      <c r="I272" s="283">
        <v>252861.0</v>
      </c>
      <c r="J272" s="317" t="s">
        <v>5093</v>
      </c>
      <c r="K272" s="283" t="s">
        <v>28</v>
      </c>
    </row>
    <row r="273" spans="8:8" ht="15.75" customHeight="1">
      <c r="G273" s="283">
        <v>280.0</v>
      </c>
      <c r="H273" s="317" t="s">
        <v>5027</v>
      </c>
      <c r="I273" s="283">
        <v>252953.0</v>
      </c>
      <c r="J273" s="317" t="s">
        <v>5093</v>
      </c>
      <c r="K273" s="283" t="s">
        <v>28</v>
      </c>
    </row>
    <row r="274" spans="8:8" ht="15.75" customHeight="1">
      <c r="G274" s="283">
        <v>281.0</v>
      </c>
      <c r="H274" s="317" t="s">
        <v>4675</v>
      </c>
      <c r="I274" s="283">
        <v>252485.0</v>
      </c>
      <c r="J274" s="317" t="s">
        <v>5093</v>
      </c>
      <c r="K274" s="283" t="s">
        <v>28</v>
      </c>
    </row>
    <row r="275" spans="8:8" ht="15.75" customHeight="1">
      <c r="G275" s="283">
        <v>282.0</v>
      </c>
      <c r="H275" s="317" t="s">
        <v>3209</v>
      </c>
      <c r="I275" s="283">
        <v>252750.0</v>
      </c>
      <c r="J275" s="317" t="s">
        <v>5093</v>
      </c>
      <c r="K275" s="283" t="s">
        <v>28</v>
      </c>
    </row>
    <row r="276" spans="8:8" ht="15.75" customHeight="1">
      <c r="G276" s="283">
        <v>283.0</v>
      </c>
      <c r="H276" s="317" t="s">
        <v>4676</v>
      </c>
      <c r="I276" s="283">
        <v>252757.0</v>
      </c>
      <c r="J276" s="317" t="s">
        <v>5093</v>
      </c>
      <c r="K276" s="283" t="s">
        <v>28</v>
      </c>
    </row>
    <row r="277" spans="8:8" ht="15.75" customHeight="1">
      <c r="G277" s="283">
        <v>284.0</v>
      </c>
      <c r="H277" s="317" t="s">
        <v>2915</v>
      </c>
      <c r="I277" s="283">
        <v>253089.0</v>
      </c>
      <c r="J277" s="317" t="s">
        <v>5093</v>
      </c>
      <c r="K277" s="283" t="s">
        <v>28</v>
      </c>
    </row>
    <row r="278" spans="8:8" ht="15.75" customHeight="1">
      <c r="G278" s="283">
        <v>285.0</v>
      </c>
      <c r="H278" s="317" t="s">
        <v>3210</v>
      </c>
      <c r="I278" s="283">
        <v>252836.0</v>
      </c>
      <c r="J278" s="317" t="s">
        <v>5093</v>
      </c>
      <c r="K278" s="283" t="s">
        <v>28</v>
      </c>
    </row>
    <row r="279" spans="8:8" ht="15.75" customHeight="1">
      <c r="G279" s="283">
        <v>286.0</v>
      </c>
      <c r="H279" s="317" t="s">
        <v>4026</v>
      </c>
      <c r="I279" s="283">
        <v>252536.0</v>
      </c>
      <c r="J279" s="317" t="s">
        <v>5093</v>
      </c>
      <c r="K279" s="283" t="s">
        <v>28</v>
      </c>
    </row>
    <row r="280" spans="8:8" ht="15.75" customHeight="1">
      <c r="G280" s="283">
        <v>287.0</v>
      </c>
      <c r="H280" s="317" t="s">
        <v>5094</v>
      </c>
      <c r="I280" s="323"/>
      <c r="J280" s="317" t="s">
        <v>5019</v>
      </c>
      <c r="K280" s="283" t="s">
        <v>28</v>
      </c>
    </row>
    <row r="281" spans="8:8" ht="15.75" customHeight="1">
      <c r="G281" s="283">
        <v>288.0</v>
      </c>
      <c r="H281" s="317" t="s">
        <v>4638</v>
      </c>
      <c r="I281" s="283">
        <v>253067.0</v>
      </c>
      <c r="J281" s="317" t="s">
        <v>5093</v>
      </c>
      <c r="K281" s="283" t="s">
        <v>28</v>
      </c>
    </row>
    <row r="282" spans="8:8" ht="15.75" customHeight="1">
      <c r="G282" s="283">
        <v>289.0</v>
      </c>
      <c r="H282" s="317" t="s">
        <v>5031</v>
      </c>
      <c r="I282" s="283">
        <v>252511.0</v>
      </c>
      <c r="J282" s="317" t="s">
        <v>5093</v>
      </c>
      <c r="K282" s="283" t="s">
        <v>28</v>
      </c>
    </row>
    <row r="283" spans="8:8" ht="15.75" customHeight="1">
      <c r="G283" s="283">
        <v>290.0</v>
      </c>
      <c r="H283" s="317" t="s">
        <v>4639</v>
      </c>
      <c r="I283" s="283">
        <v>252943.0</v>
      </c>
      <c r="J283" s="317" t="s">
        <v>5093</v>
      </c>
      <c r="K283" s="283" t="s">
        <v>28</v>
      </c>
    </row>
    <row r="284" spans="8:8" ht="15.75" customHeight="1">
      <c r="G284" s="283">
        <v>291.0</v>
      </c>
      <c r="H284" s="317" t="s">
        <v>4640</v>
      </c>
      <c r="I284" s="283">
        <v>252554.0</v>
      </c>
      <c r="J284" s="317" t="s">
        <v>5093</v>
      </c>
      <c r="K284" s="283" t="s">
        <v>28</v>
      </c>
    </row>
    <row r="285" spans="8:8" ht="15.75" customHeight="1">
      <c r="G285" s="283">
        <v>292.0</v>
      </c>
      <c r="H285" s="317" t="s">
        <v>5033</v>
      </c>
      <c r="I285" s="283">
        <v>252550.0</v>
      </c>
      <c r="J285" s="317" t="s">
        <v>5093</v>
      </c>
      <c r="K285" s="283" t="s">
        <v>28</v>
      </c>
    </row>
    <row r="286" spans="8:8" ht="15.75" customHeight="1">
      <c r="G286" s="283">
        <v>293.0</v>
      </c>
      <c r="H286" s="317" t="s">
        <v>4611</v>
      </c>
      <c r="I286" s="283">
        <v>252579.0</v>
      </c>
      <c r="J286" s="317" t="s">
        <v>5093</v>
      </c>
      <c r="K286" s="283" t="s">
        <v>28</v>
      </c>
    </row>
    <row r="287" spans="8:8" ht="15.75" customHeight="1">
      <c r="G287" s="283">
        <v>294.0</v>
      </c>
      <c r="H287" s="317" t="s">
        <v>2896</v>
      </c>
      <c r="I287" s="283">
        <v>252989.0</v>
      </c>
      <c r="J287" s="317" t="s">
        <v>5093</v>
      </c>
      <c r="K287" s="283" t="s">
        <v>28</v>
      </c>
    </row>
    <row r="288" spans="8:8" ht="15.75" customHeight="1">
      <c r="G288" s="283">
        <v>295.0</v>
      </c>
      <c r="H288" s="317" t="s">
        <v>2490</v>
      </c>
      <c r="I288" s="283">
        <v>252593.0</v>
      </c>
      <c r="J288" s="317" t="s">
        <v>5093</v>
      </c>
      <c r="K288" s="283" t="s">
        <v>28</v>
      </c>
    </row>
    <row r="289" spans="8:8" ht="15.75" customHeight="1">
      <c r="G289" s="283">
        <v>296.0</v>
      </c>
      <c r="H289" s="317" t="s">
        <v>2955</v>
      </c>
      <c r="I289" s="283">
        <v>252597.0</v>
      </c>
      <c r="J289" s="317" t="s">
        <v>5093</v>
      </c>
      <c r="K289" s="283" t="s">
        <v>28</v>
      </c>
    </row>
    <row r="290" spans="8:8" ht="15.75" customHeight="1">
      <c r="G290" s="283">
        <v>297.0</v>
      </c>
      <c r="H290" s="317" t="s">
        <v>2491</v>
      </c>
      <c r="I290" s="283">
        <v>252608.0</v>
      </c>
      <c r="J290" s="317" t="s">
        <v>5093</v>
      </c>
      <c r="K290" s="283" t="s">
        <v>28</v>
      </c>
    </row>
    <row r="291" spans="8:8" ht="15.75" customHeight="1">
      <c r="G291" s="283">
        <v>298.0</v>
      </c>
      <c r="H291" s="317" t="s">
        <v>4637</v>
      </c>
      <c r="I291" s="283">
        <v>252653.0</v>
      </c>
      <c r="J291" s="317" t="s">
        <v>5093</v>
      </c>
      <c r="K291" s="283" t="s">
        <v>28</v>
      </c>
    </row>
    <row r="292" spans="8:8" ht="15.75" customHeight="1">
      <c r="G292" s="283">
        <v>299.0</v>
      </c>
      <c r="H292" s="317" t="s">
        <v>2909</v>
      </c>
      <c r="I292" s="283">
        <v>253020.0</v>
      </c>
      <c r="J292" s="317" t="s">
        <v>5093</v>
      </c>
      <c r="K292" s="283" t="s">
        <v>28</v>
      </c>
    </row>
    <row r="293" spans="8:8" ht="15.75" customHeight="1">
      <c r="G293" s="283">
        <v>300.0</v>
      </c>
      <c r="H293" s="317" t="s">
        <v>2924</v>
      </c>
      <c r="I293" s="283">
        <v>252998.0</v>
      </c>
      <c r="J293" s="317" t="s">
        <v>5093</v>
      </c>
      <c r="K293" s="283" t="s">
        <v>28</v>
      </c>
    </row>
    <row r="294" spans="8:8" ht="15.75" customHeight="1">
      <c r="G294" s="283">
        <v>301.0</v>
      </c>
      <c r="H294" s="317" t="s">
        <v>2492</v>
      </c>
      <c r="I294" s="283">
        <v>252793.0</v>
      </c>
      <c r="J294" s="317" t="s">
        <v>5093</v>
      </c>
      <c r="K294" s="283" t="s">
        <v>28</v>
      </c>
    </row>
    <row r="295" spans="8:8" ht="15.75" customHeight="1">
      <c r="G295" s="283">
        <v>302.0</v>
      </c>
      <c r="H295" s="317" t="s">
        <v>2493</v>
      </c>
      <c r="I295" s="283">
        <v>252647.0</v>
      </c>
      <c r="J295" s="317" t="s">
        <v>5093</v>
      </c>
      <c r="K295" s="283" t="s">
        <v>28</v>
      </c>
    </row>
    <row r="296" spans="8:8" ht="15.75" customHeight="1">
      <c r="G296" s="283">
        <v>303.0</v>
      </c>
      <c r="H296" s="317" t="s">
        <v>2494</v>
      </c>
      <c r="I296" s="283">
        <v>252642.0</v>
      </c>
      <c r="J296" s="317" t="s">
        <v>5093</v>
      </c>
      <c r="K296" s="283" t="s">
        <v>28</v>
      </c>
    </row>
    <row r="297" spans="8:8" ht="15.75" customHeight="1">
      <c r="G297" s="283">
        <v>304.0</v>
      </c>
      <c r="H297" s="317" t="s">
        <v>2925</v>
      </c>
      <c r="I297" s="283">
        <v>252658.0</v>
      </c>
      <c r="J297" s="317" t="s">
        <v>5093</v>
      </c>
      <c r="K297" s="283" t="s">
        <v>28</v>
      </c>
    </row>
    <row r="298" spans="8:8" ht="15.75" customHeight="1">
      <c r="G298" s="283">
        <v>305.0</v>
      </c>
      <c r="H298" s="317" t="s">
        <v>2495</v>
      </c>
      <c r="I298" s="283">
        <v>252660.0</v>
      </c>
      <c r="J298" s="317" t="s">
        <v>5093</v>
      </c>
      <c r="K298" s="283" t="s">
        <v>28</v>
      </c>
    </row>
    <row r="299" spans="8:8" ht="15.75" customHeight="1">
      <c r="G299" s="283">
        <v>306.0</v>
      </c>
      <c r="H299" s="317" t="s">
        <v>2496</v>
      </c>
      <c r="I299" s="283">
        <v>252637.0</v>
      </c>
      <c r="J299" s="317" t="s">
        <v>5093</v>
      </c>
      <c r="K299" s="283" t="s">
        <v>28</v>
      </c>
    </row>
    <row r="300" spans="8:8" ht="15.75" customHeight="1">
      <c r="G300" s="283">
        <v>307.0</v>
      </c>
      <c r="H300" s="317" t="s">
        <v>5039</v>
      </c>
      <c r="I300" s="283">
        <v>252663.0</v>
      </c>
      <c r="J300" s="317" t="s">
        <v>5093</v>
      </c>
      <c r="K300" s="283" t="s">
        <v>28</v>
      </c>
    </row>
    <row r="301" spans="8:8" ht="15.75" customHeight="1">
      <c r="G301" s="283">
        <v>308.0</v>
      </c>
      <c r="H301" s="317" t="s">
        <v>5095</v>
      </c>
      <c r="I301" s="323"/>
      <c r="J301" s="317" t="s">
        <v>5038</v>
      </c>
      <c r="K301" s="283" t="s">
        <v>28</v>
      </c>
    </row>
    <row r="302" spans="8:8" ht="15.75" customHeight="1">
      <c r="G302" s="283">
        <v>309.0</v>
      </c>
      <c r="H302" s="317" t="s">
        <v>2505</v>
      </c>
      <c r="I302" s="283">
        <v>252666.0</v>
      </c>
      <c r="J302" s="317" t="s">
        <v>5093</v>
      </c>
      <c r="K302" s="283" t="s">
        <v>28</v>
      </c>
    </row>
    <row r="303" spans="8:8" ht="15.75" customHeight="1">
      <c r="G303" s="283">
        <v>310.0</v>
      </c>
      <c r="H303" s="317" t="s">
        <v>2506</v>
      </c>
      <c r="I303" s="283">
        <v>252670.0</v>
      </c>
      <c r="J303" s="317" t="s">
        <v>5093</v>
      </c>
      <c r="K303" s="283" t="s">
        <v>28</v>
      </c>
    </row>
    <row r="304" spans="8:8" ht="15.75" customHeight="1">
      <c r="G304" s="283">
        <v>311.0</v>
      </c>
      <c r="H304" s="317" t="s">
        <v>2507</v>
      </c>
      <c r="I304" s="283">
        <v>252854.0</v>
      </c>
      <c r="J304" s="317" t="s">
        <v>5093</v>
      </c>
      <c r="K304" s="283" t="s">
        <v>28</v>
      </c>
    </row>
    <row r="305" spans="8:8" ht="15.75" customHeight="1">
      <c r="G305" s="283">
        <v>312.0</v>
      </c>
      <c r="H305" s="317" t="s">
        <v>4635</v>
      </c>
      <c r="I305" s="283">
        <v>252673.0</v>
      </c>
      <c r="J305" s="317" t="s">
        <v>5093</v>
      </c>
      <c r="K305" s="283" t="s">
        <v>28</v>
      </c>
    </row>
    <row r="306" spans="8:8" ht="15.75" customHeight="1">
      <c r="G306" s="283">
        <v>313.0</v>
      </c>
      <c r="H306" s="317" t="s">
        <v>2908</v>
      </c>
      <c r="I306" s="283">
        <v>252675.0</v>
      </c>
      <c r="J306" s="317" t="s">
        <v>5093</v>
      </c>
      <c r="K306" s="283" t="s">
        <v>28</v>
      </c>
    </row>
    <row r="307" spans="8:8" ht="15.75" customHeight="1">
      <c r="G307" s="283">
        <v>314.0</v>
      </c>
      <c r="H307" s="317" t="s">
        <v>4634</v>
      </c>
      <c r="I307" s="283">
        <v>252569.0</v>
      </c>
      <c r="J307" s="317" t="s">
        <v>5093</v>
      </c>
      <c r="K307" s="283" t="s">
        <v>28</v>
      </c>
    </row>
    <row r="308" spans="8:8" ht="15.75" customHeight="1">
      <c r="G308" s="283">
        <v>315.0</v>
      </c>
      <c r="H308" s="317" t="s">
        <v>2508</v>
      </c>
      <c r="I308" s="283">
        <v>252685.0</v>
      </c>
      <c r="J308" s="317" t="s">
        <v>5093</v>
      </c>
      <c r="K308" s="283" t="s">
        <v>28</v>
      </c>
    </row>
    <row r="309" spans="8:8" ht="15.75" customHeight="1">
      <c r="G309" s="283">
        <v>316.0</v>
      </c>
      <c r="H309" s="317" t="s">
        <v>4609</v>
      </c>
      <c r="I309" s="283">
        <v>252703.0</v>
      </c>
      <c r="J309" s="317" t="s">
        <v>5093</v>
      </c>
      <c r="K309" s="283" t="s">
        <v>28</v>
      </c>
    </row>
    <row r="310" spans="8:8" ht="15.75" customHeight="1">
      <c r="G310" s="283">
        <v>317.0</v>
      </c>
      <c r="H310" s="317" t="s">
        <v>2509</v>
      </c>
      <c r="I310" s="283">
        <v>252712.0</v>
      </c>
      <c r="J310" s="317" t="s">
        <v>5093</v>
      </c>
      <c r="K310" s="283" t="s">
        <v>28</v>
      </c>
    </row>
    <row r="311" spans="8:8" ht="15.75" customHeight="1">
      <c r="G311" s="283">
        <v>318.0</v>
      </c>
      <c r="H311" s="317" t="s">
        <v>2926</v>
      </c>
      <c r="I311" s="283">
        <v>252843.0</v>
      </c>
      <c r="J311" s="317" t="s">
        <v>5093</v>
      </c>
      <c r="K311" s="283" t="s">
        <v>28</v>
      </c>
    </row>
    <row r="312" spans="8:8" ht="15.75" customHeight="1">
      <c r="G312" s="283">
        <v>319.0</v>
      </c>
      <c r="H312" s="317" t="s">
        <v>2510</v>
      </c>
      <c r="I312" s="283">
        <v>252715.0</v>
      </c>
      <c r="J312" s="317" t="s">
        <v>5093</v>
      </c>
      <c r="K312" s="283" t="s">
        <v>28</v>
      </c>
    </row>
    <row r="313" spans="8:8" ht="15.75" customHeight="1">
      <c r="G313" s="283">
        <v>320.0</v>
      </c>
      <c r="H313" s="317" t="s">
        <v>2511</v>
      </c>
      <c r="I313" s="283">
        <v>252716.0</v>
      </c>
      <c r="J313" s="317" t="s">
        <v>5093</v>
      </c>
      <c r="K313" s="283" t="s">
        <v>28</v>
      </c>
    </row>
    <row r="314" spans="8:8" ht="15.75" customHeight="1">
      <c r="G314" s="283">
        <v>321.0</v>
      </c>
      <c r="H314" s="317" t="s">
        <v>4592</v>
      </c>
      <c r="I314" s="283">
        <v>252723.0</v>
      </c>
      <c r="J314" s="317" t="s">
        <v>5093</v>
      </c>
      <c r="K314" s="283" t="s">
        <v>28</v>
      </c>
    </row>
    <row r="315" spans="8:8" ht="15.75" customHeight="1">
      <c r="G315" s="283">
        <v>322.0</v>
      </c>
      <c r="H315" s="317" t="s">
        <v>2910</v>
      </c>
      <c r="I315" s="283">
        <v>252725.0</v>
      </c>
      <c r="J315" s="317" t="s">
        <v>5093</v>
      </c>
      <c r="K315" s="283" t="s">
        <v>28</v>
      </c>
    </row>
    <row r="316" spans="8:8" ht="15.75" customHeight="1">
      <c r="G316" s="283">
        <v>323.0</v>
      </c>
      <c r="H316" s="317" t="s">
        <v>2911</v>
      </c>
      <c r="I316" s="283">
        <v>252726.0</v>
      </c>
      <c r="J316" s="317" t="s">
        <v>5093</v>
      </c>
      <c r="K316" s="283" t="s">
        <v>28</v>
      </c>
    </row>
    <row r="317" spans="8:8" ht="15.75" customHeight="1">
      <c r="G317" s="283">
        <v>324.0</v>
      </c>
      <c r="H317" s="317" t="s">
        <v>4613</v>
      </c>
      <c r="I317" s="283">
        <v>252735.0</v>
      </c>
      <c r="J317" s="317" t="s">
        <v>5093</v>
      </c>
      <c r="K317" s="283" t="s">
        <v>28</v>
      </c>
    </row>
    <row r="318" spans="8:8" ht="15.75" customHeight="1">
      <c r="G318" s="283">
        <v>325.0</v>
      </c>
      <c r="H318" s="317" t="s">
        <v>4760</v>
      </c>
      <c r="I318" s="283">
        <v>252708.0</v>
      </c>
      <c r="J318" s="317" t="s">
        <v>5093</v>
      </c>
      <c r="K318" s="283" t="s">
        <v>28</v>
      </c>
    </row>
    <row r="319" spans="8:8" ht="15.75" customHeight="1">
      <c r="G319" s="283">
        <v>326.0</v>
      </c>
      <c r="H319" s="317" t="s">
        <v>5096</v>
      </c>
      <c r="I319" s="323"/>
      <c r="J319" s="317" t="s">
        <v>5038</v>
      </c>
      <c r="K319" s="283" t="s">
        <v>28</v>
      </c>
    </row>
    <row r="320" spans="8:8" ht="15.75" customHeight="1">
      <c r="G320" s="283">
        <v>327.0</v>
      </c>
      <c r="H320" s="317" t="s">
        <v>4761</v>
      </c>
      <c r="I320" s="283">
        <v>252744.0</v>
      </c>
      <c r="J320" s="317" t="s">
        <v>5093</v>
      </c>
      <c r="K320" s="283" t="s">
        <v>28</v>
      </c>
    </row>
    <row r="321" spans="8:8" ht="15.75" customHeight="1">
      <c r="G321" s="283">
        <v>328.0</v>
      </c>
      <c r="H321" s="317" t="s">
        <v>4765</v>
      </c>
      <c r="I321" s="283">
        <v>252850.0</v>
      </c>
      <c r="J321" s="317" t="s">
        <v>5093</v>
      </c>
      <c r="K321" s="283" t="s">
        <v>28</v>
      </c>
    </row>
    <row r="322" spans="8:8" ht="15.75" customHeight="1">
      <c r="G322" s="283">
        <v>329.0</v>
      </c>
      <c r="H322" s="317" t="s">
        <v>4899</v>
      </c>
      <c r="I322" s="283">
        <v>252762.0</v>
      </c>
      <c r="J322" s="317" t="s">
        <v>5093</v>
      </c>
      <c r="K322" s="283" t="s">
        <v>28</v>
      </c>
    </row>
    <row r="323" spans="8:8" ht="15.75" customHeight="1">
      <c r="G323" s="283">
        <v>330.0</v>
      </c>
      <c r="H323" s="317" t="s">
        <v>3221</v>
      </c>
      <c r="I323" s="283">
        <v>252770.0</v>
      </c>
      <c r="J323" s="317" t="s">
        <v>5093</v>
      </c>
      <c r="K323" s="283" t="s">
        <v>28</v>
      </c>
    </row>
    <row r="324" spans="8:8" ht="15.75" customHeight="1">
      <c r="G324" s="283">
        <v>331.0</v>
      </c>
      <c r="H324" s="317" t="s">
        <v>4418</v>
      </c>
      <c r="I324" s="283">
        <v>252977.0</v>
      </c>
      <c r="J324" s="317" t="s">
        <v>5093</v>
      </c>
      <c r="K324" s="283" t="s">
        <v>28</v>
      </c>
    </row>
    <row r="325" spans="8:8" ht="15.75" customHeight="1">
      <c r="G325" s="283">
        <v>332.0</v>
      </c>
      <c r="H325" s="317" t="s">
        <v>4723</v>
      </c>
      <c r="I325" s="283">
        <v>252808.0</v>
      </c>
      <c r="J325" s="317" t="s">
        <v>5093</v>
      </c>
      <c r="K325" s="283" t="s">
        <v>28</v>
      </c>
    </row>
    <row r="326" spans="8:8" ht="15.75" customHeight="1">
      <c r="G326" s="283">
        <v>333.0</v>
      </c>
      <c r="H326" s="317" t="s">
        <v>2952</v>
      </c>
      <c r="I326" s="283">
        <v>252646.0</v>
      </c>
      <c r="J326" s="317" t="s">
        <v>5093</v>
      </c>
      <c r="K326" s="283" t="s">
        <v>28</v>
      </c>
    </row>
    <row r="327" spans="8:8" ht="15.75" customHeight="1">
      <c r="G327" s="283">
        <v>334.0</v>
      </c>
      <c r="H327" s="317" t="s">
        <v>2497</v>
      </c>
      <c r="I327" s="283">
        <v>252484.0</v>
      </c>
      <c r="J327" s="317" t="s">
        <v>5093</v>
      </c>
      <c r="K327" s="283" t="s">
        <v>28</v>
      </c>
    </row>
    <row r="328" spans="8:8" ht="15.75" customHeight="1">
      <c r="G328" s="283">
        <v>335.0</v>
      </c>
      <c r="H328" s="317" t="s">
        <v>4614</v>
      </c>
      <c r="I328" s="283">
        <v>252797.0</v>
      </c>
      <c r="J328" s="317" t="s">
        <v>5093</v>
      </c>
      <c r="K328" s="283" t="s">
        <v>28</v>
      </c>
    </row>
    <row r="329" spans="8:8" ht="15.75" customHeight="1">
      <c r="G329" s="283">
        <v>336.0</v>
      </c>
      <c r="H329" s="317" t="s">
        <v>4695</v>
      </c>
      <c r="I329" s="283">
        <v>252830.0</v>
      </c>
      <c r="J329" s="317" t="s">
        <v>5093</v>
      </c>
      <c r="K329" s="283" t="s">
        <v>28</v>
      </c>
    </row>
    <row r="330" spans="8:8" ht="15.75" customHeight="1">
      <c r="G330" s="283">
        <v>337.0</v>
      </c>
      <c r="H330" s="317" t="s">
        <v>4652</v>
      </c>
      <c r="I330" s="283">
        <v>253028.0</v>
      </c>
      <c r="J330" s="317" t="s">
        <v>5093</v>
      </c>
      <c r="K330" s="283" t="s">
        <v>28</v>
      </c>
    </row>
    <row r="331" spans="8:8" ht="15.75" customHeight="1">
      <c r="G331" s="283">
        <v>338.0</v>
      </c>
      <c r="H331" s="317" t="s">
        <v>4696</v>
      </c>
      <c r="I331" s="283">
        <v>252514.0</v>
      </c>
      <c r="J331" s="317" t="s">
        <v>5093</v>
      </c>
      <c r="K331" s="283" t="s">
        <v>111</v>
      </c>
    </row>
    <row r="332" spans="8:8" ht="15.75" customHeight="1">
      <c r="G332" s="283">
        <v>339.0</v>
      </c>
      <c r="H332" s="317" t="s">
        <v>4435</v>
      </c>
      <c r="I332" s="283">
        <v>252754.0</v>
      </c>
      <c r="J332" s="317" t="s">
        <v>5093</v>
      </c>
      <c r="K332" s="283" t="s">
        <v>111</v>
      </c>
    </row>
    <row r="333" spans="8:8" ht="15.75" customHeight="1">
      <c r="G333" s="283">
        <v>340.0</v>
      </c>
      <c r="H333" s="317" t="s">
        <v>4904</v>
      </c>
      <c r="I333" s="283">
        <v>252736.0</v>
      </c>
      <c r="J333" s="317" t="s">
        <v>5093</v>
      </c>
      <c r="K333" s="283" t="s">
        <v>111</v>
      </c>
    </row>
    <row r="334" spans="8:8" ht="15.75" customHeight="1">
      <c r="G334" s="283">
        <v>341.0</v>
      </c>
      <c r="H334" s="317" t="s">
        <v>4733</v>
      </c>
      <c r="I334" s="283">
        <v>253022.0</v>
      </c>
      <c r="J334" s="317" t="s">
        <v>5093</v>
      </c>
      <c r="K334" s="283" t="s">
        <v>111</v>
      </c>
    </row>
    <row r="335" spans="8:8" ht="15.75" customHeight="1">
      <c r="G335" s="283">
        <v>342.0</v>
      </c>
      <c r="H335" s="317" t="s">
        <v>4436</v>
      </c>
      <c r="I335" s="283">
        <v>252931.0</v>
      </c>
      <c r="J335" s="317" t="s">
        <v>5093</v>
      </c>
      <c r="K335" s="283" t="s">
        <v>111</v>
      </c>
    </row>
    <row r="336" spans="8:8" ht="15.75" customHeight="1">
      <c r="G336" s="283">
        <v>343.0</v>
      </c>
      <c r="H336" s="317" t="s">
        <v>4735</v>
      </c>
      <c r="I336" s="283">
        <v>253139.0</v>
      </c>
      <c r="J336" s="317" t="s">
        <v>5093</v>
      </c>
      <c r="K336" s="283" t="s">
        <v>111</v>
      </c>
    </row>
    <row r="337" spans="8:8" ht="15.75" customHeight="1">
      <c r="G337" s="283">
        <v>344.0</v>
      </c>
      <c r="H337" s="317" t="s">
        <v>4663</v>
      </c>
      <c r="I337" s="283">
        <v>252520.0</v>
      </c>
      <c r="J337" s="317" t="s">
        <v>5093</v>
      </c>
      <c r="K337" s="283" t="s">
        <v>580</v>
      </c>
    </row>
    <row r="338" spans="8:8" ht="15.75" customHeight="1">
      <c r="G338" s="283">
        <v>345.0</v>
      </c>
      <c r="H338" s="317" t="s">
        <v>2946</v>
      </c>
      <c r="I338" s="283">
        <v>253170.0</v>
      </c>
      <c r="J338" s="317" t="s">
        <v>5093</v>
      </c>
      <c r="K338" s="283" t="s">
        <v>580</v>
      </c>
    </row>
    <row r="339" spans="8:8" ht="15.75" customHeight="1">
      <c r="G339" s="283">
        <v>346.0</v>
      </c>
      <c r="H339" s="317" t="s">
        <v>4629</v>
      </c>
      <c r="I339" s="283">
        <v>241734.0</v>
      </c>
      <c r="J339" s="317" t="s">
        <v>2665</v>
      </c>
      <c r="K339" s="283" t="s">
        <v>28</v>
      </c>
    </row>
    <row r="340" spans="8:8" ht="15.75" customHeight="1">
      <c r="G340" s="283">
        <v>347.0</v>
      </c>
      <c r="H340" s="317" t="s">
        <v>4630</v>
      </c>
      <c r="I340" s="283">
        <v>241733.0</v>
      </c>
      <c r="J340" s="317" t="s">
        <v>2665</v>
      </c>
      <c r="K340" s="283" t="s">
        <v>28</v>
      </c>
    </row>
    <row r="341" spans="8:8" ht="15.75" customHeight="1">
      <c r="G341" s="283">
        <v>348.0</v>
      </c>
      <c r="H341" s="317" t="s">
        <v>4631</v>
      </c>
      <c r="I341" s="283">
        <v>241712.0</v>
      </c>
      <c r="J341" s="317" t="s">
        <v>2665</v>
      </c>
      <c r="K341" s="283" t="s">
        <v>28</v>
      </c>
    </row>
    <row r="342" spans="8:8" ht="15.75" customHeight="1">
      <c r="G342" s="283">
        <v>349.0</v>
      </c>
      <c r="H342" s="317" t="s">
        <v>2905</v>
      </c>
      <c r="I342" s="283">
        <v>241866.0</v>
      </c>
      <c r="J342" s="317" t="s">
        <v>2665</v>
      </c>
      <c r="K342" s="283" t="s">
        <v>28</v>
      </c>
    </row>
    <row r="343" spans="8:8" ht="15.75" customHeight="1">
      <c r="G343" s="283">
        <v>351.0</v>
      </c>
      <c r="H343" s="317" t="s">
        <v>2929</v>
      </c>
      <c r="I343" s="283">
        <v>241704.0</v>
      </c>
      <c r="J343" s="317" t="s">
        <v>2665</v>
      </c>
      <c r="K343" s="283" t="s">
        <v>111</v>
      </c>
    </row>
    <row r="344" spans="8:8" ht="15.75" customHeight="1">
      <c r="G344" s="283">
        <v>352.0</v>
      </c>
      <c r="H344" s="317" t="s">
        <v>2930</v>
      </c>
      <c r="I344" s="283">
        <v>241710.0</v>
      </c>
      <c r="J344" s="317" t="s">
        <v>2665</v>
      </c>
      <c r="K344" s="283" t="s">
        <v>111</v>
      </c>
    </row>
    <row r="345" spans="8:8" ht="15.75" customHeight="1">
      <c r="G345" s="283">
        <v>353.0</v>
      </c>
      <c r="H345" s="317" t="s">
        <v>4643</v>
      </c>
      <c r="I345" s="283">
        <v>241679.0</v>
      </c>
      <c r="J345" s="317" t="s">
        <v>2665</v>
      </c>
      <c r="K345" s="283" t="s">
        <v>111</v>
      </c>
    </row>
    <row r="346" spans="8:8" ht="15.75" customHeight="1">
      <c r="G346" s="283">
        <v>354.0</v>
      </c>
      <c r="H346" s="317" t="s">
        <v>4657</v>
      </c>
      <c r="I346" s="283">
        <v>241906.0</v>
      </c>
      <c r="J346" s="317" t="s">
        <v>2665</v>
      </c>
      <c r="K346" s="283" t="s">
        <v>580</v>
      </c>
    </row>
    <row r="347" spans="8:8" ht="15.75" customHeight="1">
      <c r="G347" s="283">
        <v>355.0</v>
      </c>
      <c r="H347" s="317" t="s">
        <v>2939</v>
      </c>
      <c r="I347" s="283">
        <v>241706.0</v>
      </c>
      <c r="J347" s="317" t="s">
        <v>2665</v>
      </c>
      <c r="K347" s="283" t="s">
        <v>580</v>
      </c>
    </row>
    <row r="348" spans="8:8" ht="15.75" customHeight="1">
      <c r="G348" s="283">
        <v>356.0</v>
      </c>
      <c r="H348" s="317" t="s">
        <v>2940</v>
      </c>
      <c r="I348" s="283">
        <v>241813.0</v>
      </c>
      <c r="J348" s="317" t="s">
        <v>2665</v>
      </c>
      <c r="K348" s="283" t="s">
        <v>580</v>
      </c>
    </row>
    <row r="349" spans="8:8" ht="15.75" customHeight="1">
      <c r="G349" s="283">
        <v>357.0</v>
      </c>
      <c r="H349" s="317" t="s">
        <v>2941</v>
      </c>
      <c r="I349" s="283">
        <v>241856.0</v>
      </c>
      <c r="J349" s="317" t="s">
        <v>2665</v>
      </c>
      <c r="K349" s="283" t="s">
        <v>580</v>
      </c>
    </row>
    <row r="350" spans="8:8" ht="15.75" customHeight="1">
      <c r="G350" s="283">
        <v>358.0</v>
      </c>
      <c r="H350" s="317" t="s">
        <v>2951</v>
      </c>
      <c r="I350" s="283">
        <v>241913.0</v>
      </c>
      <c r="J350" s="317" t="s">
        <v>2665</v>
      </c>
      <c r="K350" s="283" t="s">
        <v>580</v>
      </c>
    </row>
    <row r="351" spans="8:8" ht="15.75" customHeight="1">
      <c r="G351" s="283">
        <v>359.0</v>
      </c>
      <c r="H351" s="317" t="s">
        <v>2942</v>
      </c>
      <c r="I351" s="283">
        <v>241732.0</v>
      </c>
      <c r="J351" s="317" t="s">
        <v>2665</v>
      </c>
      <c r="K351" s="283" t="s">
        <v>580</v>
      </c>
    </row>
    <row r="352" spans="8:8" ht="15.75" customHeight="1">
      <c r="G352" s="283">
        <v>360.0</v>
      </c>
      <c r="H352" s="317" t="s">
        <v>2943</v>
      </c>
      <c r="I352" s="283">
        <v>241707.0</v>
      </c>
      <c r="J352" s="317" t="s">
        <v>2665</v>
      </c>
      <c r="K352" s="283" t="s">
        <v>580</v>
      </c>
    </row>
    <row r="353" spans="8:8" ht="15.75" customHeight="1">
      <c r="G353" s="283">
        <v>361.0</v>
      </c>
      <c r="H353" s="317" t="s">
        <v>2944</v>
      </c>
      <c r="I353" s="283">
        <v>241711.0</v>
      </c>
      <c r="J353" s="317" t="s">
        <v>2665</v>
      </c>
      <c r="K353" s="283" t="s">
        <v>580</v>
      </c>
    </row>
    <row r="354" spans="8:8" ht="15.75" customHeight="1">
      <c r="G354" s="283">
        <v>362.0</v>
      </c>
      <c r="H354" s="317" t="s">
        <v>5077</v>
      </c>
      <c r="I354" s="283">
        <v>241703.0</v>
      </c>
      <c r="J354" s="317" t="s">
        <v>2665</v>
      </c>
      <c r="K354" s="283" t="s">
        <v>580</v>
      </c>
    </row>
    <row r="355" spans="8:8" ht="15.75" customHeight="1">
      <c r="G355" s="283">
        <v>363.0</v>
      </c>
      <c r="H355" s="317" t="s">
        <v>3260</v>
      </c>
      <c r="I355" s="283">
        <v>241671.0</v>
      </c>
      <c r="J355" s="317" t="s">
        <v>2665</v>
      </c>
      <c r="K355" s="283" t="s">
        <v>781</v>
      </c>
    </row>
    <row r="356" spans="8:8" ht="15.75" customHeight="1">
      <c r="G356" s="283">
        <v>364.0</v>
      </c>
      <c r="H356" s="317" t="s">
        <v>2868</v>
      </c>
      <c r="I356" s="283">
        <v>241705.0</v>
      </c>
      <c r="J356" s="317" t="s">
        <v>2665</v>
      </c>
      <c r="K356" s="283" t="s">
        <v>781</v>
      </c>
    </row>
    <row r="357" spans="8:8" ht="15.75" customHeight="1">
      <c r="G357" s="283">
        <v>365.0</v>
      </c>
      <c r="H357" s="317" t="s">
        <v>2513</v>
      </c>
      <c r="I357" s="283">
        <v>253105.0</v>
      </c>
      <c r="J357" s="317" t="s">
        <v>5093</v>
      </c>
      <c r="K357" s="283" t="s">
        <v>28</v>
      </c>
    </row>
    <row r="358" spans="8:8" ht="15.75" customHeight="1">
      <c r="G358" s="283">
        <v>366.0</v>
      </c>
      <c r="H358" s="317" t="s">
        <v>4755</v>
      </c>
      <c r="I358" s="283">
        <v>252760.0</v>
      </c>
      <c r="J358" s="317" t="s">
        <v>5093</v>
      </c>
      <c r="K358" s="283" t="s">
        <v>28</v>
      </c>
    </row>
    <row r="359" spans="8:8" ht="15.75" customHeight="1">
      <c r="G359" s="283">
        <v>367.0</v>
      </c>
      <c r="H359" s="318" t="s">
        <v>4983</v>
      </c>
      <c r="I359" s="319">
        <v>251016.0</v>
      </c>
      <c r="J359" s="318" t="s">
        <v>5097</v>
      </c>
      <c r="K359" s="320" t="s">
        <v>28</v>
      </c>
    </row>
    <row r="360" spans="8:8" ht="15.75" customHeight="1">
      <c r="G360" s="283">
        <v>368.0</v>
      </c>
      <c r="H360" s="324" t="s">
        <v>1631</v>
      </c>
      <c r="I360" s="283">
        <v>250708.0</v>
      </c>
      <c r="J360" s="318" t="s">
        <v>5097</v>
      </c>
      <c r="K360" s="320" t="s">
        <v>28</v>
      </c>
    </row>
    <row r="361" spans="8:8" ht="15.75" customHeight="1">
      <c r="G361" s="283">
        <v>369.0</v>
      </c>
      <c r="H361" s="318" t="s">
        <v>4990</v>
      </c>
      <c r="I361" s="319">
        <v>250679.0</v>
      </c>
      <c r="J361" s="318" t="s">
        <v>5097</v>
      </c>
      <c r="K361" s="320" t="s">
        <v>28</v>
      </c>
    </row>
    <row r="362" spans="8:8" ht="15.75" customHeight="1">
      <c r="G362" s="283">
        <v>370.0</v>
      </c>
      <c r="H362" s="318" t="s">
        <v>1550</v>
      </c>
      <c r="I362" s="319">
        <v>250683.0</v>
      </c>
      <c r="J362" s="318" t="s">
        <v>5097</v>
      </c>
      <c r="K362" s="320" t="s">
        <v>28</v>
      </c>
    </row>
    <row r="363" spans="8:8" ht="15.75" customHeight="1">
      <c r="G363" s="283">
        <v>371.0</v>
      </c>
      <c r="H363" s="318" t="s">
        <v>1531</v>
      </c>
      <c r="I363" s="319">
        <v>250693.0</v>
      </c>
      <c r="J363" s="318" t="s">
        <v>5097</v>
      </c>
      <c r="K363" s="320" t="s">
        <v>28</v>
      </c>
    </row>
    <row r="364" spans="8:8" ht="15.75" customHeight="1">
      <c r="G364" s="283">
        <v>372.0</v>
      </c>
      <c r="H364" s="318" t="s">
        <v>1633</v>
      </c>
      <c r="I364" s="319">
        <v>250707.0</v>
      </c>
      <c r="J364" s="318" t="s">
        <v>5097</v>
      </c>
      <c r="K364" s="320" t="s">
        <v>28</v>
      </c>
    </row>
    <row r="365" spans="8:8" ht="15.75" customHeight="1">
      <c r="G365" s="283">
        <v>373.0</v>
      </c>
      <c r="H365" s="318" t="s">
        <v>1539</v>
      </c>
      <c r="I365" s="319">
        <v>250713.0</v>
      </c>
      <c r="J365" s="318" t="s">
        <v>5097</v>
      </c>
      <c r="K365" s="320" t="s">
        <v>28</v>
      </c>
    </row>
    <row r="366" spans="8:8" ht="15.75" customHeight="1">
      <c r="G366" s="283">
        <v>374.0</v>
      </c>
      <c r="H366" s="318" t="s">
        <v>4553</v>
      </c>
      <c r="I366" s="319">
        <v>250697.0</v>
      </c>
      <c r="J366" s="318" t="s">
        <v>5097</v>
      </c>
      <c r="K366" s="320" t="s">
        <v>28</v>
      </c>
    </row>
    <row r="367" spans="8:8" ht="15.75" customHeight="1">
      <c r="G367" s="283">
        <v>375.0</v>
      </c>
      <c r="H367" s="318" t="s">
        <v>1634</v>
      </c>
      <c r="I367" s="319">
        <v>250709.0</v>
      </c>
      <c r="J367" s="318" t="s">
        <v>5097</v>
      </c>
      <c r="K367" s="320" t="s">
        <v>28</v>
      </c>
    </row>
    <row r="368" spans="8:8" ht="15.75" customHeight="1">
      <c r="G368" s="283">
        <v>376.0</v>
      </c>
      <c r="H368" s="318" t="s">
        <v>4537</v>
      </c>
      <c r="I368" s="319">
        <v>250668.0</v>
      </c>
      <c r="J368" s="318" t="s">
        <v>5097</v>
      </c>
      <c r="K368" s="320" t="s">
        <v>28</v>
      </c>
    </row>
    <row r="369" spans="8:8" ht="15.75" customHeight="1">
      <c r="G369" s="283">
        <v>377.0</v>
      </c>
      <c r="H369" s="318" t="s">
        <v>1543</v>
      </c>
      <c r="I369" s="319">
        <v>250749.0</v>
      </c>
      <c r="J369" s="318" t="s">
        <v>5097</v>
      </c>
      <c r="K369" s="320" t="s">
        <v>28</v>
      </c>
    </row>
    <row r="370" spans="8:8" ht="15.75" customHeight="1">
      <c r="G370" s="283">
        <v>378.0</v>
      </c>
      <c r="H370" s="318" t="s">
        <v>1544</v>
      </c>
      <c r="I370" s="319">
        <v>250767.0</v>
      </c>
      <c r="J370" s="318" t="s">
        <v>5097</v>
      </c>
      <c r="K370" s="320" t="s">
        <v>28</v>
      </c>
    </row>
    <row r="371" spans="8:8" ht="15.75" customHeight="1">
      <c r="G371" s="283">
        <v>379.0</v>
      </c>
      <c r="H371" s="318" t="s">
        <v>1535</v>
      </c>
      <c r="I371" s="319">
        <v>250784.0</v>
      </c>
      <c r="J371" s="318" t="s">
        <v>5097</v>
      </c>
      <c r="K371" s="320" t="s">
        <v>28</v>
      </c>
    </row>
    <row r="372" spans="8:8" ht="15.75" customHeight="1">
      <c r="G372" s="283">
        <v>380.0</v>
      </c>
      <c r="H372" s="318" t="s">
        <v>1558</v>
      </c>
      <c r="I372" s="319">
        <v>250808.0</v>
      </c>
      <c r="J372" s="318" t="s">
        <v>5097</v>
      </c>
      <c r="K372" s="320" t="s">
        <v>28</v>
      </c>
    </row>
    <row r="373" spans="8:8" ht="15.75" customHeight="1">
      <c r="G373" s="283">
        <v>381.0</v>
      </c>
      <c r="H373" s="318" t="s">
        <v>1559</v>
      </c>
      <c r="I373" s="319">
        <v>250809.0</v>
      </c>
      <c r="J373" s="318" t="s">
        <v>5097</v>
      </c>
      <c r="K373" s="320" t="s">
        <v>28</v>
      </c>
    </row>
    <row r="374" spans="8:8" ht="15.75" customHeight="1">
      <c r="G374" s="283">
        <v>382.0</v>
      </c>
      <c r="H374" s="318" t="s">
        <v>1536</v>
      </c>
      <c r="I374" s="319">
        <v>250810.0</v>
      </c>
      <c r="J374" s="318" t="s">
        <v>5097</v>
      </c>
      <c r="K374" s="320" t="s">
        <v>28</v>
      </c>
    </row>
    <row r="375" spans="8:8" ht="15.75" customHeight="1">
      <c r="G375" s="283">
        <v>383.0</v>
      </c>
      <c r="H375" s="318" t="s">
        <v>4538</v>
      </c>
      <c r="I375" s="319">
        <v>250818.0</v>
      </c>
      <c r="J375" s="318" t="s">
        <v>5097</v>
      </c>
      <c r="K375" s="320" t="s">
        <v>28</v>
      </c>
    </row>
    <row r="376" spans="8:8" ht="15.75" customHeight="1">
      <c r="G376" s="283">
        <v>384.0</v>
      </c>
      <c r="H376" s="318" t="s">
        <v>5098</v>
      </c>
      <c r="I376" s="319">
        <v>250824.0</v>
      </c>
      <c r="J376" s="318" t="s">
        <v>5097</v>
      </c>
      <c r="K376" s="320" t="s">
        <v>28</v>
      </c>
    </row>
    <row r="377" spans="8:8" ht="15.75" customHeight="1">
      <c r="G377" s="283">
        <v>386.0</v>
      </c>
      <c r="H377" s="318" t="s">
        <v>4539</v>
      </c>
      <c r="I377" s="319">
        <v>250680.0</v>
      </c>
      <c r="J377" s="318" t="s">
        <v>5097</v>
      </c>
      <c r="K377" s="320" t="s">
        <v>28</v>
      </c>
    </row>
    <row r="378" spans="8:8" ht="15.75" customHeight="1">
      <c r="G378" s="283">
        <v>387.0</v>
      </c>
      <c r="H378" s="318" t="s">
        <v>4645</v>
      </c>
      <c r="I378" s="319">
        <v>250807.0</v>
      </c>
      <c r="J378" s="318" t="s">
        <v>5097</v>
      </c>
      <c r="K378" s="320" t="s">
        <v>28</v>
      </c>
    </row>
    <row r="379" spans="8:8" ht="15.75" customHeight="1">
      <c r="G379" s="283">
        <v>388.0</v>
      </c>
      <c r="H379" s="318" t="s">
        <v>1552</v>
      </c>
      <c r="I379" s="319">
        <v>250887.0</v>
      </c>
      <c r="J379" s="318" t="s">
        <v>5097</v>
      </c>
      <c r="K379" s="320" t="s">
        <v>28</v>
      </c>
    </row>
    <row r="380" spans="8:8" ht="15.75" customHeight="1">
      <c r="G380" s="283">
        <v>389.0</v>
      </c>
      <c r="H380" s="318" t="s">
        <v>1643</v>
      </c>
      <c r="I380" s="319">
        <v>250917.0</v>
      </c>
      <c r="J380" s="318" t="s">
        <v>5097</v>
      </c>
      <c r="K380" s="320" t="s">
        <v>28</v>
      </c>
    </row>
    <row r="381" spans="8:8" ht="15.75" customHeight="1">
      <c r="G381" s="283">
        <v>390.0</v>
      </c>
      <c r="H381" s="318" t="s">
        <v>1562</v>
      </c>
      <c r="I381" s="319">
        <v>250927.0</v>
      </c>
      <c r="J381" s="318" t="s">
        <v>5097</v>
      </c>
      <c r="K381" s="320" t="s">
        <v>28</v>
      </c>
    </row>
    <row r="382" spans="8:8" ht="15.75" customHeight="1">
      <c r="G382" s="283">
        <v>391.0</v>
      </c>
      <c r="H382" s="318" t="s">
        <v>4994</v>
      </c>
      <c r="I382" s="319">
        <v>250942.0</v>
      </c>
      <c r="J382" s="318" t="s">
        <v>5097</v>
      </c>
      <c r="K382" s="320" t="s">
        <v>28</v>
      </c>
    </row>
    <row r="383" spans="8:8" ht="15.75" customHeight="1">
      <c r="G383" s="283">
        <v>392.0</v>
      </c>
      <c r="H383" s="318" t="s">
        <v>1534</v>
      </c>
      <c r="I383" s="319">
        <v>250957.0</v>
      </c>
      <c r="J383" s="318" t="s">
        <v>5097</v>
      </c>
      <c r="K383" s="320" t="s">
        <v>28</v>
      </c>
    </row>
    <row r="384" spans="8:8" ht="15.75" customHeight="1">
      <c r="G384" s="283">
        <v>393.0</v>
      </c>
      <c r="H384" s="318" t="s">
        <v>4996</v>
      </c>
      <c r="I384" s="319">
        <v>250962.0</v>
      </c>
      <c r="J384" s="318" t="s">
        <v>5097</v>
      </c>
      <c r="K384" s="320" t="s">
        <v>28</v>
      </c>
    </row>
    <row r="385" spans="8:8" ht="15.75" customHeight="1">
      <c r="G385" s="283">
        <v>394.0</v>
      </c>
      <c r="H385" s="318" t="s">
        <v>4543</v>
      </c>
      <c r="I385" s="319">
        <v>250978.0</v>
      </c>
      <c r="J385" s="318" t="s">
        <v>5097</v>
      </c>
      <c r="K385" s="320" t="s">
        <v>28</v>
      </c>
    </row>
    <row r="386" spans="8:8" ht="15.75" customHeight="1">
      <c r="G386" s="283">
        <v>395.0</v>
      </c>
      <c r="H386" s="318" t="s">
        <v>1556</v>
      </c>
      <c r="I386" s="319">
        <v>250985.0</v>
      </c>
      <c r="J386" s="318" t="s">
        <v>5097</v>
      </c>
      <c r="K386" s="320" t="s">
        <v>28</v>
      </c>
    </row>
    <row r="387" spans="8:8" ht="15.75" customHeight="1">
      <c r="G387" s="283">
        <v>396.0</v>
      </c>
      <c r="H387" s="318" t="s">
        <v>4633</v>
      </c>
      <c r="I387" s="319">
        <v>250995.0</v>
      </c>
      <c r="J387" s="318" t="s">
        <v>5097</v>
      </c>
      <c r="K387" s="320" t="s">
        <v>28</v>
      </c>
    </row>
    <row r="388" spans="8:8" ht="15.75" customHeight="1">
      <c r="G388" s="283">
        <v>397.0</v>
      </c>
      <c r="H388" s="318" t="s">
        <v>1533</v>
      </c>
      <c r="I388" s="319">
        <v>251026.0</v>
      </c>
      <c r="J388" s="318" t="s">
        <v>5097</v>
      </c>
      <c r="K388" s="320" t="s">
        <v>28</v>
      </c>
    </row>
    <row r="389" spans="8:8" ht="15.75" customHeight="1">
      <c r="G389" s="283">
        <v>398.0</v>
      </c>
      <c r="H389" s="318" t="s">
        <v>4997</v>
      </c>
      <c r="I389" s="319">
        <v>251018.0</v>
      </c>
      <c r="J389" s="318" t="s">
        <v>5097</v>
      </c>
      <c r="K389" s="320" t="s">
        <v>28</v>
      </c>
    </row>
    <row r="390" spans="8:8" ht="15.75" customHeight="1">
      <c r="G390" s="283">
        <v>399.0</v>
      </c>
      <c r="H390" s="318" t="s">
        <v>4649</v>
      </c>
      <c r="I390" s="319">
        <v>240661.0</v>
      </c>
      <c r="J390" s="318" t="s">
        <v>5099</v>
      </c>
      <c r="K390" s="320" t="s">
        <v>111</v>
      </c>
    </row>
    <row r="391" spans="8:8" ht="15.75" customHeight="1">
      <c r="G391" s="283">
        <v>400.0</v>
      </c>
      <c r="H391" s="318" t="s">
        <v>4650</v>
      </c>
      <c r="I391" s="319">
        <v>240868.0</v>
      </c>
      <c r="J391" s="318" t="s">
        <v>5099</v>
      </c>
      <c r="K391" s="320" t="s">
        <v>111</v>
      </c>
    </row>
    <row r="392" spans="8:8" ht="15.75" customHeight="1">
      <c r="G392" s="283">
        <v>401.0</v>
      </c>
      <c r="H392" s="318" t="s">
        <v>987</v>
      </c>
      <c r="I392" s="319">
        <v>253096.0</v>
      </c>
      <c r="J392" s="318" t="s">
        <v>5097</v>
      </c>
      <c r="K392" s="320" t="s">
        <v>111</v>
      </c>
    </row>
    <row r="393" spans="8:8" ht="15.75" customHeight="1">
      <c r="G393" s="283">
        <v>402.0</v>
      </c>
      <c r="H393" s="318" t="s">
        <v>988</v>
      </c>
      <c r="I393" s="319">
        <v>251024.0</v>
      </c>
      <c r="J393" s="318" t="s">
        <v>5097</v>
      </c>
      <c r="K393" s="320" t="s">
        <v>111</v>
      </c>
    </row>
    <row r="394" spans="8:8" ht="15.75" customHeight="1">
      <c r="G394" s="283">
        <v>403.0</v>
      </c>
      <c r="H394" s="318" t="s">
        <v>4651</v>
      </c>
      <c r="I394" s="319">
        <v>240746.0</v>
      </c>
      <c r="J394" s="318" t="s">
        <v>5099</v>
      </c>
      <c r="K394" s="320" t="s">
        <v>111</v>
      </c>
    </row>
    <row r="395" spans="8:8" ht="15.75" customHeight="1">
      <c r="G395" s="283">
        <v>404.0</v>
      </c>
      <c r="H395" s="318" t="s">
        <v>4736</v>
      </c>
      <c r="I395" s="319">
        <v>240900.0</v>
      </c>
      <c r="J395" s="318" t="s">
        <v>5099</v>
      </c>
      <c r="K395" s="320" t="s">
        <v>111</v>
      </c>
    </row>
    <row r="396" spans="8:8" ht="15.75" customHeight="1">
      <c r="G396" s="283">
        <v>405.0</v>
      </c>
      <c r="H396" s="318" t="s">
        <v>4737</v>
      </c>
      <c r="I396" s="319">
        <v>251007.0</v>
      </c>
      <c r="J396" s="318" t="s">
        <v>5097</v>
      </c>
      <c r="K396" s="320" t="s">
        <v>111</v>
      </c>
    </row>
    <row r="397" spans="8:8" ht="15.75" customHeight="1">
      <c r="G397" s="283">
        <v>406.0</v>
      </c>
      <c r="H397" s="318" t="s">
        <v>4572</v>
      </c>
      <c r="I397" s="319">
        <v>250904.0</v>
      </c>
      <c r="J397" s="318" t="s">
        <v>5097</v>
      </c>
      <c r="K397" s="320" t="s">
        <v>580</v>
      </c>
    </row>
    <row r="398" spans="8:8" ht="15.75" customHeight="1">
      <c r="G398" s="283">
        <v>407.0</v>
      </c>
      <c r="H398" s="318" t="s">
        <v>1492</v>
      </c>
      <c r="I398" s="319">
        <v>250996.0</v>
      </c>
      <c r="J398" s="318" t="s">
        <v>5097</v>
      </c>
      <c r="K398" s="320" t="s">
        <v>580</v>
      </c>
    </row>
    <row r="399" spans="8:8" ht="15.75" customHeight="1">
      <c r="G399" s="283">
        <v>408.0</v>
      </c>
      <c r="H399" s="318" t="s">
        <v>3246</v>
      </c>
      <c r="I399" s="319">
        <v>250775.0</v>
      </c>
      <c r="J399" s="318" t="s">
        <v>5097</v>
      </c>
      <c r="K399" s="320" t="s">
        <v>580</v>
      </c>
    </row>
    <row r="400" spans="8:8" ht="15.75" customHeight="1">
      <c r="G400" s="283">
        <v>409.0</v>
      </c>
      <c r="H400" s="318" t="s">
        <v>1507</v>
      </c>
      <c r="I400" s="319">
        <v>250896.0</v>
      </c>
      <c r="J400" s="318" t="s">
        <v>5097</v>
      </c>
      <c r="K400" s="320" t="s">
        <v>580</v>
      </c>
    </row>
    <row r="401" spans="8:8" ht="15.75" customHeight="1">
      <c r="G401" s="283">
        <v>410.0</v>
      </c>
      <c r="H401" s="318" t="s">
        <v>4575</v>
      </c>
      <c r="I401" s="319">
        <v>240666.0</v>
      </c>
      <c r="J401" s="318" t="s">
        <v>5099</v>
      </c>
      <c r="K401" s="320" t="s">
        <v>580</v>
      </c>
    </row>
    <row r="402" spans="8:8" ht="15.75" customHeight="1">
      <c r="G402" s="283">
        <v>411.0</v>
      </c>
      <c r="H402" s="318" t="s">
        <v>4568</v>
      </c>
      <c r="I402" s="319">
        <v>240611.0</v>
      </c>
      <c r="J402" s="318" t="s">
        <v>5099</v>
      </c>
      <c r="K402" s="320" t="s">
        <v>781</v>
      </c>
    </row>
    <row r="403" spans="8:8" ht="15.75" customHeight="1">
      <c r="G403" s="283">
        <v>412.0</v>
      </c>
      <c r="H403" s="318" t="s">
        <v>4738</v>
      </c>
      <c r="I403" s="319">
        <v>250997.0</v>
      </c>
      <c r="J403" s="318" t="s">
        <v>5097</v>
      </c>
      <c r="K403" s="320" t="s">
        <v>28</v>
      </c>
    </row>
    <row r="404" spans="8:8" ht="15.75" customHeight="1">
      <c r="G404" s="283">
        <v>413.0</v>
      </c>
      <c r="H404" s="318" t="s">
        <v>1514</v>
      </c>
      <c r="I404" s="319">
        <v>240511.0</v>
      </c>
      <c r="J404" s="318" t="s">
        <v>5099</v>
      </c>
      <c r="K404" s="320" t="s">
        <v>28</v>
      </c>
    </row>
    <row r="405" spans="8:8" ht="15.75" customHeight="1">
      <c r="G405" s="283">
        <v>414.0</v>
      </c>
      <c r="H405" s="318" t="s">
        <v>1517</v>
      </c>
      <c r="I405" s="319">
        <v>251036.0</v>
      </c>
      <c r="J405" s="318" t="s">
        <v>5097</v>
      </c>
      <c r="K405" s="320" t="s">
        <v>28</v>
      </c>
    </row>
    <row r="406" spans="8:8" ht="15.75" customHeight="1">
      <c r="G406" s="283">
        <v>415.0</v>
      </c>
      <c r="H406" s="318" t="s">
        <v>1518</v>
      </c>
      <c r="I406" s="319">
        <v>251068.0</v>
      </c>
      <c r="J406" s="318" t="s">
        <v>5097</v>
      </c>
      <c r="K406" s="320" t="s">
        <v>28</v>
      </c>
    </row>
    <row r="407" spans="8:8" ht="15.75" customHeight="1">
      <c r="G407" s="283">
        <v>416.0</v>
      </c>
      <c r="H407" s="318" t="s">
        <v>1519</v>
      </c>
      <c r="I407" s="319">
        <v>251033.0</v>
      </c>
      <c r="J407" s="318" t="s">
        <v>5097</v>
      </c>
      <c r="K407" s="320" t="s">
        <v>28</v>
      </c>
    </row>
    <row r="408" spans="8:8" ht="15.75" customHeight="1">
      <c r="G408" s="283">
        <v>417.0</v>
      </c>
      <c r="H408" s="318" t="s">
        <v>4581</v>
      </c>
      <c r="I408" s="319">
        <v>251072.0</v>
      </c>
      <c r="J408" s="318" t="s">
        <v>5097</v>
      </c>
      <c r="K408" s="320" t="s">
        <v>28</v>
      </c>
    </row>
    <row r="409" spans="8:8" ht="15.75" customHeight="1">
      <c r="G409" s="283">
        <v>418.0</v>
      </c>
      <c r="H409" s="318" t="s">
        <v>1520</v>
      </c>
      <c r="I409" s="319">
        <v>251110.0</v>
      </c>
      <c r="J409" s="318" t="s">
        <v>5097</v>
      </c>
      <c r="K409" s="320" t="s">
        <v>28</v>
      </c>
    </row>
    <row r="410" spans="8:8" ht="15.75" customHeight="1">
      <c r="G410" s="283">
        <v>419.0</v>
      </c>
      <c r="H410" s="318" t="s">
        <v>1521</v>
      </c>
      <c r="I410" s="319">
        <v>251125.0</v>
      </c>
      <c r="J410" s="318" t="s">
        <v>5097</v>
      </c>
      <c r="K410" s="320" t="s">
        <v>28</v>
      </c>
    </row>
    <row r="411" spans="8:8" ht="15.75" customHeight="1">
      <c r="G411" s="283">
        <v>420.0</v>
      </c>
      <c r="H411" s="318" t="s">
        <v>4582</v>
      </c>
      <c r="I411" s="319">
        <v>251216.0</v>
      </c>
      <c r="J411" s="318" t="s">
        <v>5097</v>
      </c>
      <c r="K411" s="320" t="s">
        <v>28</v>
      </c>
    </row>
    <row r="412" spans="8:8" ht="15.75" customHeight="1">
      <c r="G412" s="283">
        <v>421.0</v>
      </c>
      <c r="H412" s="318" t="s">
        <v>1523</v>
      </c>
      <c r="I412" s="319">
        <v>251199.0</v>
      </c>
      <c r="J412" s="318" t="s">
        <v>5097</v>
      </c>
      <c r="K412" s="320" t="s">
        <v>28</v>
      </c>
    </row>
    <row r="413" spans="8:8" ht="15.75" customHeight="1">
      <c r="G413" s="283">
        <v>422.0</v>
      </c>
      <c r="H413" s="318" t="s">
        <v>1524</v>
      </c>
      <c r="I413" s="319">
        <v>251206.0</v>
      </c>
      <c r="J413" s="318" t="s">
        <v>5097</v>
      </c>
      <c r="K413" s="320" t="s">
        <v>28</v>
      </c>
    </row>
    <row r="414" spans="8:8" ht="15.75" customHeight="1">
      <c r="G414" s="283">
        <v>423.0</v>
      </c>
      <c r="H414" s="318" t="s">
        <v>1525</v>
      </c>
      <c r="I414" s="319">
        <v>251234.0</v>
      </c>
      <c r="J414" s="318" t="s">
        <v>5097</v>
      </c>
      <c r="K414" s="320" t="s">
        <v>28</v>
      </c>
    </row>
    <row r="415" spans="8:8" ht="15.75" customHeight="1">
      <c r="G415" s="283">
        <v>424.0</v>
      </c>
      <c r="H415" s="318" t="s">
        <v>1527</v>
      </c>
      <c r="I415" s="319">
        <v>251226.0</v>
      </c>
      <c r="J415" s="318" t="s">
        <v>5097</v>
      </c>
      <c r="K415" s="320" t="s">
        <v>28</v>
      </c>
    </row>
    <row r="416" spans="8:8" ht="15.75" customHeight="1">
      <c r="G416" s="283">
        <v>425.0</v>
      </c>
      <c r="H416" s="318" t="s">
        <v>4583</v>
      </c>
      <c r="I416" s="319">
        <v>252987.0</v>
      </c>
      <c r="J416" s="318" t="s">
        <v>5097</v>
      </c>
      <c r="K416" s="320" t="s">
        <v>28</v>
      </c>
    </row>
    <row r="417" spans="8:8" ht="15.75" customHeight="1">
      <c r="G417" s="283">
        <v>426.0</v>
      </c>
      <c r="H417" s="318" t="s">
        <v>5009</v>
      </c>
      <c r="I417" s="319">
        <v>252986.0</v>
      </c>
      <c r="J417" s="318" t="s">
        <v>5097</v>
      </c>
      <c r="K417" s="320" t="s">
        <v>580</v>
      </c>
    </row>
    <row r="418" spans="8:8" ht="15.75" customHeight="1">
      <c r="G418" s="283">
        <v>427.0</v>
      </c>
      <c r="H418" s="318" t="s">
        <v>1489</v>
      </c>
      <c r="I418" s="319">
        <v>240488.0</v>
      </c>
      <c r="J418" s="318" t="s">
        <v>5099</v>
      </c>
      <c r="K418" s="320" t="s">
        <v>580</v>
      </c>
    </row>
    <row r="419" spans="8:8" ht="15.75" customHeight="1">
      <c r="G419" s="283">
        <v>428.0</v>
      </c>
      <c r="H419" s="318" t="s">
        <v>1491</v>
      </c>
      <c r="I419" s="319">
        <v>240625.0</v>
      </c>
      <c r="J419" s="318" t="s">
        <v>5099</v>
      </c>
      <c r="K419" s="320" t="s">
        <v>580</v>
      </c>
    </row>
    <row r="420" spans="8:8" ht="15.75" customHeight="1">
      <c r="G420" s="283">
        <v>429.0</v>
      </c>
      <c r="H420" s="318" t="s">
        <v>4570</v>
      </c>
      <c r="I420" s="319">
        <v>240950.0</v>
      </c>
      <c r="J420" s="318" t="s">
        <v>5099</v>
      </c>
      <c r="K420" s="320" t="s">
        <v>580</v>
      </c>
    </row>
    <row r="421" spans="8:8" ht="15.75" customHeight="1">
      <c r="G421" s="283">
        <v>430.0</v>
      </c>
      <c r="H421" s="318" t="s">
        <v>1504</v>
      </c>
      <c r="I421" s="319">
        <v>240903.0</v>
      </c>
      <c r="J421" s="318" t="s">
        <v>5099</v>
      </c>
      <c r="K421" s="320" t="s">
        <v>580</v>
      </c>
    </row>
    <row r="422" spans="8:8" ht="15.75" customHeight="1">
      <c r="G422" s="283">
        <v>431.0</v>
      </c>
      <c r="H422" s="318" t="s">
        <v>1501</v>
      </c>
      <c r="I422" s="319">
        <v>253069.0</v>
      </c>
      <c r="J422" s="318" t="s">
        <v>5097</v>
      </c>
      <c r="K422" s="320" t="s">
        <v>580</v>
      </c>
    </row>
    <row r="423" spans="8:8" ht="15.75" customHeight="1">
      <c r="G423" s="283">
        <v>433.0</v>
      </c>
      <c r="H423" s="318" t="s">
        <v>1503</v>
      </c>
      <c r="I423" s="319">
        <v>251217.0</v>
      </c>
      <c r="J423" s="318" t="s">
        <v>5097</v>
      </c>
      <c r="K423" s="320" t="s">
        <v>580</v>
      </c>
    </row>
    <row r="424" spans="8:8" ht="15.75" customHeight="1">
      <c r="G424" s="283">
        <v>434.0</v>
      </c>
      <c r="H424" s="318" t="s">
        <v>4567</v>
      </c>
      <c r="I424" s="319">
        <v>240574.0</v>
      </c>
      <c r="J424" s="318" t="s">
        <v>5099</v>
      </c>
      <c r="K424" s="320" t="s">
        <v>781</v>
      </c>
    </row>
    <row r="425" spans="8:8" ht="15.75" customHeight="1">
      <c r="G425" s="283">
        <v>435.0</v>
      </c>
      <c r="H425" s="318" t="s">
        <v>1478</v>
      </c>
      <c r="I425" s="319">
        <v>240659.0</v>
      </c>
      <c r="J425" s="318" t="s">
        <v>5099</v>
      </c>
      <c r="K425" s="320" t="s">
        <v>781</v>
      </c>
    </row>
    <row r="426" spans="8:8" ht="15.75" customHeight="1">
      <c r="G426" s="283">
        <v>436.0</v>
      </c>
      <c r="H426" s="318" t="s">
        <v>1479</v>
      </c>
      <c r="I426" s="319">
        <v>240807.0</v>
      </c>
      <c r="J426" s="318" t="s">
        <v>5099</v>
      </c>
      <c r="K426" s="320" t="s">
        <v>781</v>
      </c>
    </row>
    <row r="427" spans="8:8" ht="15.75" customHeight="1">
      <c r="G427" s="283">
        <v>437.0</v>
      </c>
      <c r="H427" s="317" t="s">
        <v>1567</v>
      </c>
      <c r="I427" s="283">
        <v>240753.0</v>
      </c>
      <c r="J427" s="318" t="s">
        <v>5099</v>
      </c>
      <c r="K427" s="283" t="s">
        <v>28</v>
      </c>
    </row>
    <row r="428" spans="8:8" ht="15.75" customHeight="1">
      <c r="G428" s="283">
        <v>438.0</v>
      </c>
      <c r="H428" s="317" t="s">
        <v>5052</v>
      </c>
      <c r="I428" s="283">
        <v>240999.0</v>
      </c>
      <c r="J428" s="318" t="s">
        <v>5099</v>
      </c>
      <c r="K428" s="283" t="s">
        <v>111</v>
      </c>
    </row>
    <row r="429" spans="8:8" ht="15.75" customHeight="1">
      <c r="G429" s="283">
        <v>439.0</v>
      </c>
      <c r="H429" s="317" t="s">
        <v>1496</v>
      </c>
      <c r="I429" s="283">
        <v>240599.0</v>
      </c>
      <c r="J429" s="318" t="s">
        <v>5099</v>
      </c>
      <c r="K429" s="283" t="s">
        <v>580</v>
      </c>
    </row>
    <row r="430" spans="8:8" ht="15.75" customHeight="1">
      <c r="G430" s="283">
        <v>440.0</v>
      </c>
      <c r="H430" s="317" t="s">
        <v>4662</v>
      </c>
      <c r="I430" s="283">
        <v>240517.0</v>
      </c>
      <c r="J430" s="318" t="s">
        <v>5099</v>
      </c>
      <c r="K430" s="283" t="s">
        <v>580</v>
      </c>
    </row>
    <row r="431" spans="8:8" ht="15.75" customHeight="1">
      <c r="G431" s="283">
        <v>441.0</v>
      </c>
      <c r="H431" s="317" t="s">
        <v>1500</v>
      </c>
      <c r="I431" s="283">
        <v>240483.0</v>
      </c>
      <c r="J431" s="318" t="s">
        <v>5099</v>
      </c>
      <c r="K431" s="283" t="s">
        <v>580</v>
      </c>
    </row>
    <row r="432" spans="8:8" ht="15.75" customHeight="1">
      <c r="G432" s="283">
        <v>442.0</v>
      </c>
      <c r="H432" s="317" t="s">
        <v>4666</v>
      </c>
      <c r="I432" s="283">
        <v>240551.0</v>
      </c>
      <c r="J432" s="318" t="s">
        <v>5099</v>
      </c>
      <c r="K432" s="283" t="s">
        <v>580</v>
      </c>
    </row>
    <row r="433" spans="8:8" ht="15.75" customHeight="1">
      <c r="G433" s="283">
        <v>443.0</v>
      </c>
      <c r="H433" s="317" t="s">
        <v>1568</v>
      </c>
      <c r="I433" s="283">
        <v>241936.0</v>
      </c>
      <c r="J433" s="318" t="s">
        <v>5099</v>
      </c>
      <c r="K433" s="283" t="s">
        <v>28</v>
      </c>
    </row>
    <row r="434" spans="8:8" ht="15.75" customHeight="1">
      <c r="G434" s="283">
        <v>444.0</v>
      </c>
      <c r="H434" s="317" t="s">
        <v>4672</v>
      </c>
      <c r="I434" s="283">
        <v>240552.0</v>
      </c>
      <c r="J434" s="318" t="s">
        <v>5099</v>
      </c>
      <c r="K434" s="283" t="s">
        <v>28</v>
      </c>
    </row>
    <row r="435" spans="8:8" ht="15.75" customHeight="1">
      <c r="G435" s="283">
        <v>445.0</v>
      </c>
      <c r="H435" s="317" t="s">
        <v>1505</v>
      </c>
      <c r="I435" s="283">
        <v>240547.0</v>
      </c>
      <c r="J435" s="318" t="s">
        <v>5099</v>
      </c>
      <c r="K435" s="283" t="s">
        <v>580</v>
      </c>
    </row>
    <row r="436" spans="8:8" ht="15.75" customHeight="1">
      <c r="G436" s="283">
        <v>446.0</v>
      </c>
      <c r="H436" s="317" t="s">
        <v>1506</v>
      </c>
      <c r="I436" s="283">
        <v>240914.0</v>
      </c>
      <c r="J436" s="318" t="s">
        <v>5099</v>
      </c>
      <c r="K436" s="283" t="s">
        <v>580</v>
      </c>
    </row>
    <row r="437" spans="8:8" ht="15.75" customHeight="1">
      <c r="G437" s="283">
        <v>447.0</v>
      </c>
      <c r="H437" s="317" t="s">
        <v>1502</v>
      </c>
      <c r="I437" s="283">
        <v>240962.0</v>
      </c>
      <c r="J437" s="318" t="s">
        <v>5099</v>
      </c>
      <c r="K437" s="283" t="s">
        <v>580</v>
      </c>
    </row>
    <row r="438" spans="8:8" ht="15.75" customHeight="1">
      <c r="G438" s="283">
        <v>448.0</v>
      </c>
      <c r="H438" s="317" t="s">
        <v>4682</v>
      </c>
      <c r="I438" s="283">
        <v>240537.0</v>
      </c>
      <c r="J438" s="318" t="s">
        <v>5099</v>
      </c>
      <c r="K438" s="283" t="s">
        <v>580</v>
      </c>
    </row>
    <row r="439" spans="8:8" ht="15.75" customHeight="1">
      <c r="G439" s="283">
        <v>449.0</v>
      </c>
      <c r="H439" s="317" t="s">
        <v>4683</v>
      </c>
      <c r="I439" s="283">
        <v>240918.0</v>
      </c>
      <c r="J439" s="318" t="s">
        <v>5099</v>
      </c>
      <c r="K439" s="283" t="s">
        <v>580</v>
      </c>
    </row>
    <row r="440" spans="8:8" ht="15.75" customHeight="1">
      <c r="G440" s="283">
        <v>450.0</v>
      </c>
      <c r="H440" s="317" t="s">
        <v>1499</v>
      </c>
      <c r="I440" s="283">
        <v>240605.0</v>
      </c>
      <c r="J440" s="318" t="s">
        <v>5099</v>
      </c>
      <c r="K440" s="283" t="s">
        <v>580</v>
      </c>
    </row>
    <row r="441" spans="8:8" ht="15.75" customHeight="1">
      <c r="G441" s="283">
        <v>451.0</v>
      </c>
      <c r="H441" s="317" t="s">
        <v>4684</v>
      </c>
      <c r="I441" s="283">
        <v>241882.0</v>
      </c>
      <c r="J441" s="318" t="s">
        <v>5099</v>
      </c>
      <c r="K441" s="283" t="s">
        <v>580</v>
      </c>
    </row>
    <row r="442" spans="8:8" ht="15.75" customHeight="1">
      <c r="G442" s="283">
        <v>452.0</v>
      </c>
      <c r="H442" s="317" t="s">
        <v>1487</v>
      </c>
      <c r="I442" s="283">
        <v>240925.0</v>
      </c>
      <c r="J442" s="318" t="s">
        <v>5099</v>
      </c>
      <c r="K442" s="283" t="s">
        <v>781</v>
      </c>
    </row>
    <row r="443" spans="8:8" ht="15.75" customHeight="1">
      <c r="G443" s="283">
        <v>453.0</v>
      </c>
      <c r="H443" s="317" t="s">
        <v>1497</v>
      </c>
      <c r="I443" s="283">
        <v>240858.0</v>
      </c>
      <c r="J443" s="318" t="s">
        <v>5099</v>
      </c>
      <c r="K443" s="283" t="s">
        <v>580</v>
      </c>
    </row>
    <row r="444" spans="8:8" ht="15.75" customHeight="1">
      <c r="G444" s="283">
        <v>454.0</v>
      </c>
      <c r="H444" s="317" t="s">
        <v>4699</v>
      </c>
      <c r="I444" s="283">
        <v>240747.0</v>
      </c>
      <c r="J444" s="318" t="s">
        <v>5099</v>
      </c>
      <c r="K444" s="283" t="s">
        <v>580</v>
      </c>
    </row>
    <row r="445" spans="8:8" ht="15.75" customHeight="1">
      <c r="G445" s="283">
        <v>455.0</v>
      </c>
      <c r="H445" s="317" t="s">
        <v>1498</v>
      </c>
      <c r="I445" s="283">
        <v>240952.0</v>
      </c>
      <c r="J445" s="318" t="s">
        <v>5099</v>
      </c>
      <c r="K445" s="283" t="s">
        <v>580</v>
      </c>
    </row>
    <row r="446" spans="8:8" ht="15.75" customHeight="1">
      <c r="G446" s="283">
        <v>456.0</v>
      </c>
      <c r="H446" s="317" t="s">
        <v>4690</v>
      </c>
      <c r="I446" s="283">
        <v>240881.0</v>
      </c>
      <c r="J446" s="318" t="s">
        <v>5099</v>
      </c>
      <c r="K446" s="283" t="s">
        <v>781</v>
      </c>
    </row>
    <row r="447" spans="8:8" ht="15.75" customHeight="1">
      <c r="G447" s="283">
        <v>457.0</v>
      </c>
      <c r="H447" s="317" t="s">
        <v>1488</v>
      </c>
      <c r="I447" s="283">
        <v>240863.0</v>
      </c>
      <c r="J447" s="318" t="s">
        <v>5099</v>
      </c>
      <c r="K447" s="283" t="s">
        <v>781</v>
      </c>
    </row>
    <row r="448" spans="8:8" ht="15.75" customHeight="1">
      <c r="G448" s="283">
        <v>459.0</v>
      </c>
      <c r="H448" s="317" t="s">
        <v>4773</v>
      </c>
      <c r="I448" s="283">
        <v>240816.0</v>
      </c>
      <c r="J448" s="318" t="s">
        <v>5099</v>
      </c>
      <c r="K448" s="283" t="s">
        <v>111</v>
      </c>
    </row>
    <row r="449" spans="8:8" ht="15.75" customHeight="1">
      <c r="G449" s="283">
        <v>460.0</v>
      </c>
      <c r="H449" s="317" t="s">
        <v>4777</v>
      </c>
      <c r="I449" s="283">
        <v>240538.0</v>
      </c>
      <c r="J449" s="318" t="s">
        <v>5099</v>
      </c>
      <c r="K449" s="283" t="s">
        <v>580</v>
      </c>
    </row>
    <row r="450" spans="8:8" ht="15.75" customHeight="1">
      <c r="G450" s="283">
        <v>461.0</v>
      </c>
      <c r="H450" s="317" t="s">
        <v>4781</v>
      </c>
      <c r="I450" s="283">
        <v>240532.0</v>
      </c>
      <c r="J450" s="318" t="s">
        <v>5099</v>
      </c>
      <c r="K450" s="283" t="s">
        <v>1645</v>
      </c>
    </row>
    <row r="451" spans="8:8" ht="15.75" customHeight="1">
      <c r="G451" s="325"/>
      <c r="H451" s="325"/>
      <c r="I451" s="325"/>
      <c r="J451" s="325"/>
      <c r="K451" s="237"/>
    </row>
    <row r="452" spans="8:8" ht="15.75" customHeight="1">
      <c r="G452" s="324" t="s">
        <v>4711</v>
      </c>
      <c r="H452" s="283">
        <v>251305.0</v>
      </c>
      <c r="I452" s="317" t="s">
        <v>5084</v>
      </c>
      <c r="J452" s="283" t="s">
        <v>28</v>
      </c>
      <c r="K452" s="237"/>
    </row>
    <row r="453" spans="8:8" ht="15.75" customHeight="1">
      <c r="G453" s="324" t="s">
        <v>4010</v>
      </c>
      <c r="H453" s="283">
        <v>251313.0</v>
      </c>
      <c r="I453" s="317" t="s">
        <v>5084</v>
      </c>
      <c r="J453" s="283" t="s">
        <v>28</v>
      </c>
      <c r="K453" s="237"/>
    </row>
    <row r="454" spans="8:8" ht="15.75" customHeight="1">
      <c r="G454" s="324" t="s">
        <v>4716</v>
      </c>
      <c r="H454" s="283">
        <v>251545.0</v>
      </c>
      <c r="I454" s="317" t="s">
        <v>5084</v>
      </c>
      <c r="J454" s="283" t="s">
        <v>28</v>
      </c>
      <c r="K454" s="237"/>
    </row>
    <row r="455" spans="8:8" ht="15.75" customHeight="1">
      <c r="G455" s="324" t="s">
        <v>4717</v>
      </c>
      <c r="H455" s="283">
        <v>251614.0</v>
      </c>
      <c r="I455" s="317" t="s">
        <v>5084</v>
      </c>
      <c r="J455" s="283" t="s">
        <v>28</v>
      </c>
      <c r="K455" s="237"/>
    </row>
    <row r="456" spans="8:8" ht="15.75" customHeight="1">
      <c r="G456" s="324" t="s">
        <v>4400</v>
      </c>
      <c r="H456" s="283">
        <v>251641.0</v>
      </c>
      <c r="I456" s="317" t="s">
        <v>5084</v>
      </c>
      <c r="J456" s="283" t="s">
        <v>28</v>
      </c>
      <c r="K456" s="237"/>
    </row>
    <row r="457" spans="8:8" ht="15.75" customHeight="1">
      <c r="G457" s="324" t="s">
        <v>4753</v>
      </c>
      <c r="H457" s="283">
        <v>251642.0</v>
      </c>
      <c r="I457" s="317" t="s">
        <v>5084</v>
      </c>
      <c r="J457" s="283" t="s">
        <v>28</v>
      </c>
      <c r="K457" s="237"/>
    </row>
    <row r="458" spans="8:8" ht="15.75" customHeight="1">
      <c r="G458" s="324" t="s">
        <v>1867</v>
      </c>
      <c r="H458" s="283">
        <v>252919.0</v>
      </c>
      <c r="I458" s="317" t="s">
        <v>5084</v>
      </c>
      <c r="J458" s="283" t="s">
        <v>28</v>
      </c>
      <c r="K458" s="237"/>
    </row>
    <row r="459" spans="8:8" ht="15.75" customHeight="1">
      <c r="G459" s="324" t="s">
        <v>4425</v>
      </c>
      <c r="H459" s="283">
        <v>251628.0</v>
      </c>
      <c r="I459" s="317" t="s">
        <v>5084</v>
      </c>
      <c r="J459" s="283" t="s">
        <v>111</v>
      </c>
      <c r="K459" s="237"/>
    </row>
    <row r="460" spans="8:8" ht="15.75" customHeight="1">
      <c r="G460" s="324" t="s">
        <v>4973</v>
      </c>
      <c r="H460" s="283">
        <v>251655.0</v>
      </c>
      <c r="I460" s="317" t="s">
        <v>5084</v>
      </c>
      <c r="J460" s="283" t="s">
        <v>580</v>
      </c>
      <c r="K460" s="237"/>
    </row>
    <row r="461" spans="8:8" ht="15.75" customHeight="1">
      <c r="G461" s="324" t="s">
        <v>4974</v>
      </c>
      <c r="H461" s="283">
        <v>251667.0</v>
      </c>
      <c r="I461" s="317" t="s">
        <v>5084</v>
      </c>
      <c r="J461" s="283" t="s">
        <v>580</v>
      </c>
      <c r="K461" s="237"/>
    </row>
    <row r="462" spans="8:8" ht="15.75" customHeight="1">
      <c r="G462" s="318" t="s">
        <v>4017</v>
      </c>
      <c r="H462" s="319">
        <v>252873.0</v>
      </c>
      <c r="I462" s="318" t="s">
        <v>5085</v>
      </c>
      <c r="J462" s="320" t="s">
        <v>28</v>
      </c>
      <c r="K462" s="237"/>
    </row>
    <row r="463" spans="8:8" ht="15.75" customHeight="1">
      <c r="G463" s="324" t="s">
        <v>4686</v>
      </c>
      <c r="H463" s="283">
        <v>241827.0</v>
      </c>
      <c r="I463" s="317" t="s">
        <v>5086</v>
      </c>
      <c r="J463" s="283" t="s">
        <v>580</v>
      </c>
      <c r="K463" s="237"/>
    </row>
    <row r="464" spans="8:8" ht="15.75" customHeight="1">
      <c r="G464" s="324" t="s">
        <v>4718</v>
      </c>
      <c r="H464" s="283">
        <v>241807.0</v>
      </c>
      <c r="I464" s="317" t="s">
        <v>5086</v>
      </c>
      <c r="J464" s="283" t="s">
        <v>28</v>
      </c>
      <c r="K464" s="237"/>
    </row>
    <row r="465" spans="8:8" ht="15.75" customHeight="1">
      <c r="G465" s="324" t="s">
        <v>4897</v>
      </c>
      <c r="H465" s="283">
        <v>241888.0</v>
      </c>
      <c r="I465" s="317" t="s">
        <v>5086</v>
      </c>
      <c r="J465" s="283" t="s">
        <v>28</v>
      </c>
      <c r="K465" s="237"/>
    </row>
    <row r="466" spans="8:8" ht="15.75" customHeight="1">
      <c r="G466" s="324" t="s">
        <v>4898</v>
      </c>
      <c r="H466" s="283">
        <v>241864.0</v>
      </c>
      <c r="I466" s="317" t="s">
        <v>5086</v>
      </c>
      <c r="J466" s="283" t="s">
        <v>28</v>
      </c>
      <c r="K466" s="237"/>
    </row>
    <row r="467" spans="8:8" ht="15.75" customHeight="1">
      <c r="G467" s="324" t="s">
        <v>4719</v>
      </c>
      <c r="H467" s="283">
        <v>241618.0</v>
      </c>
      <c r="I467" s="317" t="s">
        <v>5086</v>
      </c>
      <c r="J467" s="283" t="s">
        <v>28</v>
      </c>
      <c r="K467" s="237"/>
    </row>
    <row r="468" spans="8:8" ht="15.75" customHeight="1">
      <c r="G468" s="324" t="s">
        <v>4023</v>
      </c>
      <c r="H468" s="283">
        <v>241371.0</v>
      </c>
      <c r="I468" s="317" t="s">
        <v>5086</v>
      </c>
      <c r="J468" s="283" t="s">
        <v>28</v>
      </c>
      <c r="K468" s="237"/>
    </row>
    <row r="469" spans="8:8" ht="15.75" customHeight="1">
      <c r="G469" s="324" t="s">
        <v>4728</v>
      </c>
      <c r="H469" s="283">
        <v>241331.0</v>
      </c>
      <c r="I469" s="317" t="s">
        <v>5086</v>
      </c>
      <c r="J469" s="283" t="s">
        <v>111</v>
      </c>
      <c r="K469" s="237"/>
    </row>
    <row r="470" spans="8:8" ht="15.75" customHeight="1">
      <c r="G470" s="324" t="s">
        <v>4729</v>
      </c>
      <c r="H470" s="283">
        <v>241849.0</v>
      </c>
      <c r="I470" s="317" t="s">
        <v>5086</v>
      </c>
      <c r="J470" s="283" t="s">
        <v>111</v>
      </c>
      <c r="K470" s="237"/>
    </row>
    <row r="471" spans="8:8" ht="15.75" customHeight="1">
      <c r="G471" s="324" t="s">
        <v>4730</v>
      </c>
      <c r="H471" s="283">
        <v>241842.0</v>
      </c>
      <c r="I471" s="317" t="s">
        <v>5086</v>
      </c>
      <c r="J471" s="283" t="s">
        <v>111</v>
      </c>
      <c r="K471" s="237"/>
    </row>
    <row r="472" spans="8:8" ht="15.75" customHeight="1">
      <c r="G472" s="324" t="s">
        <v>4902</v>
      </c>
      <c r="H472" s="283">
        <v>241848.0</v>
      </c>
      <c r="I472" s="317" t="s">
        <v>5086</v>
      </c>
      <c r="J472" s="283" t="s">
        <v>111</v>
      </c>
      <c r="K472" s="237"/>
    </row>
    <row r="473" spans="8:8" ht="15.75" customHeight="1">
      <c r="G473" s="324" t="s">
        <v>4903</v>
      </c>
      <c r="H473" s="283">
        <v>241889.0</v>
      </c>
      <c r="I473" s="317" t="s">
        <v>5086</v>
      </c>
      <c r="J473" s="283" t="s">
        <v>111</v>
      </c>
      <c r="K473" s="237"/>
    </row>
    <row r="474" spans="8:8" ht="15.75" customHeight="1">
      <c r="G474" s="318" t="s">
        <v>4986</v>
      </c>
      <c r="H474" s="319">
        <v>252818.0</v>
      </c>
      <c r="I474" s="318" t="s">
        <v>5089</v>
      </c>
      <c r="J474" s="320" t="s">
        <v>28</v>
      </c>
      <c r="K474" s="237"/>
    </row>
    <row r="475" spans="8:8" ht="15.75" customHeight="1">
      <c r="G475" s="318" t="s">
        <v>4549</v>
      </c>
      <c r="H475" s="319">
        <v>253074.0</v>
      </c>
      <c r="I475" s="318" t="s">
        <v>5089</v>
      </c>
      <c r="J475" s="320" t="s">
        <v>28</v>
      </c>
      <c r="K475" s="237"/>
    </row>
    <row r="476" spans="8:8" ht="15.75" customHeight="1">
      <c r="G476" s="318" t="s">
        <v>4554</v>
      </c>
      <c r="H476" s="319">
        <v>250703.0</v>
      </c>
      <c r="I476" s="318" t="s">
        <v>5097</v>
      </c>
      <c r="J476" s="320" t="s">
        <v>28</v>
      </c>
      <c r="K476" s="237"/>
    </row>
    <row r="477" spans="8:8" ht="15.75" customHeight="1">
      <c r="G477" s="318" t="s">
        <v>4991</v>
      </c>
      <c r="H477" s="319">
        <v>250716.0</v>
      </c>
      <c r="I477" s="318" t="s">
        <v>5097</v>
      </c>
      <c r="J477" s="320" t="s">
        <v>28</v>
      </c>
      <c r="K477" s="237"/>
    </row>
    <row r="478" spans="8:8" ht="15.75" customHeight="1">
      <c r="G478" s="318" t="s">
        <v>4993</v>
      </c>
      <c r="H478" s="319">
        <v>250863.0</v>
      </c>
      <c r="I478" s="318" t="s">
        <v>5097</v>
      </c>
      <c r="J478" s="320" t="s">
        <v>28</v>
      </c>
      <c r="K478" s="237"/>
    </row>
    <row r="479" spans="8:8" ht="15.75" customHeight="1">
      <c r="G479" s="318" t="s">
        <v>4540</v>
      </c>
      <c r="H479" s="319">
        <v>250911.0</v>
      </c>
      <c r="I479" s="318" t="s">
        <v>5097</v>
      </c>
      <c r="J479" s="320" t="s">
        <v>28</v>
      </c>
      <c r="K479" s="237"/>
    </row>
    <row r="480" spans="8:8" ht="15.75" customHeight="1">
      <c r="G480" s="318" t="s">
        <v>4541</v>
      </c>
      <c r="H480" s="319">
        <v>250940.0</v>
      </c>
      <c r="I480" s="318" t="s">
        <v>5097</v>
      </c>
      <c r="J480" s="320" t="s">
        <v>28</v>
      </c>
      <c r="K480" s="237"/>
    </row>
    <row r="481" spans="8:8" ht="15.75" customHeight="1">
      <c r="G481" s="318" t="s">
        <v>4995</v>
      </c>
      <c r="H481" s="319">
        <v>250954.0</v>
      </c>
      <c r="I481" s="318" t="s">
        <v>5097</v>
      </c>
      <c r="J481" s="320" t="s">
        <v>28</v>
      </c>
      <c r="K481" s="237"/>
    </row>
    <row r="482" spans="8:8" ht="15.75" customHeight="1">
      <c r="G482" s="318" t="s">
        <v>4542</v>
      </c>
      <c r="H482" s="319">
        <v>250963.0</v>
      </c>
      <c r="I482" s="318" t="s">
        <v>5097</v>
      </c>
      <c r="J482" s="320" t="s">
        <v>28</v>
      </c>
      <c r="K482" s="237"/>
    </row>
    <row r="483" spans="8:8" ht="15.75" customHeight="1">
      <c r="G483" s="318" t="s">
        <v>4552</v>
      </c>
      <c r="H483" s="319">
        <v>240520.0</v>
      </c>
      <c r="I483" s="318" t="s">
        <v>5099</v>
      </c>
      <c r="J483" s="320" t="s">
        <v>28</v>
      </c>
      <c r="K483" s="237"/>
    </row>
    <row r="484" spans="8:8" ht="15.75" customHeight="1">
      <c r="G484" s="318" t="s">
        <v>4646</v>
      </c>
      <c r="H484" s="319">
        <v>250705.0</v>
      </c>
      <c r="I484" s="318" t="s">
        <v>5097</v>
      </c>
      <c r="J484" s="320" t="s">
        <v>111</v>
      </c>
      <c r="K484" s="237"/>
    </row>
    <row r="485" spans="8:8" ht="15.75" customHeight="1">
      <c r="G485" s="318" t="s">
        <v>4647</v>
      </c>
      <c r="H485" s="319">
        <v>250970.0</v>
      </c>
      <c r="I485" s="318" t="s">
        <v>5097</v>
      </c>
      <c r="J485" s="320" t="s">
        <v>111</v>
      </c>
      <c r="K485" s="237"/>
    </row>
    <row r="486" spans="8:8" ht="15.75" customHeight="1">
      <c r="G486" s="318" t="s">
        <v>4648</v>
      </c>
      <c r="H486" s="319">
        <v>250966.0</v>
      </c>
      <c r="I486" s="318" t="s">
        <v>5097</v>
      </c>
      <c r="J486" s="320" t="s">
        <v>111</v>
      </c>
      <c r="K486" s="237"/>
    </row>
    <row r="487" spans="8:8" ht="15.75" customHeight="1">
      <c r="G487" s="318" t="s">
        <v>4574</v>
      </c>
      <c r="H487" s="319">
        <v>250866.0</v>
      </c>
      <c r="I487" s="318" t="s">
        <v>5097</v>
      </c>
      <c r="J487" s="320" t="s">
        <v>580</v>
      </c>
      <c r="K487" s="237"/>
    </row>
    <row r="488" spans="8:8" ht="15.75" customHeight="1">
      <c r="G488" s="318" t="s">
        <v>1516</v>
      </c>
      <c r="H488" s="319">
        <v>251044.0</v>
      </c>
      <c r="I488" s="318" t="s">
        <v>5097</v>
      </c>
      <c r="J488" s="320" t="s">
        <v>28</v>
      </c>
      <c r="K488" s="237"/>
    </row>
    <row r="489" spans="8:8" ht="15.75" customHeight="1">
      <c r="G489" s="318" t="s">
        <v>4632</v>
      </c>
      <c r="H489" s="319">
        <v>251061.0</v>
      </c>
      <c r="I489" s="318" t="s">
        <v>5097</v>
      </c>
      <c r="J489" s="320" t="s">
        <v>28</v>
      </c>
      <c r="K489" s="237"/>
    </row>
    <row r="490" spans="8:8" ht="15.75" customHeight="1">
      <c r="G490" s="318" t="s">
        <v>1642</v>
      </c>
      <c r="H490" s="319">
        <v>251065.0</v>
      </c>
      <c r="I490" s="318" t="s">
        <v>5097</v>
      </c>
      <c r="J490" s="320" t="s">
        <v>28</v>
      </c>
      <c r="K490" s="237"/>
    </row>
    <row r="491" spans="8:8" ht="15.75" customHeight="1">
      <c r="G491" s="318" t="s">
        <v>4579</v>
      </c>
      <c r="H491" s="319">
        <v>251070.0</v>
      </c>
      <c r="I491" s="318" t="s">
        <v>5097</v>
      </c>
      <c r="J491" s="320" t="s">
        <v>28</v>
      </c>
      <c r="K491" s="237"/>
    </row>
    <row r="492" spans="8:8" ht="15.75" customHeight="1">
      <c r="G492" s="318" t="s">
        <v>4580</v>
      </c>
      <c r="H492" s="319">
        <v>251051.0</v>
      </c>
      <c r="I492" s="318" t="s">
        <v>5097</v>
      </c>
      <c r="J492" s="320" t="s">
        <v>28</v>
      </c>
      <c r="K492" s="237"/>
    </row>
    <row r="493" spans="8:8" ht="15.75" customHeight="1">
      <c r="G493" s="318" t="s">
        <v>5005</v>
      </c>
      <c r="H493" s="319">
        <v>251082.0</v>
      </c>
      <c r="I493" s="318" t="s">
        <v>5097</v>
      </c>
      <c r="J493" s="320" t="s">
        <v>28</v>
      </c>
      <c r="K493" s="237"/>
    </row>
    <row r="494" spans="8:8" ht="15.75" customHeight="1">
      <c r="G494" s="318" t="s">
        <v>1522</v>
      </c>
      <c r="H494" s="319">
        <v>251167.0</v>
      </c>
      <c r="I494" s="318" t="s">
        <v>5097</v>
      </c>
      <c r="J494" s="320" t="s">
        <v>28</v>
      </c>
      <c r="K494" s="237"/>
    </row>
    <row r="495" spans="8:8" ht="15.75" customHeight="1">
      <c r="G495" s="318" t="s">
        <v>1526</v>
      </c>
      <c r="H495" s="319">
        <v>251228.0</v>
      </c>
      <c r="I495" s="318" t="s">
        <v>5097</v>
      </c>
      <c r="J495" s="320" t="s">
        <v>28</v>
      </c>
      <c r="K495" s="237"/>
    </row>
    <row r="496" spans="8:8" ht="15.75" customHeight="1">
      <c r="G496" s="318" t="s">
        <v>3241</v>
      </c>
      <c r="H496" s="319">
        <v>240339.0</v>
      </c>
      <c r="I496" s="318" t="s">
        <v>5091</v>
      </c>
      <c r="J496" s="320" t="s">
        <v>580</v>
      </c>
      <c r="K496" s="237"/>
    </row>
    <row r="497" spans="8:8" ht="15.75" customHeight="1">
      <c r="G497" s="324" t="s">
        <v>4766</v>
      </c>
      <c r="H497" s="283">
        <v>252129.0</v>
      </c>
      <c r="I497" s="318" t="s">
        <v>5085</v>
      </c>
      <c r="J497" s="283" t="s">
        <v>28</v>
      </c>
      <c r="K497" s="237"/>
    </row>
    <row r="498" spans="8:8" ht="15.75" customHeight="1">
      <c r="G498" s="324" t="s">
        <v>4616</v>
      </c>
      <c r="H498" s="283">
        <v>252737.0</v>
      </c>
      <c r="I498" s="317" t="s">
        <v>5093</v>
      </c>
      <c r="J498" s="283" t="s">
        <v>28</v>
      </c>
      <c r="K498" s="237"/>
    </row>
    <row r="499" spans="8:8" ht="15.75" customHeight="1">
      <c r="G499" s="324" t="s">
        <v>2923</v>
      </c>
      <c r="H499" s="283">
        <v>252575.0</v>
      </c>
      <c r="I499" s="317" t="s">
        <v>5093</v>
      </c>
      <c r="J499" s="283" t="s">
        <v>28</v>
      </c>
      <c r="K499" s="237"/>
    </row>
    <row r="500" spans="8:8" ht="15.75" customHeight="1">
      <c r="G500" s="324" t="s">
        <v>4636</v>
      </c>
      <c r="H500" s="283">
        <v>253040.0</v>
      </c>
      <c r="I500" s="317" t="s">
        <v>5093</v>
      </c>
      <c r="J500" s="283" t="s">
        <v>28</v>
      </c>
      <c r="K500" s="237"/>
    </row>
    <row r="501" spans="8:8" ht="15.75" customHeight="1">
      <c r="G501" s="324" t="s">
        <v>5040</v>
      </c>
      <c r="H501" s="283">
        <v>252693.0</v>
      </c>
      <c r="I501" s="317" t="s">
        <v>5093</v>
      </c>
      <c r="J501" s="283" t="s">
        <v>28</v>
      </c>
      <c r="K501" s="237"/>
    </row>
    <row r="502" spans="8:8" ht="15.75" customHeight="1">
      <c r="G502" s="324" t="s">
        <v>4610</v>
      </c>
      <c r="H502" s="283">
        <v>252711.0</v>
      </c>
      <c r="I502" s="317" t="s">
        <v>5093</v>
      </c>
      <c r="J502" s="283" t="s">
        <v>28</v>
      </c>
      <c r="K502" s="237"/>
    </row>
    <row r="503" spans="8:8" ht="15.75" customHeight="1">
      <c r="G503" s="324" t="s">
        <v>5041</v>
      </c>
      <c r="H503" s="283">
        <v>252710.0</v>
      </c>
      <c r="I503" s="317" t="s">
        <v>5093</v>
      </c>
      <c r="J503" s="283" t="s">
        <v>28</v>
      </c>
      <c r="K503" s="237"/>
    </row>
    <row r="504" spans="8:8" ht="15.75" customHeight="1">
      <c r="G504" s="324" t="s">
        <v>1553</v>
      </c>
      <c r="H504" s="283">
        <v>252722.0</v>
      </c>
      <c r="I504" s="317" t="s">
        <v>5093</v>
      </c>
      <c r="J504" s="283" t="s">
        <v>28</v>
      </c>
      <c r="K504" s="237"/>
    </row>
    <row r="505" spans="8:8" ht="15.75" customHeight="1">
      <c r="G505" s="324" t="s">
        <v>4612</v>
      </c>
      <c r="H505" s="283">
        <v>252730.0</v>
      </c>
      <c r="I505" s="317" t="s">
        <v>5093</v>
      </c>
      <c r="J505" s="283" t="s">
        <v>28</v>
      </c>
      <c r="K505" s="237"/>
    </row>
    <row r="506" spans="8:8" ht="15.75" customHeight="1">
      <c r="G506" s="324" t="s">
        <v>5042</v>
      </c>
      <c r="H506" s="283">
        <v>252731.0</v>
      </c>
      <c r="I506" s="317" t="s">
        <v>5093</v>
      </c>
      <c r="J506" s="283" t="s">
        <v>28</v>
      </c>
      <c r="K506" s="237"/>
    </row>
    <row r="507" spans="8:8" ht="15.75" customHeight="1">
      <c r="G507" s="324" t="s">
        <v>2498</v>
      </c>
      <c r="H507" s="283">
        <v>252481.0</v>
      </c>
      <c r="I507" s="317" t="s">
        <v>5093</v>
      </c>
      <c r="J507" s="283" t="s">
        <v>28</v>
      </c>
      <c r="K507" s="237"/>
    </row>
    <row r="508" spans="8:8" ht="15.75" customHeight="1">
      <c r="G508" s="324" t="s">
        <v>4664</v>
      </c>
      <c r="H508" s="283">
        <v>252811.0</v>
      </c>
      <c r="I508" s="317" t="s">
        <v>5093</v>
      </c>
      <c r="J508" s="283" t="s">
        <v>580</v>
      </c>
      <c r="K508" s="237"/>
    </row>
    <row r="509" spans="8:8" ht="15.75" customHeight="1">
      <c r="G509" s="324" t="s">
        <v>2947</v>
      </c>
      <c r="H509" s="283">
        <v>252772.0</v>
      </c>
      <c r="I509" s="317" t="s">
        <v>5093</v>
      </c>
      <c r="J509" s="283" t="s">
        <v>580</v>
      </c>
      <c r="K509" s="237"/>
    </row>
    <row r="510" spans="8:8" ht="15.75" customHeight="1">
      <c r="G510" s="324" t="s">
        <v>2948</v>
      </c>
      <c r="H510" s="283">
        <v>252559.0</v>
      </c>
      <c r="I510" s="317" t="s">
        <v>5093</v>
      </c>
      <c r="J510" s="283" t="s">
        <v>580</v>
      </c>
      <c r="K510" s="237"/>
    </row>
    <row r="511" spans="8:8" ht="15.75" customHeight="1">
      <c r="G511" s="324" t="s">
        <v>5059</v>
      </c>
      <c r="H511" s="283">
        <v>251829.0</v>
      </c>
      <c r="I511" s="318" t="s">
        <v>5085</v>
      </c>
      <c r="J511" s="283" t="s">
        <v>28</v>
      </c>
      <c r="K511" s="237"/>
    </row>
    <row r="512" spans="8:8" ht="15.75" customHeight="1">
      <c r="G512" s="324" t="s">
        <v>5060</v>
      </c>
      <c r="H512" s="283">
        <v>251810.0</v>
      </c>
      <c r="I512" s="318" t="s">
        <v>5085</v>
      </c>
      <c r="J512" s="283" t="s">
        <v>28</v>
      </c>
      <c r="K512" s="237"/>
    </row>
    <row r="513" spans="8:8" ht="15.75" customHeight="1">
      <c r="G513" s="324" t="s">
        <v>4606</v>
      </c>
      <c r="H513" s="283">
        <v>251832.0</v>
      </c>
      <c r="I513" s="318" t="s">
        <v>5085</v>
      </c>
      <c r="J513" s="283" t="s">
        <v>28</v>
      </c>
      <c r="K513" s="237"/>
    </row>
    <row r="514" spans="8:8" ht="15.75" customHeight="1">
      <c r="G514" s="324" t="s">
        <v>5062</v>
      </c>
      <c r="H514" s="283">
        <v>251856.0</v>
      </c>
      <c r="I514" s="318" t="s">
        <v>5085</v>
      </c>
      <c r="J514" s="283" t="s">
        <v>28</v>
      </c>
      <c r="K514" s="237"/>
    </row>
    <row r="515" spans="8:8" ht="15.75" customHeight="1">
      <c r="G515" s="324" t="s">
        <v>2501</v>
      </c>
      <c r="H515" s="283">
        <v>251888.0</v>
      </c>
      <c r="I515" s="318" t="s">
        <v>5085</v>
      </c>
      <c r="J515" s="283" t="s">
        <v>28</v>
      </c>
      <c r="K515" s="237"/>
    </row>
    <row r="516" spans="8:8" ht="15.75" customHeight="1">
      <c r="G516" s="324" t="s">
        <v>5064</v>
      </c>
      <c r="H516" s="283">
        <v>251840.0</v>
      </c>
      <c r="I516" s="318" t="s">
        <v>5085</v>
      </c>
      <c r="J516" s="283" t="s">
        <v>28</v>
      </c>
      <c r="K516" s="237"/>
    </row>
    <row r="517" spans="8:8" ht="15.75" customHeight="1">
      <c r="G517" s="324" t="s">
        <v>4620</v>
      </c>
      <c r="H517" s="283">
        <v>252183.0</v>
      </c>
      <c r="I517" s="318" t="s">
        <v>5085</v>
      </c>
      <c r="J517" s="283" t="s">
        <v>28</v>
      </c>
      <c r="K517" s="237"/>
    </row>
    <row r="518" spans="8:8" ht="15.75" customHeight="1">
      <c r="G518" s="324" t="s">
        <v>4621</v>
      </c>
      <c r="H518" s="283">
        <v>252193.0</v>
      </c>
      <c r="I518" s="318" t="s">
        <v>5085</v>
      </c>
      <c r="J518" s="283" t="s">
        <v>28</v>
      </c>
      <c r="K518" s="237"/>
    </row>
    <row r="519" spans="8:8" ht="15.75" customHeight="1">
      <c r="G519" s="324" t="s">
        <v>4622</v>
      </c>
      <c r="H519" s="283">
        <v>252198.0</v>
      </c>
      <c r="I519" s="318" t="s">
        <v>5085</v>
      </c>
      <c r="J519" s="283" t="s">
        <v>28</v>
      </c>
      <c r="K519" s="237"/>
    </row>
    <row r="520" spans="8:8" ht="15.75" customHeight="1">
      <c r="G520" s="324" t="s">
        <v>2904</v>
      </c>
      <c r="H520" s="283">
        <v>252322.0</v>
      </c>
      <c r="I520" s="318" t="s">
        <v>5085</v>
      </c>
      <c r="J520" s="283" t="s">
        <v>28</v>
      </c>
      <c r="K520" s="237"/>
    </row>
    <row r="521" spans="8:8" ht="15.75" customHeight="1">
      <c r="G521" s="324" t="s">
        <v>4628</v>
      </c>
      <c r="H521" s="283">
        <v>241670.0</v>
      </c>
      <c r="I521" s="317" t="s">
        <v>2665</v>
      </c>
      <c r="J521" s="283" t="s">
        <v>28</v>
      </c>
      <c r="K521" s="237"/>
    </row>
    <row r="522" spans="8:8" ht="15.75" customHeight="1">
      <c r="G522" s="324" t="s">
        <v>5072</v>
      </c>
      <c r="H522" s="283">
        <v>241905.0</v>
      </c>
      <c r="I522" s="317" t="s">
        <v>2665</v>
      </c>
      <c r="J522" s="283" t="s">
        <v>28</v>
      </c>
      <c r="K522" s="237"/>
    </row>
    <row r="523" spans="8:8" ht="15.75" customHeight="1">
      <c r="G523" s="324" t="s">
        <v>2927</v>
      </c>
      <c r="H523" s="283">
        <v>251967.0</v>
      </c>
      <c r="I523" s="318" t="s">
        <v>5085</v>
      </c>
      <c r="J523" s="283" t="s">
        <v>111</v>
      </c>
      <c r="K523" s="237"/>
    </row>
    <row r="524" spans="8:8" ht="15.75" customHeight="1">
      <c r="G524" s="324" t="s">
        <v>4641</v>
      </c>
      <c r="H524" s="283">
        <v>252289.0</v>
      </c>
      <c r="I524" s="318" t="s">
        <v>5085</v>
      </c>
      <c r="J524" s="283" t="s">
        <v>111</v>
      </c>
      <c r="K524" s="237"/>
    </row>
    <row r="525" spans="8:8" ht="15.75" customHeight="1">
      <c r="G525" s="324" t="s">
        <v>4642</v>
      </c>
      <c r="H525" s="283">
        <v>241958.0</v>
      </c>
      <c r="I525" s="317" t="s">
        <v>2665</v>
      </c>
      <c r="J525" s="283" t="s">
        <v>111</v>
      </c>
      <c r="K525" s="237"/>
    </row>
    <row r="526" spans="8:8" ht="15.75" customHeight="1">
      <c r="G526" s="324" t="s">
        <v>4644</v>
      </c>
      <c r="H526" s="283">
        <v>241722.0</v>
      </c>
      <c r="I526" s="317" t="s">
        <v>2665</v>
      </c>
      <c r="J526" s="283" t="s">
        <v>111</v>
      </c>
      <c r="K526" s="237"/>
    </row>
    <row r="527" spans="8:8" ht="15.75" customHeight="1">
      <c r="G527" s="324" t="s">
        <v>4654</v>
      </c>
      <c r="H527" s="283">
        <v>251850.0</v>
      </c>
      <c r="I527" s="318" t="s">
        <v>5085</v>
      </c>
      <c r="J527" s="283" t="s">
        <v>580</v>
      </c>
      <c r="K527" s="237"/>
    </row>
    <row r="528" spans="8:8" ht="15.75" customHeight="1">
      <c r="G528" s="324" t="s">
        <v>4655</v>
      </c>
      <c r="H528" s="283">
        <v>252311.0</v>
      </c>
      <c r="I528" s="318" t="s">
        <v>5085</v>
      </c>
      <c r="J528" s="283" t="s">
        <v>580</v>
      </c>
      <c r="K528" s="237"/>
    </row>
    <row r="529" spans="8:8" ht="15.75" customHeight="1">
      <c r="G529" s="324" t="s">
        <v>5076</v>
      </c>
      <c r="H529" s="283">
        <v>241695.0</v>
      </c>
      <c r="I529" s="317" t="s">
        <v>2665</v>
      </c>
      <c r="J529" s="283" t="s">
        <v>580</v>
      </c>
      <c r="K529" s="237"/>
    </row>
    <row r="530" spans="8:8" ht="15.75" customHeight="1">
      <c r="G530" s="324" t="s">
        <v>4659</v>
      </c>
      <c r="H530" s="283">
        <v>241669.0</v>
      </c>
      <c r="I530" s="317" t="s">
        <v>2665</v>
      </c>
      <c r="J530" s="283" t="s">
        <v>580</v>
      </c>
      <c r="K530" s="237"/>
    </row>
    <row r="531" spans="8:8" ht="15.75" customHeight="1">
      <c r="G531" s="324" t="s">
        <v>4660</v>
      </c>
      <c r="H531" s="283">
        <v>241709.0</v>
      </c>
      <c r="I531" s="317" t="s">
        <v>5071</v>
      </c>
      <c r="J531" s="283" t="s">
        <v>580</v>
      </c>
      <c r="K531" s="237"/>
    </row>
    <row r="532" spans="8:8" ht="15.75" customHeight="1">
      <c r="G532" s="324" t="s">
        <v>4028</v>
      </c>
      <c r="H532" s="283">
        <v>240053.0</v>
      </c>
      <c r="I532" s="318" t="s">
        <v>5091</v>
      </c>
      <c r="J532" s="283" t="s">
        <v>28</v>
      </c>
      <c r="K532" s="237"/>
    </row>
    <row r="533" spans="8:8" ht="15.75" customHeight="1">
      <c r="G533" s="324" t="s">
        <v>4669</v>
      </c>
      <c r="H533" s="283">
        <v>240010.0</v>
      </c>
      <c r="I533" s="318" t="s">
        <v>5091</v>
      </c>
      <c r="J533" s="283" t="s">
        <v>28</v>
      </c>
      <c r="K533" s="237"/>
    </row>
    <row r="534" spans="8:8" ht="15.75" customHeight="1">
      <c r="G534" s="324" t="s">
        <v>4670</v>
      </c>
      <c r="H534" s="283">
        <v>240240.0</v>
      </c>
      <c r="I534" s="318" t="s">
        <v>5091</v>
      </c>
      <c r="J534" s="283" t="s">
        <v>28</v>
      </c>
      <c r="K534" s="237"/>
    </row>
    <row r="535" spans="8:8" ht="15.75" customHeight="1">
      <c r="G535" s="324" t="s">
        <v>3203</v>
      </c>
      <c r="H535" s="283">
        <v>240020.0</v>
      </c>
      <c r="I535" s="318" t="s">
        <v>5091</v>
      </c>
      <c r="J535" s="283" t="s">
        <v>28</v>
      </c>
      <c r="K535" s="237"/>
    </row>
    <row r="536" spans="8:8" ht="15.75" customHeight="1">
      <c r="G536" s="324" t="s">
        <v>4671</v>
      </c>
      <c r="H536" s="283">
        <v>240154.0</v>
      </c>
      <c r="I536" s="318" t="s">
        <v>5091</v>
      </c>
      <c r="J536" s="283" t="s">
        <v>28</v>
      </c>
      <c r="K536" s="237"/>
    </row>
    <row r="537" spans="8:8" ht="15.75" customHeight="1">
      <c r="G537" s="324" t="s">
        <v>4688</v>
      </c>
      <c r="H537" s="283">
        <v>240195.0</v>
      </c>
      <c r="I537" s="318" t="s">
        <v>5091</v>
      </c>
      <c r="J537" s="283" t="s">
        <v>781</v>
      </c>
      <c r="K537" s="237"/>
    </row>
    <row r="538" spans="8:8" ht="15.75" customHeight="1">
      <c r="G538" s="324" t="s">
        <v>3255</v>
      </c>
      <c r="H538" s="283">
        <v>240043.0</v>
      </c>
      <c r="I538" s="318" t="s">
        <v>5091</v>
      </c>
      <c r="J538" s="283" t="s">
        <v>781</v>
      </c>
      <c r="K538" s="237"/>
    </row>
    <row r="539" spans="8:8" ht="15.75" customHeight="1">
      <c r="G539" s="324" t="s">
        <v>4689</v>
      </c>
      <c r="H539" s="283">
        <v>240083.0</v>
      </c>
      <c r="I539" s="318" t="s">
        <v>5091</v>
      </c>
      <c r="J539" s="283" t="s">
        <v>781</v>
      </c>
      <c r="K539" s="237"/>
    </row>
    <row r="540" spans="8:8" ht="15.75" customHeight="1">
      <c r="G540" s="324" t="s">
        <v>4743</v>
      </c>
      <c r="H540" s="283">
        <v>240173.0</v>
      </c>
      <c r="I540" s="318" t="s">
        <v>5091</v>
      </c>
      <c r="J540" s="283" t="s">
        <v>781</v>
      </c>
      <c r="K540" s="237"/>
    </row>
    <row r="541" spans="8:8" ht="15.75" customHeight="1">
      <c r="G541" s="324" t="s">
        <v>3259</v>
      </c>
      <c r="H541" s="283">
        <v>240092.0</v>
      </c>
      <c r="I541" s="318" t="s">
        <v>5091</v>
      </c>
      <c r="J541" s="283" t="s">
        <v>781</v>
      </c>
      <c r="K541" s="237"/>
    </row>
    <row r="542" spans="8:8" ht="15.75" customHeight="1">
      <c r="G542" s="324" t="s">
        <v>4981</v>
      </c>
      <c r="H542" s="283">
        <v>240225.0</v>
      </c>
      <c r="I542" s="318" t="s">
        <v>5091</v>
      </c>
      <c r="J542" s="283" t="s">
        <v>1645</v>
      </c>
      <c r="K542" s="237"/>
    </row>
    <row r="543" spans="8:8" ht="15.75" customHeight="1">
      <c r="G543" s="324" t="s">
        <v>3436</v>
      </c>
      <c r="H543" s="283">
        <v>240399.0</v>
      </c>
      <c r="I543" s="318" t="s">
        <v>5091</v>
      </c>
      <c r="J543" s="283" t="s">
        <v>111</v>
      </c>
      <c r="K543" s="237"/>
    </row>
    <row r="544" spans="8:8" ht="15.75" customHeight="1">
      <c r="G544" s="324" t="s">
        <v>2931</v>
      </c>
      <c r="H544" s="283">
        <v>240434.0</v>
      </c>
      <c r="I544" s="318" t="s">
        <v>5091</v>
      </c>
      <c r="J544" s="283" t="s">
        <v>111</v>
      </c>
      <c r="K544" s="237"/>
    </row>
    <row r="545" spans="8:8" ht="15.75" customHeight="1">
      <c r="G545" s="324" t="s">
        <v>5079</v>
      </c>
      <c r="H545" s="283">
        <v>240408.0</v>
      </c>
      <c r="I545" s="318" t="s">
        <v>5091</v>
      </c>
      <c r="J545" s="283" t="s">
        <v>111</v>
      </c>
      <c r="K545" s="237"/>
    </row>
    <row r="546" spans="8:8" ht="15.75" customHeight="1">
      <c r="G546" s="324" t="s">
        <v>4692</v>
      </c>
      <c r="H546" s="283">
        <v>240253.0</v>
      </c>
      <c r="I546" s="318" t="s">
        <v>5091</v>
      </c>
      <c r="J546" s="283" t="s">
        <v>111</v>
      </c>
      <c r="K546" s="237"/>
    </row>
    <row r="547" spans="8:8" ht="15.75" customHeight="1">
      <c r="G547" s="324" t="s">
        <v>5080</v>
      </c>
      <c r="H547" s="283">
        <v>240371.0</v>
      </c>
      <c r="I547" s="318" t="s">
        <v>5091</v>
      </c>
      <c r="J547" s="283" t="s">
        <v>111</v>
      </c>
      <c r="K547" s="237"/>
    </row>
    <row r="548" spans="8:8" ht="15.75" customHeight="1">
      <c r="G548" s="324" t="s">
        <v>4693</v>
      </c>
      <c r="H548" s="283">
        <v>240904.0</v>
      </c>
      <c r="I548" s="318" t="s">
        <v>5099</v>
      </c>
      <c r="J548" s="283" t="s">
        <v>111</v>
      </c>
      <c r="K548" s="237"/>
    </row>
    <row r="549" spans="8:8" ht="15.75" customHeight="1">
      <c r="G549" s="324" t="s">
        <v>4680</v>
      </c>
      <c r="H549" s="283">
        <v>240439.0</v>
      </c>
      <c r="I549" s="318" t="s">
        <v>5091</v>
      </c>
      <c r="J549" s="283" t="s">
        <v>580</v>
      </c>
      <c r="K549" s="237"/>
    </row>
    <row r="550" spans="8:8" ht="15.75" customHeight="1">
      <c r="G550" s="324" t="s">
        <v>4701</v>
      </c>
      <c r="H550" s="283">
        <v>240835.0</v>
      </c>
      <c r="I550" s="318" t="s">
        <v>5099</v>
      </c>
      <c r="J550" s="283" t="s">
        <v>580</v>
      </c>
      <c r="K550" s="237"/>
    </row>
    <row r="551" spans="8:8" ht="15.75" customHeight="1">
      <c r="G551" s="324" t="s">
        <v>4732</v>
      </c>
      <c r="H551" s="283">
        <v>241357.0</v>
      </c>
      <c r="I551" s="317" t="s">
        <v>5086</v>
      </c>
      <c r="J551" s="283" t="s">
        <v>111</v>
      </c>
      <c r="K551" s="237"/>
    </row>
    <row r="552" spans="8:8" ht="15.75" customHeight="1">
      <c r="G552" s="324" t="s">
        <v>4907</v>
      </c>
      <c r="H552" s="283">
        <v>241427.0</v>
      </c>
      <c r="I552" s="317" t="s">
        <v>5086</v>
      </c>
      <c r="J552" s="283" t="s">
        <v>580</v>
      </c>
      <c r="K552" s="237"/>
    </row>
    <row r="553" spans="8:8" ht="15.75" customHeight="1">
      <c r="G553" s="324" t="s">
        <v>4910</v>
      </c>
      <c r="H553" s="283">
        <v>241844.0</v>
      </c>
      <c r="I553" s="317" t="s">
        <v>5086</v>
      </c>
      <c r="J553" s="283" t="s">
        <v>580</v>
      </c>
      <c r="K553" s="237"/>
    </row>
    <row r="554" spans="8:8" ht="15.75" customHeight="1">
      <c r="G554" s="324" t="s">
        <v>4470</v>
      </c>
      <c r="H554" s="283">
        <v>241439.0</v>
      </c>
      <c r="I554" s="317" t="s">
        <v>5086</v>
      </c>
      <c r="J554" s="283" t="s">
        <v>580</v>
      </c>
      <c r="K554" s="237"/>
    </row>
    <row r="555" spans="8:8" ht="15.75" customHeight="1">
      <c r="G555" s="324" t="s">
        <v>4741</v>
      </c>
      <c r="H555" s="283">
        <v>241896.0</v>
      </c>
      <c r="I555" s="317" t="s">
        <v>5086</v>
      </c>
      <c r="J555" s="283" t="s">
        <v>781</v>
      </c>
      <c r="K555" s="237"/>
    </row>
    <row r="556" spans="8:8" ht="15.75" customHeight="1">
      <c r="G556" s="324" t="s">
        <v>4742</v>
      </c>
      <c r="H556" s="283">
        <v>241846.0</v>
      </c>
      <c r="I556" s="317" t="s">
        <v>5086</v>
      </c>
      <c r="J556" s="283" t="s">
        <v>580</v>
      </c>
      <c r="K556" s="237"/>
    </row>
    <row r="557" spans="8:8" ht="15.75" customHeight="1">
      <c r="G557" s="324" t="s">
        <v>4034</v>
      </c>
      <c r="H557" s="283">
        <v>241406.0</v>
      </c>
      <c r="I557" s="317" t="s">
        <v>5086</v>
      </c>
      <c r="J557" s="283" t="s">
        <v>1645</v>
      </c>
      <c r="K557" s="237"/>
    </row>
    <row r="558" spans="8:8" ht="15.75" customHeight="1">
      <c r="G558" s="324" t="s">
        <v>4412</v>
      </c>
      <c r="H558" s="283">
        <v>241235.0</v>
      </c>
      <c r="I558" s="317" t="s">
        <v>5086</v>
      </c>
      <c r="J558" s="283" t="s">
        <v>28</v>
      </c>
      <c r="K558" s="237"/>
    </row>
    <row r="559" spans="8:8" ht="15.75" customHeight="1">
      <c r="G559" s="324" t="s">
        <v>2504</v>
      </c>
      <c r="H559" s="283">
        <v>241236.0</v>
      </c>
      <c r="I559" s="317" t="s">
        <v>5086</v>
      </c>
      <c r="J559" s="283" t="s">
        <v>28</v>
      </c>
      <c r="K559" s="237"/>
    </row>
    <row r="560" spans="8:8" ht="15.75" customHeight="1">
      <c r="G560" s="324" t="s">
        <v>4762</v>
      </c>
      <c r="H560" s="283">
        <v>241507.0</v>
      </c>
      <c r="I560" s="317" t="s">
        <v>5086</v>
      </c>
      <c r="J560" s="283" t="s">
        <v>28</v>
      </c>
      <c r="K560" s="237"/>
    </row>
    <row r="561" spans="8:8" ht="15.75" customHeight="1">
      <c r="G561" s="324" t="s">
        <v>4763</v>
      </c>
      <c r="H561" s="283">
        <v>241489.0</v>
      </c>
      <c r="I561" s="317" t="s">
        <v>5086</v>
      </c>
      <c r="J561" s="283" t="s">
        <v>28</v>
      </c>
      <c r="K561" s="237"/>
    </row>
    <row r="562" spans="8:8" ht="15.75" customHeight="1">
      <c r="G562" s="324" t="s">
        <v>4960</v>
      </c>
      <c r="H562" s="283">
        <v>241469.0</v>
      </c>
      <c r="I562" s="317" t="s">
        <v>5086</v>
      </c>
      <c r="J562" s="283" t="s">
        <v>28</v>
      </c>
      <c r="K562" s="237"/>
    </row>
    <row r="563" spans="8:8" ht="15.75" customHeight="1">
      <c r="G563" s="324" t="s">
        <v>4961</v>
      </c>
      <c r="H563" s="283">
        <v>241592.0</v>
      </c>
      <c r="I563" s="317" t="s">
        <v>5086</v>
      </c>
      <c r="J563" s="283" t="s">
        <v>28</v>
      </c>
      <c r="K563" s="237"/>
    </row>
    <row r="564" spans="8:8" ht="15.75" customHeight="1">
      <c r="G564" s="324" t="s">
        <v>4962</v>
      </c>
      <c r="H564" s="283">
        <v>241155.0</v>
      </c>
      <c r="I564" s="317" t="s">
        <v>5086</v>
      </c>
      <c r="J564" s="283" t="s">
        <v>28</v>
      </c>
      <c r="K564" s="237"/>
    </row>
    <row r="565" spans="8:8" ht="15.75" customHeight="1">
      <c r="G565" s="324" t="s">
        <v>4768</v>
      </c>
      <c r="H565" s="283">
        <v>241156.0</v>
      </c>
      <c r="I565" s="317" t="s">
        <v>5086</v>
      </c>
      <c r="J565" s="283" t="s">
        <v>111</v>
      </c>
      <c r="K565" s="237"/>
    </row>
    <row r="566" spans="8:8" ht="15.75" customHeight="1">
      <c r="G566" s="324" t="s">
        <v>4769</v>
      </c>
      <c r="H566" s="283">
        <v>241185.0</v>
      </c>
      <c r="I566" s="317" t="s">
        <v>5086</v>
      </c>
      <c r="J566" s="283" t="s">
        <v>111</v>
      </c>
      <c r="K566" s="237"/>
    </row>
    <row r="567" spans="8:8" ht="15.75" customHeight="1">
      <c r="G567" s="324" t="s">
        <v>4967</v>
      </c>
      <c r="H567" s="283">
        <v>251523.0</v>
      </c>
      <c r="I567" s="318" t="s">
        <v>5085</v>
      </c>
      <c r="J567" s="283" t="s">
        <v>111</v>
      </c>
      <c r="K567" s="237"/>
    </row>
    <row r="568" spans="8:8" ht="15.75" customHeight="1">
      <c r="G568" s="324" t="s">
        <v>4968</v>
      </c>
      <c r="H568" s="283">
        <v>241221.0</v>
      </c>
      <c r="I568" s="317" t="s">
        <v>5086</v>
      </c>
      <c r="J568" s="283" t="s">
        <v>111</v>
      </c>
      <c r="K568" s="237"/>
    </row>
    <row r="569" spans="8:8" ht="15.75" customHeight="1">
      <c r="G569" s="324" t="s">
        <v>3444</v>
      </c>
      <c r="H569" s="283">
        <v>241486.0</v>
      </c>
      <c r="I569" s="317" t="s">
        <v>5086</v>
      </c>
      <c r="J569" s="283" t="s">
        <v>111</v>
      </c>
      <c r="K569" s="237"/>
    </row>
    <row r="570" spans="8:8" ht="15.75" customHeight="1">
      <c r="G570" s="324" t="s">
        <v>4446</v>
      </c>
      <c r="H570" s="283">
        <v>241505.0</v>
      </c>
      <c r="I570" s="317" t="s">
        <v>5086</v>
      </c>
      <c r="J570" s="283" t="s">
        <v>111</v>
      </c>
      <c r="K570" s="237"/>
    </row>
    <row r="571" spans="8:8" ht="15.75" customHeight="1">
      <c r="G571" s="324" t="s">
        <v>4778</v>
      </c>
      <c r="H571" s="283">
        <v>241551.0</v>
      </c>
      <c r="I571" s="317" t="s">
        <v>5086</v>
      </c>
      <c r="J571" s="283" t="s">
        <v>580</v>
      </c>
      <c r="K571" s="237"/>
    </row>
    <row r="572" spans="8:8" ht="15.75" customHeight="1">
      <c r="G572" s="324" t="s">
        <v>4975</v>
      </c>
      <c r="H572" s="283">
        <v>241519.0</v>
      </c>
      <c r="I572" s="317" t="s">
        <v>5086</v>
      </c>
      <c r="J572" s="283" t="s">
        <v>580</v>
      </c>
      <c r="K572" s="237"/>
    </row>
    <row r="573" spans="8:8" ht="15.75" customHeight="1">
      <c r="G573" s="324" t="s">
        <v>4976</v>
      </c>
      <c r="H573" s="283">
        <v>241522.0</v>
      </c>
      <c r="I573" s="317" t="s">
        <v>5086</v>
      </c>
      <c r="J573" s="283" t="s">
        <v>580</v>
      </c>
      <c r="K573" s="237"/>
    </row>
    <row r="574" spans="8:8" ht="15.75" customHeight="1">
      <c r="G574" s="324" t="s">
        <v>4911</v>
      </c>
      <c r="H574" s="283">
        <v>241589.0</v>
      </c>
      <c r="I574" s="317" t="s">
        <v>5086</v>
      </c>
      <c r="J574" s="283" t="s">
        <v>580</v>
      </c>
      <c r="K574" s="237"/>
    </row>
    <row r="575" spans="8:8" ht="15.75" customHeight="1">
      <c r="G575" s="326"/>
      <c r="H575" s="241"/>
      <c r="I575" s="241"/>
      <c r="J575" s="241"/>
      <c r="K575" s="237"/>
    </row>
    <row r="576" spans="8:8" ht="15.75" customHeight="1">
      <c r="G576" s="326"/>
      <c r="H576" s="241"/>
      <c r="I576" s="241"/>
      <c r="J576" s="241"/>
      <c r="K576" s="237"/>
    </row>
    <row r="577" spans="8:8" ht="15.75" customHeight="1">
      <c r="G577" s="326"/>
      <c r="H577" s="241"/>
      <c r="I577" s="241"/>
      <c r="J577" s="241"/>
      <c r="K577" s="237"/>
    </row>
    <row r="578" spans="8:8" ht="15.75" customHeight="1">
      <c r="G578" s="326"/>
      <c r="H578" s="241"/>
      <c r="I578" s="241"/>
      <c r="J578" s="241"/>
      <c r="K578" s="237"/>
    </row>
    <row r="579" spans="8:8" ht="15.75" customHeight="1">
      <c r="G579" s="326"/>
      <c r="H579" s="241"/>
      <c r="I579" s="241"/>
      <c r="J579" s="241"/>
      <c r="K579" s="237"/>
    </row>
    <row r="580" spans="8:8" ht="15.75" customHeight="1">
      <c r="G580" s="326"/>
      <c r="H580" s="241"/>
      <c r="I580" s="241"/>
      <c r="J580" s="241"/>
      <c r="K580" s="237"/>
    </row>
    <row r="581" spans="8:8" ht="15.75" customHeight="1">
      <c r="G581" s="326"/>
      <c r="H581" s="241"/>
      <c r="I581" s="241"/>
      <c r="J581" s="241"/>
      <c r="K581" s="237"/>
    </row>
    <row r="582" spans="8:8" ht="15.75" customHeight="1">
      <c r="G582" s="326"/>
      <c r="H582" s="241"/>
      <c r="I582" s="241"/>
      <c r="J582" s="241"/>
      <c r="K582" s="237"/>
    </row>
    <row r="583" spans="8:8" ht="15.75" customHeight="1">
      <c r="G583" s="326"/>
      <c r="H583" s="241"/>
      <c r="I583" s="241"/>
      <c r="J583" s="241"/>
      <c r="K583" s="237"/>
    </row>
    <row r="584" spans="8:8" ht="15.75" customHeight="1">
      <c r="G584" s="326"/>
      <c r="H584" s="241"/>
      <c r="I584" s="241"/>
      <c r="J584" s="241"/>
      <c r="K584" s="237"/>
    </row>
    <row r="585" spans="8:8" ht="15.75" customHeight="1">
      <c r="G585" s="326"/>
      <c r="H585" s="241"/>
      <c r="I585" s="241"/>
      <c r="J585" s="241"/>
      <c r="K585" s="237"/>
    </row>
    <row r="586" spans="8:8" ht="15.75" customHeight="1">
      <c r="G586" s="326"/>
      <c r="H586" s="241"/>
      <c r="I586" s="241"/>
      <c r="J586" s="241"/>
      <c r="K586" s="237"/>
    </row>
    <row r="587" spans="8:8" ht="15.75" customHeight="1">
      <c r="G587" s="326"/>
      <c r="H587" s="241"/>
      <c r="I587" s="241"/>
      <c r="J587" s="241"/>
      <c r="K587" s="237"/>
    </row>
    <row r="588" spans="8:8" ht="15.75" customHeight="1">
      <c r="G588" s="326"/>
      <c r="H588" s="241"/>
      <c r="I588" s="241"/>
      <c r="J588" s="241"/>
      <c r="K588" s="237"/>
    </row>
    <row r="589" spans="8:8" ht="15.75" customHeight="1">
      <c r="G589" s="326"/>
      <c r="H589" s="241"/>
      <c r="I589" s="241"/>
      <c r="J589" s="241"/>
      <c r="K589" s="237"/>
    </row>
    <row r="590" spans="8:8" ht="15.75" customHeight="1">
      <c r="G590" s="326"/>
      <c r="H590" s="241"/>
      <c r="I590" s="241"/>
      <c r="J590" s="241"/>
      <c r="K590" s="237"/>
    </row>
    <row r="591" spans="8:8" ht="15.75" customHeight="1">
      <c r="G591" s="326"/>
      <c r="H591" s="241"/>
      <c r="I591" s="241"/>
      <c r="J591" s="241"/>
      <c r="K591" s="237"/>
    </row>
    <row r="592" spans="8:8" ht="15.75" customHeight="1">
      <c r="G592" s="326"/>
      <c r="H592" s="241"/>
      <c r="I592" s="241"/>
      <c r="J592" s="241"/>
      <c r="K592" s="237"/>
    </row>
    <row r="593" spans="8:8" ht="15.75" customHeight="1">
      <c r="G593" s="326"/>
      <c r="H593" s="241"/>
      <c r="I593" s="241"/>
      <c r="J593" s="241"/>
      <c r="K593" s="237"/>
    </row>
    <row r="594" spans="8:8" ht="15.75" customHeight="1">
      <c r="G594" s="326"/>
      <c r="H594" s="241"/>
      <c r="I594" s="241"/>
      <c r="J594" s="241"/>
      <c r="K594" s="237"/>
    </row>
    <row r="595" spans="8:8" ht="15.75" customHeight="1">
      <c r="G595" s="326"/>
      <c r="H595" s="241"/>
      <c r="I595" s="241"/>
      <c r="J595" s="241"/>
      <c r="K595" s="237"/>
    </row>
    <row r="596" spans="8:8" ht="15.75" customHeight="1">
      <c r="G596" s="326"/>
      <c r="H596" s="241"/>
      <c r="I596" s="241"/>
      <c r="J596" s="241"/>
      <c r="K596" s="237"/>
    </row>
    <row r="597" spans="8:8" ht="15.75" customHeight="1">
      <c r="G597" s="326"/>
      <c r="H597" s="241"/>
      <c r="I597" s="241"/>
      <c r="J597" s="241"/>
      <c r="K597" s="237"/>
    </row>
    <row r="598" spans="8:8" ht="15.75" customHeight="1">
      <c r="G598" s="326"/>
      <c r="H598" s="241"/>
      <c r="I598" s="241"/>
      <c r="J598" s="241"/>
      <c r="K598" s="237"/>
    </row>
    <row r="599" spans="8:8" ht="15.75" customHeight="1">
      <c r="G599" s="326"/>
      <c r="H599" s="241"/>
      <c r="I599" s="241"/>
      <c r="J599" s="241"/>
      <c r="K599" s="237"/>
    </row>
    <row r="600" spans="8:8" ht="15.75" customHeight="1">
      <c r="G600" s="326"/>
      <c r="H600" s="241"/>
      <c r="I600" s="241"/>
      <c r="J600" s="241"/>
      <c r="K600" s="237"/>
    </row>
    <row r="601" spans="8:8" ht="15.75" customHeight="1">
      <c r="G601" s="326"/>
      <c r="H601" s="241"/>
      <c r="I601" s="241"/>
      <c r="J601" s="241"/>
      <c r="K601" s="237"/>
    </row>
    <row r="602" spans="8:8" ht="15.75" customHeight="1">
      <c r="G602" s="326"/>
      <c r="H602" s="241"/>
      <c r="I602" s="241"/>
      <c r="J602" s="241"/>
      <c r="K602" s="237"/>
    </row>
    <row r="603" spans="8:8" ht="15.75" customHeight="1">
      <c r="G603" s="326"/>
      <c r="H603" s="241"/>
      <c r="I603" s="241"/>
      <c r="J603" s="241"/>
      <c r="K603" s="237"/>
    </row>
    <row r="604" spans="8:8" ht="15.75" customHeight="1">
      <c r="G604" s="326"/>
      <c r="H604" s="241"/>
      <c r="I604" s="241"/>
      <c r="J604" s="241"/>
      <c r="K604" s="237"/>
    </row>
    <row r="605" spans="8:8" ht="15.75" customHeight="1">
      <c r="G605" s="326"/>
      <c r="H605" s="241"/>
      <c r="I605" s="241"/>
      <c r="J605" s="241"/>
      <c r="K605" s="237"/>
    </row>
    <row r="606" spans="8:8" ht="15.75" customHeight="1">
      <c r="G606" s="326"/>
      <c r="H606" s="241"/>
      <c r="I606" s="241"/>
      <c r="J606" s="241"/>
      <c r="K606" s="237"/>
    </row>
    <row r="607" spans="8:8" ht="15.75" customHeight="1">
      <c r="G607" s="326"/>
      <c r="H607" s="241"/>
      <c r="I607" s="241"/>
      <c r="J607" s="241"/>
      <c r="K607" s="237"/>
    </row>
    <row r="608" spans="8:8" ht="15.75" customHeight="1">
      <c r="G608" s="326"/>
      <c r="H608" s="241"/>
      <c r="I608" s="241"/>
      <c r="J608" s="241"/>
      <c r="K608" s="237"/>
    </row>
    <row r="609" spans="8:8" ht="15.75" customHeight="1">
      <c r="G609" s="326"/>
      <c r="H609" s="241"/>
      <c r="I609" s="241"/>
      <c r="J609" s="241"/>
      <c r="K609" s="237"/>
    </row>
    <row r="610" spans="8:8" ht="15.75" customHeight="1">
      <c r="G610" s="326"/>
      <c r="H610" s="241"/>
      <c r="I610" s="241"/>
      <c r="J610" s="241"/>
      <c r="K610" s="237"/>
    </row>
    <row r="611" spans="8:8" ht="15.75" customHeight="1">
      <c r="G611" s="326"/>
      <c r="H611" s="241"/>
      <c r="I611" s="241"/>
      <c r="J611" s="241"/>
      <c r="K611" s="237"/>
    </row>
    <row r="612" spans="8:8" ht="15.75" customHeight="1">
      <c r="G612" s="326"/>
      <c r="H612" s="241"/>
      <c r="I612" s="241"/>
      <c r="J612" s="241"/>
      <c r="K612" s="237"/>
    </row>
    <row r="613" spans="8:8" ht="15.75" customHeight="1">
      <c r="G613" s="326"/>
      <c r="H613" s="241"/>
      <c r="I613" s="241"/>
      <c r="J613" s="241"/>
      <c r="K613" s="237"/>
    </row>
    <row r="614" spans="8:8" ht="15.75" customHeight="1">
      <c r="G614" s="326"/>
      <c r="H614" s="241"/>
      <c r="I614" s="241"/>
      <c r="J614" s="241"/>
      <c r="K614" s="237"/>
    </row>
    <row r="615" spans="8:8" ht="15.75" customHeight="1">
      <c r="G615" s="326"/>
      <c r="H615" s="241"/>
      <c r="I615" s="241"/>
      <c r="J615" s="241"/>
      <c r="K615" s="237"/>
    </row>
    <row r="616" spans="8:8" ht="15.75" customHeight="1">
      <c r="G616" s="326"/>
      <c r="H616" s="241"/>
      <c r="I616" s="241"/>
      <c r="J616" s="241"/>
      <c r="K616" s="237"/>
    </row>
    <row r="617" spans="8:8" ht="15.75" customHeight="1">
      <c r="G617" s="326"/>
      <c r="H617" s="241"/>
      <c r="I617" s="241"/>
      <c r="J617" s="241"/>
      <c r="K617" s="237"/>
    </row>
    <row r="618" spans="8:8" ht="15.75" customHeight="1">
      <c r="G618" s="326"/>
      <c r="H618" s="241"/>
      <c r="I618" s="241"/>
      <c r="J618" s="241"/>
      <c r="K618" s="237"/>
    </row>
    <row r="619" spans="8:8" ht="15.75" customHeight="1">
      <c r="G619" s="326"/>
      <c r="H619" s="241"/>
      <c r="I619" s="241"/>
      <c r="J619" s="241"/>
      <c r="K619" s="237"/>
    </row>
    <row r="620" spans="8:8" ht="15.75" customHeight="1">
      <c r="G620" s="326"/>
      <c r="H620" s="241"/>
      <c r="I620" s="241"/>
      <c r="J620" s="241"/>
      <c r="K620" s="237"/>
    </row>
    <row r="621" spans="8:8" ht="15.75" customHeight="1">
      <c r="G621" s="326"/>
      <c r="H621" s="241"/>
      <c r="I621" s="241"/>
      <c r="J621" s="241"/>
      <c r="K621" s="237"/>
    </row>
    <row r="622" spans="8:8" ht="15.75" customHeight="1">
      <c r="G622" s="326"/>
      <c r="H622" s="241"/>
      <c r="I622" s="241"/>
      <c r="J622" s="241"/>
      <c r="K622" s="237"/>
    </row>
    <row r="623" spans="8:8" ht="15.75" customHeight="1">
      <c r="G623" s="326"/>
      <c r="H623" s="241"/>
      <c r="I623" s="241"/>
      <c r="J623" s="241"/>
      <c r="K623" s="237"/>
    </row>
    <row r="624" spans="8:8" ht="15.75" customHeight="1">
      <c r="G624" s="326"/>
      <c r="H624" s="241"/>
      <c r="I624" s="241"/>
      <c r="J624" s="241"/>
      <c r="K624" s="237"/>
    </row>
    <row r="625" spans="8:8" ht="15.75" customHeight="1">
      <c r="G625" s="326"/>
      <c r="H625" s="241"/>
      <c r="I625" s="241"/>
      <c r="J625" s="241"/>
      <c r="K625" s="237"/>
    </row>
    <row r="626" spans="8:8" ht="15.75" customHeight="1">
      <c r="G626" s="326"/>
      <c r="H626" s="241"/>
      <c r="I626" s="241"/>
      <c r="J626" s="241"/>
      <c r="K626" s="237"/>
    </row>
    <row r="627" spans="8:8" ht="15.75" customHeight="1">
      <c r="G627" s="326"/>
      <c r="H627" s="241"/>
      <c r="I627" s="241"/>
      <c r="J627" s="241"/>
      <c r="K627" s="237"/>
    </row>
    <row r="628" spans="8:8" ht="15.75" customHeight="1">
      <c r="G628" s="326"/>
      <c r="H628" s="241"/>
      <c r="I628" s="241"/>
      <c r="J628" s="241"/>
      <c r="K628" s="237"/>
    </row>
    <row r="629" spans="8:8" ht="15.75" customHeight="1">
      <c r="G629" s="326"/>
      <c r="H629" s="241"/>
      <c r="I629" s="241"/>
      <c r="J629" s="241"/>
      <c r="K629" s="237"/>
    </row>
    <row r="630" spans="8:8" ht="15.75" customHeight="1">
      <c r="G630" s="326"/>
      <c r="H630" s="241"/>
      <c r="I630" s="241"/>
      <c r="J630" s="241"/>
      <c r="K630" s="237"/>
    </row>
    <row r="631" spans="8:8" ht="15.75" customHeight="1">
      <c r="G631" s="326"/>
      <c r="H631" s="241"/>
      <c r="I631" s="241"/>
      <c r="J631" s="241"/>
      <c r="K631" s="237"/>
    </row>
    <row r="632" spans="8:8" ht="15.75" customHeight="1">
      <c r="G632" s="326"/>
      <c r="H632" s="241"/>
      <c r="I632" s="241"/>
      <c r="J632" s="241"/>
      <c r="K632" s="237"/>
    </row>
    <row r="633" spans="8:8" ht="15.75" customHeight="1">
      <c r="G633" s="326"/>
      <c r="H633" s="241"/>
      <c r="I633" s="241"/>
      <c r="J633" s="241"/>
      <c r="K633" s="237"/>
    </row>
    <row r="634" spans="8:8" ht="15.75" customHeight="1">
      <c r="G634" s="326"/>
      <c r="H634" s="241"/>
      <c r="I634" s="241"/>
      <c r="J634" s="241"/>
      <c r="K634" s="237"/>
    </row>
    <row r="635" spans="8:8" ht="15.75" customHeight="1">
      <c r="G635" s="326"/>
      <c r="H635" s="241"/>
      <c r="I635" s="241"/>
      <c r="J635" s="241"/>
      <c r="K635" s="237"/>
    </row>
    <row r="636" spans="8:8" ht="15.75" customHeight="1">
      <c r="G636" s="326"/>
      <c r="H636" s="241"/>
      <c r="I636" s="241"/>
      <c r="J636" s="241"/>
      <c r="K636" s="237"/>
    </row>
    <row r="637" spans="8:8" ht="15.75" customHeight="1">
      <c r="G637" s="326"/>
      <c r="H637" s="241"/>
      <c r="I637" s="241"/>
      <c r="J637" s="241"/>
      <c r="K637" s="237"/>
    </row>
    <row r="638" spans="8:8" ht="15.75" customHeight="1">
      <c r="G638" s="326"/>
      <c r="H638" s="241"/>
      <c r="I638" s="241"/>
      <c r="J638" s="241"/>
      <c r="K638" s="237"/>
    </row>
    <row r="639" spans="8:8" ht="15.75" customHeight="1">
      <c r="G639" s="326"/>
      <c r="H639" s="241"/>
      <c r="I639" s="241"/>
      <c r="J639" s="241"/>
      <c r="K639" s="237"/>
    </row>
    <row r="640" spans="8:8" ht="15.75" customHeight="1">
      <c r="G640" s="326"/>
      <c r="H640" s="241"/>
      <c r="I640" s="241"/>
      <c r="J640" s="241"/>
      <c r="K640" s="237"/>
    </row>
    <row r="641" spans="8:8" ht="15.75" customHeight="1">
      <c r="G641" s="326"/>
      <c r="H641" s="241"/>
      <c r="I641" s="241"/>
      <c r="J641" s="241"/>
      <c r="K641" s="237"/>
    </row>
    <row r="642" spans="8:8" ht="15.75" customHeight="1">
      <c r="G642" s="326"/>
      <c r="H642" s="241"/>
      <c r="I642" s="241"/>
      <c r="J642" s="241"/>
      <c r="K642" s="237"/>
    </row>
    <row r="643" spans="8:8" ht="15.75" customHeight="1">
      <c r="G643" s="326"/>
      <c r="H643" s="241"/>
      <c r="I643" s="241"/>
      <c r="J643" s="241"/>
      <c r="K643" s="237"/>
    </row>
    <row r="644" spans="8:8" ht="15.75" customHeight="1">
      <c r="G644" s="326"/>
      <c r="H644" s="241"/>
      <c r="I644" s="241"/>
      <c r="J644" s="241"/>
      <c r="K644" s="237"/>
    </row>
    <row r="645" spans="8:8" ht="15.75" customHeight="1">
      <c r="G645" s="326"/>
      <c r="H645" s="241"/>
      <c r="I645" s="241"/>
      <c r="J645" s="241"/>
      <c r="K645" s="237"/>
    </row>
    <row r="646" spans="8:8" ht="15.75" customHeight="1">
      <c r="G646" s="326"/>
      <c r="H646" s="241"/>
      <c r="I646" s="241"/>
      <c r="J646" s="241"/>
      <c r="K646" s="237"/>
    </row>
    <row r="647" spans="8:8" ht="15.75" customHeight="1">
      <c r="G647" s="326"/>
      <c r="H647" s="241"/>
      <c r="I647" s="241"/>
      <c r="J647" s="241"/>
      <c r="K647" s="237"/>
    </row>
    <row r="648" spans="8:8" ht="15.75" customHeight="1">
      <c r="G648" s="326"/>
      <c r="H648" s="241"/>
      <c r="I648" s="241"/>
      <c r="J648" s="241"/>
      <c r="K648" s="237"/>
    </row>
    <row r="649" spans="8:8" ht="15.75" customHeight="1">
      <c r="G649" s="326"/>
      <c r="H649" s="241"/>
      <c r="I649" s="241"/>
      <c r="J649" s="241"/>
      <c r="K649" s="237"/>
    </row>
    <row r="650" spans="8:8" ht="15.75" customHeight="1">
      <c r="G650" s="326"/>
      <c r="H650" s="241"/>
      <c r="I650" s="241"/>
      <c r="J650" s="241"/>
      <c r="K650" s="237"/>
    </row>
    <row r="651" spans="8:8" ht="15.75" customHeight="1">
      <c r="G651" s="326"/>
      <c r="H651" s="241"/>
      <c r="I651" s="241"/>
      <c r="J651" s="241"/>
      <c r="K651" s="237"/>
    </row>
    <row r="652" spans="8:8" ht="15.75" customHeight="1">
      <c r="G652" s="326"/>
      <c r="H652" s="241"/>
      <c r="I652" s="241"/>
      <c r="J652" s="241"/>
      <c r="K652" s="237"/>
    </row>
    <row r="653" spans="8:8" ht="15.75" customHeight="1">
      <c r="G653" s="326"/>
      <c r="H653" s="241"/>
      <c r="I653" s="241"/>
      <c r="J653" s="241"/>
      <c r="K653" s="237"/>
    </row>
    <row r="654" spans="8:8" ht="15.75" customHeight="1">
      <c r="G654" s="326"/>
      <c r="H654" s="241"/>
      <c r="I654" s="241"/>
      <c r="J654" s="241"/>
      <c r="K654" s="237"/>
    </row>
    <row r="655" spans="8:8" ht="15.75" customHeight="1">
      <c r="G655" s="326"/>
      <c r="H655" s="241"/>
      <c r="I655" s="241"/>
      <c r="J655" s="241"/>
      <c r="K655" s="237"/>
    </row>
    <row r="656" spans="8:8" ht="15.75" customHeight="1">
      <c r="G656" s="326"/>
      <c r="H656" s="241"/>
      <c r="I656" s="241"/>
      <c r="J656" s="241"/>
      <c r="K656" s="237"/>
    </row>
    <row r="657" spans="8:8" ht="15.75" customHeight="1">
      <c r="G657" s="326"/>
      <c r="H657" s="241"/>
      <c r="I657" s="241"/>
      <c r="J657" s="241"/>
      <c r="K657" s="237"/>
    </row>
    <row r="658" spans="8:8" ht="15.75" customHeight="1">
      <c r="G658" s="326"/>
      <c r="H658" s="241"/>
      <c r="I658" s="241"/>
      <c r="J658" s="241"/>
      <c r="K658" s="237"/>
    </row>
    <row r="659" spans="8:8" ht="15.75" customHeight="1">
      <c r="G659" s="326"/>
      <c r="H659" s="241"/>
      <c r="I659" s="241"/>
      <c r="J659" s="241"/>
      <c r="K659" s="237"/>
    </row>
    <row r="660" spans="8:8" ht="15.75" customHeight="1">
      <c r="G660" s="326"/>
      <c r="H660" s="241"/>
      <c r="I660" s="241"/>
      <c r="J660" s="241"/>
      <c r="K660" s="237"/>
    </row>
    <row r="661" spans="8:8" ht="15.75" customHeight="1">
      <c r="G661" s="326"/>
      <c r="H661" s="241"/>
      <c r="I661" s="241"/>
      <c r="J661" s="241"/>
      <c r="K661" s="237"/>
    </row>
    <row r="662" spans="8:8" ht="15.75" customHeight="1">
      <c r="G662" s="326"/>
      <c r="H662" s="241"/>
      <c r="I662" s="241"/>
      <c r="J662" s="241"/>
      <c r="K662" s="237"/>
    </row>
    <row r="663" spans="8:8" ht="15.75" customHeight="1">
      <c r="G663" s="326"/>
      <c r="H663" s="241"/>
      <c r="I663" s="241"/>
      <c r="J663" s="241"/>
      <c r="K663" s="237"/>
    </row>
    <row r="664" spans="8:8" ht="15.75" customHeight="1">
      <c r="G664" s="326"/>
      <c r="H664" s="241"/>
      <c r="I664" s="241"/>
      <c r="J664" s="241"/>
      <c r="K664" s="237"/>
    </row>
    <row r="665" spans="8:8" ht="15.75" customHeight="1">
      <c r="G665" s="326"/>
      <c r="H665" s="241"/>
      <c r="I665" s="241"/>
      <c r="J665" s="241"/>
      <c r="K665" s="237"/>
    </row>
    <row r="666" spans="8:8" ht="15.75" customHeight="1">
      <c r="G666" s="326"/>
      <c r="H666" s="241"/>
      <c r="I666" s="241"/>
      <c r="J666" s="241"/>
      <c r="K666" s="237"/>
    </row>
    <row r="667" spans="8:8" ht="15.75" customHeight="1">
      <c r="G667" s="326"/>
      <c r="H667" s="241"/>
      <c r="I667" s="241"/>
      <c r="J667" s="241"/>
      <c r="K667" s="237"/>
    </row>
    <row r="668" spans="8:8" ht="15.75" customHeight="1">
      <c r="G668" s="326"/>
      <c r="H668" s="241"/>
      <c r="I668" s="241"/>
      <c r="J668" s="241"/>
      <c r="K668" s="237"/>
    </row>
    <row r="669" spans="8:8" ht="15.75" customHeight="1">
      <c r="G669" s="326"/>
      <c r="H669" s="241"/>
      <c r="I669" s="241"/>
      <c r="J669" s="241"/>
      <c r="K669" s="237"/>
    </row>
    <row r="670" spans="8:8" ht="15.75" customHeight="1">
      <c r="G670" s="326"/>
      <c r="H670" s="241"/>
      <c r="I670" s="241"/>
      <c r="J670" s="241"/>
      <c r="K670" s="237"/>
    </row>
    <row r="671" spans="8:8" ht="15.75" customHeight="1">
      <c r="G671" s="326"/>
      <c r="H671" s="241"/>
      <c r="I671" s="241"/>
      <c r="J671" s="241"/>
      <c r="K671" s="237"/>
    </row>
    <row r="672" spans="8:8" ht="15.75" customHeight="1">
      <c r="G672" s="326"/>
      <c r="H672" s="241"/>
      <c r="I672" s="241"/>
      <c r="J672" s="241"/>
      <c r="K672" s="237"/>
    </row>
    <row r="673" spans="8:8" ht="15.75" customHeight="1">
      <c r="G673" s="326"/>
      <c r="H673" s="241"/>
      <c r="I673" s="241"/>
      <c r="J673" s="241"/>
      <c r="K673" s="237"/>
    </row>
    <row r="674" spans="8:8" ht="15.75" customHeight="1">
      <c r="G674" s="326"/>
      <c r="H674" s="241"/>
      <c r="I674" s="241"/>
      <c r="J674" s="241"/>
      <c r="K674" s="237"/>
    </row>
    <row r="675" spans="8:8" ht="15.75" customHeight="1">
      <c r="G675" s="326"/>
      <c r="H675" s="241"/>
      <c r="I675" s="241"/>
      <c r="J675" s="241"/>
      <c r="K675" s="237"/>
    </row>
    <row r="676" spans="8:8" ht="15.75" customHeight="1">
      <c r="G676" s="326"/>
      <c r="H676" s="241"/>
      <c r="I676" s="241"/>
      <c r="J676" s="241"/>
      <c r="K676" s="237"/>
    </row>
    <row r="677" spans="8:8" ht="15.75" customHeight="1">
      <c r="G677" s="326"/>
      <c r="H677" s="241"/>
      <c r="I677" s="241"/>
      <c r="J677" s="241"/>
      <c r="K677" s="237"/>
    </row>
    <row r="678" spans="8:8" ht="15.75" customHeight="1">
      <c r="G678" s="326"/>
      <c r="H678" s="241"/>
      <c r="I678" s="241"/>
      <c r="J678" s="241"/>
      <c r="K678" s="237"/>
    </row>
    <row r="679" spans="8:8" ht="15.75" customHeight="1">
      <c r="G679" s="326"/>
      <c r="H679" s="241"/>
      <c r="I679" s="241"/>
      <c r="J679" s="241"/>
      <c r="K679" s="237"/>
    </row>
    <row r="680" spans="8:8" ht="15.75" customHeight="1">
      <c r="G680" s="326"/>
      <c r="H680" s="241"/>
      <c r="I680" s="241"/>
      <c r="J680" s="241"/>
      <c r="K680" s="237"/>
    </row>
    <row r="681" spans="8:8" ht="15.75" customHeight="1">
      <c r="G681" s="326"/>
      <c r="H681" s="241"/>
      <c r="I681" s="241"/>
      <c r="J681" s="241"/>
      <c r="K681" s="237"/>
    </row>
    <row r="682" spans="8:8" ht="15.75" customHeight="1">
      <c r="G682" s="326"/>
      <c r="H682" s="241"/>
      <c r="I682" s="241"/>
      <c r="J682" s="241"/>
      <c r="K682" s="237"/>
    </row>
    <row r="683" spans="8:8" ht="15.75" customHeight="1">
      <c r="G683" s="326"/>
      <c r="H683" s="241"/>
      <c r="I683" s="241"/>
      <c r="J683" s="241"/>
      <c r="K683" s="237"/>
    </row>
    <row r="684" spans="8:8" ht="15.75" customHeight="1">
      <c r="G684" s="326"/>
      <c r="H684" s="241"/>
      <c r="I684" s="241"/>
      <c r="J684" s="241"/>
      <c r="K684" s="237"/>
    </row>
    <row r="685" spans="8:8" ht="15.75" customHeight="1">
      <c r="G685" s="326"/>
      <c r="H685" s="241"/>
      <c r="I685" s="241"/>
      <c r="J685" s="241"/>
      <c r="K685" s="237"/>
    </row>
    <row r="686" spans="8:8" ht="15.75" customHeight="1">
      <c r="G686" s="326"/>
      <c r="H686" s="241"/>
      <c r="I686" s="241"/>
      <c r="J686" s="241"/>
      <c r="K686" s="237"/>
    </row>
    <row r="687" spans="8:8" ht="15.75" customHeight="1">
      <c r="G687" s="326"/>
      <c r="H687" s="241"/>
      <c r="I687" s="241"/>
      <c r="J687" s="241"/>
      <c r="K687" s="237"/>
    </row>
    <row r="688" spans="8:8" ht="15.75" customHeight="1">
      <c r="G688" s="326"/>
      <c r="H688" s="241"/>
      <c r="I688" s="241"/>
      <c r="J688" s="241"/>
      <c r="K688" s="237"/>
    </row>
    <row r="689" spans="8:8" ht="15.75" customHeight="1">
      <c r="G689" s="326"/>
      <c r="H689" s="241"/>
      <c r="I689" s="241"/>
      <c r="J689" s="241"/>
      <c r="K689" s="237"/>
    </row>
    <row r="690" spans="8:8" ht="15.75" customHeight="1">
      <c r="G690" s="326"/>
      <c r="H690" s="241"/>
      <c r="I690" s="241"/>
      <c r="J690" s="241"/>
      <c r="K690" s="237"/>
    </row>
    <row r="691" spans="8:8" ht="15.75" customHeight="1">
      <c r="G691" s="326"/>
      <c r="H691" s="241"/>
      <c r="I691" s="241"/>
      <c r="J691" s="241"/>
      <c r="K691" s="237"/>
    </row>
    <row r="692" spans="8:8" ht="15.75" customHeight="1">
      <c r="G692" s="326"/>
      <c r="H692" s="241"/>
      <c r="I692" s="241"/>
      <c r="J692" s="241"/>
      <c r="K692" s="237"/>
    </row>
    <row r="693" spans="8:8" ht="15.75" customHeight="1">
      <c r="G693" s="326"/>
      <c r="H693" s="241"/>
      <c r="I693" s="241"/>
      <c r="J693" s="241"/>
      <c r="K693" s="237"/>
    </row>
    <row r="694" spans="8:8" ht="15.75" customHeight="1">
      <c r="G694" s="326"/>
      <c r="H694" s="241"/>
      <c r="I694" s="241"/>
      <c r="J694" s="241"/>
      <c r="K694" s="237"/>
    </row>
    <row r="695" spans="8:8" ht="15.75" customHeight="1">
      <c r="G695" s="326"/>
      <c r="H695" s="241"/>
      <c r="I695" s="241"/>
      <c r="J695" s="241"/>
      <c r="K695" s="237"/>
    </row>
    <row r="696" spans="8:8" ht="15.75" customHeight="1">
      <c r="G696" s="326"/>
      <c r="H696" s="241"/>
      <c r="I696" s="241"/>
      <c r="J696" s="241"/>
      <c r="K696" s="237"/>
    </row>
    <row r="697" spans="8:8" ht="15.75" customHeight="1">
      <c r="G697" s="326"/>
      <c r="H697" s="241"/>
      <c r="I697" s="241"/>
      <c r="J697" s="241"/>
      <c r="K697" s="237"/>
    </row>
    <row r="698" spans="8:8" ht="15.75" customHeight="1">
      <c r="G698" s="326"/>
      <c r="H698" s="241"/>
      <c r="I698" s="241"/>
      <c r="J698" s="241"/>
      <c r="K698" s="237"/>
    </row>
    <row r="699" spans="8:8" ht="15.75" customHeight="1">
      <c r="G699" s="326"/>
      <c r="H699" s="241"/>
      <c r="I699" s="241"/>
      <c r="J699" s="241"/>
      <c r="K699" s="237"/>
    </row>
    <row r="700" spans="8:8" ht="15.75" customHeight="1">
      <c r="G700" s="326"/>
      <c r="H700" s="241"/>
      <c r="I700" s="241"/>
      <c r="J700" s="241"/>
      <c r="K700" s="237"/>
    </row>
    <row r="701" spans="8:8" ht="15.75" customHeight="1">
      <c r="G701" s="326"/>
      <c r="H701" s="241"/>
      <c r="I701" s="241"/>
      <c r="J701" s="241"/>
      <c r="K701" s="237"/>
    </row>
    <row r="702" spans="8:8" ht="15.75" customHeight="1">
      <c r="G702" s="326"/>
      <c r="H702" s="241"/>
      <c r="I702" s="241"/>
      <c r="J702" s="241"/>
      <c r="K702" s="237"/>
    </row>
    <row r="703" spans="8:8" ht="15.75" customHeight="1">
      <c r="G703" s="326"/>
      <c r="H703" s="241"/>
      <c r="I703" s="241"/>
      <c r="J703" s="241"/>
      <c r="K703" s="237"/>
    </row>
    <row r="704" spans="8:8" ht="15.75" customHeight="1">
      <c r="G704" s="326"/>
      <c r="H704" s="241"/>
      <c r="I704" s="241"/>
      <c r="J704" s="241"/>
      <c r="K704" s="237"/>
    </row>
    <row r="705" spans="8:8" ht="15.75" customHeight="1">
      <c r="G705" s="326"/>
      <c r="H705" s="241"/>
      <c r="I705" s="241"/>
      <c r="J705" s="241"/>
      <c r="K705" s="237"/>
    </row>
    <row r="706" spans="8:8" ht="15.75" customHeight="1">
      <c r="G706" s="326"/>
      <c r="H706" s="241"/>
      <c r="I706" s="241"/>
      <c r="J706" s="241"/>
      <c r="K706" s="237"/>
    </row>
    <row r="707" spans="8:8" ht="15.75" customHeight="1">
      <c r="G707" s="326"/>
      <c r="H707" s="241"/>
      <c r="I707" s="241"/>
      <c r="J707" s="241"/>
      <c r="K707" s="237"/>
    </row>
    <row r="708" spans="8:8" ht="15.75" customHeight="1">
      <c r="G708" s="326"/>
      <c r="H708" s="241"/>
      <c r="I708" s="241"/>
      <c r="J708" s="241"/>
      <c r="K708" s="237"/>
    </row>
    <row r="709" spans="8:8" ht="15.75" customHeight="1">
      <c r="G709" s="326"/>
      <c r="H709" s="241"/>
      <c r="I709" s="241"/>
      <c r="J709" s="241"/>
      <c r="K709" s="237"/>
    </row>
    <row r="710" spans="8:8" ht="15.75" customHeight="1">
      <c r="G710" s="326"/>
      <c r="H710" s="241"/>
      <c r="I710" s="241"/>
      <c r="J710" s="241"/>
      <c r="K710" s="237"/>
    </row>
    <row r="711" spans="8:8" ht="15.75" customHeight="1">
      <c r="G711" s="326"/>
      <c r="H711" s="241"/>
      <c r="I711" s="241"/>
      <c r="J711" s="241"/>
      <c r="K711" s="237"/>
    </row>
    <row r="712" spans="8:8" ht="15.75" customHeight="1">
      <c r="G712" s="326"/>
      <c r="H712" s="241"/>
      <c r="I712" s="241"/>
      <c r="J712" s="241"/>
      <c r="K712" s="237"/>
    </row>
    <row r="713" spans="8:8" ht="15.75" customHeight="1">
      <c r="G713" s="326"/>
      <c r="H713" s="241"/>
      <c r="I713" s="241"/>
      <c r="J713" s="241"/>
      <c r="K713" s="237"/>
    </row>
    <row r="714" spans="8:8" ht="15.75" customHeight="1">
      <c r="G714" s="326"/>
      <c r="H714" s="241"/>
      <c r="I714" s="241"/>
      <c r="J714" s="241"/>
      <c r="K714" s="237"/>
    </row>
    <row r="715" spans="8:8" ht="15.75" customHeight="1">
      <c r="G715" s="326"/>
      <c r="H715" s="241"/>
      <c r="I715" s="241"/>
      <c r="J715" s="241"/>
      <c r="K715" s="237"/>
    </row>
    <row r="716" spans="8:8" ht="15.75" customHeight="1">
      <c r="G716" s="326"/>
      <c r="H716" s="241"/>
      <c r="I716" s="241"/>
      <c r="J716" s="241"/>
      <c r="K716" s="237"/>
    </row>
    <row r="717" spans="8:8" ht="15.75" customHeight="1">
      <c r="G717" s="326"/>
      <c r="H717" s="241"/>
      <c r="I717" s="241"/>
      <c r="J717" s="241"/>
      <c r="K717" s="237"/>
    </row>
    <row r="718" spans="8:8" ht="15.75" customHeight="1">
      <c r="G718" s="326"/>
      <c r="H718" s="241"/>
      <c r="I718" s="241"/>
      <c r="J718" s="241"/>
      <c r="K718" s="237"/>
    </row>
    <row r="719" spans="8:8" ht="15.75" customHeight="1">
      <c r="G719" s="326"/>
      <c r="H719" s="241"/>
      <c r="I719" s="241"/>
      <c r="J719" s="241"/>
      <c r="K719" s="237"/>
    </row>
    <row r="720" spans="8:8" ht="15.75" customHeight="1">
      <c r="G720" s="326"/>
      <c r="H720" s="241"/>
      <c r="I720" s="241"/>
      <c r="J720" s="241"/>
      <c r="K720" s="237"/>
    </row>
    <row r="721" spans="8:8" ht="15.75" customHeight="1">
      <c r="G721" s="326"/>
      <c r="H721" s="241"/>
      <c r="I721" s="241"/>
      <c r="J721" s="241"/>
      <c r="K721" s="237"/>
    </row>
    <row r="722" spans="8:8" ht="15.75" customHeight="1">
      <c r="G722" s="326"/>
      <c r="H722" s="241"/>
      <c r="I722" s="241"/>
      <c r="J722" s="241"/>
      <c r="K722" s="237"/>
    </row>
    <row r="723" spans="8:8" ht="15.75" customHeight="1">
      <c r="G723" s="326"/>
      <c r="H723" s="241"/>
      <c r="I723" s="241"/>
      <c r="J723" s="241"/>
      <c r="K723" s="237"/>
    </row>
    <row r="724" spans="8:8" ht="15.75" customHeight="1">
      <c r="G724" s="326"/>
      <c r="H724" s="241"/>
      <c r="I724" s="241"/>
      <c r="J724" s="241"/>
      <c r="K724" s="237"/>
    </row>
    <row r="725" spans="8:8" ht="15.75" customHeight="1">
      <c r="G725" s="326"/>
      <c r="H725" s="241"/>
      <c r="I725" s="241"/>
      <c r="J725" s="241"/>
      <c r="K725" s="237"/>
    </row>
    <row r="726" spans="8:8" ht="15.75" customHeight="1">
      <c r="G726" s="326"/>
      <c r="H726" s="241"/>
      <c r="I726" s="241"/>
      <c r="J726" s="241"/>
      <c r="K726" s="237"/>
    </row>
    <row r="727" spans="8:8" ht="15.75" customHeight="1">
      <c r="G727" s="326"/>
      <c r="H727" s="241"/>
      <c r="I727" s="241"/>
      <c r="J727" s="241"/>
      <c r="K727" s="237"/>
    </row>
    <row r="728" spans="8:8" ht="15.75" customHeight="1">
      <c r="G728" s="326"/>
      <c r="H728" s="241"/>
      <c r="I728" s="241"/>
      <c r="J728" s="241"/>
      <c r="K728" s="237"/>
    </row>
    <row r="729" spans="8:8" ht="15.75" customHeight="1">
      <c r="G729" s="326"/>
      <c r="H729" s="241"/>
      <c r="I729" s="241"/>
      <c r="J729" s="241"/>
      <c r="K729" s="237"/>
    </row>
    <row r="730" spans="8:8" ht="15.75" customHeight="1">
      <c r="G730" s="326"/>
      <c r="H730" s="241"/>
      <c r="I730" s="241"/>
      <c r="J730" s="241"/>
      <c r="K730" s="237"/>
    </row>
    <row r="731" spans="8:8" ht="15.75" customHeight="1">
      <c r="G731" s="326"/>
      <c r="H731" s="241"/>
      <c r="I731" s="241"/>
      <c r="J731" s="241"/>
      <c r="K731" s="237"/>
    </row>
    <row r="732" spans="8:8" ht="15.75" customHeight="1">
      <c r="G732" s="326"/>
      <c r="H732" s="241"/>
      <c r="I732" s="241"/>
      <c r="J732" s="241"/>
      <c r="K732" s="237"/>
    </row>
    <row r="733" spans="8:8" ht="15.75" customHeight="1">
      <c r="G733" s="326"/>
      <c r="H733" s="241"/>
      <c r="I733" s="241"/>
      <c r="J733" s="241"/>
      <c r="K733" s="237"/>
    </row>
    <row r="734" spans="8:8" ht="15.75" customHeight="1">
      <c r="G734" s="326"/>
      <c r="H734" s="241"/>
      <c r="I734" s="241"/>
      <c r="J734" s="241"/>
      <c r="K734" s="237"/>
    </row>
    <row r="735" spans="8:8" ht="15.75" customHeight="1">
      <c r="G735" s="326"/>
      <c r="H735" s="241"/>
      <c r="I735" s="241"/>
      <c r="J735" s="241"/>
      <c r="K735" s="237"/>
    </row>
    <row r="736" spans="8:8" ht="15.75" customHeight="1">
      <c r="G736" s="326"/>
      <c r="H736" s="241"/>
      <c r="I736" s="241"/>
      <c r="J736" s="241"/>
      <c r="K736" s="237"/>
    </row>
    <row r="737" spans="8:8" ht="15.75" customHeight="1">
      <c r="G737" s="326"/>
      <c r="H737" s="241"/>
      <c r="I737" s="241"/>
      <c r="J737" s="241"/>
      <c r="K737" s="237"/>
    </row>
    <row r="738" spans="8:8" ht="15.75" customHeight="1">
      <c r="G738" s="326"/>
      <c r="H738" s="241"/>
      <c r="I738" s="241"/>
      <c r="J738" s="241"/>
      <c r="K738" s="237"/>
    </row>
    <row r="739" spans="8:8" ht="15.75" customHeight="1">
      <c r="G739" s="326"/>
      <c r="H739" s="241"/>
      <c r="I739" s="241"/>
      <c r="J739" s="241"/>
      <c r="K739" s="237"/>
    </row>
    <row r="740" spans="8:8" ht="15.75" customHeight="1">
      <c r="G740" s="326"/>
      <c r="H740" s="241"/>
      <c r="I740" s="241"/>
      <c r="J740" s="241"/>
      <c r="K740" s="237"/>
    </row>
    <row r="741" spans="8:8" ht="15.75" customHeight="1">
      <c r="G741" s="326"/>
      <c r="H741" s="241"/>
      <c r="I741" s="241"/>
      <c r="J741" s="241"/>
      <c r="K741" s="237"/>
    </row>
    <row r="742" spans="8:8" ht="15.75" customHeight="1">
      <c r="G742" s="326"/>
      <c r="H742" s="241"/>
      <c r="I742" s="241"/>
      <c r="J742" s="241"/>
      <c r="K742" s="237"/>
    </row>
    <row r="743" spans="8:8" ht="15.75" customHeight="1">
      <c r="G743" s="326"/>
      <c r="H743" s="241"/>
      <c r="I743" s="241"/>
      <c r="J743" s="241"/>
      <c r="K743" s="237"/>
    </row>
    <row r="744" spans="8:8" ht="15.75" customHeight="1">
      <c r="G744" s="326"/>
      <c r="H744" s="241"/>
      <c r="I744" s="241"/>
      <c r="J744" s="241"/>
      <c r="K744" s="237"/>
    </row>
    <row r="745" spans="8:8" ht="15.75" customHeight="1">
      <c r="G745" s="326"/>
      <c r="H745" s="241"/>
      <c r="I745" s="241"/>
      <c r="J745" s="241"/>
      <c r="K745" s="237"/>
    </row>
    <row r="746" spans="8:8" ht="15.75" customHeight="1">
      <c r="G746" s="326"/>
      <c r="H746" s="241"/>
      <c r="I746" s="241"/>
      <c r="J746" s="241"/>
      <c r="K746" s="237"/>
    </row>
    <row r="747" spans="8:8" ht="15.75" customHeight="1">
      <c r="G747" s="326"/>
      <c r="H747" s="241"/>
      <c r="I747" s="241"/>
      <c r="J747" s="241"/>
      <c r="K747" s="237"/>
    </row>
    <row r="748" spans="8:8" ht="15.75" customHeight="1">
      <c r="G748" s="326"/>
      <c r="H748" s="241"/>
      <c r="I748" s="241"/>
      <c r="J748" s="241"/>
      <c r="K748" s="237"/>
    </row>
    <row r="749" spans="8:8" ht="15.75" customHeight="1">
      <c r="G749" s="326"/>
      <c r="H749" s="241"/>
      <c r="I749" s="241"/>
      <c r="J749" s="241"/>
      <c r="K749" s="237"/>
    </row>
    <row r="750" spans="8:8" ht="15.75" customHeight="1">
      <c r="G750" s="326"/>
      <c r="H750" s="241"/>
      <c r="I750" s="241"/>
      <c r="J750" s="241"/>
      <c r="K750" s="237"/>
    </row>
    <row r="751" spans="8:8" ht="15.75" customHeight="1">
      <c r="G751" s="326"/>
      <c r="H751" s="241"/>
      <c r="I751" s="241"/>
      <c r="J751" s="241"/>
      <c r="K751" s="237"/>
    </row>
    <row r="752" spans="8:8" ht="15.75" customHeight="1">
      <c r="G752" s="326"/>
      <c r="H752" s="241"/>
      <c r="I752" s="241"/>
      <c r="J752" s="241"/>
      <c r="K752" s="237"/>
    </row>
    <row r="753" spans="8:8" ht="15.75" customHeight="1">
      <c r="G753" s="326"/>
      <c r="H753" s="241"/>
      <c r="I753" s="241"/>
      <c r="J753" s="241"/>
      <c r="K753" s="237"/>
    </row>
    <row r="754" spans="8:8" ht="15.75" customHeight="1">
      <c r="G754" s="326"/>
      <c r="H754" s="241"/>
      <c r="I754" s="241"/>
      <c r="J754" s="241"/>
      <c r="K754" s="237"/>
    </row>
    <row r="755" spans="8:8" ht="15.75" customHeight="1">
      <c r="G755" s="326"/>
      <c r="H755" s="241"/>
      <c r="I755" s="241"/>
      <c r="J755" s="241"/>
      <c r="K755" s="237"/>
    </row>
    <row r="756" spans="8:8" ht="15.75" customHeight="1">
      <c r="G756" s="326"/>
      <c r="H756" s="241"/>
      <c r="I756" s="241"/>
      <c r="J756" s="241"/>
      <c r="K756" s="237"/>
    </row>
    <row r="757" spans="8:8" ht="15.75" customHeight="1">
      <c r="G757" s="326"/>
      <c r="H757" s="241"/>
      <c r="I757" s="241"/>
      <c r="J757" s="241"/>
      <c r="K757" s="237"/>
    </row>
    <row r="758" spans="8:8" ht="15.75" customHeight="1">
      <c r="G758" s="326"/>
      <c r="H758" s="241"/>
      <c r="I758" s="241"/>
      <c r="J758" s="241"/>
      <c r="K758" s="237"/>
    </row>
    <row r="759" spans="8:8" ht="15.75" customHeight="1">
      <c r="G759" s="326"/>
      <c r="H759" s="241"/>
      <c r="I759" s="241"/>
      <c r="J759" s="241"/>
      <c r="K759" s="237"/>
    </row>
    <row r="760" spans="8:8" ht="15.75" customHeight="1">
      <c r="G760" s="326"/>
      <c r="H760" s="241"/>
      <c r="I760" s="241"/>
      <c r="J760" s="241"/>
      <c r="K760" s="237"/>
    </row>
    <row r="761" spans="8:8" ht="15.75" customHeight="1">
      <c r="G761" s="326"/>
      <c r="H761" s="241"/>
      <c r="I761" s="241"/>
      <c r="J761" s="241"/>
      <c r="K761" s="237"/>
    </row>
    <row r="762" spans="8:8" ht="15.75" customHeight="1">
      <c r="G762" s="326"/>
      <c r="H762" s="241"/>
      <c r="I762" s="241"/>
      <c r="J762" s="241"/>
      <c r="K762" s="237"/>
    </row>
    <row r="763" spans="8:8" ht="15.75" customHeight="1">
      <c r="G763" s="326"/>
      <c r="H763" s="241"/>
      <c r="I763" s="241"/>
      <c r="J763" s="241"/>
      <c r="K763" s="237"/>
    </row>
    <row r="764" spans="8:8" ht="15.75" customHeight="1">
      <c r="G764" s="326"/>
      <c r="H764" s="241"/>
      <c r="I764" s="241"/>
      <c r="J764" s="241"/>
      <c r="K764" s="237"/>
    </row>
    <row r="765" spans="8:8" ht="15.75" customHeight="1">
      <c r="G765" s="326"/>
      <c r="H765" s="241"/>
      <c r="I765" s="241"/>
      <c r="J765" s="241"/>
      <c r="K765" s="237"/>
    </row>
    <row r="766" spans="8:8" ht="15.75" customHeight="1">
      <c r="G766" s="326"/>
      <c r="H766" s="241"/>
      <c r="I766" s="241"/>
      <c r="J766" s="241"/>
      <c r="K766" s="237"/>
    </row>
    <row r="767" spans="8:8" ht="15.75" customHeight="1">
      <c r="G767" s="326"/>
      <c r="H767" s="241"/>
      <c r="I767" s="241"/>
      <c r="J767" s="241"/>
      <c r="K767" s="237"/>
    </row>
    <row r="768" spans="8:8" ht="15.75" customHeight="1">
      <c r="G768" s="326"/>
      <c r="H768" s="241"/>
      <c r="I768" s="241"/>
      <c r="J768" s="241"/>
      <c r="K768" s="237"/>
    </row>
    <row r="769" spans="8:8" ht="15.75" customHeight="1">
      <c r="G769" s="326"/>
      <c r="H769" s="241"/>
      <c r="I769" s="241"/>
      <c r="J769" s="241"/>
      <c r="K769" s="237"/>
    </row>
    <row r="770" spans="8:8" ht="15.75" customHeight="1">
      <c r="G770" s="326"/>
      <c r="H770" s="241"/>
      <c r="I770" s="241"/>
      <c r="J770" s="241"/>
      <c r="K770" s="237"/>
    </row>
    <row r="771" spans="8:8" ht="15.75" customHeight="1">
      <c r="G771" s="326"/>
      <c r="H771" s="241"/>
      <c r="I771" s="241"/>
      <c r="J771" s="241"/>
      <c r="K771" s="237"/>
    </row>
    <row r="772" spans="8:8" ht="15.75" customHeight="1">
      <c r="G772" s="326"/>
      <c r="H772" s="241"/>
      <c r="I772" s="241"/>
      <c r="J772" s="241"/>
      <c r="K772" s="237"/>
    </row>
    <row r="773" spans="8:8" ht="15.75" customHeight="1">
      <c r="G773" s="326"/>
      <c r="H773" s="241"/>
      <c r="I773" s="241"/>
      <c r="J773" s="241"/>
      <c r="K773" s="237"/>
    </row>
    <row r="774" spans="8:8" ht="15.75" customHeight="1">
      <c r="G774" s="326"/>
      <c r="H774" s="241"/>
      <c r="I774" s="241"/>
      <c r="J774" s="241"/>
      <c r="K774" s="237"/>
    </row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conditionalFormatting sqref="C1:C26">
    <cfRule type="expression" priority="1" dxfId="421">
      <formula>COUNTIF(#REF!,C1)&gt;0</formula>
    </cfRule>
  </conditionalFormatting>
  <pageMargins left="0.7" right="0.7" top="0.75" bottom="0.75" header="0.0" footer="0.0"/>
  <pageSetup paperSize="9" fitToWidth="0" fitToHeight="0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dimension ref="A1:AA1000"/>
  <sheetViews>
    <sheetView workbookViewId="0">
      <selection activeCell="A1" sqref="A1"/>
    </sheetView>
  </sheetViews>
  <sheetFormatPr defaultRowHeight="15.0" customHeight="1" defaultColWidth="12"/>
  <cols>
    <col min="3" max="3" customWidth="1" width="20.75" style="0"/>
    <col min="4" max="4" customWidth="1" width="17.628906" style="0"/>
    <col min="6" max="6" customWidth="1" width="20.5" style="0"/>
    <col min="7" max="7" customWidth="1" width="21.5" style="0"/>
    <col min="8" max="8" customWidth="1" width="12.75" style="0"/>
    <col min="9" max="9" customWidth="1" width="19.128906" style="0"/>
    <col min="10" max="10" customWidth="1" width="20.0" style="0"/>
  </cols>
  <sheetData>
    <row r="1" spans="8:8" ht="15.75" customHeight="1">
      <c r="A1" s="241" t="s">
        <v>5100</v>
      </c>
      <c r="B1" s="283"/>
      <c r="C1" s="283"/>
      <c r="D1" s="233"/>
      <c r="E1" s="233"/>
    </row>
    <row r="2" spans="8:8" ht="15.75" customHeight="1">
      <c r="B2" s="317" t="s">
        <v>4710</v>
      </c>
      <c r="C2" s="283">
        <v>251259.0</v>
      </c>
      <c r="D2" s="233"/>
      <c r="E2" s="233"/>
      <c r="F2" s="241" t="str">
        <f t="shared" si="0" ref="F2:F584">IF(AND(C3&lt;&gt;"",COUNTIF($E:$E,C3)=0),"مش موجود في E","")</f>
        <v/>
      </c>
    </row>
    <row r="3" spans="8:8" ht="15.75" customHeight="1">
      <c r="B3" s="317" t="s">
        <v>4007</v>
      </c>
      <c r="C3" s="283">
        <v>251284.0</v>
      </c>
      <c r="D3" s="239" t="s">
        <v>1622</v>
      </c>
      <c r="E3" s="240">
        <v>250080.0</v>
      </c>
      <c r="F3" s="241" t="str">
        <f t="shared" si="0"/>
        <v/>
      </c>
    </row>
    <row r="4" spans="8:8" ht="15.75" customHeight="1">
      <c r="B4" s="317" t="s">
        <v>4008</v>
      </c>
      <c r="C4" s="283">
        <v>251297.0</v>
      </c>
      <c r="D4" s="240" t="s">
        <v>5101</v>
      </c>
      <c r="E4" s="240">
        <v>250084.0</v>
      </c>
      <c r="F4" s="241" t="str">
        <f t="shared" si="0"/>
        <v/>
      </c>
    </row>
    <row r="5" spans="8:8" ht="15.75" customHeight="1">
      <c r="B5" s="317" t="s">
        <v>4009</v>
      </c>
      <c r="C5" s="283">
        <v>251299.0</v>
      </c>
      <c r="D5" s="239" t="s">
        <v>4983</v>
      </c>
      <c r="E5" s="240">
        <v>251016.0</v>
      </c>
      <c r="F5" s="241" t="str">
        <f t="shared" si="0"/>
        <v/>
      </c>
    </row>
    <row r="6" spans="8:8" ht="15.75" customHeight="1">
      <c r="B6" s="317" t="s">
        <v>4011</v>
      </c>
      <c r="C6" s="283">
        <v>251317.0</v>
      </c>
      <c r="D6" s="239" t="s">
        <v>4985</v>
      </c>
      <c r="E6" s="240">
        <v>250183.0</v>
      </c>
      <c r="F6" s="241" t="str">
        <f t="shared" si="0"/>
        <v/>
      </c>
    </row>
    <row r="7" spans="8:8" ht="15.75" customHeight="1">
      <c r="B7" s="317" t="s">
        <v>4012</v>
      </c>
      <c r="C7" s="283">
        <v>251329.0</v>
      </c>
      <c r="D7" s="239" t="s">
        <v>1626</v>
      </c>
      <c r="E7" s="240">
        <v>250204.0</v>
      </c>
      <c r="F7" s="241" t="str">
        <f t="shared" si="0"/>
        <v/>
      </c>
    </row>
    <row r="8" spans="8:8" ht="15.75" customHeight="1">
      <c r="B8" s="317" t="s">
        <v>4013</v>
      </c>
      <c r="C8" s="283">
        <v>251331.0</v>
      </c>
      <c r="D8" s="239" t="s">
        <v>4986</v>
      </c>
      <c r="E8" s="240">
        <v>252818.0</v>
      </c>
      <c r="F8" s="241" t="str">
        <f t="shared" si="0"/>
        <v/>
      </c>
    </row>
    <row r="9" spans="8:8" ht="15.75" customHeight="1">
      <c r="B9" s="317" t="s">
        <v>4891</v>
      </c>
      <c r="C9" s="283">
        <v>251580.0</v>
      </c>
      <c r="D9" s="239" t="s">
        <v>1627</v>
      </c>
      <c r="E9" s="240">
        <v>250224.0</v>
      </c>
      <c r="F9" s="241" t="str">
        <f t="shared" si="0"/>
        <v/>
      </c>
    </row>
    <row r="10" spans="8:8" ht="15.75" customHeight="1">
      <c r="B10" s="317" t="s">
        <v>4014</v>
      </c>
      <c r="C10" s="283">
        <v>251354.0</v>
      </c>
      <c r="D10" s="239" t="s">
        <v>1628</v>
      </c>
      <c r="E10" s="240">
        <v>250220.0</v>
      </c>
      <c r="F10" s="241" t="str">
        <f t="shared" si="0"/>
        <v/>
      </c>
    </row>
    <row r="11" spans="8:8" ht="15.75" customHeight="1">
      <c r="B11" s="317" t="s">
        <v>4712</v>
      </c>
      <c r="C11" s="283">
        <v>251394.0</v>
      </c>
      <c r="D11" s="239" t="s">
        <v>1629</v>
      </c>
      <c r="E11" s="240">
        <v>250219.0</v>
      </c>
      <c r="F11" s="241" t="str">
        <f t="shared" si="0"/>
        <v/>
      </c>
    </row>
    <row r="12" spans="8:8" ht="15.75" customHeight="1">
      <c r="B12" s="317" t="s">
        <v>4015</v>
      </c>
      <c r="C12" s="283">
        <v>251399.0</v>
      </c>
      <c r="D12" s="239" t="s">
        <v>4549</v>
      </c>
      <c r="E12" s="240">
        <v>253074.0</v>
      </c>
      <c r="F12" s="241" t="str">
        <f t="shared" si="0"/>
        <v/>
      </c>
    </row>
    <row r="13" spans="8:8" ht="15.75" customHeight="1">
      <c r="B13" s="317" t="s">
        <v>4016</v>
      </c>
      <c r="C13" s="283">
        <v>251400.0</v>
      </c>
      <c r="D13" s="239" t="s">
        <v>4550</v>
      </c>
      <c r="E13" s="240">
        <v>250218.0</v>
      </c>
      <c r="F13" s="241" t="str">
        <f t="shared" si="0"/>
        <v/>
      </c>
    </row>
    <row r="14" spans="8:8" ht="15.75" customHeight="1">
      <c r="B14" s="317" t="s">
        <v>4018</v>
      </c>
      <c r="C14" s="283">
        <v>251405.0</v>
      </c>
      <c r="D14" s="239" t="s">
        <v>4551</v>
      </c>
      <c r="E14" s="240">
        <v>250223.0</v>
      </c>
      <c r="F14" s="241" t="str">
        <f t="shared" si="0"/>
        <v/>
      </c>
    </row>
    <row r="15" spans="8:8" ht="15.75" customHeight="1">
      <c r="B15" s="317" t="s">
        <v>4714</v>
      </c>
      <c r="C15" s="283">
        <v>251529.0</v>
      </c>
      <c r="D15" s="239" t="s">
        <v>1630</v>
      </c>
      <c r="E15" s="240">
        <v>250247.0</v>
      </c>
      <c r="F15" s="241" t="str">
        <f t="shared" si="0"/>
        <v/>
      </c>
    </row>
    <row r="16" spans="8:8" ht="15.75" customHeight="1">
      <c r="B16" s="317" t="s">
        <v>4019</v>
      </c>
      <c r="C16" s="283">
        <v>251531.0</v>
      </c>
      <c r="D16" s="239" t="s">
        <v>4987</v>
      </c>
      <c r="E16" s="240">
        <v>250261.0</v>
      </c>
      <c r="F16" s="241" t="str">
        <f t="shared" si="0"/>
        <v/>
      </c>
    </row>
    <row r="17" spans="8:8" ht="15.75" customHeight="1">
      <c r="B17" s="317" t="s">
        <v>4020</v>
      </c>
      <c r="C17" s="283">
        <v>251535.0</v>
      </c>
      <c r="D17" s="239" t="s">
        <v>1631</v>
      </c>
      <c r="E17" s="240">
        <v>250708.0</v>
      </c>
      <c r="F17" s="241" t="str">
        <f t="shared" si="0"/>
        <v/>
      </c>
    </row>
    <row r="18" spans="8:8" ht="15.75" customHeight="1">
      <c r="B18" s="317" t="s">
        <v>4715</v>
      </c>
      <c r="C18" s="283">
        <v>251538.0</v>
      </c>
      <c r="D18" s="239" t="s">
        <v>1632</v>
      </c>
      <c r="E18" s="240">
        <v>252817.0</v>
      </c>
      <c r="F18" s="241" t="str">
        <f t="shared" si="0"/>
        <v/>
      </c>
    </row>
    <row r="19" spans="8:8" ht="15.75" customHeight="1">
      <c r="B19" s="317" t="s">
        <v>4021</v>
      </c>
      <c r="C19" s="283">
        <v>251546.0</v>
      </c>
      <c r="D19" s="239" t="s">
        <v>4990</v>
      </c>
      <c r="E19" s="240">
        <v>250679.0</v>
      </c>
      <c r="F19" s="241" t="str">
        <f t="shared" si="0"/>
        <v/>
      </c>
    </row>
    <row r="20" spans="8:8" ht="15.75" customHeight="1">
      <c r="B20" s="317" t="s">
        <v>4022</v>
      </c>
      <c r="C20" s="283">
        <v>251590.0</v>
      </c>
      <c r="D20" s="239" t="s">
        <v>1550</v>
      </c>
      <c r="E20" s="240">
        <v>250683.0</v>
      </c>
      <c r="F20" s="241" t="str">
        <f t="shared" si="0"/>
        <v/>
      </c>
    </row>
    <row r="21" spans="8:8" ht="15.75" customHeight="1">
      <c r="B21" s="317" t="s">
        <v>4463</v>
      </c>
      <c r="C21" s="283">
        <v>251275.0</v>
      </c>
      <c r="D21" s="239" t="s">
        <v>1531</v>
      </c>
      <c r="E21" s="240">
        <v>250693.0</v>
      </c>
      <c r="F21" s="241" t="str">
        <f t="shared" si="0"/>
        <v/>
      </c>
    </row>
    <row r="22" spans="8:8" ht="15.75" customHeight="1">
      <c r="B22" s="317" t="s">
        <v>4739</v>
      </c>
      <c r="C22" s="283">
        <v>251325.0</v>
      </c>
      <c r="D22" s="239" t="s">
        <v>1633</v>
      </c>
      <c r="E22" s="240">
        <v>250707.0</v>
      </c>
      <c r="F22" s="241" t="str">
        <f t="shared" si="0"/>
        <v/>
      </c>
    </row>
    <row r="23" spans="8:8" ht="15.75" customHeight="1">
      <c r="B23" s="317" t="s">
        <v>4754</v>
      </c>
      <c r="C23" s="283">
        <v>251664.0</v>
      </c>
      <c r="D23" s="239" t="s">
        <v>1539</v>
      </c>
      <c r="E23" s="240">
        <v>250713.0</v>
      </c>
      <c r="F23" s="241" t="str">
        <f t="shared" si="0"/>
        <v/>
      </c>
    </row>
    <row r="24" spans="8:8" ht="15.75" customHeight="1">
      <c r="B24" s="317" t="s">
        <v>4956</v>
      </c>
      <c r="C24" s="283">
        <v>251674.0</v>
      </c>
      <c r="D24" s="239" t="s">
        <v>4553</v>
      </c>
      <c r="E24" s="240">
        <v>250697.0</v>
      </c>
      <c r="F24" s="241" t="str">
        <f t="shared" si="0"/>
        <v/>
      </c>
    </row>
    <row r="25" spans="8:8" ht="15.75" customHeight="1">
      <c r="B25" s="317" t="s">
        <v>4756</v>
      </c>
      <c r="C25" s="283">
        <v>251752.0</v>
      </c>
      <c r="D25" s="239" t="s">
        <v>4554</v>
      </c>
      <c r="E25" s="240">
        <v>250703.0</v>
      </c>
      <c r="F25" s="241" t="str">
        <f t="shared" si="0"/>
        <v/>
      </c>
    </row>
    <row r="26" spans="8:8" ht="15.75" customHeight="1">
      <c r="B26" s="317" t="s">
        <v>4499</v>
      </c>
      <c r="C26" s="283">
        <v>252975.0</v>
      </c>
      <c r="D26" s="239" t="s">
        <v>4991</v>
      </c>
      <c r="E26" s="240">
        <v>250716.0</v>
      </c>
      <c r="F26" s="241" t="str">
        <f t="shared" si="0"/>
        <v/>
      </c>
    </row>
    <row r="27" spans="8:8" ht="15.75" customHeight="1">
      <c r="B27" s="317" t="s">
        <v>4401</v>
      </c>
      <c r="C27" s="283">
        <v>251561.0</v>
      </c>
      <c r="D27" s="239" t="s">
        <v>1634</v>
      </c>
      <c r="E27" s="240">
        <v>250709.0</v>
      </c>
      <c r="F27" s="241" t="str">
        <f t="shared" si="0"/>
        <v/>
      </c>
    </row>
    <row r="28" spans="8:8" ht="15.75" customHeight="1">
      <c r="B28" s="317" t="s">
        <v>4402</v>
      </c>
      <c r="C28" s="283">
        <v>251442.0</v>
      </c>
      <c r="D28" s="239" t="s">
        <v>1635</v>
      </c>
      <c r="E28" s="257">
        <v>253070.0</v>
      </c>
      <c r="F28" s="241" t="str">
        <f t="shared" si="0"/>
        <v/>
      </c>
    </row>
    <row r="29" spans="8:8" ht="15.75" customHeight="1">
      <c r="B29" s="317" t="s">
        <v>4410</v>
      </c>
      <c r="C29" s="283">
        <v>251486.0</v>
      </c>
      <c r="D29" s="239" t="s">
        <v>4537</v>
      </c>
      <c r="E29" s="240">
        <v>250668.0</v>
      </c>
      <c r="F29" s="241" t="str">
        <f t="shared" si="0"/>
        <v/>
      </c>
    </row>
    <row r="30" spans="8:8" ht="15.75" customHeight="1">
      <c r="B30" s="317" t="s">
        <v>4403</v>
      </c>
      <c r="C30" s="283">
        <v>251491.0</v>
      </c>
      <c r="D30" s="239" t="s">
        <v>1543</v>
      </c>
      <c r="E30" s="240">
        <v>250749.0</v>
      </c>
      <c r="F30" s="241" t="str">
        <f t="shared" si="0"/>
        <v/>
      </c>
    </row>
    <row r="31" spans="8:8" ht="15.75" customHeight="1">
      <c r="B31" s="317" t="s">
        <v>4757</v>
      </c>
      <c r="C31" s="283">
        <v>251495.0</v>
      </c>
      <c r="D31" s="239" t="s">
        <v>1557</v>
      </c>
      <c r="E31" s="240">
        <v>252812.0</v>
      </c>
      <c r="F31" s="241" t="str">
        <f t="shared" si="0"/>
        <v/>
      </c>
    </row>
    <row r="32" spans="8:8" ht="15.75" customHeight="1">
      <c r="B32" s="317" t="s">
        <v>4406</v>
      </c>
      <c r="C32" s="283">
        <v>251474.0</v>
      </c>
      <c r="D32" s="239" t="s">
        <v>1544</v>
      </c>
      <c r="E32" s="240">
        <v>250767.0</v>
      </c>
      <c r="F32" s="241" t="str">
        <f t="shared" si="0"/>
        <v/>
      </c>
    </row>
    <row r="33" spans="8:8" ht="15.75" customHeight="1">
      <c r="B33" s="317" t="s">
        <v>4405</v>
      </c>
      <c r="C33" s="283">
        <v>251639.0</v>
      </c>
      <c r="D33" s="239" t="s">
        <v>1535</v>
      </c>
      <c r="E33" s="240">
        <v>250784.0</v>
      </c>
      <c r="F33" s="241" t="str">
        <f t="shared" si="0"/>
        <v/>
      </c>
    </row>
    <row r="34" spans="8:8" ht="15.75" customHeight="1">
      <c r="B34" s="317" t="s">
        <v>4407</v>
      </c>
      <c r="C34" s="283">
        <v>251493.0</v>
      </c>
      <c r="D34" s="239" t="s">
        <v>1558</v>
      </c>
      <c r="E34" s="240">
        <v>250808.0</v>
      </c>
      <c r="F34" s="241" t="str">
        <f t="shared" si="0"/>
        <v/>
      </c>
    </row>
    <row r="35" spans="8:8" ht="15.75" customHeight="1">
      <c r="B35" s="317" t="s">
        <v>4504</v>
      </c>
      <c r="C35" s="283">
        <v>251494.0</v>
      </c>
      <c r="D35" s="239" t="s">
        <v>1559</v>
      </c>
      <c r="E35" s="240">
        <v>250809.0</v>
      </c>
      <c r="F35" s="241" t="str">
        <f t="shared" si="0"/>
        <v/>
      </c>
    </row>
    <row r="36" spans="8:8" ht="15.75" customHeight="1">
      <c r="B36" s="317" t="s">
        <v>4413</v>
      </c>
      <c r="C36" s="283">
        <v>251662.0</v>
      </c>
      <c r="D36" s="239" t="s">
        <v>1536</v>
      </c>
      <c r="E36" s="240">
        <v>250810.0</v>
      </c>
      <c r="F36" s="241" t="str">
        <f t="shared" si="0"/>
        <v/>
      </c>
    </row>
    <row r="37" spans="8:8" ht="15.75" customHeight="1">
      <c r="B37" s="317" t="s">
        <v>4409</v>
      </c>
      <c r="C37" s="283">
        <v>251669.0</v>
      </c>
      <c r="D37" s="239" t="s">
        <v>4538</v>
      </c>
      <c r="E37" s="240">
        <v>250818.0</v>
      </c>
      <c r="F37" s="241" t="str">
        <f t="shared" si="0"/>
        <v/>
      </c>
    </row>
    <row r="38" spans="8:8" ht="15.75" customHeight="1">
      <c r="B38" s="317" t="s">
        <v>4414</v>
      </c>
      <c r="C38" s="283">
        <v>251672.0</v>
      </c>
      <c r="D38" s="239" t="s">
        <v>1560</v>
      </c>
      <c r="E38" s="240">
        <v>250824.0</v>
      </c>
      <c r="F38" s="241" t="str">
        <f t="shared" si="0"/>
        <v/>
      </c>
    </row>
    <row r="39" spans="8:8" ht="15.75" customHeight="1">
      <c r="B39" s="317" t="s">
        <v>4117</v>
      </c>
      <c r="C39" s="283">
        <v>251692.0</v>
      </c>
      <c r="D39" s="239" t="s">
        <v>1561</v>
      </c>
      <c r="E39" s="240">
        <v>250834.0</v>
      </c>
      <c r="F39" s="241" t="str">
        <f t="shared" si="0"/>
        <v/>
      </c>
    </row>
    <row r="40" spans="8:8" ht="15.75" customHeight="1">
      <c r="B40" s="317" t="s">
        <v>4423</v>
      </c>
      <c r="C40" s="283">
        <v>251785.0</v>
      </c>
      <c r="D40" s="239" t="s">
        <v>449</v>
      </c>
      <c r="E40" s="240">
        <v>252872.0</v>
      </c>
      <c r="F40" s="241" t="str">
        <f t="shared" si="0"/>
        <v/>
      </c>
    </row>
    <row r="41" spans="8:8" ht="15.75" customHeight="1">
      <c r="B41" s="317" t="s">
        <v>4965</v>
      </c>
      <c r="C41" s="283">
        <v>251792.0</v>
      </c>
      <c r="D41" s="239" t="s">
        <v>4539</v>
      </c>
      <c r="E41" s="240">
        <v>250680.0</v>
      </c>
      <c r="F41" s="241" t="str">
        <f t="shared" si="0"/>
        <v/>
      </c>
    </row>
    <row r="42" spans="8:8" ht="15.75" customHeight="1">
      <c r="B42" s="317" t="s">
        <v>4772</v>
      </c>
      <c r="C42" s="283">
        <v>251500.0</v>
      </c>
      <c r="D42" s="239" t="s">
        <v>4993</v>
      </c>
      <c r="E42" s="240">
        <v>250863.0</v>
      </c>
      <c r="F42" s="241" t="str">
        <f t="shared" si="0"/>
        <v/>
      </c>
    </row>
    <row r="43" spans="8:8" ht="15.75" customHeight="1">
      <c r="B43" s="317" t="s">
        <v>4448</v>
      </c>
      <c r="C43" s="283">
        <v>251629.0</v>
      </c>
      <c r="D43" s="239" t="s">
        <v>4645</v>
      </c>
      <c r="E43" s="240">
        <v>250807.0</v>
      </c>
      <c r="F43" s="241" t="str">
        <f t="shared" si="0"/>
        <v/>
      </c>
    </row>
    <row r="44" spans="8:8" ht="15.75" customHeight="1">
      <c r="B44" s="317" t="s">
        <v>4912</v>
      </c>
      <c r="C44" s="283">
        <v>251791.0</v>
      </c>
      <c r="D44" s="239" t="s">
        <v>1552</v>
      </c>
      <c r="E44" s="240">
        <v>250887.0</v>
      </c>
      <c r="F44" s="241" t="str">
        <f t="shared" si="0"/>
        <v/>
      </c>
    </row>
    <row r="45" spans="8:8" ht="15.75" customHeight="1">
      <c r="B45" s="317" t="s">
        <v>4471</v>
      </c>
      <c r="C45" s="283">
        <v>251475.0</v>
      </c>
      <c r="D45" s="239" t="s">
        <v>4540</v>
      </c>
      <c r="E45" s="240">
        <v>250911.0</v>
      </c>
      <c r="F45" s="241" t="str">
        <f t="shared" si="0"/>
        <v/>
      </c>
    </row>
    <row r="46" spans="8:8" ht="15.75" customHeight="1">
      <c r="B46" s="317" t="s">
        <v>4892</v>
      </c>
      <c r="C46" s="283">
        <v>252876.0</v>
      </c>
      <c r="D46" s="239" t="s">
        <v>1643</v>
      </c>
      <c r="E46" s="240">
        <v>250917.0</v>
      </c>
      <c r="F46" s="241" t="str">
        <f t="shared" si="0"/>
        <v/>
      </c>
    </row>
    <row r="47" spans="8:8" ht="15.75" customHeight="1">
      <c r="B47" s="317" t="s">
        <v>4895</v>
      </c>
      <c r="C47" s="283">
        <v>252044.0</v>
      </c>
      <c r="D47" s="239" t="s">
        <v>4541</v>
      </c>
      <c r="E47" s="240">
        <v>250940.0</v>
      </c>
      <c r="F47" s="241" t="str">
        <f t="shared" si="0"/>
        <v/>
      </c>
    </row>
    <row r="48" spans="8:8" ht="15.75" customHeight="1">
      <c r="B48" s="317" t="s">
        <v>1865</v>
      </c>
      <c r="C48" s="283">
        <v>252120.0</v>
      </c>
      <c r="D48" s="239" t="s">
        <v>1562</v>
      </c>
      <c r="E48" s="240">
        <v>250927.0</v>
      </c>
      <c r="F48" s="241" t="str">
        <f t="shared" si="0"/>
        <v/>
      </c>
    </row>
    <row r="49" spans="8:8" ht="15.75" customHeight="1">
      <c r="B49" s="317" t="s">
        <v>4758</v>
      </c>
      <c r="C49" s="283">
        <v>252154.0</v>
      </c>
      <c r="D49" s="239" t="s">
        <v>4994</v>
      </c>
      <c r="E49" s="240">
        <v>250942.0</v>
      </c>
      <c r="F49" s="241" t="str">
        <f t="shared" si="0"/>
        <v/>
      </c>
    </row>
    <row r="50" spans="8:8" ht="15.75" customHeight="1">
      <c r="B50" s="317" t="s">
        <v>2916</v>
      </c>
      <c r="C50" s="283">
        <v>252884.0</v>
      </c>
      <c r="D50" s="239" t="s">
        <v>1534</v>
      </c>
      <c r="E50" s="240">
        <v>250957.0</v>
      </c>
      <c r="F50" s="241" t="str">
        <f t="shared" si="0"/>
        <v/>
      </c>
    </row>
    <row r="51" spans="8:8" ht="15.75" customHeight="1">
      <c r="B51" s="317" t="s">
        <v>4759</v>
      </c>
      <c r="C51" s="283">
        <v>251833.0</v>
      </c>
      <c r="D51" s="239" t="s">
        <v>4995</v>
      </c>
      <c r="E51" s="240">
        <v>250954.0</v>
      </c>
      <c r="F51" s="241" t="str">
        <f t="shared" si="0"/>
        <v/>
      </c>
    </row>
    <row r="52" spans="8:8" ht="15.75" customHeight="1">
      <c r="B52" s="317" t="s">
        <v>4415</v>
      </c>
      <c r="C52" s="283">
        <v>252936.0</v>
      </c>
      <c r="D52" s="239" t="s">
        <v>4996</v>
      </c>
      <c r="E52" s="240">
        <v>250962.0</v>
      </c>
      <c r="F52" s="241" t="str">
        <f t="shared" si="0"/>
        <v/>
      </c>
    </row>
    <row r="53" spans="8:8" ht="15.75" customHeight="1">
      <c r="B53" s="317" t="s">
        <v>5025</v>
      </c>
      <c r="C53" s="283">
        <v>253167.0</v>
      </c>
      <c r="D53" s="239" t="s">
        <v>4542</v>
      </c>
      <c r="E53" s="240">
        <v>250963.0</v>
      </c>
      <c r="F53" s="241" t="str">
        <f t="shared" si="0"/>
        <v/>
      </c>
    </row>
    <row r="54" spans="8:8" ht="15.75" customHeight="1">
      <c r="B54" s="317" t="s">
        <v>2919</v>
      </c>
      <c r="C54" s="283">
        <v>252961.0</v>
      </c>
      <c r="D54" s="239" t="s">
        <v>4543</v>
      </c>
      <c r="E54" s="240">
        <v>250978.0</v>
      </c>
      <c r="F54" s="241" t="str">
        <f t="shared" si="0"/>
        <v/>
      </c>
    </row>
    <row r="55" spans="8:8" ht="15.75" customHeight="1">
      <c r="B55" s="317" t="s">
        <v>2913</v>
      </c>
      <c r="C55" s="283">
        <v>252347.0</v>
      </c>
      <c r="D55" s="239" t="s">
        <v>1556</v>
      </c>
      <c r="E55" s="240">
        <v>250985.0</v>
      </c>
      <c r="F55" s="241" t="str">
        <f t="shared" si="0"/>
        <v/>
      </c>
    </row>
    <row r="56" spans="8:8" ht="15.75" customHeight="1">
      <c r="B56" s="317" t="s">
        <v>5026</v>
      </c>
      <c r="C56" s="283">
        <v>252348.0</v>
      </c>
      <c r="D56" s="239" t="s">
        <v>1636</v>
      </c>
      <c r="E56" s="240">
        <v>253161.0</v>
      </c>
      <c r="F56" s="241" t="str">
        <f t="shared" si="0"/>
        <v/>
      </c>
    </row>
    <row r="57" spans="8:8" ht="15.75" customHeight="1">
      <c r="B57" s="317" t="s">
        <v>3207</v>
      </c>
      <c r="C57" s="283">
        <v>252471.0</v>
      </c>
      <c r="D57" s="239" t="s">
        <v>4633</v>
      </c>
      <c r="E57" s="240">
        <v>250995.0</v>
      </c>
      <c r="F57" s="241" t="str">
        <f t="shared" si="0"/>
        <v/>
      </c>
    </row>
    <row r="58" spans="8:8" ht="15.75" customHeight="1">
      <c r="B58" s="317" t="s">
        <v>3208</v>
      </c>
      <c r="C58" s="283">
        <v>252444.0</v>
      </c>
      <c r="D58" s="239" t="s">
        <v>1533</v>
      </c>
      <c r="E58" s="240">
        <v>251026.0</v>
      </c>
      <c r="F58" s="241" t="str">
        <f t="shared" si="0"/>
        <v/>
      </c>
    </row>
    <row r="59" spans="8:8" ht="15.75" customHeight="1">
      <c r="B59" s="317" t="s">
        <v>2489</v>
      </c>
      <c r="C59" s="283">
        <v>252089.0</v>
      </c>
      <c r="D59" s="239" t="s">
        <v>4997</v>
      </c>
      <c r="E59" s="240">
        <v>251018.0</v>
      </c>
      <c r="F59" s="241" t="str">
        <f t="shared" si="0"/>
        <v/>
      </c>
    </row>
    <row r="60" spans="8:8" ht="15.75" customHeight="1">
      <c r="B60" s="317" t="s">
        <v>4615</v>
      </c>
      <c r="C60" s="283">
        <v>252002.0</v>
      </c>
      <c r="D60" s="239" t="s">
        <v>4552</v>
      </c>
      <c r="E60" s="240">
        <v>240520.0</v>
      </c>
      <c r="F60" s="241" t="str">
        <f t="shared" si="0"/>
        <v/>
      </c>
    </row>
    <row r="61" spans="8:8" ht="15.75" customHeight="1">
      <c r="B61" s="317" t="s">
        <v>4617</v>
      </c>
      <c r="C61" s="283">
        <v>251936.0</v>
      </c>
      <c r="D61" s="239" t="s">
        <v>423</v>
      </c>
      <c r="E61" s="240">
        <v>253123.0</v>
      </c>
      <c r="F61" s="241" t="str">
        <f t="shared" si="0"/>
        <v/>
      </c>
    </row>
    <row r="62" spans="8:8" ht="15.75" customHeight="1">
      <c r="B62" s="317" t="s">
        <v>4419</v>
      </c>
      <c r="C62" s="283">
        <v>253066.0</v>
      </c>
      <c r="D62" s="239" t="s">
        <v>4646</v>
      </c>
      <c r="E62" s="240">
        <v>250705.0</v>
      </c>
      <c r="F62" s="241" t="str">
        <f t="shared" si="0"/>
        <v/>
      </c>
    </row>
    <row r="63" spans="8:8" ht="15.75" customHeight="1">
      <c r="B63" s="317" t="s">
        <v>4507</v>
      </c>
      <c r="C63" s="283">
        <v>253063.0</v>
      </c>
      <c r="D63" s="239" t="s">
        <v>4647</v>
      </c>
      <c r="E63" s="240">
        <v>250970.0</v>
      </c>
      <c r="F63" s="241" t="str">
        <f t="shared" si="0"/>
        <v/>
      </c>
    </row>
    <row r="64" spans="8:8" ht="15.75" customHeight="1">
      <c r="B64" s="317" t="s">
        <v>5046</v>
      </c>
      <c r="C64" s="283">
        <v>252472.0</v>
      </c>
      <c r="D64" s="239" t="s">
        <v>4648</v>
      </c>
      <c r="E64" s="240">
        <v>250966.0</v>
      </c>
      <c r="F64" s="241" t="str">
        <f t="shared" si="0"/>
        <v/>
      </c>
    </row>
    <row r="65" spans="8:8" ht="15.75" customHeight="1">
      <c r="B65" s="317" t="s">
        <v>5047</v>
      </c>
      <c r="C65" s="283">
        <v>252464.0</v>
      </c>
      <c r="D65" s="239" t="s">
        <v>4649</v>
      </c>
      <c r="E65" s="240">
        <v>240661.0</v>
      </c>
      <c r="F65" s="241" t="str">
        <f t="shared" si="0"/>
        <v/>
      </c>
    </row>
    <row r="66" spans="8:8" ht="15.75" customHeight="1">
      <c r="B66" s="317" t="s">
        <v>4694</v>
      </c>
      <c r="C66" s="283">
        <v>252461.0</v>
      </c>
      <c r="D66" s="239" t="s">
        <v>4650</v>
      </c>
      <c r="E66" s="240">
        <v>240868.0</v>
      </c>
      <c r="F66" s="241" t="str">
        <f t="shared" si="0"/>
        <v/>
      </c>
    </row>
    <row r="67" spans="8:8" ht="15.75" customHeight="1">
      <c r="B67" s="317" t="s">
        <v>5048</v>
      </c>
      <c r="C67" s="283">
        <v>251962.0</v>
      </c>
      <c r="D67" s="239" t="s">
        <v>987</v>
      </c>
      <c r="E67" s="240">
        <v>253096.0</v>
      </c>
      <c r="F67" s="241" t="str">
        <f t="shared" si="0"/>
        <v/>
      </c>
    </row>
    <row r="68" spans="8:8" ht="15.75" customHeight="1">
      <c r="B68" s="317" t="s">
        <v>3438</v>
      </c>
      <c r="C68" s="283">
        <v>252358.0</v>
      </c>
      <c r="D68" s="239" t="s">
        <v>988</v>
      </c>
      <c r="E68" s="240">
        <v>251024.0</v>
      </c>
      <c r="F68" s="241" t="str">
        <f t="shared" si="0"/>
        <v/>
      </c>
    </row>
    <row r="69" spans="8:8" ht="15.75" customHeight="1">
      <c r="B69" s="317" t="s">
        <v>4698</v>
      </c>
      <c r="C69" s="283">
        <v>241902.0</v>
      </c>
      <c r="D69" s="239" t="s">
        <v>4651</v>
      </c>
      <c r="E69" s="257">
        <v>240746.0</v>
      </c>
      <c r="F69" s="241" t="str">
        <f t="shared" si="0"/>
        <v/>
      </c>
    </row>
    <row r="70" spans="8:8" ht="15.75" customHeight="1">
      <c r="B70" s="317" t="s">
        <v>3439</v>
      </c>
      <c r="C70" s="283">
        <v>252451.0</v>
      </c>
      <c r="D70" s="239" t="s">
        <v>4736</v>
      </c>
      <c r="E70" s="240">
        <v>240900.0</v>
      </c>
      <c r="F70" s="241" t="str">
        <f t="shared" si="0"/>
        <v/>
      </c>
    </row>
    <row r="71" spans="8:8" ht="15.75" customHeight="1">
      <c r="B71" s="317" t="s">
        <v>4734</v>
      </c>
      <c r="C71" s="283">
        <v>252327.0</v>
      </c>
      <c r="D71" s="239" t="s">
        <v>4737</v>
      </c>
      <c r="E71" s="240">
        <v>251007.0</v>
      </c>
      <c r="F71" s="241" t="str">
        <f t="shared" si="0"/>
        <v/>
      </c>
    </row>
    <row r="72" spans="8:8" ht="15.75" customHeight="1">
      <c r="B72" s="317" t="s">
        <v>2945</v>
      </c>
      <c r="C72" s="283">
        <v>252370.0</v>
      </c>
      <c r="D72" s="239" t="s">
        <v>1059</v>
      </c>
      <c r="E72" s="240">
        <v>250172.0</v>
      </c>
      <c r="F72" s="241" t="str">
        <f t="shared" si="0"/>
        <v/>
      </c>
    </row>
    <row r="73" spans="8:8" ht="15.75" customHeight="1">
      <c r="B73" s="317" t="s">
        <v>5054</v>
      </c>
      <c r="C73" s="283">
        <v>252414.0</v>
      </c>
      <c r="D73" s="239" t="s">
        <v>4572</v>
      </c>
      <c r="E73" s="240">
        <v>250904.0</v>
      </c>
      <c r="F73" s="241" t="str">
        <f t="shared" si="0"/>
        <v/>
      </c>
    </row>
    <row r="74" spans="8:8" ht="15.75" customHeight="1">
      <c r="B74" s="317" t="s">
        <v>4665</v>
      </c>
      <c r="C74" s="283">
        <v>241432.0</v>
      </c>
      <c r="D74" s="239" t="s">
        <v>4573</v>
      </c>
      <c r="E74" s="240">
        <v>250114.0</v>
      </c>
      <c r="F74" s="241" t="str">
        <f t="shared" si="0"/>
        <v/>
      </c>
    </row>
    <row r="75" spans="8:8" ht="15.75" customHeight="1">
      <c r="B75" s="317" t="s">
        <v>2845</v>
      </c>
      <c r="C75" s="283">
        <v>252888.0</v>
      </c>
      <c r="D75" s="239" t="s">
        <v>1492</v>
      </c>
      <c r="E75" s="240">
        <v>250996.0</v>
      </c>
      <c r="F75" s="241" t="str">
        <f t="shared" si="0"/>
        <v/>
      </c>
    </row>
    <row r="76" spans="8:8" ht="15.75" customHeight="1">
      <c r="B76" s="317" t="s">
        <v>4484</v>
      </c>
      <c r="C76" s="283">
        <v>253009.0</v>
      </c>
      <c r="D76" s="239" t="s">
        <v>3246</v>
      </c>
      <c r="E76" s="240">
        <v>250775.0</v>
      </c>
      <c r="F76" s="241" t="str">
        <f t="shared" si="0"/>
        <v/>
      </c>
    </row>
    <row r="77" spans="8:8" ht="15.75" customHeight="1">
      <c r="B77" s="317" t="s">
        <v>4605</v>
      </c>
      <c r="C77" s="283">
        <v>252207.0</v>
      </c>
      <c r="D77" s="239" t="s">
        <v>1507</v>
      </c>
      <c r="E77" s="240">
        <v>250896.0</v>
      </c>
      <c r="F77" s="241" t="str">
        <f t="shared" si="0"/>
        <v/>
      </c>
    </row>
    <row r="78" spans="8:8" ht="15.75" customHeight="1">
      <c r="B78" s="317" t="s">
        <v>2893</v>
      </c>
      <c r="C78" s="283">
        <v>251957.0</v>
      </c>
      <c r="D78" s="239" t="s">
        <v>4574</v>
      </c>
      <c r="E78" s="240">
        <v>250866.0</v>
      </c>
      <c r="F78" s="241" t="str">
        <f t="shared" si="0"/>
        <v/>
      </c>
    </row>
    <row r="79" spans="8:8" ht="15.75" customHeight="1">
      <c r="B79" s="317" t="s">
        <v>4658</v>
      </c>
      <c r="C79" s="283">
        <v>252958.0</v>
      </c>
      <c r="D79" s="239" t="s">
        <v>4999</v>
      </c>
      <c r="E79" s="240">
        <v>253058.0</v>
      </c>
      <c r="F79" s="241" t="str">
        <f t="shared" si="0"/>
        <v/>
      </c>
    </row>
    <row r="80" spans="8:8" ht="15.75" customHeight="1">
      <c r="B80" s="317" t="s">
        <v>4661</v>
      </c>
      <c r="C80" s="283">
        <v>251932.0</v>
      </c>
      <c r="D80" s="239" t="s">
        <v>4575</v>
      </c>
      <c r="E80" s="240">
        <v>240666.0</v>
      </c>
      <c r="F80" s="241" t="str">
        <f t="shared" si="0"/>
        <v/>
      </c>
    </row>
    <row r="81" spans="8:8" ht="15.75" customHeight="1">
      <c r="B81" s="317" t="s">
        <v>4673</v>
      </c>
      <c r="C81" s="283">
        <v>251885.0</v>
      </c>
      <c r="D81" s="239" t="s">
        <v>1480</v>
      </c>
      <c r="E81" s="240">
        <v>250174.0</v>
      </c>
      <c r="F81" s="241" t="str">
        <f t="shared" si="0"/>
        <v/>
      </c>
    </row>
    <row r="82" spans="8:8" ht="15.75" customHeight="1">
      <c r="B82" s="317" t="s">
        <v>4889</v>
      </c>
      <c r="C82" s="283">
        <v>252425.0</v>
      </c>
      <c r="D82" s="239" t="s">
        <v>4568</v>
      </c>
      <c r="E82" s="240">
        <v>240611.0</v>
      </c>
      <c r="F82" s="241" t="str">
        <f t="shared" si="0"/>
        <v/>
      </c>
    </row>
    <row r="83" spans="8:8" ht="15.75" customHeight="1">
      <c r="B83" s="317" t="s">
        <v>1542</v>
      </c>
      <c r="C83" s="283">
        <v>241616.0</v>
      </c>
      <c r="D83" s="239" t="s">
        <v>4577</v>
      </c>
      <c r="E83" s="240">
        <v>250380.0</v>
      </c>
      <c r="F83" s="241" t="str">
        <f t="shared" si="0"/>
        <v/>
      </c>
    </row>
    <row r="84" spans="8:8" ht="15.75" customHeight="1">
      <c r="B84" s="317" t="s">
        <v>4720</v>
      </c>
      <c r="C84" s="283">
        <v>241900.0</v>
      </c>
      <c r="D84" s="239" t="s">
        <v>1511</v>
      </c>
      <c r="E84" s="240">
        <v>250386.0</v>
      </c>
      <c r="F84" s="241" t="str">
        <f t="shared" si="0"/>
        <v/>
      </c>
    </row>
    <row r="85" spans="8:8" ht="15.75" customHeight="1">
      <c r="B85" s="317" t="s">
        <v>4432</v>
      </c>
      <c r="C85" s="283">
        <v>241870.0</v>
      </c>
      <c r="D85" s="239" t="s">
        <v>1513</v>
      </c>
      <c r="E85" s="240">
        <v>250389.0</v>
      </c>
      <c r="F85" s="241" t="str">
        <f t="shared" si="0"/>
        <v/>
      </c>
    </row>
    <row r="86" spans="8:8" ht="15.75" customHeight="1">
      <c r="B86" s="317" t="s">
        <v>4433</v>
      </c>
      <c r="C86" s="283">
        <v>241299.0</v>
      </c>
      <c r="D86" s="239" t="s">
        <v>4738</v>
      </c>
      <c r="E86" s="240">
        <v>250997.0</v>
      </c>
      <c r="F86" s="241" t="str">
        <f t="shared" si="0"/>
        <v/>
      </c>
    </row>
    <row r="87" spans="8:8" ht="15.75" customHeight="1">
      <c r="B87" s="317" t="s">
        <v>4434</v>
      </c>
      <c r="C87" s="283">
        <v>241874.0</v>
      </c>
      <c r="D87" s="239" t="s">
        <v>1514</v>
      </c>
      <c r="E87" s="240">
        <v>240511.0</v>
      </c>
      <c r="F87" s="241" t="str">
        <f t="shared" si="0"/>
        <v/>
      </c>
    </row>
    <row r="88" spans="8:8" ht="15.75" customHeight="1">
      <c r="B88" s="317" t="s">
        <v>4731</v>
      </c>
      <c r="C88" s="283">
        <v>241377.0</v>
      </c>
      <c r="D88" s="239" t="s">
        <v>5002</v>
      </c>
      <c r="E88" s="240">
        <v>250467.0</v>
      </c>
      <c r="F88" s="241" t="str">
        <f t="shared" si="0"/>
        <v/>
      </c>
    </row>
    <row r="89" spans="8:8" ht="15.75" customHeight="1">
      <c r="B89" s="317" t="s">
        <v>4464</v>
      </c>
      <c r="C89" s="283">
        <v>241826.0</v>
      </c>
      <c r="D89" s="239" t="s">
        <v>4578</v>
      </c>
      <c r="E89" s="240">
        <v>250533.0</v>
      </c>
      <c r="F89" s="241" t="str">
        <f t="shared" si="0"/>
        <v/>
      </c>
    </row>
    <row r="90" spans="8:8" ht="15.75" customHeight="1">
      <c r="B90" s="317" t="s">
        <v>4465</v>
      </c>
      <c r="C90" s="283">
        <v>241305.0</v>
      </c>
      <c r="D90" s="239" t="s">
        <v>5003</v>
      </c>
      <c r="E90" s="240">
        <v>250535.0</v>
      </c>
      <c r="F90" s="241" t="str">
        <f t="shared" si="0"/>
        <v/>
      </c>
    </row>
    <row r="91" spans="8:8" ht="15.75" customHeight="1">
      <c r="B91" s="317" t="s">
        <v>4466</v>
      </c>
      <c r="C91" s="283">
        <v>241415.0</v>
      </c>
      <c r="D91" s="239" t="s">
        <v>1515</v>
      </c>
      <c r="E91" s="240">
        <v>250548.0</v>
      </c>
      <c r="F91" s="241" t="str">
        <f t="shared" si="0"/>
        <v/>
      </c>
    </row>
    <row r="92" spans="8:8" ht="15.75" customHeight="1">
      <c r="B92" s="317" t="s">
        <v>4467</v>
      </c>
      <c r="C92" s="283">
        <v>241423.0</v>
      </c>
      <c r="D92" s="239" t="s">
        <v>1516</v>
      </c>
      <c r="E92" s="240">
        <v>251044.0</v>
      </c>
      <c r="F92" s="241" t="str">
        <f t="shared" si="0"/>
        <v/>
      </c>
    </row>
    <row r="93" spans="8:8" ht="15.75" customHeight="1">
      <c r="B93" s="317" t="s">
        <v>4468</v>
      </c>
      <c r="C93" s="283">
        <v>241424.0</v>
      </c>
      <c r="D93" s="239" t="s">
        <v>4632</v>
      </c>
      <c r="E93" s="240">
        <v>251061.0</v>
      </c>
      <c r="F93" s="241" t="str">
        <f t="shared" si="0"/>
        <v/>
      </c>
    </row>
    <row r="94" spans="8:8" ht="15.75" customHeight="1">
      <c r="B94" s="317" t="s">
        <v>4469</v>
      </c>
      <c r="C94" s="283">
        <v>241369.0</v>
      </c>
      <c r="D94" s="239" t="s">
        <v>1517</v>
      </c>
      <c r="E94" s="240">
        <v>251036.0</v>
      </c>
      <c r="F94" s="241" t="str">
        <f t="shared" si="0"/>
        <v/>
      </c>
    </row>
    <row r="95" spans="8:8" ht="15.75" customHeight="1">
      <c r="B95" s="317" t="s">
        <v>4478</v>
      </c>
      <c r="C95" s="283">
        <v>241659.0</v>
      </c>
      <c r="D95" s="239" t="s">
        <v>1642</v>
      </c>
      <c r="E95" s="240">
        <v>251065.0</v>
      </c>
      <c r="F95" s="241" t="str">
        <f t="shared" si="0"/>
        <v/>
      </c>
    </row>
    <row r="96" spans="8:8" ht="15.75" customHeight="1">
      <c r="B96" s="317" t="s">
        <v>4323</v>
      </c>
      <c r="C96" s="283">
        <v>241607.0</v>
      </c>
      <c r="D96" s="239" t="s">
        <v>1518</v>
      </c>
      <c r="E96" s="240">
        <v>251068.0</v>
      </c>
      <c r="F96" s="241" t="str">
        <f t="shared" si="0"/>
        <v/>
      </c>
    </row>
    <row r="97" spans="8:8" ht="15.75" customHeight="1">
      <c r="B97" s="317" t="s">
        <v>4479</v>
      </c>
      <c r="C97" s="283">
        <v>241899.0</v>
      </c>
      <c r="D97" s="239" t="s">
        <v>1519</v>
      </c>
      <c r="E97" s="240">
        <v>251033.0</v>
      </c>
      <c r="F97" s="241" t="str">
        <f t="shared" si="0"/>
        <v/>
      </c>
    </row>
    <row r="98" spans="8:8" ht="15.75" customHeight="1">
      <c r="B98" s="317" t="s">
        <v>4480</v>
      </c>
      <c r="C98" s="283">
        <v>241390.0</v>
      </c>
      <c r="D98" s="239" t="s">
        <v>4579</v>
      </c>
      <c r="E98" s="240">
        <v>251070.0</v>
      </c>
      <c r="F98" s="241" t="str">
        <f t="shared" si="0"/>
        <v/>
      </c>
    </row>
    <row r="99" spans="8:8" ht="15.75" customHeight="1">
      <c r="B99" s="317" t="s">
        <v>4408</v>
      </c>
      <c r="C99" s="283">
        <v>241281.0</v>
      </c>
      <c r="D99" s="239" t="s">
        <v>4580</v>
      </c>
      <c r="E99" s="240">
        <v>251051.0</v>
      </c>
      <c r="F99" s="241" t="str">
        <f t="shared" si="0"/>
        <v/>
      </c>
    </row>
    <row r="100" spans="8:8" ht="15.75" customHeight="1">
      <c r="B100" s="317" t="s">
        <v>4411</v>
      </c>
      <c r="C100" s="283">
        <v>241272.0</v>
      </c>
      <c r="D100" s="239" t="s">
        <v>5005</v>
      </c>
      <c r="E100" s="240">
        <v>251082.0</v>
      </c>
      <c r="F100" s="241" t="str">
        <f t="shared" si="0"/>
        <v/>
      </c>
    </row>
    <row r="101" spans="8:8" ht="15.75" customHeight="1">
      <c r="B101" s="317" t="s">
        <v>4547</v>
      </c>
      <c r="C101" s="283">
        <v>241256.0</v>
      </c>
      <c r="D101" s="239" t="s">
        <v>4581</v>
      </c>
      <c r="E101" s="240">
        <v>251072.0</v>
      </c>
      <c r="F101" s="241" t="str">
        <f t="shared" si="0"/>
        <v/>
      </c>
    </row>
    <row r="102" spans="8:8" ht="15.75" customHeight="1">
      <c r="B102" s="317" t="s">
        <v>4404</v>
      </c>
      <c r="C102" s="283">
        <v>241951.0</v>
      </c>
      <c r="D102" s="239" t="s">
        <v>1520</v>
      </c>
      <c r="E102" s="240">
        <v>251110.0</v>
      </c>
      <c r="F102" s="241" t="str">
        <f t="shared" si="0"/>
        <v/>
      </c>
    </row>
    <row r="103" spans="8:8" ht="15.75" customHeight="1">
      <c r="B103" s="317" t="s">
        <v>4770</v>
      </c>
      <c r="C103" s="283">
        <v>252046.0</v>
      </c>
      <c r="D103" s="239" t="s">
        <v>1521</v>
      </c>
      <c r="E103" s="240">
        <v>251125.0</v>
      </c>
      <c r="F103" s="241" t="str">
        <f t="shared" si="0"/>
        <v/>
      </c>
    </row>
    <row r="104" spans="8:8" ht="15.75" customHeight="1">
      <c r="B104" s="317" t="s">
        <v>4771</v>
      </c>
      <c r="C104" s="283">
        <v>241495.0</v>
      </c>
      <c r="D104" s="263" t="s">
        <v>4582</v>
      </c>
      <c r="E104" s="257">
        <v>251216.0</v>
      </c>
      <c r="F104" s="241" t="str">
        <f t="shared" si="0"/>
        <v/>
      </c>
    </row>
    <row r="105" spans="8:8" ht="15.75" customHeight="1">
      <c r="B105" s="317" t="s">
        <v>4424</v>
      </c>
      <c r="C105" s="283">
        <v>241550.0</v>
      </c>
      <c r="D105" s="239" t="s">
        <v>1522</v>
      </c>
      <c r="E105" s="240">
        <v>251167.0</v>
      </c>
      <c r="F105" s="241" t="str">
        <f t="shared" si="0"/>
        <v/>
      </c>
    </row>
    <row r="106" spans="8:8" ht="15.75" customHeight="1">
      <c r="B106" s="317" t="s">
        <v>4969</v>
      </c>
      <c r="C106" s="283">
        <v>241954.0</v>
      </c>
      <c r="D106" s="239" t="s">
        <v>1523</v>
      </c>
      <c r="E106" s="240">
        <v>251199.0</v>
      </c>
      <c r="F106" s="241" t="str">
        <f t="shared" si="0"/>
        <v/>
      </c>
    </row>
    <row r="107" spans="8:8" ht="15.75" customHeight="1">
      <c r="B107" s="317" t="s">
        <v>4527</v>
      </c>
      <c r="C107" s="283">
        <v>241181.0</v>
      </c>
      <c r="D107" s="239" t="s">
        <v>1524</v>
      </c>
      <c r="E107" s="240">
        <v>251206.0</v>
      </c>
      <c r="F107" s="241" t="str">
        <f t="shared" si="0"/>
        <v/>
      </c>
    </row>
    <row r="108" spans="8:8" ht="15.75" customHeight="1">
      <c r="B108" s="317" t="s">
        <v>4449</v>
      </c>
      <c r="C108" s="283">
        <v>241534.0</v>
      </c>
      <c r="D108" s="239" t="s">
        <v>1525</v>
      </c>
      <c r="E108" s="240">
        <v>251234.0</v>
      </c>
      <c r="F108" s="241" t="str">
        <f t="shared" si="0"/>
        <v/>
      </c>
    </row>
    <row r="109" spans="8:8" ht="15.75" customHeight="1">
      <c r="B109" s="317" t="s">
        <v>4450</v>
      </c>
      <c r="C109" s="283">
        <v>241548.0</v>
      </c>
      <c r="D109" s="239" t="s">
        <v>1526</v>
      </c>
      <c r="E109" s="240">
        <v>251228.0</v>
      </c>
      <c r="F109" s="241" t="str">
        <f t="shared" si="0"/>
        <v/>
      </c>
    </row>
    <row r="110" spans="8:8" ht="15.75" customHeight="1">
      <c r="B110" s="317" t="s">
        <v>4176</v>
      </c>
      <c r="C110" s="283">
        <v>241555.0</v>
      </c>
      <c r="D110" s="239" t="s">
        <v>1527</v>
      </c>
      <c r="E110" s="240">
        <v>251226.0</v>
      </c>
      <c r="F110" s="241" t="str">
        <f t="shared" si="0"/>
        <v/>
      </c>
    </row>
    <row r="111" spans="8:8" ht="15.75" customHeight="1">
      <c r="B111" s="317" t="s">
        <v>4451</v>
      </c>
      <c r="C111" s="283">
        <v>241585.0</v>
      </c>
      <c r="D111" s="239" t="s">
        <v>1528</v>
      </c>
      <c r="E111" s="240">
        <v>250625.0</v>
      </c>
      <c r="F111" s="241" t="str">
        <f t="shared" si="0"/>
        <v/>
      </c>
    </row>
    <row r="112" spans="8:8" ht="15.75" customHeight="1">
      <c r="B112" s="317" t="s">
        <v>4452</v>
      </c>
      <c r="C112" s="283">
        <v>241464.0</v>
      </c>
      <c r="D112" s="239" t="s">
        <v>1529</v>
      </c>
      <c r="E112" s="240">
        <v>250629.0</v>
      </c>
      <c r="F112" s="241" t="str">
        <f t="shared" si="0"/>
        <v/>
      </c>
    </row>
    <row r="113" spans="8:8" ht="15.75" customHeight="1">
      <c r="B113" s="317" t="s">
        <v>4779</v>
      </c>
      <c r="C113" s="283">
        <v>241465.0</v>
      </c>
      <c r="D113" s="239" t="s">
        <v>1530</v>
      </c>
      <c r="E113" s="240">
        <v>250417.0</v>
      </c>
      <c r="F113" s="241" t="str">
        <f t="shared" si="0"/>
        <v/>
      </c>
    </row>
    <row r="114" spans="8:8" ht="15.75" customHeight="1">
      <c r="B114" s="317" t="s">
        <v>4453</v>
      </c>
      <c r="C114" s="283">
        <v>241189.0</v>
      </c>
      <c r="D114" s="239" t="s">
        <v>4583</v>
      </c>
      <c r="E114" s="240">
        <v>252987.0</v>
      </c>
      <c r="F114" s="241" t="str">
        <f t="shared" si="0"/>
        <v/>
      </c>
    </row>
    <row r="115" spans="8:8" ht="15.75" customHeight="1">
      <c r="B115" s="317" t="s">
        <v>4454</v>
      </c>
      <c r="C115" s="283">
        <v>241190.0</v>
      </c>
      <c r="D115" s="239" t="s">
        <v>4512</v>
      </c>
      <c r="E115" s="240">
        <v>253079.0</v>
      </c>
      <c r="F115" s="241" t="str">
        <f t="shared" si="0"/>
        <v/>
      </c>
    </row>
    <row r="116" spans="8:8" ht="15.75" customHeight="1">
      <c r="B116" s="317" t="s">
        <v>4455</v>
      </c>
      <c r="C116" s="283">
        <v>241191.0</v>
      </c>
      <c r="D116" s="239" t="s">
        <v>3241</v>
      </c>
      <c r="E116" s="240">
        <v>240339.0</v>
      </c>
      <c r="F116" s="241" t="str">
        <f t="shared" si="0"/>
        <v/>
      </c>
    </row>
    <row r="117" spans="8:8" ht="15.75" customHeight="1">
      <c r="B117" s="317" t="s">
        <v>4526</v>
      </c>
      <c r="C117" s="283">
        <v>241192.0</v>
      </c>
      <c r="D117" s="239" t="s">
        <v>5009</v>
      </c>
      <c r="E117" s="240">
        <v>252986.0</v>
      </c>
      <c r="F117" s="241" t="str">
        <f t="shared" si="0"/>
        <v/>
      </c>
    </row>
    <row r="118" spans="8:8" ht="15.75" customHeight="1">
      <c r="B118" s="317" t="s">
        <v>4456</v>
      </c>
      <c r="C118" s="283">
        <v>241207.0</v>
      </c>
      <c r="D118" s="239" t="s">
        <v>1489</v>
      </c>
      <c r="E118" s="240">
        <v>240488.0</v>
      </c>
      <c r="F118" s="241" t="str">
        <f t="shared" si="0"/>
        <v/>
      </c>
    </row>
    <row r="119" spans="8:8" ht="15.75" customHeight="1">
      <c r="B119" s="317" t="s">
        <v>4525</v>
      </c>
      <c r="C119" s="283">
        <v>241212.0</v>
      </c>
      <c r="D119" s="239" t="s">
        <v>1491</v>
      </c>
      <c r="E119" s="240">
        <v>240625.0</v>
      </c>
      <c r="F119" s="241" t="str">
        <f t="shared" si="0"/>
        <v/>
      </c>
    </row>
    <row r="120" spans="8:8" ht="15.75" customHeight="1">
      <c r="B120" s="317" t="s">
        <v>4457</v>
      </c>
      <c r="C120" s="283">
        <v>241214.0</v>
      </c>
      <c r="D120" s="239" t="s">
        <v>4570</v>
      </c>
      <c r="E120" s="240">
        <v>240950.0</v>
      </c>
      <c r="F120" s="241" t="str">
        <f t="shared" si="0"/>
        <v/>
      </c>
    </row>
    <row r="121" spans="8:8" ht="15.75" customHeight="1">
      <c r="B121" s="317" t="s">
        <v>4458</v>
      </c>
      <c r="C121" s="283">
        <v>241139.0</v>
      </c>
      <c r="D121" s="239" t="s">
        <v>1504</v>
      </c>
      <c r="E121" s="240">
        <v>240903.0</v>
      </c>
      <c r="F121" s="241" t="str">
        <f t="shared" si="0"/>
        <v/>
      </c>
    </row>
    <row r="122" spans="8:8" ht="15.75" customHeight="1">
      <c r="B122" s="317" t="s">
        <v>4459</v>
      </c>
      <c r="C122" s="283">
        <v>241513.0</v>
      </c>
      <c r="D122" s="266" t="s">
        <v>1501</v>
      </c>
      <c r="E122" s="267">
        <v>253069.0</v>
      </c>
      <c r="F122" s="241" t="str">
        <f t="shared" si="0"/>
        <v/>
      </c>
    </row>
    <row r="123" spans="8:8" ht="15.75" customHeight="1">
      <c r="B123" s="317" t="s">
        <v>4460</v>
      </c>
      <c r="C123" s="283">
        <v>241518.0</v>
      </c>
      <c r="D123" s="239" t="s">
        <v>1363</v>
      </c>
      <c r="E123" s="240">
        <v>240521.0</v>
      </c>
      <c r="F123" s="241" t="str">
        <f t="shared" si="0"/>
        <v/>
      </c>
    </row>
    <row r="124" spans="8:8" ht="15.75" customHeight="1">
      <c r="B124" s="317" t="s">
        <v>4461</v>
      </c>
      <c r="C124" s="283">
        <v>241523.0</v>
      </c>
      <c r="D124" s="239" t="s">
        <v>4571</v>
      </c>
      <c r="E124" s="240">
        <v>240908.0</v>
      </c>
      <c r="F124" s="241" t="str">
        <f t="shared" si="0"/>
        <v/>
      </c>
    </row>
    <row r="125" spans="8:8" ht="15.75" customHeight="1">
      <c r="B125" s="317" t="s">
        <v>4518</v>
      </c>
      <c r="C125" s="283">
        <v>241527.0</v>
      </c>
      <c r="D125" s="239" t="s">
        <v>1503</v>
      </c>
      <c r="E125" s="240">
        <v>251217.0</v>
      </c>
      <c r="F125" s="241" t="str">
        <f t="shared" si="0"/>
        <v/>
      </c>
    </row>
    <row r="126" spans="8:8" ht="15.75" customHeight="1">
      <c r="B126" s="317" t="s">
        <v>4519</v>
      </c>
      <c r="C126" s="283">
        <v>241530.0</v>
      </c>
      <c r="D126" s="239" t="s">
        <v>1476</v>
      </c>
      <c r="E126" s="240">
        <v>250558.0</v>
      </c>
      <c r="F126" s="241" t="str">
        <f t="shared" si="0"/>
        <v/>
      </c>
    </row>
    <row r="127" spans="8:8" ht="15.75" customHeight="1">
      <c r="B127" s="317" t="s">
        <v>4520</v>
      </c>
      <c r="C127" s="283">
        <v>241193.0</v>
      </c>
      <c r="D127" s="239" t="s">
        <v>4567</v>
      </c>
      <c r="E127" s="240">
        <v>240574.0</v>
      </c>
      <c r="F127" s="241" t="str">
        <f t="shared" si="0"/>
        <v/>
      </c>
    </row>
    <row r="128" spans="8:8" ht="15.75" customHeight="1">
      <c r="B128" s="317" t="s">
        <v>4740</v>
      </c>
      <c r="C128" s="283">
        <v>241234.0</v>
      </c>
      <c r="D128" s="239" t="s">
        <v>1478</v>
      </c>
      <c r="E128" s="240">
        <v>240659.0</v>
      </c>
      <c r="F128" s="241" t="str">
        <f t="shared" si="0"/>
        <v/>
      </c>
    </row>
    <row r="129" spans="8:8" ht="15.75" customHeight="1">
      <c r="B129" s="317" t="s">
        <v>4521</v>
      </c>
      <c r="C129" s="283">
        <v>241268.0</v>
      </c>
      <c r="D129" s="239" t="s">
        <v>1479</v>
      </c>
      <c r="E129" s="240">
        <v>240807.0</v>
      </c>
      <c r="F129" s="241" t="str">
        <f t="shared" si="0"/>
        <v/>
      </c>
    </row>
    <row r="130" spans="8:8" ht="15.75" customHeight="1">
      <c r="B130" s="317" t="s">
        <v>4472</v>
      </c>
      <c r="C130" s="283">
        <v>241472.0</v>
      </c>
      <c r="D130" s="287"/>
      <c r="E130" s="287"/>
      <c r="F130" s="241" t="str">
        <f t="shared" si="0"/>
        <v/>
      </c>
    </row>
    <row r="131" spans="8:8" ht="15.75" customHeight="1">
      <c r="B131" s="317" t="s">
        <v>4780</v>
      </c>
      <c r="C131" s="283">
        <v>241143.0</v>
      </c>
      <c r="D131" s="288" t="s">
        <v>4017</v>
      </c>
      <c r="E131" s="287">
        <v>252873.0</v>
      </c>
      <c r="F131" s="241" t="str">
        <f t="shared" si="0"/>
        <v/>
      </c>
    </row>
    <row r="132" spans="8:8" ht="15.75" customHeight="1">
      <c r="B132" s="317" t="s">
        <v>5087</v>
      </c>
      <c r="C132" s="283">
        <v>241200.0</v>
      </c>
      <c r="D132" s="288" t="s">
        <v>4892</v>
      </c>
      <c r="E132" s="287">
        <v>252876.0</v>
      </c>
      <c r="F132" s="241" t="str">
        <f t="shared" si="0"/>
        <v/>
      </c>
    </row>
    <row r="133" spans="8:8" ht="15.75" customHeight="1">
      <c r="B133" s="317" t="s">
        <v>4474</v>
      </c>
      <c r="C133" s="283">
        <v>241222.0</v>
      </c>
      <c r="D133" s="288" t="s">
        <v>4713</v>
      </c>
      <c r="E133" s="287">
        <v>251994.0</v>
      </c>
      <c r="F133" s="241" t="str">
        <f t="shared" si="0"/>
        <v/>
      </c>
    </row>
    <row r="134" spans="8:8" ht="15.75" customHeight="1">
      <c r="B134" s="317" t="s">
        <v>1481</v>
      </c>
      <c r="C134" s="283">
        <v>241577.0</v>
      </c>
      <c r="D134" s="288" t="s">
        <v>4893</v>
      </c>
      <c r="E134" s="287">
        <v>251995.0</v>
      </c>
      <c r="F134" s="241" t="str">
        <f t="shared" si="0"/>
        <v/>
      </c>
    </row>
    <row r="135" spans="8:8" ht="15.75" customHeight="1">
      <c r="B135" s="317" t="s">
        <v>3258</v>
      </c>
      <c r="C135" s="283">
        <v>251851.0</v>
      </c>
      <c r="D135" s="288" t="s">
        <v>4894</v>
      </c>
      <c r="E135" s="287">
        <v>252010.0</v>
      </c>
      <c r="F135" s="241" t="str">
        <f t="shared" si="0"/>
        <v/>
      </c>
    </row>
    <row r="136" spans="8:8" ht="15.75" customHeight="1">
      <c r="B136" s="317" t="s">
        <v>4475</v>
      </c>
      <c r="C136" s="283">
        <v>241178.0</v>
      </c>
      <c r="D136" s="288" t="s">
        <v>4025</v>
      </c>
      <c r="E136" s="287">
        <v>252940.0</v>
      </c>
      <c r="F136" s="241" t="str">
        <f t="shared" si="0"/>
        <v/>
      </c>
    </row>
    <row r="137" spans="8:8" ht="15.75" customHeight="1">
      <c r="B137" s="317" t="s">
        <v>4309</v>
      </c>
      <c r="C137" s="283">
        <v>241280.0</v>
      </c>
      <c r="D137" s="288" t="s">
        <v>4895</v>
      </c>
      <c r="E137" s="287">
        <v>252044.0</v>
      </c>
      <c r="F137" s="241" t="str">
        <f t="shared" si="0"/>
        <v/>
      </c>
    </row>
    <row r="138" spans="8:8" ht="15.75" customHeight="1">
      <c r="B138" s="317" t="s">
        <v>4476</v>
      </c>
      <c r="C138" s="283">
        <v>241449.0</v>
      </c>
      <c r="D138" s="288" t="s">
        <v>1865</v>
      </c>
      <c r="E138" s="287">
        <v>252120.0</v>
      </c>
      <c r="F138" s="241" t="str">
        <f t="shared" si="0"/>
        <v/>
      </c>
    </row>
    <row r="139" spans="8:8" ht="15.75" customHeight="1">
      <c r="B139" s="317" t="s">
        <v>4483</v>
      </c>
      <c r="C139" s="283">
        <v>241461.0</v>
      </c>
      <c r="D139" s="288" t="s">
        <v>4721</v>
      </c>
      <c r="E139" s="287">
        <v>252787.0</v>
      </c>
      <c r="F139" s="241" t="str">
        <f t="shared" si="0"/>
        <v/>
      </c>
    </row>
    <row r="140" spans="8:8" ht="15.75" customHeight="1">
      <c r="B140" s="317" t="s">
        <v>4032</v>
      </c>
      <c r="C140" s="283">
        <v>241544.0</v>
      </c>
      <c r="D140" s="288" t="s">
        <v>4722</v>
      </c>
      <c r="E140" s="287">
        <v>252596.0</v>
      </c>
      <c r="F140" s="241" t="str">
        <f t="shared" si="0"/>
        <v/>
      </c>
    </row>
    <row r="141" spans="8:8" ht="15.75" customHeight="1">
      <c r="B141" s="317" t="s">
        <v>4713</v>
      </c>
      <c r="C141" s="283">
        <v>251994.0</v>
      </c>
      <c r="D141" s="266" t="s">
        <v>1866</v>
      </c>
      <c r="E141" s="267">
        <v>252758.0</v>
      </c>
      <c r="F141" s="241" t="str">
        <f t="shared" si="0"/>
        <v/>
      </c>
    </row>
    <row r="142" spans="8:8" ht="15.75" customHeight="1">
      <c r="B142" s="317" t="s">
        <v>4893</v>
      </c>
      <c r="C142" s="283">
        <v>251995.0</v>
      </c>
      <c r="D142" s="288" t="s">
        <v>4024</v>
      </c>
      <c r="E142" s="287">
        <v>252038.0</v>
      </c>
      <c r="F142" s="241" t="str">
        <f t="shared" si="0"/>
        <v/>
      </c>
    </row>
    <row r="143" spans="8:8" ht="15.75" customHeight="1">
      <c r="B143" s="317" t="s">
        <v>4894</v>
      </c>
      <c r="C143" s="283">
        <v>252010.0</v>
      </c>
      <c r="D143" s="288" t="s">
        <v>1639</v>
      </c>
      <c r="E143" s="287">
        <v>252055.0</v>
      </c>
      <c r="F143" s="241" t="str">
        <f t="shared" si="0"/>
        <v/>
      </c>
    </row>
    <row r="144" spans="8:8" ht="15.75" customHeight="1">
      <c r="B144" s="317" t="s">
        <v>4024</v>
      </c>
      <c r="C144" s="283">
        <v>252038.0</v>
      </c>
      <c r="D144" s="288" t="s">
        <v>4724</v>
      </c>
      <c r="E144" s="287">
        <v>252067.0</v>
      </c>
      <c r="F144" s="241" t="str">
        <f t="shared" si="0"/>
        <v/>
      </c>
    </row>
    <row r="145" spans="8:8" ht="15.75" customHeight="1">
      <c r="B145" s="317" t="s">
        <v>1639</v>
      </c>
      <c r="C145" s="283">
        <v>252055.0</v>
      </c>
      <c r="D145" s="288" t="s">
        <v>4027</v>
      </c>
      <c r="E145" s="287">
        <v>252756.0</v>
      </c>
      <c r="F145" s="241" t="str">
        <f t="shared" si="0"/>
        <v/>
      </c>
    </row>
    <row r="146" spans="8:8" ht="15.75" customHeight="1">
      <c r="B146" s="317" t="s">
        <v>4724</v>
      </c>
      <c r="C146" s="283">
        <v>252067.0</v>
      </c>
      <c r="D146" s="288" t="s">
        <v>4725</v>
      </c>
      <c r="E146" s="287">
        <v>252950.0</v>
      </c>
      <c r="F146" s="241" t="str">
        <f t="shared" si="0"/>
        <v/>
      </c>
    </row>
    <row r="147" spans="8:8" ht="15.75" customHeight="1">
      <c r="B147" s="317" t="s">
        <v>3217</v>
      </c>
      <c r="C147" s="283">
        <v>252074.0</v>
      </c>
      <c r="D147" s="288" t="s">
        <v>3217</v>
      </c>
      <c r="E147" s="287">
        <v>252074.0</v>
      </c>
      <c r="F147" s="241" t="str">
        <f t="shared" si="0"/>
        <v/>
      </c>
    </row>
    <row r="148" spans="8:8" ht="15.75" customHeight="1">
      <c r="B148" s="317" t="s">
        <v>4896</v>
      </c>
      <c r="C148" s="283">
        <v>252087.0</v>
      </c>
      <c r="D148" s="288" t="s">
        <v>4896</v>
      </c>
      <c r="E148" s="287">
        <v>252087.0</v>
      </c>
      <c r="F148" s="241" t="str">
        <f t="shared" si="0"/>
        <v/>
      </c>
    </row>
    <row r="149" spans="8:8" ht="15.75" customHeight="1">
      <c r="B149" s="317" t="s">
        <v>4498</v>
      </c>
      <c r="C149" s="283">
        <v>252090.0</v>
      </c>
      <c r="D149" s="288" t="s">
        <v>4498</v>
      </c>
      <c r="E149" s="287">
        <v>252090.0</v>
      </c>
      <c r="F149" s="241" t="str">
        <f t="shared" si="0"/>
        <v/>
      </c>
    </row>
    <row r="150" spans="8:8" ht="15.75" customHeight="1">
      <c r="B150" s="317" t="s">
        <v>4422</v>
      </c>
      <c r="C150" s="283">
        <v>252110.0</v>
      </c>
      <c r="D150" s="288" t="s">
        <v>4422</v>
      </c>
      <c r="E150" s="287">
        <v>252110.0</v>
      </c>
      <c r="F150" s="241" t="str">
        <f t="shared" si="0"/>
        <v/>
      </c>
    </row>
    <row r="151" spans="8:8" ht="15.75" customHeight="1">
      <c r="B151" s="317" t="s">
        <v>4509</v>
      </c>
      <c r="C151" s="283">
        <v>252125.0</v>
      </c>
      <c r="D151" s="288" t="s">
        <v>2502</v>
      </c>
      <c r="E151" s="287">
        <v>252761.0</v>
      </c>
      <c r="F151" s="241" t="str">
        <f t="shared" si="0"/>
        <v/>
      </c>
    </row>
    <row r="152" spans="8:8" ht="15.75" customHeight="1">
      <c r="B152" s="317" t="s">
        <v>4421</v>
      </c>
      <c r="C152" s="283">
        <v>252127.0</v>
      </c>
      <c r="D152" s="288" t="s">
        <v>4758</v>
      </c>
      <c r="E152" s="287">
        <v>252154.0</v>
      </c>
      <c r="F152" s="241" t="str">
        <f t="shared" si="0"/>
        <v/>
      </c>
    </row>
    <row r="153" spans="8:8" ht="15.75" customHeight="1">
      <c r="B153" s="317" t="s">
        <v>2907</v>
      </c>
      <c r="C153" s="283">
        <v>252130.0</v>
      </c>
      <c r="D153" s="288" t="s">
        <v>2916</v>
      </c>
      <c r="E153" s="287">
        <v>252884.0</v>
      </c>
      <c r="F153" s="241" t="str">
        <f t="shared" si="0"/>
        <v/>
      </c>
    </row>
    <row r="154" spans="8:8" ht="15.75" customHeight="1">
      <c r="B154" s="317" t="s">
        <v>4416</v>
      </c>
      <c r="C154" s="283">
        <v>252134.0</v>
      </c>
      <c r="D154" s="288" t="s">
        <v>4959</v>
      </c>
      <c r="E154" s="287">
        <v>252945.0</v>
      </c>
      <c r="F154" s="241" t="str">
        <f t="shared" si="0"/>
        <v/>
      </c>
    </row>
    <row r="155" spans="8:8" ht="15.75" customHeight="1">
      <c r="B155" s="317" t="s">
        <v>4417</v>
      </c>
      <c r="C155" s="283">
        <v>252141.0</v>
      </c>
      <c r="D155" s="266" t="s">
        <v>4759</v>
      </c>
      <c r="E155" s="267">
        <v>251833.0</v>
      </c>
      <c r="F155" s="241" t="str">
        <f t="shared" si="0"/>
        <v/>
      </c>
    </row>
    <row r="156" spans="8:8" ht="15.75" customHeight="1">
      <c r="B156" s="317" t="s">
        <v>4514</v>
      </c>
      <c r="C156" s="283">
        <v>252149.0</v>
      </c>
      <c r="D156" s="288" t="s">
        <v>4415</v>
      </c>
      <c r="E156" s="287">
        <v>252936.0</v>
      </c>
      <c r="F156" s="241" t="str">
        <f t="shared" si="0"/>
        <v/>
      </c>
    </row>
    <row r="157" spans="8:8" ht="15.75" customHeight="1">
      <c r="B157" s="317" t="s">
        <v>3437</v>
      </c>
      <c r="C157" s="283">
        <v>251982.0</v>
      </c>
      <c r="D157" s="288" t="s">
        <v>4509</v>
      </c>
      <c r="E157" s="287">
        <v>252125.0</v>
      </c>
      <c r="F157" s="241" t="str">
        <f t="shared" si="0"/>
        <v/>
      </c>
    </row>
    <row r="158" spans="8:8" ht="15.75" customHeight="1">
      <c r="B158" s="317" t="s">
        <v>5050</v>
      </c>
      <c r="C158" s="283">
        <v>252076.0</v>
      </c>
      <c r="D158" s="288" t="s">
        <v>4421</v>
      </c>
      <c r="E158" s="287">
        <v>252127.0</v>
      </c>
      <c r="F158" s="241" t="str">
        <f t="shared" si="0"/>
        <v/>
      </c>
    </row>
    <row r="159" spans="8:8" ht="15.75" customHeight="1">
      <c r="B159" s="317" t="s">
        <v>5057</v>
      </c>
      <c r="C159" s="283">
        <v>251827.0</v>
      </c>
      <c r="D159" s="288" t="s">
        <v>4766</v>
      </c>
      <c r="E159" s="287">
        <v>252129.0</v>
      </c>
      <c r="F159" s="241" t="str">
        <f t="shared" si="0"/>
        <v/>
      </c>
    </row>
    <row r="160" spans="8:8" ht="15.75" customHeight="1">
      <c r="B160" s="317" t="s">
        <v>2884</v>
      </c>
      <c r="C160" s="283">
        <v>251901.0</v>
      </c>
      <c r="D160" s="288" t="s">
        <v>2907</v>
      </c>
      <c r="E160" s="287">
        <v>252130.0</v>
      </c>
      <c r="F160" s="241" t="str">
        <f t="shared" si="0"/>
        <v/>
      </c>
    </row>
    <row r="161" spans="8:8" ht="15.75" customHeight="1">
      <c r="B161" s="317" t="s">
        <v>4604</v>
      </c>
      <c r="C161" s="283">
        <v>251839.0</v>
      </c>
      <c r="D161" s="288" t="s">
        <v>4416</v>
      </c>
      <c r="E161" s="287">
        <v>252134.0</v>
      </c>
      <c r="F161" s="241" t="str">
        <f t="shared" si="0"/>
        <v/>
      </c>
    </row>
    <row r="162" spans="8:8" ht="15.75" customHeight="1">
      <c r="B162" s="317" t="s">
        <v>2885</v>
      </c>
      <c r="C162" s="283">
        <v>251842.0</v>
      </c>
      <c r="D162" s="288" t="s">
        <v>4417</v>
      </c>
      <c r="E162" s="287">
        <v>252141.0</v>
      </c>
      <c r="F162" s="241" t="str">
        <f t="shared" si="0"/>
        <v/>
      </c>
    </row>
    <row r="163" spans="8:8" ht="15.75" customHeight="1">
      <c r="B163" s="317" t="s">
        <v>2886</v>
      </c>
      <c r="C163" s="283">
        <v>251845.0</v>
      </c>
      <c r="D163" s="288" t="s">
        <v>4514</v>
      </c>
      <c r="E163" s="287">
        <v>252149.0</v>
      </c>
      <c r="F163" s="241" t="str">
        <f t="shared" si="0"/>
        <v/>
      </c>
    </row>
    <row r="164" spans="8:8" ht="15.75" customHeight="1">
      <c r="B164" s="317" t="s">
        <v>5063</v>
      </c>
      <c r="C164" s="283">
        <v>251834.0</v>
      </c>
      <c r="D164" s="288" t="s">
        <v>2917</v>
      </c>
      <c r="E164" s="287">
        <v>253088.0</v>
      </c>
      <c r="F164" s="241" t="str">
        <f t="shared" si="0"/>
        <v/>
      </c>
    </row>
    <row r="165" spans="8:8" ht="15.75" customHeight="1">
      <c r="B165" s="317" t="s">
        <v>2887</v>
      </c>
      <c r="C165" s="283">
        <v>251857.0</v>
      </c>
      <c r="D165" s="288" t="s">
        <v>3205</v>
      </c>
      <c r="E165" s="287">
        <v>252994.0</v>
      </c>
      <c r="F165" s="241" t="str">
        <f t="shared" si="0"/>
        <v/>
      </c>
    </row>
    <row r="166" spans="8:8" ht="15.75" customHeight="1">
      <c r="B166" s="317" t="s">
        <v>2888</v>
      </c>
      <c r="C166" s="283">
        <v>251864.0</v>
      </c>
      <c r="D166" s="266" t="s">
        <v>3206</v>
      </c>
      <c r="E166" s="267">
        <v>252581.0</v>
      </c>
      <c r="F166" s="241" t="str">
        <f t="shared" si="0"/>
        <v/>
      </c>
    </row>
    <row r="167" spans="8:8" ht="15.75" customHeight="1">
      <c r="B167" s="317" t="s">
        <v>2889</v>
      </c>
      <c r="C167" s="283">
        <v>251882.0</v>
      </c>
      <c r="D167" s="288" t="s">
        <v>4674</v>
      </c>
      <c r="E167" s="287">
        <v>252861.0</v>
      </c>
      <c r="F167" s="241" t="str">
        <f t="shared" si="0"/>
        <v/>
      </c>
    </row>
    <row r="168" spans="8:8" ht="15.75" customHeight="1">
      <c r="B168" s="317" t="s">
        <v>2890</v>
      </c>
      <c r="C168" s="283">
        <v>251900.0</v>
      </c>
      <c r="D168" s="288" t="s">
        <v>5025</v>
      </c>
      <c r="E168" s="287">
        <v>253167.0</v>
      </c>
      <c r="F168" s="241" t="str">
        <f t="shared" si="0"/>
        <v/>
      </c>
    </row>
    <row r="169" spans="8:8" ht="15.75" customHeight="1">
      <c r="B169" s="317" t="s">
        <v>5065</v>
      </c>
      <c r="C169" s="283">
        <v>251854.0</v>
      </c>
      <c r="D169" s="288" t="s">
        <v>2919</v>
      </c>
      <c r="E169" s="287">
        <v>252961.0</v>
      </c>
      <c r="F169" s="241" t="str">
        <f t="shared" si="0"/>
        <v/>
      </c>
    </row>
    <row r="170" spans="8:8" ht="15.75" customHeight="1">
      <c r="B170" s="317" t="s">
        <v>2914</v>
      </c>
      <c r="C170" s="283">
        <v>251920.0</v>
      </c>
      <c r="D170" s="288" t="s">
        <v>2913</v>
      </c>
      <c r="E170" s="287">
        <v>252347.0</v>
      </c>
      <c r="F170" s="241" t="str">
        <f t="shared" si="0"/>
        <v/>
      </c>
    </row>
    <row r="171" spans="8:8" ht="15.75" customHeight="1">
      <c r="B171" s="317" t="s">
        <v>2891</v>
      </c>
      <c r="C171" s="283">
        <v>251921.0</v>
      </c>
      <c r="D171" s="288" t="s">
        <v>5026</v>
      </c>
      <c r="E171" s="287">
        <v>252348.0</v>
      </c>
      <c r="F171" s="241" t="str">
        <f t="shared" si="0"/>
        <v/>
      </c>
    </row>
    <row r="172" spans="8:8" ht="15.75" customHeight="1">
      <c r="B172" s="317" t="s">
        <v>2892</v>
      </c>
      <c r="C172" s="283">
        <v>251796.0</v>
      </c>
      <c r="D172" s="288" t="s">
        <v>5027</v>
      </c>
      <c r="E172" s="287">
        <v>252953.0</v>
      </c>
      <c r="F172" s="241" t="str">
        <f t="shared" si="0"/>
        <v/>
      </c>
    </row>
    <row r="173" spans="8:8" ht="15.75" customHeight="1">
      <c r="B173" s="317" t="s">
        <v>5066</v>
      </c>
      <c r="C173" s="283">
        <v>251938.0</v>
      </c>
      <c r="D173" s="288" t="s">
        <v>3207</v>
      </c>
      <c r="E173" s="287">
        <v>252471.0</v>
      </c>
      <c r="F173" s="241" t="str">
        <f t="shared" si="0"/>
        <v/>
      </c>
    </row>
    <row r="174" spans="8:8" ht="15.75" customHeight="1">
      <c r="B174" s="317" t="s">
        <v>5067</v>
      </c>
      <c r="C174" s="283">
        <v>251968.0</v>
      </c>
      <c r="D174" s="288" t="s">
        <v>3208</v>
      </c>
      <c r="E174" s="287">
        <v>252444.0</v>
      </c>
      <c r="F174" s="241" t="str">
        <f t="shared" si="0"/>
        <v/>
      </c>
    </row>
    <row r="175" spans="8:8" ht="15.75" customHeight="1">
      <c r="B175" s="317" t="s">
        <v>4607</v>
      </c>
      <c r="C175" s="283">
        <v>251971.0</v>
      </c>
      <c r="D175" s="288" t="s">
        <v>4675</v>
      </c>
      <c r="E175" s="287">
        <v>252485.0</v>
      </c>
      <c r="F175" s="241" t="str">
        <f t="shared" si="0"/>
        <v/>
      </c>
    </row>
    <row r="176" spans="8:8" ht="15.75" customHeight="1">
      <c r="B176" s="317" t="s">
        <v>4618</v>
      </c>
      <c r="C176" s="283">
        <v>252166.0</v>
      </c>
      <c r="D176" s="288" t="s">
        <v>3209</v>
      </c>
      <c r="E176" s="287">
        <v>252750.0</v>
      </c>
      <c r="F176" s="241" t="str">
        <f t="shared" si="0"/>
        <v/>
      </c>
    </row>
    <row r="177" spans="8:8" ht="15.75" customHeight="1">
      <c r="B177" s="317" t="s">
        <v>4619</v>
      </c>
      <c r="C177" s="283">
        <v>252182.0</v>
      </c>
      <c r="D177" s="288" t="s">
        <v>4676</v>
      </c>
      <c r="E177" s="287">
        <v>252757.0</v>
      </c>
      <c r="F177" s="241" t="str">
        <f t="shared" si="0"/>
        <v/>
      </c>
    </row>
    <row r="178" spans="8:8" ht="15.75" customHeight="1">
      <c r="B178" s="317" t="s">
        <v>2898</v>
      </c>
      <c r="C178" s="283">
        <v>252179.0</v>
      </c>
      <c r="D178" s="266" t="s">
        <v>2915</v>
      </c>
      <c r="E178" s="267">
        <v>253089.0</v>
      </c>
      <c r="F178" s="241" t="str">
        <f t="shared" si="0"/>
        <v/>
      </c>
    </row>
    <row r="179" spans="8:8" ht="15.75" customHeight="1">
      <c r="B179" s="317" t="s">
        <v>2899</v>
      </c>
      <c r="C179" s="283">
        <v>252178.0</v>
      </c>
      <c r="D179" s="288" t="s">
        <v>3210</v>
      </c>
      <c r="E179" s="287">
        <v>252836.0</v>
      </c>
      <c r="F179" s="241" t="str">
        <f t="shared" si="0"/>
        <v/>
      </c>
    </row>
    <row r="180" spans="8:8" ht="15.75" customHeight="1">
      <c r="B180" s="317" t="s">
        <v>2503</v>
      </c>
      <c r="C180" s="283">
        <v>252187.0</v>
      </c>
      <c r="D180" s="288" t="s">
        <v>4026</v>
      </c>
      <c r="E180" s="287">
        <v>252536.0</v>
      </c>
      <c r="F180" s="241" t="str">
        <f t="shared" si="0"/>
        <v/>
      </c>
    </row>
    <row r="181" spans="8:8" ht="15.75" customHeight="1">
      <c r="B181" s="317" t="s">
        <v>5069</v>
      </c>
      <c r="C181" s="283">
        <v>252220.0</v>
      </c>
      <c r="D181" s="288" t="s">
        <v>4616</v>
      </c>
      <c r="E181" s="287">
        <v>252737.0</v>
      </c>
      <c r="F181" s="241" t="str">
        <f t="shared" si="0"/>
        <v/>
      </c>
    </row>
    <row r="182" spans="8:8" ht="15.75" customHeight="1">
      <c r="B182" s="317" t="s">
        <v>5070</v>
      </c>
      <c r="C182" s="283">
        <v>252282.0</v>
      </c>
      <c r="D182" s="288" t="s">
        <v>4638</v>
      </c>
      <c r="E182" s="287">
        <v>253067.0</v>
      </c>
      <c r="F182" s="241" t="str">
        <f t="shared" si="0"/>
        <v/>
      </c>
    </row>
    <row r="183" spans="8:8" ht="15.75" customHeight="1">
      <c r="B183" s="317" t="s">
        <v>4623</v>
      </c>
      <c r="C183" s="283">
        <v>252222.0</v>
      </c>
      <c r="D183" s="288" t="s">
        <v>5031</v>
      </c>
      <c r="E183" s="287">
        <v>252511.0</v>
      </c>
      <c r="F183" s="241" t="str">
        <f t="shared" si="0"/>
        <v/>
      </c>
    </row>
    <row r="184" spans="8:8" ht="15.75" customHeight="1">
      <c r="B184" s="317" t="s">
        <v>4624</v>
      </c>
      <c r="C184" s="283">
        <v>252277.0</v>
      </c>
      <c r="D184" s="288" t="s">
        <v>4639</v>
      </c>
      <c r="E184" s="287">
        <v>252943.0</v>
      </c>
      <c r="F184" s="241" t="str">
        <f t="shared" si="0"/>
        <v/>
      </c>
    </row>
    <row r="185" spans="8:8" ht="15.75" customHeight="1">
      <c r="B185" s="317" t="s">
        <v>2900</v>
      </c>
      <c r="C185" s="283">
        <v>252251.0</v>
      </c>
      <c r="D185" s="288" t="s">
        <v>4640</v>
      </c>
      <c r="E185" s="287">
        <v>252554.0</v>
      </c>
      <c r="F185" s="241" t="str">
        <f t="shared" si="0"/>
        <v/>
      </c>
    </row>
    <row r="186" spans="8:8" ht="15.75" customHeight="1">
      <c r="B186" s="317" t="s">
        <v>2901</v>
      </c>
      <c r="C186" s="283">
        <v>252283.0</v>
      </c>
      <c r="D186" s="288" t="s">
        <v>5033</v>
      </c>
      <c r="E186" s="287">
        <v>252550.0</v>
      </c>
      <c r="F186" s="241" t="str">
        <f t="shared" si="0"/>
        <v/>
      </c>
    </row>
    <row r="187" spans="8:8" ht="15.75" customHeight="1">
      <c r="B187" s="317" t="s">
        <v>4625</v>
      </c>
      <c r="C187" s="283">
        <v>252202.0</v>
      </c>
      <c r="D187" s="288" t="s">
        <v>2489</v>
      </c>
      <c r="E187" s="267">
        <v>252089.0</v>
      </c>
      <c r="F187" s="241" t="str">
        <f t="shared" si="0"/>
        <v/>
      </c>
    </row>
    <row r="188" spans="8:8" ht="15.75" customHeight="1">
      <c r="B188" s="317" t="s">
        <v>4626</v>
      </c>
      <c r="C188" s="283">
        <v>252219.0</v>
      </c>
      <c r="D188" s="288" t="s">
        <v>4615</v>
      </c>
      <c r="E188" s="287">
        <v>252002.0</v>
      </c>
      <c r="F188" s="241" t="str">
        <f t="shared" si="0"/>
        <v/>
      </c>
    </row>
    <row r="189" spans="8:8" ht="15.75" customHeight="1">
      <c r="B189" s="317" t="s">
        <v>4555</v>
      </c>
      <c r="C189" s="283">
        <v>252276.0</v>
      </c>
      <c r="D189" s="288" t="s">
        <v>4617</v>
      </c>
      <c r="E189" s="287">
        <v>251936.0</v>
      </c>
      <c r="F189" s="241" t="str">
        <f t="shared" si="0"/>
        <v/>
      </c>
    </row>
    <row r="190" spans="8:8" ht="15.75" customHeight="1">
      <c r="B190" s="317" t="s">
        <v>2902</v>
      </c>
      <c r="C190" s="283">
        <v>252262.0</v>
      </c>
      <c r="D190" s="288" t="s">
        <v>2923</v>
      </c>
      <c r="E190" s="287">
        <v>252575.0</v>
      </c>
      <c r="F190" s="241" t="str">
        <f t="shared" si="0"/>
        <v/>
      </c>
    </row>
    <row r="191" spans="8:8" ht="15.75" customHeight="1">
      <c r="B191" s="317" t="s">
        <v>2737</v>
      </c>
      <c r="C191" s="283">
        <v>252317.0</v>
      </c>
      <c r="D191" s="288" t="s">
        <v>4611</v>
      </c>
      <c r="E191" s="287">
        <v>252579.0</v>
      </c>
      <c r="F191" s="241" t="str">
        <f t="shared" si="0"/>
        <v/>
      </c>
    </row>
    <row r="192" spans="8:8" ht="15.75" customHeight="1">
      <c r="B192" s="317" t="s">
        <v>2903</v>
      </c>
      <c r="C192" s="283">
        <v>252323.0</v>
      </c>
      <c r="D192" s="288" t="s">
        <v>2896</v>
      </c>
      <c r="E192" s="287">
        <v>252989.0</v>
      </c>
      <c r="F192" s="241" t="str">
        <f t="shared" si="0"/>
        <v/>
      </c>
    </row>
    <row r="193" spans="8:8" ht="15.75" customHeight="1">
      <c r="B193" s="317" t="s">
        <v>4627</v>
      </c>
      <c r="C193" s="283">
        <v>252334.0</v>
      </c>
      <c r="D193" s="288" t="s">
        <v>2490</v>
      </c>
      <c r="E193" s="287">
        <v>252593.0</v>
      </c>
      <c r="F193" s="241" t="str">
        <f t="shared" si="0"/>
        <v/>
      </c>
    </row>
    <row r="194" spans="8:8" ht="15.75" customHeight="1">
      <c r="B194" s="317" t="s">
        <v>5073</v>
      </c>
      <c r="C194" s="283">
        <v>252236.0</v>
      </c>
      <c r="D194" s="288" t="s">
        <v>2955</v>
      </c>
      <c r="E194" s="287">
        <v>252597.0</v>
      </c>
      <c r="F194" s="241" t="str">
        <f t="shared" si="0"/>
        <v/>
      </c>
    </row>
    <row r="195" spans="8:8" ht="15.75" customHeight="1">
      <c r="B195" s="317" t="s">
        <v>3441</v>
      </c>
      <c r="C195" s="283">
        <v>252213.0</v>
      </c>
      <c r="D195" s="288" t="s">
        <v>2491</v>
      </c>
      <c r="E195" s="287">
        <v>252608.0</v>
      </c>
      <c r="F195" s="241" t="str">
        <f t="shared" si="0"/>
        <v/>
      </c>
    </row>
    <row r="196" spans="8:8" ht="15.75" customHeight="1">
      <c r="B196" s="317" t="s">
        <v>2928</v>
      </c>
      <c r="C196" s="283">
        <v>252210.0</v>
      </c>
      <c r="D196" s="288" t="s">
        <v>4636</v>
      </c>
      <c r="E196" s="287">
        <v>253040.0</v>
      </c>
      <c r="F196" s="241" t="str">
        <f t="shared" si="0"/>
        <v/>
      </c>
    </row>
    <row r="197" spans="8:8" ht="15.75" customHeight="1">
      <c r="B197" s="317" t="s">
        <v>5074</v>
      </c>
      <c r="C197" s="283">
        <v>252211.0</v>
      </c>
      <c r="D197" s="288" t="s">
        <v>4637</v>
      </c>
      <c r="E197" s="287">
        <v>252653.0</v>
      </c>
      <c r="F197" s="241" t="str">
        <f t="shared" si="0"/>
        <v/>
      </c>
    </row>
    <row r="198" spans="8:8" ht="15.75" customHeight="1">
      <c r="B198" s="317" t="s">
        <v>2938</v>
      </c>
      <c r="C198" s="283">
        <v>252256.0</v>
      </c>
      <c r="D198" s="266" t="s">
        <v>2909</v>
      </c>
      <c r="E198" s="267">
        <v>253020.0</v>
      </c>
      <c r="F198" s="241" t="str">
        <f t="shared" si="0"/>
        <v/>
      </c>
    </row>
    <row r="199" spans="8:8" ht="15.75" customHeight="1">
      <c r="B199" s="317" t="s">
        <v>4656</v>
      </c>
      <c r="C199" s="283">
        <v>252280.0</v>
      </c>
      <c r="D199" s="266" t="s">
        <v>2924</v>
      </c>
      <c r="E199" s="267">
        <v>252998.0</v>
      </c>
      <c r="F199" s="241" t="str">
        <f t="shared" si="0"/>
        <v/>
      </c>
    </row>
    <row r="200" spans="8:8" ht="15.75" customHeight="1">
      <c r="B200" s="317" t="s">
        <v>5078</v>
      </c>
      <c r="C200" s="283">
        <v>252341.0</v>
      </c>
      <c r="D200" s="266" t="s">
        <v>2492</v>
      </c>
      <c r="E200" s="267">
        <v>252793.0</v>
      </c>
      <c r="F200" s="241" t="str">
        <f t="shared" si="0"/>
        <v/>
      </c>
    </row>
    <row r="201" spans="8:8" ht="15.75" customHeight="1">
      <c r="B201" s="318" t="s">
        <v>1561</v>
      </c>
      <c r="C201" s="319">
        <v>250834.0</v>
      </c>
      <c r="D201" s="288" t="s">
        <v>2493</v>
      </c>
      <c r="E201" s="287">
        <v>252647.0</v>
      </c>
      <c r="F201" s="241" t="str">
        <f t="shared" si="0"/>
        <v/>
      </c>
    </row>
    <row r="202" spans="8:8" ht="15.75" customHeight="1">
      <c r="B202" s="318" t="s">
        <v>5088</v>
      </c>
      <c r="C202" s="319">
        <v>240908.0</v>
      </c>
      <c r="D202" s="288" t="s">
        <v>2494</v>
      </c>
      <c r="E202" s="287">
        <v>252642.0</v>
      </c>
      <c r="F202" s="241" t="str">
        <f t="shared" si="0"/>
        <v/>
      </c>
    </row>
    <row r="203" spans="8:8" ht="15.75" customHeight="1">
      <c r="B203" s="317" t="s">
        <v>4764</v>
      </c>
      <c r="C203" s="283">
        <v>251638.0</v>
      </c>
      <c r="D203" s="288" t="s">
        <v>2925</v>
      </c>
      <c r="E203" s="287">
        <v>252658.0</v>
      </c>
      <c r="F203" s="241" t="str">
        <f t="shared" si="0"/>
        <v/>
      </c>
    </row>
    <row r="204" spans="8:8" ht="15.75" customHeight="1">
      <c r="B204" s="317" t="s">
        <v>2912</v>
      </c>
      <c r="C204" s="283">
        <v>252607.0</v>
      </c>
      <c r="D204" s="288" t="s">
        <v>2495</v>
      </c>
      <c r="E204" s="287">
        <v>252660.0</v>
      </c>
      <c r="F204" s="241" t="str">
        <f t="shared" si="0"/>
        <v/>
      </c>
    </row>
    <row r="205" spans="8:8" ht="15.75" customHeight="1">
      <c r="B205" s="318" t="s">
        <v>1622</v>
      </c>
      <c r="C205" s="319">
        <v>250080.0</v>
      </c>
      <c r="D205" s="288" t="s">
        <v>2496</v>
      </c>
      <c r="E205" s="287">
        <v>252637.0</v>
      </c>
      <c r="F205" s="241" t="str">
        <f t="shared" si="0"/>
        <v/>
      </c>
    </row>
    <row r="206" spans="8:8" ht="15.75" customHeight="1">
      <c r="B206" s="318" t="s">
        <v>1623</v>
      </c>
      <c r="C206" s="319">
        <v>250084.0</v>
      </c>
      <c r="D206" s="288" t="s">
        <v>5039</v>
      </c>
      <c r="E206" s="287">
        <v>252663.0</v>
      </c>
      <c r="F206" s="241" t="str">
        <f t="shared" si="0"/>
        <v/>
      </c>
    </row>
    <row r="207" spans="8:8" ht="15.75" customHeight="1">
      <c r="B207" s="318" t="s">
        <v>4985</v>
      </c>
      <c r="C207" s="319">
        <v>250183.0</v>
      </c>
      <c r="D207" s="288" t="s">
        <v>2505</v>
      </c>
      <c r="E207" s="287">
        <v>252666.0</v>
      </c>
      <c r="F207" s="241" t="str">
        <f t="shared" si="0"/>
        <v/>
      </c>
    </row>
    <row r="208" spans="8:8" ht="15.75" customHeight="1">
      <c r="B208" s="318" t="s">
        <v>1626</v>
      </c>
      <c r="C208" s="319">
        <v>250204.0</v>
      </c>
      <c r="D208" s="288" t="s">
        <v>2506</v>
      </c>
      <c r="E208" s="287">
        <v>252670.0</v>
      </c>
      <c r="F208" s="241" t="str">
        <f t="shared" si="0"/>
        <v/>
      </c>
    </row>
    <row r="209" spans="8:8" ht="15.75" customHeight="1">
      <c r="B209" s="318" t="s">
        <v>1627</v>
      </c>
      <c r="C209" s="319">
        <v>250224.0</v>
      </c>
      <c r="D209" s="288" t="s">
        <v>2507</v>
      </c>
      <c r="E209" s="287">
        <v>252854.0</v>
      </c>
      <c r="F209" s="241" t="str">
        <f t="shared" si="0"/>
        <v/>
      </c>
    </row>
    <row r="210" spans="8:8" ht="15.75" customHeight="1">
      <c r="B210" s="318" t="s">
        <v>1628</v>
      </c>
      <c r="C210" s="319">
        <v>250220.0</v>
      </c>
      <c r="D210" s="288" t="s">
        <v>4635</v>
      </c>
      <c r="E210" s="287">
        <v>252673.0</v>
      </c>
      <c r="F210" s="241" t="str">
        <f t="shared" si="0"/>
        <v/>
      </c>
    </row>
    <row r="211" spans="8:8" ht="15.75" customHeight="1">
      <c r="B211" s="318" t="s">
        <v>1629</v>
      </c>
      <c r="C211" s="319">
        <v>250219.0</v>
      </c>
      <c r="D211" s="288" t="s">
        <v>2908</v>
      </c>
      <c r="E211" s="287">
        <v>252675.0</v>
      </c>
      <c r="F211" s="241" t="str">
        <f t="shared" si="0"/>
        <v/>
      </c>
    </row>
    <row r="212" spans="8:8" ht="15.75" customHeight="1">
      <c r="B212" s="318" t="s">
        <v>4550</v>
      </c>
      <c r="C212" s="319">
        <v>250218.0</v>
      </c>
      <c r="D212" s="288" t="s">
        <v>4634</v>
      </c>
      <c r="E212" s="287">
        <v>252569.0</v>
      </c>
      <c r="F212" s="241" t="str">
        <f t="shared" si="0"/>
        <v/>
      </c>
    </row>
    <row r="213" spans="8:8" ht="15.75" customHeight="1">
      <c r="B213" s="318" t="s">
        <v>4551</v>
      </c>
      <c r="C213" s="319">
        <v>250223.0</v>
      </c>
      <c r="D213" s="288" t="s">
        <v>2508</v>
      </c>
      <c r="E213" s="287">
        <v>252685.0</v>
      </c>
      <c r="F213" s="241" t="str">
        <f t="shared" si="0"/>
        <v/>
      </c>
    </row>
    <row r="214" spans="8:8" ht="15.75" customHeight="1">
      <c r="B214" s="318" t="s">
        <v>1630</v>
      </c>
      <c r="C214" s="319">
        <v>250247.0</v>
      </c>
      <c r="D214" s="288" t="s">
        <v>5040</v>
      </c>
      <c r="E214" s="287">
        <v>252693.0</v>
      </c>
      <c r="F214" s="241" t="str">
        <f t="shared" si="0"/>
        <v/>
      </c>
    </row>
    <row r="215" spans="8:8" ht="15.75" customHeight="1">
      <c r="B215" s="318" t="s">
        <v>4987</v>
      </c>
      <c r="C215" s="319">
        <v>250261.0</v>
      </c>
      <c r="D215" s="288" t="s">
        <v>4609</v>
      </c>
      <c r="E215" s="287">
        <v>252703.0</v>
      </c>
      <c r="F215" s="241" t="str">
        <f t="shared" si="0"/>
        <v/>
      </c>
    </row>
    <row r="216" spans="8:8" ht="15.75" customHeight="1">
      <c r="B216" s="318" t="s">
        <v>1632</v>
      </c>
      <c r="C216" s="319">
        <v>252817.0</v>
      </c>
      <c r="D216" s="288" t="s">
        <v>4610</v>
      </c>
      <c r="E216" s="287">
        <v>252711.0</v>
      </c>
      <c r="F216" s="241" t="str">
        <f t="shared" si="0"/>
        <v/>
      </c>
    </row>
    <row r="217" spans="8:8" ht="15.75" customHeight="1">
      <c r="B217" s="318" t="s">
        <v>1635</v>
      </c>
      <c r="C217" s="319">
        <v>253070.0</v>
      </c>
      <c r="D217" s="288" t="s">
        <v>5041</v>
      </c>
      <c r="E217" s="287">
        <v>252710.0</v>
      </c>
      <c r="F217" s="241" t="str">
        <f t="shared" si="0"/>
        <v/>
      </c>
    </row>
    <row r="218" spans="8:8" ht="15.75" customHeight="1">
      <c r="B218" s="318" t="s">
        <v>1557</v>
      </c>
      <c r="C218" s="319">
        <v>252812.0</v>
      </c>
      <c r="D218" s="288" t="s">
        <v>2509</v>
      </c>
      <c r="E218" s="287">
        <v>252712.0</v>
      </c>
      <c r="F218" s="241" t="str">
        <f t="shared" si="0"/>
        <v/>
      </c>
    </row>
    <row r="219" spans="8:8" ht="15.75" customHeight="1">
      <c r="B219" s="318" t="s">
        <v>1636</v>
      </c>
      <c r="C219" s="319">
        <v>253161.0</v>
      </c>
      <c r="D219" s="288" t="s">
        <v>2926</v>
      </c>
      <c r="E219" s="287">
        <v>252843.0</v>
      </c>
      <c r="F219" s="241" t="str">
        <f t="shared" si="0"/>
        <v/>
      </c>
    </row>
    <row r="220" spans="8:8" ht="15.75" customHeight="1">
      <c r="B220" s="318" t="s">
        <v>423</v>
      </c>
      <c r="C220" s="319">
        <v>253123.0</v>
      </c>
      <c r="D220" s="317" t="s">
        <v>4419</v>
      </c>
      <c r="E220" s="283">
        <v>253066.0</v>
      </c>
      <c r="F220" s="241" t="str">
        <f t="shared" si="0"/>
        <v/>
      </c>
    </row>
    <row r="221" spans="8:8" ht="15.75" customHeight="1">
      <c r="B221" s="318" t="s">
        <v>1459</v>
      </c>
      <c r="C221" s="319">
        <v>253114.0</v>
      </c>
      <c r="D221" s="288" t="s">
        <v>1567</v>
      </c>
      <c r="E221" s="287">
        <v>240753.0</v>
      </c>
      <c r="F221" s="241" t="str">
        <f t="shared" si="0"/>
        <v/>
      </c>
    </row>
    <row r="222" spans="8:8" ht="15.75" customHeight="1">
      <c r="B222" s="318" t="s">
        <v>1059</v>
      </c>
      <c r="C222" s="319">
        <v>250172.0</v>
      </c>
      <c r="D222" s="288" t="s">
        <v>2510</v>
      </c>
      <c r="E222" s="287">
        <v>252715.0</v>
      </c>
      <c r="F222" s="241" t="str">
        <f t="shared" si="0"/>
        <v/>
      </c>
    </row>
    <row r="223" spans="8:8" ht="15.75" customHeight="1">
      <c r="B223" s="318" t="s">
        <v>4573</v>
      </c>
      <c r="C223" s="319">
        <v>250114.0</v>
      </c>
      <c r="D223" s="288" t="s">
        <v>2511</v>
      </c>
      <c r="E223" s="287">
        <v>252716.0</v>
      </c>
      <c r="F223" s="241" t="str">
        <f t="shared" si="0"/>
        <v/>
      </c>
    </row>
    <row r="224" spans="8:8" ht="15.75" customHeight="1">
      <c r="B224" s="318" t="s">
        <v>1480</v>
      </c>
      <c r="C224" s="319">
        <v>250174.0</v>
      </c>
      <c r="D224" s="288" t="s">
        <v>1553</v>
      </c>
      <c r="E224" s="287">
        <v>252722.0</v>
      </c>
      <c r="F224" s="241" t="str">
        <f t="shared" si="0"/>
        <v/>
      </c>
    </row>
    <row r="225" spans="8:8" ht="15.75" customHeight="1">
      <c r="B225" s="318" t="s">
        <v>4577</v>
      </c>
      <c r="C225" s="319">
        <v>250380.0</v>
      </c>
      <c r="D225" s="288" t="s">
        <v>4592</v>
      </c>
      <c r="E225" s="287">
        <v>252723.0</v>
      </c>
      <c r="F225" s="241" t="str">
        <f t="shared" si="0"/>
        <v/>
      </c>
    </row>
    <row r="226" spans="8:8" ht="15.75" customHeight="1">
      <c r="B226" s="318" t="s">
        <v>1511</v>
      </c>
      <c r="C226" s="319">
        <v>250386.0</v>
      </c>
      <c r="D226" s="288" t="s">
        <v>2910</v>
      </c>
      <c r="E226" s="287">
        <v>252725.0</v>
      </c>
      <c r="F226" s="241" t="str">
        <f t="shared" si="0"/>
        <v/>
      </c>
    </row>
    <row r="227" spans="8:8" ht="15.75" customHeight="1">
      <c r="B227" s="318" t="s">
        <v>1513</v>
      </c>
      <c r="C227" s="319">
        <v>250389.0</v>
      </c>
      <c r="D227" s="288" t="s">
        <v>2911</v>
      </c>
      <c r="E227" s="287">
        <v>252726.0</v>
      </c>
      <c r="F227" s="241" t="str">
        <f t="shared" si="0"/>
        <v/>
      </c>
    </row>
    <row r="228" spans="8:8" ht="15.75" customHeight="1">
      <c r="B228" s="318" t="s">
        <v>5002</v>
      </c>
      <c r="C228" s="319">
        <v>250467.0</v>
      </c>
      <c r="D228" s="288" t="s">
        <v>4612</v>
      </c>
      <c r="E228" s="287">
        <v>252730.0</v>
      </c>
      <c r="F228" s="241" t="str">
        <f t="shared" si="0"/>
        <v/>
      </c>
    </row>
    <row r="229" spans="8:8" ht="15.75" customHeight="1">
      <c r="B229" s="318" t="s">
        <v>4578</v>
      </c>
      <c r="C229" s="319">
        <v>250533.0</v>
      </c>
      <c r="D229" s="288" t="s">
        <v>5042</v>
      </c>
      <c r="E229" s="287">
        <v>252731.0</v>
      </c>
      <c r="F229" s="241" t="str">
        <f t="shared" si="0"/>
        <v/>
      </c>
    </row>
    <row r="230" spans="8:8" ht="15.75" customHeight="1">
      <c r="B230" s="318" t="s">
        <v>5003</v>
      </c>
      <c r="C230" s="319">
        <v>250535.0</v>
      </c>
      <c r="D230" s="288" t="s">
        <v>4613</v>
      </c>
      <c r="E230" s="287">
        <v>252735.0</v>
      </c>
      <c r="F230" s="241" t="str">
        <f t="shared" si="0"/>
        <v/>
      </c>
    </row>
    <row r="231" spans="8:8" ht="15.75" customHeight="1">
      <c r="B231" s="318" t="s">
        <v>1515</v>
      </c>
      <c r="C231" s="319">
        <v>250548.0</v>
      </c>
      <c r="D231" s="288" t="s">
        <v>4760</v>
      </c>
      <c r="E231" s="287">
        <v>252708.0</v>
      </c>
      <c r="F231" s="241" t="str">
        <f t="shared" si="0"/>
        <v/>
      </c>
    </row>
    <row r="232" spans="8:8" ht="15.75" customHeight="1">
      <c r="B232" s="318" t="s">
        <v>1528</v>
      </c>
      <c r="C232" s="319">
        <v>250625.0</v>
      </c>
      <c r="D232" s="288" t="s">
        <v>4761</v>
      </c>
      <c r="E232" s="287">
        <v>252744.0</v>
      </c>
      <c r="F232" s="241" t="str">
        <f t="shared" si="0"/>
        <v/>
      </c>
    </row>
    <row r="233" spans="8:8" ht="15.75" customHeight="1">
      <c r="B233" s="318" t="s">
        <v>1529</v>
      </c>
      <c r="C233" s="319">
        <v>250629.0</v>
      </c>
      <c r="D233" s="288" t="s">
        <v>4765</v>
      </c>
      <c r="E233" s="287">
        <v>252850.0</v>
      </c>
      <c r="F233" s="241" t="str">
        <f t="shared" si="0"/>
        <v/>
      </c>
    </row>
    <row r="234" spans="8:8" ht="15.75" customHeight="1">
      <c r="B234" s="318" t="s">
        <v>1530</v>
      </c>
      <c r="C234" s="319">
        <v>250417.0</v>
      </c>
      <c r="D234" s="288" t="s">
        <v>4899</v>
      </c>
      <c r="E234" s="287">
        <v>252762.0</v>
      </c>
      <c r="F234" s="241" t="str">
        <f t="shared" si="0"/>
        <v/>
      </c>
    </row>
    <row r="235" spans="8:8" ht="15.75" customHeight="1">
      <c r="B235" s="318" t="s">
        <v>5090</v>
      </c>
      <c r="C235" s="322"/>
      <c r="D235" s="288" t="s">
        <v>3221</v>
      </c>
      <c r="E235" s="287">
        <v>252770.0</v>
      </c>
      <c r="F235" s="241" t="str">
        <f t="shared" si="0"/>
        <v/>
      </c>
    </row>
    <row r="236" spans="8:8" ht="15.75" customHeight="1">
      <c r="B236" s="318" t="s">
        <v>4512</v>
      </c>
      <c r="C236" s="319">
        <v>253079.0</v>
      </c>
      <c r="D236" s="288" t="s">
        <v>4418</v>
      </c>
      <c r="E236" s="287">
        <v>252977.0</v>
      </c>
      <c r="F236" s="241" t="str">
        <f t="shared" si="0"/>
        <v/>
      </c>
    </row>
    <row r="237" spans="8:8" ht="15.75" customHeight="1">
      <c r="B237" s="318" t="s">
        <v>1476</v>
      </c>
      <c r="C237" s="319">
        <v>250558.0</v>
      </c>
      <c r="D237" s="288" t="s">
        <v>4723</v>
      </c>
      <c r="E237" s="287">
        <v>252808.0</v>
      </c>
      <c r="F237" s="241" t="str">
        <f t="shared" si="0"/>
        <v/>
      </c>
    </row>
    <row r="238" spans="8:8" ht="15.75" customHeight="1">
      <c r="B238" s="318" t="s">
        <v>4999</v>
      </c>
      <c r="C238" s="319">
        <v>253058.0</v>
      </c>
      <c r="D238" s="288" t="s">
        <v>2952</v>
      </c>
      <c r="E238" s="287">
        <v>252646.0</v>
      </c>
      <c r="F238" s="241" t="str">
        <f t="shared" si="0"/>
        <v/>
      </c>
    </row>
    <row r="239" spans="8:8" ht="15.75" customHeight="1">
      <c r="B239" s="317" t="s">
        <v>4442</v>
      </c>
      <c r="C239" s="283">
        <v>240242.0</v>
      </c>
      <c r="D239" s="288" t="s">
        <v>2497</v>
      </c>
      <c r="E239" s="287">
        <v>252484.0</v>
      </c>
      <c r="F239" s="241" t="str">
        <f t="shared" si="0"/>
        <v/>
      </c>
    </row>
    <row r="240" spans="8:8" ht="15.75" customHeight="1">
      <c r="B240" s="317" t="s">
        <v>3224</v>
      </c>
      <c r="C240" s="283">
        <v>240450.0</v>
      </c>
      <c r="D240" s="288" t="s">
        <v>2498</v>
      </c>
      <c r="E240" s="287">
        <v>252481.0</v>
      </c>
      <c r="F240" s="241" t="str">
        <f t="shared" si="0"/>
        <v/>
      </c>
    </row>
    <row r="241" spans="8:8" ht="15.75" customHeight="1">
      <c r="B241" s="317" t="s">
        <v>3225</v>
      </c>
      <c r="C241" s="283">
        <v>240453.0</v>
      </c>
      <c r="D241" s="288" t="s">
        <v>4614</v>
      </c>
      <c r="E241" s="287">
        <v>252797.0</v>
      </c>
      <c r="F241" s="241" t="str">
        <f t="shared" si="0"/>
        <v/>
      </c>
    </row>
    <row r="242" spans="8:8" ht="15.75" customHeight="1">
      <c r="B242" s="317" t="s">
        <v>3226</v>
      </c>
      <c r="C242" s="283">
        <v>240457.0</v>
      </c>
      <c r="D242" s="288" t="s">
        <v>2912</v>
      </c>
      <c r="E242" s="287">
        <v>252607.0</v>
      </c>
      <c r="F242" s="241" t="str">
        <f t="shared" si="0"/>
        <v/>
      </c>
    </row>
    <row r="243" spans="8:8" ht="15.75" customHeight="1">
      <c r="B243" s="317" t="s">
        <v>3227</v>
      </c>
      <c r="C243" s="283">
        <v>240258.0</v>
      </c>
      <c r="D243" s="266" t="s">
        <v>4507</v>
      </c>
      <c r="E243" s="267">
        <v>253063.0</v>
      </c>
      <c r="F243" s="241" t="str">
        <f t="shared" si="0"/>
        <v/>
      </c>
    </row>
    <row r="244" spans="8:8" ht="15.75" customHeight="1">
      <c r="B244" s="317" t="s">
        <v>4523</v>
      </c>
      <c r="C244" s="283">
        <v>240259.0</v>
      </c>
      <c r="D244" s="288" t="s">
        <v>5046</v>
      </c>
      <c r="E244" s="287">
        <v>252472.0</v>
      </c>
      <c r="F244" s="241" t="str">
        <f t="shared" si="0"/>
        <v/>
      </c>
    </row>
    <row r="245" spans="8:8" ht="15.75" customHeight="1">
      <c r="B245" s="317" t="s">
        <v>3228</v>
      </c>
      <c r="C245" s="283">
        <v>240315.0</v>
      </c>
      <c r="D245" s="288" t="s">
        <v>5047</v>
      </c>
      <c r="E245" s="287">
        <v>252464.0</v>
      </c>
      <c r="F245" s="241" t="str">
        <f t="shared" si="0"/>
        <v/>
      </c>
    </row>
    <row r="246" spans="8:8" ht="15.75" customHeight="1">
      <c r="B246" s="317" t="s">
        <v>3229</v>
      </c>
      <c r="C246" s="283">
        <v>240321.0</v>
      </c>
      <c r="D246" s="288" t="s">
        <v>4694</v>
      </c>
      <c r="E246" s="287">
        <v>252461.0</v>
      </c>
      <c r="F246" s="241" t="str">
        <f t="shared" si="0"/>
        <v/>
      </c>
    </row>
    <row r="247" spans="8:8" ht="15.75" customHeight="1">
      <c r="B247" s="317" t="s">
        <v>5092</v>
      </c>
      <c r="C247" s="283">
        <v>240326.0</v>
      </c>
      <c r="D247" s="288" t="s">
        <v>3437</v>
      </c>
      <c r="E247" s="287">
        <v>251982.0</v>
      </c>
      <c r="F247" s="241" t="str">
        <f t="shared" si="0"/>
        <v/>
      </c>
    </row>
    <row r="248" spans="8:8" ht="15.75" customHeight="1">
      <c r="B248" s="317" t="s">
        <v>3230</v>
      </c>
      <c r="C248" s="283">
        <v>240328.0</v>
      </c>
      <c r="D248" s="288" t="s">
        <v>4695</v>
      </c>
      <c r="E248" s="287">
        <v>252830.0</v>
      </c>
      <c r="F248" s="241" t="str">
        <f t="shared" si="0"/>
        <v/>
      </c>
    </row>
    <row r="249" spans="8:8" ht="15.75" customHeight="1">
      <c r="B249" s="317" t="s">
        <v>3231</v>
      </c>
      <c r="C249" s="283">
        <v>240329.0</v>
      </c>
      <c r="D249" s="288" t="s">
        <v>5048</v>
      </c>
      <c r="E249" s="287">
        <v>251962.0</v>
      </c>
      <c r="F249" s="241" t="str">
        <f t="shared" si="0"/>
        <v/>
      </c>
    </row>
    <row r="250" spans="8:8" ht="15.75" customHeight="1">
      <c r="B250" s="317" t="s">
        <v>5082</v>
      </c>
      <c r="C250" s="283">
        <v>240331.0</v>
      </c>
      <c r="D250" s="266" t="s">
        <v>4652</v>
      </c>
      <c r="E250" s="287">
        <v>253028.0</v>
      </c>
      <c r="F250" s="241" t="str">
        <f t="shared" si="0"/>
        <v/>
      </c>
    </row>
    <row r="251" spans="8:8" ht="15.75" customHeight="1">
      <c r="B251" s="317" t="s">
        <v>3232</v>
      </c>
      <c r="C251" s="283">
        <v>240342.0</v>
      </c>
      <c r="D251" s="288" t="s">
        <v>5050</v>
      </c>
      <c r="E251" s="287">
        <v>252076.0</v>
      </c>
      <c r="F251" s="241" t="str">
        <f t="shared" si="0"/>
        <v/>
      </c>
    </row>
    <row r="252" spans="8:8" ht="15.75" customHeight="1">
      <c r="B252" s="317" t="s">
        <v>3233</v>
      </c>
      <c r="C252" s="283">
        <v>240366.0</v>
      </c>
      <c r="D252" s="266" t="s">
        <v>3438</v>
      </c>
      <c r="E252" s="267">
        <v>252358.0</v>
      </c>
      <c r="F252" s="241" t="str">
        <f t="shared" si="0"/>
        <v/>
      </c>
    </row>
    <row r="253" spans="8:8" ht="15.75" customHeight="1">
      <c r="B253" s="317" t="s">
        <v>3234</v>
      </c>
      <c r="C253" s="283">
        <v>240461.0</v>
      </c>
      <c r="D253" s="266" t="s">
        <v>4696</v>
      </c>
      <c r="E253" s="267">
        <v>252514.0</v>
      </c>
      <c r="F253" s="241" t="str">
        <f t="shared" si="0"/>
        <v/>
      </c>
    </row>
    <row r="254" spans="8:8" ht="15.75" customHeight="1">
      <c r="B254" s="317" t="s">
        <v>3434</v>
      </c>
      <c r="C254" s="283">
        <v>240133.0</v>
      </c>
      <c r="D254" s="266" t="s">
        <v>5052</v>
      </c>
      <c r="E254" s="267">
        <v>240999.0</v>
      </c>
      <c r="F254" s="241" t="str">
        <f t="shared" si="0"/>
        <v/>
      </c>
    </row>
    <row r="255" spans="8:8" ht="15.75" customHeight="1">
      <c r="B255" s="317" t="s">
        <v>3249</v>
      </c>
      <c r="C255" s="283">
        <v>240044.0</v>
      </c>
      <c r="D255" s="266" t="s">
        <v>4698</v>
      </c>
      <c r="E255" s="267">
        <v>241902.0</v>
      </c>
      <c r="F255" s="241" t="str">
        <f t="shared" si="0"/>
        <v/>
      </c>
    </row>
    <row r="256" spans="8:8" ht="15.75" customHeight="1">
      <c r="B256" s="317" t="s">
        <v>3250</v>
      </c>
      <c r="C256" s="283">
        <v>240070.0</v>
      </c>
      <c r="D256" s="288" t="s">
        <v>3439</v>
      </c>
      <c r="E256" s="287">
        <v>252451.0</v>
      </c>
      <c r="F256" s="241" t="str">
        <f t="shared" si="0"/>
        <v/>
      </c>
    </row>
    <row r="257" spans="8:8" ht="15.75" customHeight="1">
      <c r="B257" s="317" t="s">
        <v>3251</v>
      </c>
      <c r="C257" s="283">
        <v>240074.0</v>
      </c>
      <c r="D257" s="288" t="s">
        <v>4435</v>
      </c>
      <c r="E257" s="287">
        <v>252754.0</v>
      </c>
      <c r="F257" s="241" t="str">
        <f t="shared" si="0"/>
        <v/>
      </c>
    </row>
    <row r="258" spans="8:8" ht="15.75" customHeight="1">
      <c r="B258" s="317" t="s">
        <v>4687</v>
      </c>
      <c r="C258" s="283">
        <v>240025.0</v>
      </c>
      <c r="D258" s="288" t="s">
        <v>4904</v>
      </c>
      <c r="E258" s="287">
        <v>252736.0</v>
      </c>
      <c r="F258" s="241" t="str">
        <f t="shared" si="0"/>
        <v/>
      </c>
    </row>
    <row r="259" spans="8:8" ht="15.75" customHeight="1">
      <c r="B259" s="317" t="s">
        <v>3252</v>
      </c>
      <c r="C259" s="283">
        <v>240088.0</v>
      </c>
      <c r="D259" s="288" t="s">
        <v>4733</v>
      </c>
      <c r="E259" s="287">
        <v>253022.0</v>
      </c>
      <c r="F259" s="241" t="str">
        <f t="shared" si="0"/>
        <v/>
      </c>
    </row>
    <row r="260" spans="8:8" ht="15.75" customHeight="1">
      <c r="B260" s="317" t="s">
        <v>3253</v>
      </c>
      <c r="C260" s="283">
        <v>240159.0</v>
      </c>
      <c r="D260" s="288" t="s">
        <v>4734</v>
      </c>
      <c r="E260" s="287">
        <v>252327.0</v>
      </c>
      <c r="F260" s="241" t="str">
        <f t="shared" si="0"/>
        <v/>
      </c>
    </row>
    <row r="261" spans="8:8" ht="15.75" customHeight="1">
      <c r="B261" s="317" t="s">
        <v>3254</v>
      </c>
      <c r="C261" s="283">
        <v>240157.0</v>
      </c>
      <c r="D261" s="288" t="s">
        <v>4436</v>
      </c>
      <c r="E261" s="287">
        <v>252931.0</v>
      </c>
      <c r="F261" s="241" t="str">
        <f t="shared" si="0"/>
        <v/>
      </c>
    </row>
    <row r="262" spans="8:8" ht="15.75" customHeight="1">
      <c r="B262" s="317" t="s">
        <v>3256</v>
      </c>
      <c r="C262" s="283">
        <v>240082.0</v>
      </c>
      <c r="D262" s="288" t="s">
        <v>4735</v>
      </c>
      <c r="E262" s="287">
        <v>253139.0</v>
      </c>
      <c r="F262" s="241" t="str">
        <f t="shared" si="0"/>
        <v/>
      </c>
    </row>
    <row r="263" spans="8:8" ht="15.75" customHeight="1">
      <c r="B263" s="317" t="s">
        <v>3257</v>
      </c>
      <c r="C263" s="283">
        <v>240211.0</v>
      </c>
      <c r="D263" s="288" t="s">
        <v>2945</v>
      </c>
      <c r="E263" s="287">
        <v>252370.0</v>
      </c>
      <c r="F263" s="241" t="str">
        <f t="shared" si="0"/>
        <v/>
      </c>
    </row>
    <row r="264" spans="8:8" ht="15.75" customHeight="1">
      <c r="B264" s="317" t="s">
        <v>4524</v>
      </c>
      <c r="C264" s="283">
        <v>240137.0</v>
      </c>
      <c r="D264" s="288" t="s">
        <v>1496</v>
      </c>
      <c r="E264" s="287">
        <v>240599.0</v>
      </c>
      <c r="F264" s="241" t="str">
        <f t="shared" si="0"/>
        <v/>
      </c>
    </row>
    <row r="265" spans="8:8" ht="15.75" customHeight="1">
      <c r="B265" s="317" t="s">
        <v>4700</v>
      </c>
      <c r="C265" s="283">
        <v>240164.0</v>
      </c>
      <c r="D265" s="266" t="s">
        <v>4662</v>
      </c>
      <c r="E265" s="267">
        <v>240517.0</v>
      </c>
      <c r="F265" s="241" t="str">
        <f t="shared" si="0"/>
        <v/>
      </c>
    </row>
    <row r="266" spans="8:8" ht="15.75" customHeight="1">
      <c r="B266" s="317" t="s">
        <v>3237</v>
      </c>
      <c r="C266" s="283">
        <v>240015.0</v>
      </c>
      <c r="D266" s="266" t="s">
        <v>1500</v>
      </c>
      <c r="E266" s="267">
        <v>240483.0</v>
      </c>
      <c r="F266" s="241" t="str">
        <f t="shared" si="0"/>
        <v/>
      </c>
    </row>
    <row r="267" spans="8:8" ht="15.75" customHeight="1">
      <c r="B267" s="317" t="s">
        <v>3202</v>
      </c>
      <c r="C267" s="283">
        <v>240019.0</v>
      </c>
      <c r="D267" s="288" t="s">
        <v>5054</v>
      </c>
      <c r="E267" s="287">
        <v>252414.0</v>
      </c>
      <c r="F267" s="241" t="str">
        <f t="shared" si="0"/>
        <v/>
      </c>
    </row>
    <row r="268" spans="8:8" ht="15.75" customHeight="1">
      <c r="B268" s="317" t="s">
        <v>3204</v>
      </c>
      <c r="C268" s="283">
        <v>240236.0</v>
      </c>
      <c r="D268" s="288" t="s">
        <v>4663</v>
      </c>
      <c r="E268" s="287">
        <v>252520.0</v>
      </c>
      <c r="F268" s="241" t="str">
        <f t="shared" si="0"/>
        <v/>
      </c>
    </row>
    <row r="269" spans="8:8" ht="15.75" customHeight="1">
      <c r="B269" s="317" t="s">
        <v>4025</v>
      </c>
      <c r="C269" s="283">
        <v>252940.0</v>
      </c>
      <c r="D269" s="288" t="s">
        <v>4686</v>
      </c>
      <c r="E269" s="287">
        <v>241827.0</v>
      </c>
      <c r="F269" s="241" t="str">
        <f t="shared" si="0"/>
        <v/>
      </c>
    </row>
    <row r="270" spans="8:8" ht="15.75" customHeight="1">
      <c r="B270" s="317" t="s">
        <v>4721</v>
      </c>
      <c r="C270" s="283">
        <v>252787.0</v>
      </c>
      <c r="D270" s="288" t="s">
        <v>2946</v>
      </c>
      <c r="E270" s="287">
        <v>253170.0</v>
      </c>
      <c r="F270" s="241" t="str">
        <f t="shared" si="0"/>
        <v/>
      </c>
    </row>
    <row r="271" spans="8:8" ht="15.75" customHeight="1">
      <c r="B271" s="317" t="s">
        <v>4722</v>
      </c>
      <c r="C271" s="283">
        <v>252596.0</v>
      </c>
      <c r="D271" s="288" t="s">
        <v>4664</v>
      </c>
      <c r="E271" s="287">
        <v>252811.0</v>
      </c>
      <c r="F271" s="241" t="str">
        <f t="shared" si="0"/>
        <v/>
      </c>
    </row>
    <row r="272" spans="8:8" ht="15.75" customHeight="1">
      <c r="B272" s="317" t="s">
        <v>1866</v>
      </c>
      <c r="C272" s="283">
        <v>252758.0</v>
      </c>
      <c r="D272" s="288" t="s">
        <v>2947</v>
      </c>
      <c r="E272" s="287">
        <v>252772.0</v>
      </c>
      <c r="F272" s="241" t="str">
        <f t="shared" si="0"/>
        <v/>
      </c>
    </row>
    <row r="273" spans="8:8" ht="15.75" customHeight="1">
      <c r="B273" s="317" t="s">
        <v>4027</v>
      </c>
      <c r="C273" s="283">
        <v>252756.0</v>
      </c>
      <c r="D273" s="288" t="s">
        <v>2948</v>
      </c>
      <c r="E273" s="287">
        <v>252559.0</v>
      </c>
      <c r="F273" s="241" t="str">
        <f t="shared" si="0"/>
        <v/>
      </c>
    </row>
    <row r="274" spans="8:8" ht="15.75" customHeight="1">
      <c r="B274" s="317" t="s">
        <v>4725</v>
      </c>
      <c r="C274" s="283">
        <v>252950.0</v>
      </c>
      <c r="D274" s="288" t="s">
        <v>4665</v>
      </c>
      <c r="E274" s="287">
        <v>241432.0</v>
      </c>
      <c r="F274" s="241" t="str">
        <f t="shared" si="0"/>
        <v/>
      </c>
    </row>
    <row r="275" spans="8:8" ht="15.75" customHeight="1">
      <c r="B275" s="317" t="s">
        <v>2502</v>
      </c>
      <c r="C275" s="283">
        <v>252761.0</v>
      </c>
      <c r="D275" s="266" t="s">
        <v>2845</v>
      </c>
      <c r="E275" s="267">
        <v>252888.0</v>
      </c>
      <c r="F275" s="241" t="str">
        <f t="shared" si="0"/>
        <v/>
      </c>
    </row>
    <row r="276" spans="8:8" ht="15.75" customHeight="1">
      <c r="B276" s="317" t="s">
        <v>4959</v>
      </c>
      <c r="C276" s="283">
        <v>252945.0</v>
      </c>
      <c r="D276" s="288" t="s">
        <v>4666</v>
      </c>
      <c r="E276" s="287">
        <v>240551.0</v>
      </c>
      <c r="F276" s="241" t="str">
        <f t="shared" si="0"/>
        <v/>
      </c>
    </row>
    <row r="277" spans="8:8" ht="15.75" customHeight="1">
      <c r="B277" s="317" t="s">
        <v>3205</v>
      </c>
      <c r="C277" s="283">
        <v>252994.0</v>
      </c>
      <c r="D277" s="266" t="s">
        <v>4484</v>
      </c>
      <c r="E277" s="267">
        <v>253009.0</v>
      </c>
      <c r="F277" s="241" t="str">
        <f t="shared" si="0"/>
        <v/>
      </c>
    </row>
    <row r="278" spans="8:8" ht="15.75" customHeight="1">
      <c r="B278" s="317" t="s">
        <v>3206</v>
      </c>
      <c r="C278" s="283">
        <v>252581.0</v>
      </c>
      <c r="D278" s="288" t="s">
        <v>5057</v>
      </c>
      <c r="E278" s="287">
        <v>251827.0</v>
      </c>
      <c r="F278" s="241" t="str">
        <f t="shared" si="0"/>
        <v/>
      </c>
    </row>
    <row r="279" spans="8:8" ht="15.75" customHeight="1">
      <c r="B279" s="317" t="s">
        <v>2917</v>
      </c>
      <c r="C279" s="283">
        <v>253088.0</v>
      </c>
      <c r="D279" s="288" t="s">
        <v>5059</v>
      </c>
      <c r="E279" s="287">
        <v>251829.0</v>
      </c>
      <c r="F279" s="241" t="str">
        <f t="shared" si="0"/>
        <v/>
      </c>
    </row>
    <row r="280" spans="8:8" ht="15.75" customHeight="1">
      <c r="B280" s="317" t="s">
        <v>4674</v>
      </c>
      <c r="C280" s="283">
        <v>252861.0</v>
      </c>
      <c r="D280" s="288" t="s">
        <v>2884</v>
      </c>
      <c r="E280" s="287">
        <v>251901.0</v>
      </c>
      <c r="F280" s="241" t="str">
        <f t="shared" si="0"/>
        <v/>
      </c>
    </row>
    <row r="281" spans="8:8" ht="15.75" customHeight="1">
      <c r="B281" s="317" t="s">
        <v>5027</v>
      </c>
      <c r="C281" s="283">
        <v>252953.0</v>
      </c>
      <c r="D281" s="288" t="s">
        <v>4604</v>
      </c>
      <c r="E281" s="287">
        <v>251839.0</v>
      </c>
      <c r="F281" s="241" t="str">
        <f t="shared" si="0"/>
        <v/>
      </c>
    </row>
    <row r="282" spans="8:8" ht="15.75" customHeight="1">
      <c r="B282" s="317" t="s">
        <v>4675</v>
      </c>
      <c r="C282" s="283">
        <v>252485.0</v>
      </c>
      <c r="D282" s="288" t="s">
        <v>2885</v>
      </c>
      <c r="E282" s="287">
        <v>251842.0</v>
      </c>
      <c r="F282" s="241" t="str">
        <f t="shared" si="0"/>
        <v/>
      </c>
    </row>
    <row r="283" spans="8:8" ht="15.75" customHeight="1">
      <c r="B283" s="317" t="s">
        <v>3209</v>
      </c>
      <c r="C283" s="283">
        <v>252750.0</v>
      </c>
      <c r="D283" s="288" t="s">
        <v>5060</v>
      </c>
      <c r="E283" s="287">
        <v>251810.0</v>
      </c>
      <c r="F283" s="241" t="str">
        <f t="shared" si="0"/>
        <v/>
      </c>
    </row>
    <row r="284" spans="8:8" ht="15.75" customHeight="1">
      <c r="B284" s="317" t="s">
        <v>4676</v>
      </c>
      <c r="C284" s="283">
        <v>252757.0</v>
      </c>
      <c r="D284" s="288" t="s">
        <v>2886</v>
      </c>
      <c r="E284" s="287">
        <v>251845.0</v>
      </c>
      <c r="F284" s="241" t="str">
        <f t="shared" si="0"/>
        <v/>
      </c>
    </row>
    <row r="285" spans="8:8" ht="15.75" customHeight="1">
      <c r="B285" s="317" t="s">
        <v>2915</v>
      </c>
      <c r="C285" s="283">
        <v>253089.0</v>
      </c>
      <c r="D285" s="288" t="s">
        <v>4605</v>
      </c>
      <c r="E285" s="287">
        <v>252207.0</v>
      </c>
      <c r="F285" s="241" t="str">
        <f t="shared" si="0"/>
        <v/>
      </c>
    </row>
    <row r="286" spans="8:8" ht="15.75" customHeight="1">
      <c r="B286" s="317" t="s">
        <v>3210</v>
      </c>
      <c r="C286" s="283">
        <v>252836.0</v>
      </c>
      <c r="D286" s="288" t="s">
        <v>4606</v>
      </c>
      <c r="E286" s="287">
        <v>251832.0</v>
      </c>
      <c r="F286" s="241" t="str">
        <f t="shared" si="0"/>
        <v/>
      </c>
    </row>
    <row r="287" spans="8:8" ht="15.75" customHeight="1">
      <c r="B287" s="317" t="s">
        <v>4026</v>
      </c>
      <c r="C287" s="283">
        <v>252536.0</v>
      </c>
      <c r="D287" s="288" t="s">
        <v>5062</v>
      </c>
      <c r="E287" s="287">
        <v>251856.0</v>
      </c>
      <c r="F287" s="241" t="str">
        <f t="shared" si="0"/>
        <v/>
      </c>
    </row>
    <row r="288" spans="8:8" ht="15.75" customHeight="1">
      <c r="B288" s="317" t="s">
        <v>5094</v>
      </c>
      <c r="C288" s="323"/>
      <c r="D288" s="288" t="s">
        <v>5063</v>
      </c>
      <c r="E288" s="287">
        <v>251834.0</v>
      </c>
      <c r="F288" s="241" t="str">
        <f t="shared" si="0"/>
        <v/>
      </c>
    </row>
    <row r="289" spans="8:8" ht="15.75" customHeight="1">
      <c r="B289" s="317" t="s">
        <v>4638</v>
      </c>
      <c r="C289" s="283">
        <v>253067.0</v>
      </c>
      <c r="D289" s="288" t="s">
        <v>2501</v>
      </c>
      <c r="E289" s="287">
        <v>251888.0</v>
      </c>
      <c r="F289" s="241" t="str">
        <f t="shared" si="0"/>
        <v/>
      </c>
    </row>
    <row r="290" spans="8:8" ht="15.75" customHeight="1">
      <c r="B290" s="317" t="s">
        <v>5031</v>
      </c>
      <c r="C290" s="283">
        <v>252511.0</v>
      </c>
      <c r="D290" s="288" t="s">
        <v>2887</v>
      </c>
      <c r="E290" s="287">
        <v>251857.0</v>
      </c>
      <c r="F290" s="241" t="str">
        <f t="shared" si="0"/>
        <v/>
      </c>
    </row>
    <row r="291" spans="8:8" ht="15.75" customHeight="1">
      <c r="B291" s="317" t="s">
        <v>4639</v>
      </c>
      <c r="C291" s="283">
        <v>252943.0</v>
      </c>
      <c r="D291" s="288" t="s">
        <v>2888</v>
      </c>
      <c r="E291" s="287">
        <v>251864.0</v>
      </c>
      <c r="F291" s="241" t="str">
        <f t="shared" si="0"/>
        <v/>
      </c>
    </row>
    <row r="292" spans="8:8" ht="15.75" customHeight="1">
      <c r="B292" s="317" t="s">
        <v>4640</v>
      </c>
      <c r="C292" s="283">
        <v>252554.0</v>
      </c>
      <c r="D292" s="288" t="s">
        <v>5064</v>
      </c>
      <c r="E292" s="287">
        <v>251840.0</v>
      </c>
      <c r="F292" s="241" t="str">
        <f t="shared" si="0"/>
        <v/>
      </c>
    </row>
    <row r="293" spans="8:8" ht="15.75" customHeight="1">
      <c r="B293" s="317" t="s">
        <v>5033</v>
      </c>
      <c r="C293" s="283">
        <v>252550.0</v>
      </c>
      <c r="D293" s="288" t="s">
        <v>2889</v>
      </c>
      <c r="E293" s="287">
        <v>251882.0</v>
      </c>
      <c r="F293" s="241" t="str">
        <f t="shared" si="0"/>
        <v/>
      </c>
    </row>
    <row r="294" spans="8:8" ht="15.75" customHeight="1">
      <c r="B294" s="317" t="s">
        <v>4611</v>
      </c>
      <c r="C294" s="283">
        <v>252579.0</v>
      </c>
      <c r="D294" s="288" t="s">
        <v>2890</v>
      </c>
      <c r="E294" s="287">
        <v>251900.0</v>
      </c>
      <c r="F294" s="241" t="str">
        <f t="shared" si="0"/>
        <v/>
      </c>
    </row>
    <row r="295" spans="8:8" ht="15.75" customHeight="1">
      <c r="B295" s="317" t="s">
        <v>2896</v>
      </c>
      <c r="C295" s="283">
        <v>252989.0</v>
      </c>
      <c r="D295" s="288" t="s">
        <v>5065</v>
      </c>
      <c r="E295" s="287">
        <v>251854.0</v>
      </c>
      <c r="F295" s="241" t="str">
        <f t="shared" si="0"/>
        <v/>
      </c>
    </row>
    <row r="296" spans="8:8" ht="15.75" customHeight="1">
      <c r="B296" s="317" t="s">
        <v>2490</v>
      </c>
      <c r="C296" s="283">
        <v>252593.0</v>
      </c>
      <c r="D296" s="288" t="s">
        <v>2914</v>
      </c>
      <c r="E296" s="287">
        <v>251920.0</v>
      </c>
      <c r="F296" s="241" t="str">
        <f t="shared" si="0"/>
        <v/>
      </c>
    </row>
    <row r="297" spans="8:8" ht="15.75" customHeight="1">
      <c r="B297" s="317" t="s">
        <v>2955</v>
      </c>
      <c r="C297" s="283">
        <v>252597.0</v>
      </c>
      <c r="D297" s="288" t="s">
        <v>2891</v>
      </c>
      <c r="E297" s="287">
        <v>251921.0</v>
      </c>
      <c r="F297" s="241" t="str">
        <f t="shared" si="0"/>
        <v/>
      </c>
    </row>
    <row r="298" spans="8:8" ht="15.75" customHeight="1">
      <c r="B298" s="317" t="s">
        <v>2491</v>
      </c>
      <c r="C298" s="283">
        <v>252608.0</v>
      </c>
      <c r="D298" s="288" t="s">
        <v>2892</v>
      </c>
      <c r="E298" s="287">
        <v>251796.0</v>
      </c>
      <c r="F298" s="241" t="str">
        <f t="shared" si="0"/>
        <v/>
      </c>
    </row>
    <row r="299" spans="8:8" ht="15.75" customHeight="1">
      <c r="B299" s="317" t="s">
        <v>4637</v>
      </c>
      <c r="C299" s="283">
        <v>252653.0</v>
      </c>
      <c r="D299" s="288" t="s">
        <v>5066</v>
      </c>
      <c r="E299" s="287">
        <v>251938.0</v>
      </c>
      <c r="F299" s="241" t="str">
        <f t="shared" si="0"/>
        <v/>
      </c>
    </row>
    <row r="300" spans="8:8" ht="15.75" customHeight="1">
      <c r="B300" s="317" t="s">
        <v>2909</v>
      </c>
      <c r="C300" s="283">
        <v>253020.0</v>
      </c>
      <c r="D300" s="288" t="s">
        <v>5067</v>
      </c>
      <c r="E300" s="287">
        <v>251968.0</v>
      </c>
      <c r="F300" s="241" t="str">
        <f t="shared" si="0"/>
        <v/>
      </c>
    </row>
    <row r="301" spans="8:8" ht="15.75" customHeight="1">
      <c r="B301" s="317" t="s">
        <v>2924</v>
      </c>
      <c r="C301" s="283">
        <v>252998.0</v>
      </c>
      <c r="D301" s="266" t="s">
        <v>2893</v>
      </c>
      <c r="E301" s="267">
        <v>251957.0</v>
      </c>
      <c r="F301" s="241" t="str">
        <f t="shared" si="0"/>
        <v/>
      </c>
    </row>
    <row r="302" spans="8:8" ht="15.75" customHeight="1">
      <c r="B302" s="317" t="s">
        <v>2492</v>
      </c>
      <c r="C302" s="283">
        <v>252793.0</v>
      </c>
      <c r="D302" s="288" t="s">
        <v>4607</v>
      </c>
      <c r="E302" s="287">
        <v>251971.0</v>
      </c>
      <c r="F302" s="241" t="str">
        <f t="shared" si="0"/>
        <v/>
      </c>
    </row>
    <row r="303" spans="8:8" ht="15.75" customHeight="1">
      <c r="B303" s="317" t="s">
        <v>2493</v>
      </c>
      <c r="C303" s="283">
        <v>252647.0</v>
      </c>
      <c r="D303" s="288" t="s">
        <v>4618</v>
      </c>
      <c r="E303" s="287">
        <v>252166.0</v>
      </c>
      <c r="F303" s="241" t="str">
        <f t="shared" si="0"/>
        <v/>
      </c>
    </row>
    <row r="304" spans="8:8" ht="15.75" customHeight="1">
      <c r="B304" s="317" t="s">
        <v>2494</v>
      </c>
      <c r="C304" s="283">
        <v>252642.0</v>
      </c>
      <c r="D304" s="288" t="s">
        <v>4619</v>
      </c>
      <c r="E304" s="287">
        <v>252182.0</v>
      </c>
      <c r="F304" s="241" t="str">
        <f t="shared" si="0"/>
        <v/>
      </c>
    </row>
    <row r="305" spans="8:8" ht="15.75" customHeight="1">
      <c r="B305" s="317" t="s">
        <v>2925</v>
      </c>
      <c r="C305" s="283">
        <v>252658.0</v>
      </c>
      <c r="D305" s="288" t="s">
        <v>4620</v>
      </c>
      <c r="E305" s="287">
        <v>252183.0</v>
      </c>
      <c r="F305" s="241" t="str">
        <f t="shared" si="0"/>
        <v/>
      </c>
    </row>
    <row r="306" spans="8:8" ht="15.75" customHeight="1">
      <c r="B306" s="317" t="s">
        <v>2495</v>
      </c>
      <c r="C306" s="283">
        <v>252660.0</v>
      </c>
      <c r="D306" s="288" t="s">
        <v>2898</v>
      </c>
      <c r="E306" s="287">
        <v>252179.0</v>
      </c>
      <c r="F306" s="241" t="str">
        <f t="shared" si="0"/>
        <v/>
      </c>
    </row>
    <row r="307" spans="8:8" ht="15.75" customHeight="1">
      <c r="B307" s="317" t="s">
        <v>2496</v>
      </c>
      <c r="C307" s="283">
        <v>252637.0</v>
      </c>
      <c r="D307" s="288" t="s">
        <v>2899</v>
      </c>
      <c r="E307" s="287">
        <v>252178.0</v>
      </c>
      <c r="F307" s="241" t="str">
        <f t="shared" si="0"/>
        <v/>
      </c>
    </row>
    <row r="308" spans="8:8" ht="15.75" customHeight="1">
      <c r="B308" s="317" t="s">
        <v>5039</v>
      </c>
      <c r="C308" s="283">
        <v>252663.0</v>
      </c>
      <c r="D308" s="288" t="s">
        <v>2503</v>
      </c>
      <c r="E308" s="287">
        <v>252187.0</v>
      </c>
      <c r="F308" s="241" t="str">
        <f t="shared" si="0"/>
        <v/>
      </c>
    </row>
    <row r="309" spans="8:8" ht="15.75" customHeight="1">
      <c r="B309" s="317" t="s">
        <v>5095</v>
      </c>
      <c r="C309" s="323"/>
      <c r="D309" s="288" t="s">
        <v>4621</v>
      </c>
      <c r="E309" s="287">
        <v>252193.0</v>
      </c>
      <c r="F309" s="241" t="str">
        <f t="shared" si="0"/>
        <v/>
      </c>
    </row>
    <row r="310" spans="8:8" ht="15.75" customHeight="1">
      <c r="B310" s="317" t="s">
        <v>2505</v>
      </c>
      <c r="C310" s="283">
        <v>252666.0</v>
      </c>
      <c r="D310" s="288" t="s">
        <v>5069</v>
      </c>
      <c r="E310" s="287">
        <v>252220.0</v>
      </c>
      <c r="F310" s="241" t="str">
        <f t="shared" si="0"/>
        <v/>
      </c>
    </row>
    <row r="311" spans="8:8" ht="15.75" customHeight="1">
      <c r="B311" s="317" t="s">
        <v>2506</v>
      </c>
      <c r="C311" s="283">
        <v>252670.0</v>
      </c>
      <c r="D311" s="288" t="s">
        <v>5070</v>
      </c>
      <c r="E311" s="287">
        <v>252282.0</v>
      </c>
      <c r="F311" s="241" t="str">
        <f t="shared" si="0"/>
        <v/>
      </c>
    </row>
    <row r="312" spans="8:8" ht="15.75" customHeight="1">
      <c r="B312" s="317" t="s">
        <v>2507</v>
      </c>
      <c r="C312" s="283">
        <v>252854.0</v>
      </c>
      <c r="D312" s="288" t="s">
        <v>4622</v>
      </c>
      <c r="E312" s="287">
        <v>252198.0</v>
      </c>
      <c r="F312" s="241" t="str">
        <f t="shared" si="0"/>
        <v/>
      </c>
    </row>
    <row r="313" spans="8:8" ht="15.75" customHeight="1">
      <c r="B313" s="317" t="s">
        <v>4635</v>
      </c>
      <c r="C313" s="283">
        <v>252673.0</v>
      </c>
      <c r="D313" s="288" t="s">
        <v>4623</v>
      </c>
      <c r="E313" s="287">
        <v>252222.0</v>
      </c>
      <c r="F313" s="241" t="str">
        <f t="shared" si="0"/>
        <v/>
      </c>
    </row>
    <row r="314" spans="8:8" ht="15.75" customHeight="1">
      <c r="B314" s="317" t="s">
        <v>2908</v>
      </c>
      <c r="C314" s="283">
        <v>252675.0</v>
      </c>
      <c r="D314" s="288" t="s">
        <v>4624</v>
      </c>
      <c r="E314" s="287">
        <v>252277.0</v>
      </c>
      <c r="F314" s="241" t="str">
        <f t="shared" si="0"/>
        <v/>
      </c>
    </row>
    <row r="315" spans="8:8" ht="15.75" customHeight="1">
      <c r="B315" s="317" t="s">
        <v>4634</v>
      </c>
      <c r="C315" s="283">
        <v>252569.0</v>
      </c>
      <c r="D315" s="288" t="s">
        <v>2900</v>
      </c>
      <c r="E315" s="287">
        <v>252251.0</v>
      </c>
      <c r="F315" s="241" t="str">
        <f t="shared" si="0"/>
        <v/>
      </c>
    </row>
    <row r="316" spans="8:8" ht="15.75" customHeight="1">
      <c r="B316" s="317" t="s">
        <v>2508</v>
      </c>
      <c r="C316" s="283">
        <v>252685.0</v>
      </c>
      <c r="D316" s="288" t="s">
        <v>2901</v>
      </c>
      <c r="E316" s="287">
        <v>252283.0</v>
      </c>
      <c r="F316" s="241" t="str">
        <f t="shared" si="0"/>
        <v/>
      </c>
    </row>
    <row r="317" spans="8:8" ht="15.75" customHeight="1">
      <c r="B317" s="317" t="s">
        <v>4609</v>
      </c>
      <c r="C317" s="283">
        <v>252703.0</v>
      </c>
      <c r="D317" s="288" t="s">
        <v>4625</v>
      </c>
      <c r="E317" s="287">
        <v>252202.0</v>
      </c>
      <c r="F317" s="241" t="str">
        <f t="shared" si="0"/>
        <v/>
      </c>
    </row>
    <row r="318" spans="8:8" ht="15.75" customHeight="1">
      <c r="B318" s="317" t="s">
        <v>2509</v>
      </c>
      <c r="C318" s="283">
        <v>252712.0</v>
      </c>
      <c r="D318" s="288" t="s">
        <v>4626</v>
      </c>
      <c r="E318" s="287">
        <v>252219.0</v>
      </c>
      <c r="F318" s="241" t="str">
        <f t="shared" si="0"/>
        <v/>
      </c>
    </row>
    <row r="319" spans="8:8" ht="15.75" customHeight="1">
      <c r="B319" s="317" t="s">
        <v>2926</v>
      </c>
      <c r="C319" s="283">
        <v>252843.0</v>
      </c>
      <c r="D319" s="288" t="s">
        <v>4555</v>
      </c>
      <c r="E319" s="287">
        <v>252276.0</v>
      </c>
      <c r="F319" s="241" t="str">
        <f t="shared" si="0"/>
        <v/>
      </c>
    </row>
    <row r="320" spans="8:8" ht="15.75" customHeight="1">
      <c r="B320" s="317" t="s">
        <v>2510</v>
      </c>
      <c r="C320" s="283">
        <v>252715.0</v>
      </c>
      <c r="D320" s="288" t="s">
        <v>2902</v>
      </c>
      <c r="E320" s="287">
        <v>252262.0</v>
      </c>
      <c r="F320" s="241" t="str">
        <f t="shared" si="0"/>
        <v/>
      </c>
    </row>
    <row r="321" spans="8:8" ht="15.75" customHeight="1">
      <c r="B321" s="317" t="s">
        <v>2511</v>
      </c>
      <c r="C321" s="283">
        <v>252716.0</v>
      </c>
      <c r="D321" s="288" t="s">
        <v>2903</v>
      </c>
      <c r="E321" s="287">
        <v>252323.0</v>
      </c>
      <c r="F321" s="241" t="str">
        <f t="shared" si="0"/>
        <v/>
      </c>
    </row>
    <row r="322" spans="8:8" ht="15.75" customHeight="1">
      <c r="B322" s="317" t="s">
        <v>4592</v>
      </c>
      <c r="C322" s="283">
        <v>252723.0</v>
      </c>
      <c r="D322" s="288" t="s">
        <v>2904</v>
      </c>
      <c r="E322" s="287">
        <v>252322.0</v>
      </c>
      <c r="F322" s="241" t="str">
        <f t="shared" si="0"/>
        <v/>
      </c>
    </row>
    <row r="323" spans="8:8" ht="15.75" customHeight="1">
      <c r="B323" s="317" t="s">
        <v>2910</v>
      </c>
      <c r="C323" s="283">
        <v>252725.0</v>
      </c>
      <c r="D323" s="288" t="s">
        <v>4627</v>
      </c>
      <c r="E323" s="287">
        <v>252334.0</v>
      </c>
      <c r="F323" s="241" t="str">
        <f t="shared" si="0"/>
        <v/>
      </c>
    </row>
    <row r="324" spans="8:8" ht="15.75" customHeight="1">
      <c r="B324" s="317" t="s">
        <v>2911</v>
      </c>
      <c r="C324" s="283">
        <v>252726.0</v>
      </c>
      <c r="D324" s="288" t="s">
        <v>4628</v>
      </c>
      <c r="E324" s="287">
        <v>241670.0</v>
      </c>
      <c r="F324" s="241" t="str">
        <f t="shared" si="0"/>
        <v/>
      </c>
    </row>
    <row r="325" spans="8:8" ht="15.75" customHeight="1">
      <c r="B325" s="317" t="s">
        <v>4613</v>
      </c>
      <c r="C325" s="283">
        <v>252735.0</v>
      </c>
      <c r="D325" s="288" t="s">
        <v>4629</v>
      </c>
      <c r="E325" s="287">
        <v>241734.0</v>
      </c>
      <c r="F325" s="241" t="str">
        <f t="shared" si="0"/>
        <v/>
      </c>
    </row>
    <row r="326" spans="8:8" ht="15.75" customHeight="1">
      <c r="B326" s="317" t="s">
        <v>4760</v>
      </c>
      <c r="C326" s="283">
        <v>252708.0</v>
      </c>
      <c r="D326" s="288" t="s">
        <v>4630</v>
      </c>
      <c r="E326" s="287">
        <v>241733.0</v>
      </c>
      <c r="F326" s="241" t="str">
        <f t="shared" si="0"/>
        <v/>
      </c>
    </row>
    <row r="327" spans="8:8" ht="15.75" customHeight="1">
      <c r="B327" s="317" t="s">
        <v>5096</v>
      </c>
      <c r="C327" s="323"/>
      <c r="D327" s="288" t="s">
        <v>4631</v>
      </c>
      <c r="E327" s="287">
        <v>241712.0</v>
      </c>
      <c r="F327" s="241" t="str">
        <f t="shared" si="0"/>
        <v/>
      </c>
    </row>
    <row r="328" spans="8:8" ht="15.75" customHeight="1">
      <c r="B328" s="317" t="s">
        <v>4761</v>
      </c>
      <c r="C328" s="283">
        <v>252744.0</v>
      </c>
      <c r="D328" s="288" t="s">
        <v>2905</v>
      </c>
      <c r="E328" s="287">
        <v>241866.0</v>
      </c>
      <c r="F328" s="241" t="str">
        <f t="shared" si="0"/>
        <v/>
      </c>
    </row>
    <row r="329" spans="8:8" ht="15.75" customHeight="1">
      <c r="B329" s="317" t="s">
        <v>4765</v>
      </c>
      <c r="C329" s="283">
        <v>252850.0</v>
      </c>
      <c r="D329" s="288" t="s">
        <v>5072</v>
      </c>
      <c r="E329" s="287">
        <v>241905.0</v>
      </c>
      <c r="F329" s="241" t="str">
        <f t="shared" si="0"/>
        <v/>
      </c>
    </row>
    <row r="330" spans="8:8" ht="15.75" customHeight="1">
      <c r="B330" s="317" t="s">
        <v>4899</v>
      </c>
      <c r="C330" s="283">
        <v>252762.0</v>
      </c>
      <c r="D330" s="288" t="s">
        <v>2737</v>
      </c>
      <c r="E330" s="287">
        <v>252317.0</v>
      </c>
      <c r="F330" s="241" t="str">
        <f t="shared" si="0"/>
        <v/>
      </c>
    </row>
    <row r="331" spans="8:8" ht="15.75" customHeight="1">
      <c r="B331" s="317" t="s">
        <v>3221</v>
      </c>
      <c r="C331" s="283">
        <v>252770.0</v>
      </c>
      <c r="D331" s="288" t="s">
        <v>2927</v>
      </c>
      <c r="E331" s="287">
        <v>251967.0</v>
      </c>
      <c r="F331" s="241" t="str">
        <f t="shared" si="0"/>
        <v/>
      </c>
    </row>
    <row r="332" spans="8:8" ht="15.75" customHeight="1">
      <c r="B332" s="317" t="s">
        <v>4418</v>
      </c>
      <c r="C332" s="283">
        <v>252977.0</v>
      </c>
      <c r="D332" s="288" t="s">
        <v>5073</v>
      </c>
      <c r="E332" s="287">
        <v>252236.0</v>
      </c>
      <c r="F332" s="241" t="str">
        <f t="shared" si="0"/>
        <v/>
      </c>
    </row>
    <row r="333" spans="8:8" ht="15.75" customHeight="1">
      <c r="B333" s="317" t="s">
        <v>4723</v>
      </c>
      <c r="C333" s="283">
        <v>252808.0</v>
      </c>
      <c r="D333" s="288" t="s">
        <v>3441</v>
      </c>
      <c r="E333" s="287">
        <v>252213.0</v>
      </c>
      <c r="F333" s="241" t="str">
        <f t="shared" si="0"/>
        <v/>
      </c>
    </row>
    <row r="334" spans="8:8" ht="15.75" customHeight="1">
      <c r="B334" s="317" t="s">
        <v>2952</v>
      </c>
      <c r="C334" s="283">
        <v>252646.0</v>
      </c>
      <c r="D334" s="288" t="s">
        <v>2928</v>
      </c>
      <c r="E334" s="287">
        <v>252210.0</v>
      </c>
      <c r="F334" s="241" t="str">
        <f t="shared" si="0"/>
        <v/>
      </c>
    </row>
    <row r="335" spans="8:8" ht="15.75" customHeight="1">
      <c r="B335" s="317" t="s">
        <v>2497</v>
      </c>
      <c r="C335" s="283">
        <v>252484.0</v>
      </c>
      <c r="D335" s="288" t="s">
        <v>4641</v>
      </c>
      <c r="E335" s="287">
        <v>252289.0</v>
      </c>
      <c r="F335" s="241" t="str">
        <f t="shared" si="0"/>
        <v/>
      </c>
    </row>
    <row r="336" spans="8:8" ht="15.75" customHeight="1">
      <c r="B336" s="317" t="s">
        <v>4614</v>
      </c>
      <c r="C336" s="283">
        <v>252797.0</v>
      </c>
      <c r="D336" s="288" t="s">
        <v>5074</v>
      </c>
      <c r="E336" s="287">
        <v>252211.0</v>
      </c>
      <c r="F336" s="241" t="str">
        <f t="shared" si="0"/>
        <v/>
      </c>
    </row>
    <row r="337" spans="8:8" ht="15.75" customHeight="1">
      <c r="B337" s="317" t="s">
        <v>4695</v>
      </c>
      <c r="C337" s="283">
        <v>252830.0</v>
      </c>
      <c r="D337" s="288" t="s">
        <v>4642</v>
      </c>
      <c r="E337" s="287">
        <v>241958.0</v>
      </c>
      <c r="F337" s="241" t="str">
        <f t="shared" si="0"/>
        <v/>
      </c>
    </row>
    <row r="338" spans="8:8" ht="15.75" customHeight="1">
      <c r="B338" s="317" t="s">
        <v>4652</v>
      </c>
      <c r="C338" s="283">
        <v>253028.0</v>
      </c>
      <c r="D338" s="288" t="s">
        <v>2929</v>
      </c>
      <c r="E338" s="287">
        <v>241704.0</v>
      </c>
      <c r="F338" s="241" t="str">
        <f t="shared" si="0"/>
        <v/>
      </c>
    </row>
    <row r="339" spans="8:8" ht="15.75" customHeight="1">
      <c r="B339" s="317" t="s">
        <v>4696</v>
      </c>
      <c r="C339" s="283">
        <v>252514.0</v>
      </c>
      <c r="D339" s="288" t="s">
        <v>2930</v>
      </c>
      <c r="E339" s="287">
        <v>241710.0</v>
      </c>
      <c r="F339" s="241" t="str">
        <f t="shared" si="0"/>
        <v/>
      </c>
    </row>
    <row r="340" spans="8:8" ht="15.75" customHeight="1">
      <c r="B340" s="317" t="s">
        <v>4435</v>
      </c>
      <c r="C340" s="283">
        <v>252754.0</v>
      </c>
      <c r="D340" s="288" t="s">
        <v>4643</v>
      </c>
      <c r="E340" s="287">
        <v>241679.0</v>
      </c>
      <c r="F340" s="241" t="str">
        <f t="shared" si="0"/>
        <v/>
      </c>
    </row>
    <row r="341" spans="8:8" ht="15.75" customHeight="1">
      <c r="B341" s="317" t="s">
        <v>4904</v>
      </c>
      <c r="C341" s="283">
        <v>252736.0</v>
      </c>
      <c r="D341" s="288" t="s">
        <v>4644</v>
      </c>
      <c r="E341" s="287">
        <v>241722.0</v>
      </c>
      <c r="F341" s="241" t="str">
        <f t="shared" si="0"/>
        <v/>
      </c>
    </row>
    <row r="342" spans="8:8" ht="15.75" customHeight="1">
      <c r="B342" s="317" t="s">
        <v>4733</v>
      </c>
      <c r="C342" s="283">
        <v>253022.0</v>
      </c>
      <c r="D342" s="288" t="s">
        <v>4654</v>
      </c>
      <c r="E342" s="287">
        <v>251850.0</v>
      </c>
      <c r="F342" s="241" t="str">
        <f t="shared" si="0"/>
        <v/>
      </c>
    </row>
    <row r="343" spans="8:8" ht="15.75" customHeight="1">
      <c r="B343" s="317" t="s">
        <v>4436</v>
      </c>
      <c r="C343" s="283">
        <v>252931.0</v>
      </c>
      <c r="D343" s="288" t="s">
        <v>2938</v>
      </c>
      <c r="E343" s="287">
        <v>252256.0</v>
      </c>
      <c r="F343" s="241" t="str">
        <f t="shared" si="0"/>
        <v/>
      </c>
    </row>
    <row r="344" spans="8:8" ht="15.75" customHeight="1">
      <c r="B344" s="317" t="s">
        <v>4735</v>
      </c>
      <c r="C344" s="283">
        <v>253139.0</v>
      </c>
      <c r="D344" s="288" t="s">
        <v>4655</v>
      </c>
      <c r="E344" s="287">
        <v>252311.0</v>
      </c>
      <c r="F344" s="241" t="str">
        <f t="shared" si="0"/>
        <v/>
      </c>
    </row>
    <row r="345" spans="8:8" ht="15.75" customHeight="1">
      <c r="B345" s="317" t="s">
        <v>4663</v>
      </c>
      <c r="C345" s="283">
        <v>252520.0</v>
      </c>
      <c r="D345" s="288" t="s">
        <v>2882</v>
      </c>
      <c r="E345" s="287">
        <v>241907.0</v>
      </c>
      <c r="F345" s="241" t="str">
        <f t="shared" si="0"/>
        <v/>
      </c>
    </row>
    <row r="346" spans="8:8" ht="15.75" customHeight="1">
      <c r="B346" s="317" t="s">
        <v>2946</v>
      </c>
      <c r="C346" s="283">
        <v>253170.0</v>
      </c>
      <c r="D346" s="288" t="s">
        <v>4656</v>
      </c>
      <c r="E346" s="287">
        <v>252280.0</v>
      </c>
      <c r="F346" s="241" t="str">
        <f t="shared" si="0"/>
        <v/>
      </c>
    </row>
    <row r="347" spans="8:8" ht="15.75" customHeight="1">
      <c r="B347" s="317" t="s">
        <v>4629</v>
      </c>
      <c r="C347" s="283">
        <v>241734.0</v>
      </c>
      <c r="D347" s="288" t="s">
        <v>4657</v>
      </c>
      <c r="E347" s="287">
        <v>241906.0</v>
      </c>
      <c r="F347" s="241" t="str">
        <f t="shared" si="0"/>
        <v/>
      </c>
    </row>
    <row r="348" spans="8:8" ht="15.75" customHeight="1">
      <c r="B348" s="317" t="s">
        <v>4630</v>
      </c>
      <c r="C348" s="283">
        <v>241733.0</v>
      </c>
      <c r="D348" s="288" t="s">
        <v>2939</v>
      </c>
      <c r="E348" s="287">
        <v>241706.0</v>
      </c>
      <c r="F348" s="241" t="str">
        <f t="shared" si="0"/>
        <v/>
      </c>
    </row>
    <row r="349" spans="8:8" ht="15.75" customHeight="1">
      <c r="B349" s="317" t="s">
        <v>4631</v>
      </c>
      <c r="C349" s="283">
        <v>241712.0</v>
      </c>
      <c r="D349" s="288" t="s">
        <v>2940</v>
      </c>
      <c r="E349" s="287">
        <v>241813.0</v>
      </c>
      <c r="F349" s="241" t="str">
        <f t="shared" si="0"/>
        <v/>
      </c>
    </row>
    <row r="350" spans="8:8" ht="15.75" customHeight="1">
      <c r="B350" s="317" t="s">
        <v>2905</v>
      </c>
      <c r="C350" s="283">
        <v>241866.0</v>
      </c>
      <c r="D350" s="288" t="s">
        <v>2941</v>
      </c>
      <c r="E350" s="287">
        <v>241856.0</v>
      </c>
      <c r="F350" s="241" t="str">
        <f t="shared" si="0"/>
        <v/>
      </c>
    </row>
    <row r="351" spans="8:8" ht="15.75" customHeight="1">
      <c r="B351" s="317" t="s">
        <v>2882</v>
      </c>
      <c r="C351" s="283">
        <v>241907.0</v>
      </c>
      <c r="D351" s="288" t="s">
        <v>2951</v>
      </c>
      <c r="E351" s="287">
        <v>241913.0</v>
      </c>
      <c r="F351" s="241" t="str">
        <f t="shared" si="0"/>
        <v/>
      </c>
    </row>
    <row r="352" spans="8:8" ht="15.75" customHeight="1">
      <c r="B352" s="317" t="s">
        <v>2929</v>
      </c>
      <c r="C352" s="283">
        <v>241704.0</v>
      </c>
      <c r="D352" s="288" t="s">
        <v>2942</v>
      </c>
      <c r="E352" s="287">
        <v>241732.0</v>
      </c>
      <c r="F352" s="241" t="str">
        <f t="shared" si="0"/>
        <v/>
      </c>
    </row>
    <row r="353" spans="8:8" ht="15.75" customHeight="1">
      <c r="B353" s="317" t="s">
        <v>2930</v>
      </c>
      <c r="C353" s="283">
        <v>241710.0</v>
      </c>
      <c r="D353" s="288" t="s">
        <v>2943</v>
      </c>
      <c r="E353" s="287">
        <v>241707.0</v>
      </c>
      <c r="F353" s="241" t="str">
        <f t="shared" si="0"/>
        <v/>
      </c>
    </row>
    <row r="354" spans="8:8" ht="15.75" customHeight="1">
      <c r="B354" s="317" t="s">
        <v>4643</v>
      </c>
      <c r="C354" s="283">
        <v>241679.0</v>
      </c>
      <c r="D354" s="288" t="s">
        <v>2944</v>
      </c>
      <c r="E354" s="287">
        <v>241711.0</v>
      </c>
      <c r="F354" s="241" t="str">
        <f t="shared" si="0"/>
        <v/>
      </c>
    </row>
    <row r="355" spans="8:8" ht="15.75" customHeight="1">
      <c r="B355" s="317" t="s">
        <v>4657</v>
      </c>
      <c r="C355" s="283">
        <v>241906.0</v>
      </c>
      <c r="D355" s="288" t="s">
        <v>4658</v>
      </c>
      <c r="E355" s="287">
        <v>252958.0</v>
      </c>
      <c r="F355" s="241" t="str">
        <f t="shared" si="0"/>
        <v/>
      </c>
    </row>
    <row r="356" spans="8:8" ht="15.75" customHeight="1">
      <c r="B356" s="317" t="s">
        <v>2939</v>
      </c>
      <c r="C356" s="283">
        <v>241706.0</v>
      </c>
      <c r="D356" s="288" t="s">
        <v>5076</v>
      </c>
      <c r="E356" s="287">
        <v>241695.0</v>
      </c>
      <c r="F356" s="241" t="str">
        <f t="shared" si="0"/>
        <v/>
      </c>
    </row>
    <row r="357" spans="8:8" ht="15.75" customHeight="1">
      <c r="B357" s="317" t="s">
        <v>2940</v>
      </c>
      <c r="C357" s="283">
        <v>241813.0</v>
      </c>
      <c r="D357" s="288" t="s">
        <v>5077</v>
      </c>
      <c r="E357" s="287">
        <v>241703.0</v>
      </c>
      <c r="F357" s="241" t="str">
        <f t="shared" si="0"/>
        <v/>
      </c>
    </row>
    <row r="358" spans="8:8" ht="15.75" customHeight="1">
      <c r="B358" s="317" t="s">
        <v>2941</v>
      </c>
      <c r="C358" s="283">
        <v>241856.0</v>
      </c>
      <c r="D358" s="288" t="s">
        <v>4659</v>
      </c>
      <c r="E358" s="287">
        <v>241669.0</v>
      </c>
      <c r="F358" s="241" t="str">
        <f t="shared" si="0"/>
        <v/>
      </c>
    </row>
    <row r="359" spans="8:8" ht="15.75" customHeight="1">
      <c r="B359" s="317" t="s">
        <v>2951</v>
      </c>
      <c r="C359" s="283">
        <v>241913.0</v>
      </c>
      <c r="D359" s="288" t="s">
        <v>5078</v>
      </c>
      <c r="E359" s="287">
        <v>252341.0</v>
      </c>
      <c r="F359" s="241" t="str">
        <f t="shared" si="0"/>
        <v/>
      </c>
    </row>
    <row r="360" spans="8:8" ht="15.75" customHeight="1">
      <c r="B360" s="317" t="s">
        <v>2942</v>
      </c>
      <c r="C360" s="283">
        <v>241732.0</v>
      </c>
      <c r="D360" s="288" t="s">
        <v>3260</v>
      </c>
      <c r="E360" s="287">
        <v>241671.0</v>
      </c>
      <c r="F360" s="241" t="str">
        <f t="shared" si="0"/>
        <v/>
      </c>
    </row>
    <row r="361" spans="8:8" ht="15.75" customHeight="1">
      <c r="B361" s="317" t="s">
        <v>2943</v>
      </c>
      <c r="C361" s="283">
        <v>241707.0</v>
      </c>
      <c r="D361" s="288" t="s">
        <v>2868</v>
      </c>
      <c r="E361" s="287">
        <v>241705.0</v>
      </c>
      <c r="F361" s="241" t="str">
        <f t="shared" si="0"/>
        <v/>
      </c>
    </row>
    <row r="362" spans="8:8" ht="15.75" customHeight="1">
      <c r="B362" s="317" t="s">
        <v>2944</v>
      </c>
      <c r="C362" s="283">
        <v>241711.0</v>
      </c>
      <c r="D362" s="288" t="s">
        <v>4660</v>
      </c>
      <c r="E362" s="287">
        <v>241709.0</v>
      </c>
      <c r="F362" s="241" t="str">
        <f t="shared" si="0"/>
        <v/>
      </c>
    </row>
    <row r="363" spans="8:8" ht="15.75" customHeight="1">
      <c r="B363" s="317" t="s">
        <v>5077</v>
      </c>
      <c r="C363" s="283">
        <v>241703.0</v>
      </c>
      <c r="D363" s="288" t="s">
        <v>4661</v>
      </c>
      <c r="E363" s="287">
        <v>251932.0</v>
      </c>
      <c r="F363" s="241" t="str">
        <f t="shared" si="0"/>
        <v/>
      </c>
    </row>
    <row r="364" spans="8:8" ht="15.75" customHeight="1">
      <c r="B364" s="317" t="s">
        <v>3260</v>
      </c>
      <c r="C364" s="283">
        <v>241671.0</v>
      </c>
      <c r="D364" s="267"/>
      <c r="E364" s="267"/>
      <c r="F364" s="241" t="str">
        <f t="shared" si="0"/>
        <v/>
      </c>
    </row>
    <row r="365" spans="8:8" ht="15.75" customHeight="1">
      <c r="B365" s="317" t="s">
        <v>2868</v>
      </c>
      <c r="C365" s="283">
        <v>241705.0</v>
      </c>
      <c r="D365" s="288" t="s">
        <v>4028</v>
      </c>
      <c r="E365" s="287">
        <v>240053.0</v>
      </c>
      <c r="F365" s="241" t="str">
        <f t="shared" si="0"/>
        <v/>
      </c>
    </row>
    <row r="366" spans="8:8" ht="15.75" customHeight="1">
      <c r="B366" s="317" t="s">
        <v>2513</v>
      </c>
      <c r="C366" s="283">
        <v>253105.0</v>
      </c>
      <c r="D366" s="288" t="s">
        <v>3202</v>
      </c>
      <c r="E366" s="287">
        <v>240019.0</v>
      </c>
      <c r="F366" s="241" t="str">
        <f t="shared" si="0"/>
        <v/>
      </c>
    </row>
    <row r="367" spans="8:8" ht="15.75" customHeight="1">
      <c r="B367" s="317" t="s">
        <v>4755</v>
      </c>
      <c r="C367" s="283">
        <v>252760.0</v>
      </c>
      <c r="D367" s="288" t="s">
        <v>4669</v>
      </c>
      <c r="E367" s="287">
        <v>240010.0</v>
      </c>
      <c r="F367" s="241" t="str">
        <f t="shared" si="0"/>
        <v/>
      </c>
    </row>
    <row r="368" spans="8:8" ht="15.75" customHeight="1">
      <c r="B368" s="318" t="s">
        <v>4983</v>
      </c>
      <c r="C368" s="319">
        <v>251016.0</v>
      </c>
      <c r="D368" s="288" t="s">
        <v>4670</v>
      </c>
      <c r="E368" s="287">
        <v>240240.0</v>
      </c>
      <c r="F368" s="241" t="str">
        <f t="shared" si="0"/>
        <v/>
      </c>
    </row>
    <row r="369" spans="8:8" ht="15.75" customHeight="1">
      <c r="B369" s="324" t="s">
        <v>1631</v>
      </c>
      <c r="C369" s="283">
        <v>250708.0</v>
      </c>
      <c r="D369" s="288" t="s">
        <v>3203</v>
      </c>
      <c r="E369" s="287">
        <v>240020.0</v>
      </c>
      <c r="F369" s="241" t="str">
        <f t="shared" si="0"/>
        <v/>
      </c>
    </row>
    <row r="370" spans="8:8" ht="15.75" customHeight="1">
      <c r="B370" s="318" t="s">
        <v>4990</v>
      </c>
      <c r="C370" s="319">
        <v>250679.0</v>
      </c>
      <c r="D370" s="288" t="s">
        <v>3204</v>
      </c>
      <c r="E370" s="287">
        <v>240236.0</v>
      </c>
      <c r="F370" s="241" t="str">
        <f t="shared" si="0"/>
        <v/>
      </c>
    </row>
    <row r="371" spans="8:8" ht="15.75" customHeight="1">
      <c r="B371" s="318" t="s">
        <v>1550</v>
      </c>
      <c r="C371" s="319">
        <v>250683.0</v>
      </c>
      <c r="D371" s="288" t="s">
        <v>4671</v>
      </c>
      <c r="E371" s="287">
        <v>240154.0</v>
      </c>
      <c r="F371" s="241" t="str">
        <f t="shared" si="0"/>
        <v/>
      </c>
    </row>
    <row r="372" spans="8:8" ht="15.75" customHeight="1">
      <c r="B372" s="318" t="s">
        <v>1531</v>
      </c>
      <c r="C372" s="319">
        <v>250693.0</v>
      </c>
      <c r="D372" s="288" t="s">
        <v>1568</v>
      </c>
      <c r="E372" s="287">
        <v>241936.0</v>
      </c>
      <c r="F372" s="241" t="str">
        <f t="shared" si="0"/>
        <v/>
      </c>
    </row>
    <row r="373" spans="8:8" ht="15.75" customHeight="1">
      <c r="B373" s="318" t="s">
        <v>1633</v>
      </c>
      <c r="C373" s="319">
        <v>250707.0</v>
      </c>
      <c r="D373" s="288" t="s">
        <v>4672</v>
      </c>
      <c r="E373" s="287">
        <v>240552.0</v>
      </c>
      <c r="F373" s="241" t="str">
        <f t="shared" si="0"/>
        <v/>
      </c>
    </row>
    <row r="374" spans="8:8" ht="15.75" customHeight="1">
      <c r="B374" s="318" t="s">
        <v>1539</v>
      </c>
      <c r="C374" s="319">
        <v>250713.0</v>
      </c>
      <c r="D374" s="266" t="s">
        <v>4673</v>
      </c>
      <c r="E374" s="267">
        <v>251885.0</v>
      </c>
      <c r="F374" s="241" t="str">
        <f t="shared" si="0"/>
        <v/>
      </c>
    </row>
    <row r="375" spans="8:8" ht="15.75" customHeight="1">
      <c r="B375" s="318" t="s">
        <v>4553</v>
      </c>
      <c r="C375" s="319">
        <v>250697.0</v>
      </c>
      <c r="D375" s="266" t="s">
        <v>2513</v>
      </c>
      <c r="E375" s="267">
        <v>253105.0</v>
      </c>
      <c r="F375" s="241" t="str">
        <f t="shared" si="0"/>
        <v/>
      </c>
    </row>
    <row r="376" spans="8:8" ht="15.75" customHeight="1">
      <c r="B376" s="318" t="s">
        <v>1634</v>
      </c>
      <c r="C376" s="319">
        <v>250709.0</v>
      </c>
      <c r="D376" s="288" t="s">
        <v>3237</v>
      </c>
      <c r="E376" s="287">
        <v>240015.0</v>
      </c>
      <c r="F376" s="241" t="str">
        <f t="shared" si="0"/>
        <v/>
      </c>
    </row>
    <row r="377" spans="8:8" ht="15.75" customHeight="1">
      <c r="B377" s="318" t="s">
        <v>4537</v>
      </c>
      <c r="C377" s="319">
        <v>250668.0</v>
      </c>
      <c r="D377" s="288" t="s">
        <v>4524</v>
      </c>
      <c r="E377" s="287">
        <v>240137.0</v>
      </c>
      <c r="F377" s="241" t="str">
        <f t="shared" si="0"/>
        <v/>
      </c>
    </row>
    <row r="378" spans="8:8" ht="15.75" customHeight="1">
      <c r="B378" s="318" t="s">
        <v>1543</v>
      </c>
      <c r="C378" s="319">
        <v>250749.0</v>
      </c>
      <c r="D378" s="288" t="s">
        <v>4700</v>
      </c>
      <c r="E378" s="287">
        <v>240164.0</v>
      </c>
      <c r="F378" s="241" t="str">
        <f t="shared" si="0"/>
        <v/>
      </c>
    </row>
    <row r="379" spans="8:8" ht="15.75" customHeight="1">
      <c r="B379" s="318" t="s">
        <v>1544</v>
      </c>
      <c r="C379" s="319">
        <v>250767.0</v>
      </c>
      <c r="D379" s="288" t="s">
        <v>1505</v>
      </c>
      <c r="E379" s="287">
        <v>240547.0</v>
      </c>
      <c r="F379" s="241" t="str">
        <f t="shared" si="0"/>
        <v/>
      </c>
    </row>
    <row r="380" spans="8:8" ht="15.75" customHeight="1">
      <c r="B380" s="318" t="s">
        <v>1535</v>
      </c>
      <c r="C380" s="319">
        <v>250784.0</v>
      </c>
      <c r="D380" s="288" t="s">
        <v>1506</v>
      </c>
      <c r="E380" s="287">
        <v>240914.0</v>
      </c>
      <c r="F380" s="241" t="str">
        <f t="shared" si="0"/>
        <v/>
      </c>
    </row>
    <row r="381" spans="8:8" ht="15.75" customHeight="1">
      <c r="B381" s="318" t="s">
        <v>1558</v>
      </c>
      <c r="C381" s="319">
        <v>250808.0</v>
      </c>
      <c r="D381" s="288" t="s">
        <v>1502</v>
      </c>
      <c r="E381" s="287">
        <v>240962.0</v>
      </c>
      <c r="F381" s="241" t="str">
        <f t="shared" si="0"/>
        <v/>
      </c>
    </row>
    <row r="382" spans="8:8" ht="15.75" customHeight="1">
      <c r="B382" s="318" t="s">
        <v>1559</v>
      </c>
      <c r="C382" s="319">
        <v>250809.0</v>
      </c>
      <c r="D382" s="266" t="s">
        <v>4682</v>
      </c>
      <c r="E382" s="267">
        <v>240537.0</v>
      </c>
      <c r="F382" s="241" t="str">
        <f t="shared" si="0"/>
        <v/>
      </c>
    </row>
    <row r="383" spans="8:8" ht="15.75" customHeight="1">
      <c r="B383" s="318" t="s">
        <v>1536</v>
      </c>
      <c r="C383" s="319">
        <v>250810.0</v>
      </c>
      <c r="D383" s="288" t="s">
        <v>4683</v>
      </c>
      <c r="E383" s="287">
        <v>240918.0</v>
      </c>
      <c r="F383" s="241" t="str">
        <f t="shared" si="0"/>
        <v/>
      </c>
    </row>
    <row r="384" spans="8:8" ht="15.75" customHeight="1">
      <c r="B384" s="318" t="s">
        <v>4538</v>
      </c>
      <c r="C384" s="319">
        <v>250818.0</v>
      </c>
      <c r="D384" s="288" t="s">
        <v>4684</v>
      </c>
      <c r="E384" s="287">
        <v>241882.0</v>
      </c>
      <c r="F384" s="241" t="str">
        <f t="shared" si="0"/>
        <v/>
      </c>
    </row>
    <row r="385" spans="8:8" ht="15.75" customHeight="1">
      <c r="B385" s="318" t="s">
        <v>5098</v>
      </c>
      <c r="C385" s="319">
        <v>250824.0</v>
      </c>
      <c r="D385" s="288" t="s">
        <v>1499</v>
      </c>
      <c r="E385" s="287">
        <v>240605.0</v>
      </c>
      <c r="F385" s="241" t="str">
        <f t="shared" si="0"/>
        <v/>
      </c>
    </row>
    <row r="386" spans="8:8" ht="15.75" customHeight="1">
      <c r="B386" s="318" t="s">
        <v>449</v>
      </c>
      <c r="C386" s="319">
        <v>252872.0</v>
      </c>
      <c r="D386" s="288" t="s">
        <v>1487</v>
      </c>
      <c r="E386" s="287">
        <v>240925.0</v>
      </c>
      <c r="F386" s="241" t="str">
        <f t="shared" si="0"/>
        <v/>
      </c>
    </row>
    <row r="387" spans="8:8" ht="15.75" customHeight="1">
      <c r="B387" s="318" t="s">
        <v>4539</v>
      </c>
      <c r="C387" s="319">
        <v>250680.0</v>
      </c>
      <c r="D387" s="298" t="s">
        <v>3434</v>
      </c>
      <c r="E387" s="299">
        <v>240133.0</v>
      </c>
      <c r="F387" s="241" t="str">
        <f t="shared" si="0"/>
        <v/>
      </c>
    </row>
    <row r="388" spans="8:8" ht="15.75" customHeight="1">
      <c r="B388" s="318" t="s">
        <v>4645</v>
      </c>
      <c r="C388" s="319">
        <v>250807.0</v>
      </c>
      <c r="D388" s="288" t="s">
        <v>3249</v>
      </c>
      <c r="E388" s="287">
        <v>240044.0</v>
      </c>
      <c r="F388" s="241" t="str">
        <f t="shared" si="0"/>
        <v/>
      </c>
    </row>
    <row r="389" spans="8:8" ht="15.75" customHeight="1">
      <c r="B389" s="318" t="s">
        <v>1552</v>
      </c>
      <c r="C389" s="319">
        <v>250887.0</v>
      </c>
      <c r="D389" s="288" t="s">
        <v>3250</v>
      </c>
      <c r="E389" s="287">
        <v>240070.0</v>
      </c>
      <c r="F389" s="241" t="str">
        <f t="shared" si="0"/>
        <v/>
      </c>
    </row>
    <row r="390" spans="8:8" ht="15.75" customHeight="1">
      <c r="B390" s="318" t="s">
        <v>1643</v>
      </c>
      <c r="C390" s="319">
        <v>250917.0</v>
      </c>
      <c r="D390" s="288" t="s">
        <v>3251</v>
      </c>
      <c r="E390" s="287">
        <v>240074.0</v>
      </c>
      <c r="F390" s="241" t="str">
        <f t="shared" si="0"/>
        <v/>
      </c>
    </row>
    <row r="391" spans="8:8" ht="15.75" customHeight="1">
      <c r="B391" s="318" t="s">
        <v>1562</v>
      </c>
      <c r="C391" s="319">
        <v>250927.0</v>
      </c>
      <c r="D391" s="288" t="s">
        <v>4687</v>
      </c>
      <c r="E391" s="287">
        <v>240025.0</v>
      </c>
      <c r="F391" s="241" t="str">
        <f t="shared" si="0"/>
        <v/>
      </c>
    </row>
    <row r="392" spans="8:8" ht="15.75" customHeight="1">
      <c r="B392" s="318" t="s">
        <v>4994</v>
      </c>
      <c r="C392" s="319">
        <v>250942.0</v>
      </c>
      <c r="D392" s="288" t="s">
        <v>4688</v>
      </c>
      <c r="E392" s="287">
        <v>240195.0</v>
      </c>
      <c r="F392" s="241" t="str">
        <f t="shared" si="0"/>
        <v/>
      </c>
    </row>
    <row r="393" spans="8:8" ht="15.75" customHeight="1">
      <c r="B393" s="318" t="s">
        <v>1534</v>
      </c>
      <c r="C393" s="319">
        <v>250957.0</v>
      </c>
      <c r="D393" s="288" t="s">
        <v>3252</v>
      </c>
      <c r="E393" s="287">
        <v>240088.0</v>
      </c>
      <c r="F393" s="241" t="str">
        <f t="shared" si="0"/>
        <v/>
      </c>
    </row>
    <row r="394" spans="8:8" ht="15.75" customHeight="1">
      <c r="B394" s="318" t="s">
        <v>4996</v>
      </c>
      <c r="C394" s="319">
        <v>250962.0</v>
      </c>
      <c r="D394" s="288" t="s">
        <v>3253</v>
      </c>
      <c r="E394" s="287">
        <v>240159.0</v>
      </c>
      <c r="F394" s="241" t="str">
        <f t="shared" si="0"/>
        <v/>
      </c>
    </row>
    <row r="395" spans="8:8" ht="15.75" customHeight="1">
      <c r="B395" s="318" t="s">
        <v>4543</v>
      </c>
      <c r="C395" s="319">
        <v>250978.0</v>
      </c>
      <c r="D395" s="288" t="s">
        <v>3254</v>
      </c>
      <c r="E395" s="287">
        <v>240157.0</v>
      </c>
      <c r="F395" s="241" t="str">
        <f t="shared" si="0"/>
        <v/>
      </c>
    </row>
    <row r="396" spans="8:8" ht="15.75" customHeight="1">
      <c r="B396" s="318" t="s">
        <v>1556</v>
      </c>
      <c r="C396" s="319">
        <v>250985.0</v>
      </c>
      <c r="D396" s="288" t="s">
        <v>3255</v>
      </c>
      <c r="E396" s="287">
        <v>240043.0</v>
      </c>
      <c r="F396" s="241" t="str">
        <f t="shared" si="0"/>
        <v/>
      </c>
    </row>
    <row r="397" spans="8:8" ht="15.75" customHeight="1">
      <c r="B397" s="318" t="s">
        <v>4633</v>
      </c>
      <c r="C397" s="319">
        <v>250995.0</v>
      </c>
      <c r="D397" s="288" t="s">
        <v>3256</v>
      </c>
      <c r="E397" s="287">
        <v>240082.0</v>
      </c>
      <c r="F397" s="241" t="str">
        <f t="shared" si="0"/>
        <v/>
      </c>
    </row>
    <row r="398" spans="8:8" ht="15.75" customHeight="1">
      <c r="B398" s="318" t="s">
        <v>1533</v>
      </c>
      <c r="C398" s="319">
        <v>251026.0</v>
      </c>
      <c r="D398" s="288" t="s">
        <v>3257</v>
      </c>
      <c r="E398" s="287">
        <v>240211.0</v>
      </c>
      <c r="F398" s="241" t="str">
        <f t="shared" si="0"/>
        <v/>
      </c>
    </row>
    <row r="399" spans="8:8" ht="15.75" customHeight="1">
      <c r="B399" s="318" t="s">
        <v>4997</v>
      </c>
      <c r="C399" s="319">
        <v>251018.0</v>
      </c>
      <c r="D399" s="288" t="s">
        <v>4689</v>
      </c>
      <c r="E399" s="287">
        <v>240083.0</v>
      </c>
      <c r="F399" s="241" t="str">
        <f t="shared" si="0"/>
        <v/>
      </c>
    </row>
    <row r="400" spans="8:8" ht="15.75" customHeight="1">
      <c r="B400" s="318" t="s">
        <v>4649</v>
      </c>
      <c r="C400" s="319">
        <v>240661.0</v>
      </c>
      <c r="D400" s="288" t="s">
        <v>4743</v>
      </c>
      <c r="E400" s="287">
        <v>240173.0</v>
      </c>
      <c r="F400" s="241" t="str">
        <f t="shared" si="0"/>
        <v/>
      </c>
    </row>
    <row r="401" spans="8:8" ht="15.75" customHeight="1">
      <c r="B401" s="318" t="s">
        <v>4650</v>
      </c>
      <c r="C401" s="319">
        <v>240868.0</v>
      </c>
      <c r="D401" s="288" t="s">
        <v>3259</v>
      </c>
      <c r="E401" s="287">
        <v>240092.0</v>
      </c>
      <c r="F401" s="241" t="str">
        <f t="shared" si="0"/>
        <v/>
      </c>
    </row>
    <row r="402" spans="8:8" ht="15.75" customHeight="1">
      <c r="B402" s="318" t="s">
        <v>987</v>
      </c>
      <c r="C402" s="319">
        <v>253096.0</v>
      </c>
      <c r="D402" s="288" t="s">
        <v>4981</v>
      </c>
      <c r="E402" s="287">
        <v>240225.0</v>
      </c>
      <c r="F402" s="241" t="str">
        <f t="shared" si="0"/>
        <v/>
      </c>
    </row>
    <row r="403" spans="8:8" ht="15.75" customHeight="1">
      <c r="B403" s="318" t="s">
        <v>988</v>
      </c>
      <c r="C403" s="319">
        <v>251024.0</v>
      </c>
      <c r="D403" s="288" t="s">
        <v>4442</v>
      </c>
      <c r="E403" s="287">
        <v>240242.0</v>
      </c>
      <c r="F403" s="241" t="str">
        <f t="shared" si="0"/>
        <v/>
      </c>
    </row>
    <row r="404" spans="8:8" ht="15.75" customHeight="1">
      <c r="B404" s="318" t="s">
        <v>4651</v>
      </c>
      <c r="C404" s="319">
        <v>240746.0</v>
      </c>
      <c r="D404" s="288" t="s">
        <v>3436</v>
      </c>
      <c r="E404" s="287">
        <v>240399.0</v>
      </c>
      <c r="F404" s="241" t="str">
        <f t="shared" si="0"/>
        <v/>
      </c>
    </row>
    <row r="405" spans="8:8" ht="15.75" customHeight="1">
      <c r="B405" s="318" t="s">
        <v>4736</v>
      </c>
      <c r="C405" s="319">
        <v>240900.0</v>
      </c>
      <c r="D405" s="288" t="s">
        <v>2931</v>
      </c>
      <c r="E405" s="287">
        <v>240434.0</v>
      </c>
      <c r="F405" s="241" t="str">
        <f t="shared" si="0"/>
        <v/>
      </c>
    </row>
    <row r="406" spans="8:8" ht="15.75" customHeight="1">
      <c r="B406" s="318" t="s">
        <v>4737</v>
      </c>
      <c r="C406" s="319">
        <v>251007.0</v>
      </c>
      <c r="D406" s="288" t="s">
        <v>5079</v>
      </c>
      <c r="E406" s="287">
        <v>240408.0</v>
      </c>
      <c r="F406" s="241" t="str">
        <f t="shared" si="0"/>
        <v/>
      </c>
    </row>
    <row r="407" spans="8:8" ht="15.75" customHeight="1">
      <c r="B407" s="318" t="s">
        <v>4572</v>
      </c>
      <c r="C407" s="319">
        <v>250904.0</v>
      </c>
      <c r="D407" s="288" t="s">
        <v>4692</v>
      </c>
      <c r="E407" s="287">
        <v>240253.0</v>
      </c>
      <c r="F407" s="241" t="str">
        <f t="shared" si="0"/>
        <v/>
      </c>
    </row>
    <row r="408" spans="8:8" ht="15.75" customHeight="1">
      <c r="B408" s="318" t="s">
        <v>1492</v>
      </c>
      <c r="C408" s="319">
        <v>250996.0</v>
      </c>
      <c r="D408" s="288" t="s">
        <v>5080</v>
      </c>
      <c r="E408" s="287">
        <v>240371.0</v>
      </c>
      <c r="F408" s="241" t="str">
        <f t="shared" si="0"/>
        <v/>
      </c>
    </row>
    <row r="409" spans="8:8" ht="15.75" customHeight="1">
      <c r="B409" s="318" t="s">
        <v>3246</v>
      </c>
      <c r="C409" s="319">
        <v>250775.0</v>
      </c>
      <c r="D409" s="288" t="s">
        <v>4693</v>
      </c>
      <c r="E409" s="287">
        <v>240904.0</v>
      </c>
      <c r="F409" s="241" t="str">
        <f t="shared" si="0"/>
        <v/>
      </c>
    </row>
    <row r="410" spans="8:8" ht="15.75" customHeight="1">
      <c r="B410" s="318" t="s">
        <v>1507</v>
      </c>
      <c r="C410" s="319">
        <v>250896.0</v>
      </c>
      <c r="D410" s="288" t="s">
        <v>4680</v>
      </c>
      <c r="E410" s="287">
        <v>240439.0</v>
      </c>
      <c r="F410" s="241" t="str">
        <f t="shared" si="0"/>
        <v/>
      </c>
    </row>
    <row r="411" spans="8:8" ht="15.75" customHeight="1">
      <c r="B411" s="318" t="s">
        <v>4575</v>
      </c>
      <c r="C411" s="319">
        <v>240666.0</v>
      </c>
      <c r="D411" s="288" t="s">
        <v>3224</v>
      </c>
      <c r="E411" s="287">
        <v>240450.0</v>
      </c>
      <c r="F411" s="241" t="str">
        <f t="shared" si="0"/>
        <v/>
      </c>
    </row>
    <row r="412" spans="8:8" ht="15.75" customHeight="1">
      <c r="B412" s="318" t="s">
        <v>4568</v>
      </c>
      <c r="C412" s="319">
        <v>240611.0</v>
      </c>
      <c r="D412" s="288" t="s">
        <v>3225</v>
      </c>
      <c r="E412" s="287">
        <v>240453.0</v>
      </c>
      <c r="F412" s="241" t="str">
        <f t="shared" si="0"/>
        <v/>
      </c>
    </row>
    <row r="413" spans="8:8" ht="15.75" customHeight="1">
      <c r="B413" s="318" t="s">
        <v>4738</v>
      </c>
      <c r="C413" s="319">
        <v>250997.0</v>
      </c>
      <c r="D413" s="288" t="s">
        <v>3226</v>
      </c>
      <c r="E413" s="287">
        <v>240457.0</v>
      </c>
      <c r="F413" s="241" t="str">
        <f t="shared" si="0"/>
        <v/>
      </c>
    </row>
    <row r="414" spans="8:8" ht="15.75" customHeight="1">
      <c r="B414" s="318" t="s">
        <v>1514</v>
      </c>
      <c r="C414" s="319">
        <v>240511.0</v>
      </c>
      <c r="D414" s="288" t="s">
        <v>3227</v>
      </c>
      <c r="E414" s="287">
        <v>240258.0</v>
      </c>
      <c r="F414" s="241" t="str">
        <f t="shared" si="0"/>
        <v/>
      </c>
    </row>
    <row r="415" spans="8:8" ht="15.75" customHeight="1">
      <c r="B415" s="318" t="s">
        <v>1517</v>
      </c>
      <c r="C415" s="319">
        <v>251036.0</v>
      </c>
      <c r="D415" s="288" t="s">
        <v>4523</v>
      </c>
      <c r="E415" s="287">
        <v>240259.0</v>
      </c>
      <c r="F415" s="241" t="str">
        <f t="shared" si="0"/>
        <v/>
      </c>
    </row>
    <row r="416" spans="8:8" ht="15.75" customHeight="1">
      <c r="B416" s="318" t="s">
        <v>1518</v>
      </c>
      <c r="C416" s="319">
        <v>251068.0</v>
      </c>
      <c r="D416" s="288" t="s">
        <v>3228</v>
      </c>
      <c r="E416" s="287">
        <v>240315.0</v>
      </c>
      <c r="F416" s="241" t="str">
        <f t="shared" si="0"/>
        <v/>
      </c>
    </row>
    <row r="417" spans="8:8" ht="15.75" customHeight="1">
      <c r="B417" s="318" t="s">
        <v>1519</v>
      </c>
      <c r="C417" s="319">
        <v>251033.0</v>
      </c>
      <c r="D417" s="288" t="s">
        <v>3229</v>
      </c>
      <c r="E417" s="287">
        <v>240321.0</v>
      </c>
      <c r="F417" s="241" t="str">
        <f t="shared" si="0"/>
        <v/>
      </c>
    </row>
    <row r="418" spans="8:8" ht="15.75" customHeight="1">
      <c r="B418" s="318" t="s">
        <v>4581</v>
      </c>
      <c r="C418" s="319">
        <v>251072.0</v>
      </c>
      <c r="D418" s="288" t="s">
        <v>5081</v>
      </c>
      <c r="E418" s="287">
        <v>240326.0</v>
      </c>
      <c r="F418" s="241" t="str">
        <f t="shared" si="0"/>
        <v/>
      </c>
    </row>
    <row r="419" spans="8:8" ht="15.75" customHeight="1">
      <c r="B419" s="318" t="s">
        <v>1520</v>
      </c>
      <c r="C419" s="319">
        <v>251110.0</v>
      </c>
      <c r="D419" s="288" t="s">
        <v>3230</v>
      </c>
      <c r="E419" s="287">
        <v>240328.0</v>
      </c>
      <c r="F419" s="241" t="str">
        <f t="shared" si="0"/>
        <v/>
      </c>
    </row>
    <row r="420" spans="8:8" ht="15.75" customHeight="1">
      <c r="B420" s="318" t="s">
        <v>1521</v>
      </c>
      <c r="C420" s="319">
        <v>251125.0</v>
      </c>
      <c r="D420" s="288" t="s">
        <v>3231</v>
      </c>
      <c r="E420" s="287">
        <v>240329.0</v>
      </c>
      <c r="F420" s="241" t="str">
        <f t="shared" si="0"/>
        <v/>
      </c>
    </row>
    <row r="421" spans="8:8" ht="15.75" customHeight="1">
      <c r="B421" s="318" t="s">
        <v>4582</v>
      </c>
      <c r="C421" s="319">
        <v>251216.0</v>
      </c>
      <c r="D421" s="288" t="s">
        <v>5082</v>
      </c>
      <c r="E421" s="287">
        <v>240331.0</v>
      </c>
      <c r="F421" s="241" t="str">
        <f t="shared" si="0"/>
        <v/>
      </c>
    </row>
    <row r="422" spans="8:8" ht="15.75" customHeight="1">
      <c r="B422" s="318" t="s">
        <v>1523</v>
      </c>
      <c r="C422" s="319">
        <v>251199.0</v>
      </c>
      <c r="D422" s="288" t="s">
        <v>3232</v>
      </c>
      <c r="E422" s="287">
        <v>240342.0</v>
      </c>
      <c r="F422" s="241" t="str">
        <f t="shared" si="0"/>
        <v/>
      </c>
    </row>
    <row r="423" spans="8:8" ht="15.75" customHeight="1">
      <c r="B423" s="318" t="s">
        <v>1524</v>
      </c>
      <c r="C423" s="319">
        <v>251206.0</v>
      </c>
      <c r="D423" s="288" t="s">
        <v>3233</v>
      </c>
      <c r="E423" s="287">
        <v>240366.0</v>
      </c>
      <c r="F423" s="241" t="str">
        <f t="shared" si="0"/>
        <v/>
      </c>
    </row>
    <row r="424" spans="8:8" ht="15.75" customHeight="1">
      <c r="B424" s="318" t="s">
        <v>1525</v>
      </c>
      <c r="C424" s="319">
        <v>251234.0</v>
      </c>
      <c r="D424" s="288" t="s">
        <v>3234</v>
      </c>
      <c r="E424" s="287">
        <v>240461.0</v>
      </c>
      <c r="F424" s="241" t="str">
        <f t="shared" si="0"/>
        <v/>
      </c>
    </row>
    <row r="425" spans="8:8" ht="15.75" customHeight="1">
      <c r="B425" s="318" t="s">
        <v>1527</v>
      </c>
      <c r="C425" s="319">
        <v>251226.0</v>
      </c>
      <c r="D425" s="288" t="s">
        <v>1497</v>
      </c>
      <c r="E425" s="287">
        <v>240858.0</v>
      </c>
      <c r="F425" s="241" t="str">
        <f t="shared" si="0"/>
        <v/>
      </c>
    </row>
    <row r="426" spans="8:8" ht="15.75" customHeight="1">
      <c r="B426" s="318" t="s">
        <v>4583</v>
      </c>
      <c r="C426" s="319">
        <v>252987.0</v>
      </c>
      <c r="D426" s="288" t="s">
        <v>4699</v>
      </c>
      <c r="E426" s="287">
        <v>240747.0</v>
      </c>
      <c r="F426" s="241" t="str">
        <f t="shared" si="0"/>
        <v/>
      </c>
    </row>
    <row r="427" spans="8:8" ht="15.75" customHeight="1">
      <c r="B427" s="318" t="s">
        <v>5009</v>
      </c>
      <c r="C427" s="319">
        <v>252986.0</v>
      </c>
      <c r="D427" s="288" t="s">
        <v>1498</v>
      </c>
      <c r="E427" s="287">
        <v>240952.0</v>
      </c>
      <c r="F427" s="241" t="str">
        <f t="shared" si="0"/>
        <v/>
      </c>
    </row>
    <row r="428" spans="8:8" ht="15.75" customHeight="1">
      <c r="B428" s="318" t="s">
        <v>1489</v>
      </c>
      <c r="C428" s="319">
        <v>240488.0</v>
      </c>
      <c r="D428" s="288" t="s">
        <v>4701</v>
      </c>
      <c r="E428" s="287">
        <v>240835.0</v>
      </c>
      <c r="F428" s="241" t="str">
        <f t="shared" si="0"/>
        <v/>
      </c>
    </row>
    <row r="429" spans="8:8" ht="15.75" customHeight="1">
      <c r="B429" s="318" t="s">
        <v>1491</v>
      </c>
      <c r="C429" s="319">
        <v>240625.0</v>
      </c>
      <c r="D429" s="266" t="s">
        <v>4690</v>
      </c>
      <c r="E429" s="267">
        <v>240881.0</v>
      </c>
      <c r="F429" s="241" t="str">
        <f t="shared" si="0"/>
        <v/>
      </c>
    </row>
    <row r="430" spans="8:8" ht="15.75" customHeight="1">
      <c r="B430" s="318" t="s">
        <v>4570</v>
      </c>
      <c r="C430" s="319">
        <v>240950.0</v>
      </c>
      <c r="D430" s="288" t="s">
        <v>1488</v>
      </c>
      <c r="E430" s="287">
        <v>240863.0</v>
      </c>
      <c r="F430" s="241" t="str">
        <f t="shared" si="0"/>
        <v/>
      </c>
    </row>
    <row r="431" spans="8:8" ht="15.75" customHeight="1">
      <c r="B431" s="318" t="s">
        <v>1504</v>
      </c>
      <c r="C431" s="319">
        <v>240903.0</v>
      </c>
      <c r="D431" s="263" t="s">
        <v>1844</v>
      </c>
      <c r="E431" s="257">
        <v>241924.0</v>
      </c>
      <c r="F431" s="241" t="str">
        <f t="shared" si="0"/>
        <v/>
      </c>
    </row>
    <row r="432" spans="8:8" ht="15.75" customHeight="1">
      <c r="B432" s="318" t="s">
        <v>1501</v>
      </c>
      <c r="C432" s="319">
        <v>253069.0</v>
      </c>
      <c r="D432" s="267"/>
      <c r="E432" s="267"/>
      <c r="F432" s="241" t="str">
        <f t="shared" si="0"/>
        <v/>
      </c>
    </row>
    <row r="433" spans="8:8" ht="15.75" customHeight="1">
      <c r="B433" s="318" t="s">
        <v>1363</v>
      </c>
      <c r="C433" s="319">
        <v>240521.0</v>
      </c>
      <c r="D433" s="288" t="s">
        <v>4710</v>
      </c>
      <c r="E433" s="287">
        <v>251259.0</v>
      </c>
      <c r="F433" s="241" t="str">
        <f t="shared" si="0"/>
        <v/>
      </c>
    </row>
    <row r="434" spans="8:8" ht="15.75" customHeight="1">
      <c r="B434" s="318" t="s">
        <v>1503</v>
      </c>
      <c r="C434" s="319">
        <v>251217.0</v>
      </c>
      <c r="D434" s="266" t="s">
        <v>4889</v>
      </c>
      <c r="E434" s="267">
        <v>252425.0</v>
      </c>
      <c r="F434" s="241" t="str">
        <f t="shared" si="0"/>
        <v/>
      </c>
    </row>
    <row r="435" spans="8:8" ht="15.75" customHeight="1">
      <c r="B435" s="318" t="s">
        <v>4567</v>
      </c>
      <c r="C435" s="319">
        <v>240574.0</v>
      </c>
      <c r="D435" s="288" t="s">
        <v>4007</v>
      </c>
      <c r="E435" s="287">
        <v>251284.0</v>
      </c>
      <c r="F435" s="241" t="str">
        <f t="shared" si="0"/>
        <v/>
      </c>
    </row>
    <row r="436" spans="8:8" ht="15.75" customHeight="1">
      <c r="B436" s="318" t="s">
        <v>1478</v>
      </c>
      <c r="C436" s="319">
        <v>240659.0</v>
      </c>
      <c r="D436" s="288" t="s">
        <v>4008</v>
      </c>
      <c r="E436" s="287">
        <v>251297.0</v>
      </c>
      <c r="F436" s="241" t="str">
        <f t="shared" si="0"/>
        <v/>
      </c>
    </row>
    <row r="437" spans="8:8" ht="15.75" customHeight="1">
      <c r="B437" s="318" t="s">
        <v>1479</v>
      </c>
      <c r="C437" s="319">
        <v>240807.0</v>
      </c>
      <c r="D437" s="288" t="s">
        <v>4009</v>
      </c>
      <c r="E437" s="287">
        <v>251299.0</v>
      </c>
      <c r="F437" s="241" t="str">
        <f t="shared" si="0"/>
        <v/>
      </c>
    </row>
    <row r="438" spans="8:8" ht="15.75" customHeight="1">
      <c r="B438" s="317" t="s">
        <v>1567</v>
      </c>
      <c r="C438" s="283">
        <v>240753.0</v>
      </c>
      <c r="D438" s="288" t="s">
        <v>4711</v>
      </c>
      <c r="E438" s="287">
        <v>251305.0</v>
      </c>
      <c r="F438" s="241" t="str">
        <f t="shared" si="0"/>
        <v/>
      </c>
    </row>
    <row r="439" spans="8:8" ht="15.75" customHeight="1">
      <c r="B439" s="317" t="s">
        <v>5052</v>
      </c>
      <c r="C439" s="283">
        <v>240999.0</v>
      </c>
      <c r="D439" s="288" t="s">
        <v>4010</v>
      </c>
      <c r="E439" s="287">
        <v>251313.0</v>
      </c>
      <c r="F439" s="241" t="str">
        <f t="shared" si="0"/>
        <v/>
      </c>
    </row>
    <row r="440" spans="8:8" ht="15.75" customHeight="1">
      <c r="B440" s="317" t="s">
        <v>1496</v>
      </c>
      <c r="C440" s="283">
        <v>240599.0</v>
      </c>
      <c r="D440" s="288" t="s">
        <v>4011</v>
      </c>
      <c r="E440" s="287">
        <v>251317.0</v>
      </c>
      <c r="F440" s="241" t="str">
        <f t="shared" si="0"/>
        <v/>
      </c>
    </row>
    <row r="441" spans="8:8" ht="15.75" customHeight="1">
      <c r="B441" s="317" t="s">
        <v>4662</v>
      </c>
      <c r="C441" s="283">
        <v>240517.0</v>
      </c>
      <c r="D441" s="288" t="s">
        <v>4012</v>
      </c>
      <c r="E441" s="287">
        <v>251329.0</v>
      </c>
      <c r="F441" s="241" t="str">
        <f t="shared" si="0"/>
        <v/>
      </c>
    </row>
    <row r="442" spans="8:8" ht="15.75" customHeight="1">
      <c r="B442" s="317" t="s">
        <v>1500</v>
      </c>
      <c r="C442" s="283">
        <v>240483.0</v>
      </c>
      <c r="D442" s="288" t="s">
        <v>4013</v>
      </c>
      <c r="E442" s="287">
        <v>251331.0</v>
      </c>
      <c r="F442" s="241" t="str">
        <f t="shared" si="0"/>
        <v/>
      </c>
    </row>
    <row r="443" spans="8:8" ht="15.75" customHeight="1">
      <c r="B443" s="317" t="s">
        <v>4666</v>
      </c>
      <c r="C443" s="283">
        <v>240551.0</v>
      </c>
      <c r="D443" s="288" t="s">
        <v>4891</v>
      </c>
      <c r="E443" s="287">
        <v>251580.0</v>
      </c>
      <c r="F443" s="241" t="str">
        <f t="shared" si="0"/>
        <v/>
      </c>
    </row>
    <row r="444" spans="8:8" ht="15.75" customHeight="1">
      <c r="B444" s="317" t="s">
        <v>1568</v>
      </c>
      <c r="C444" s="283">
        <v>241936.0</v>
      </c>
      <c r="D444" s="288" t="s">
        <v>4014</v>
      </c>
      <c r="E444" s="287">
        <v>251354.0</v>
      </c>
      <c r="F444" s="241" t="str">
        <f t="shared" si="0"/>
        <v/>
      </c>
    </row>
    <row r="445" spans="8:8" ht="15.75" customHeight="1">
      <c r="B445" s="317" t="s">
        <v>4672</v>
      </c>
      <c r="C445" s="283">
        <v>240552.0</v>
      </c>
      <c r="D445" s="288" t="s">
        <v>4712</v>
      </c>
      <c r="E445" s="287">
        <v>251394.0</v>
      </c>
      <c r="F445" s="241" t="str">
        <f t="shared" si="0"/>
        <v/>
      </c>
    </row>
    <row r="446" spans="8:8" ht="15.75" customHeight="1">
      <c r="B446" s="317" t="s">
        <v>1505</v>
      </c>
      <c r="C446" s="283">
        <v>240547.0</v>
      </c>
      <c r="D446" s="288" t="s">
        <v>4015</v>
      </c>
      <c r="E446" s="287">
        <v>251399.0</v>
      </c>
      <c r="F446" s="241" t="str">
        <f t="shared" si="0"/>
        <v/>
      </c>
    </row>
    <row r="447" spans="8:8" ht="15.75" customHeight="1">
      <c r="B447" s="317" t="s">
        <v>1506</v>
      </c>
      <c r="C447" s="283">
        <v>240914.0</v>
      </c>
      <c r="D447" s="288" t="s">
        <v>4016</v>
      </c>
      <c r="E447" s="287">
        <v>251400.0</v>
      </c>
      <c r="F447" s="241" t="str">
        <f t="shared" si="0"/>
        <v/>
      </c>
    </row>
    <row r="448" spans="8:8" ht="15.75" customHeight="1">
      <c r="B448" s="317" t="s">
        <v>1502</v>
      </c>
      <c r="C448" s="283">
        <v>240962.0</v>
      </c>
      <c r="D448" s="288" t="s">
        <v>4018</v>
      </c>
      <c r="E448" s="287">
        <v>251405.0</v>
      </c>
      <c r="F448" s="241" t="str">
        <f t="shared" si="0"/>
        <v/>
      </c>
    </row>
    <row r="449" spans="8:8" ht="15.75" customHeight="1">
      <c r="B449" s="317" t="s">
        <v>4682</v>
      </c>
      <c r="C449" s="283">
        <v>240537.0</v>
      </c>
      <c r="D449" s="288" t="s">
        <v>4714</v>
      </c>
      <c r="E449" s="287">
        <v>251529.0</v>
      </c>
      <c r="F449" s="241" t="str">
        <f t="shared" si="0"/>
        <v/>
      </c>
    </row>
    <row r="450" spans="8:8" ht="15.75" customHeight="1">
      <c r="B450" s="317" t="s">
        <v>4683</v>
      </c>
      <c r="C450" s="283">
        <v>240918.0</v>
      </c>
      <c r="D450" s="288" t="s">
        <v>4019</v>
      </c>
      <c r="E450" s="287">
        <v>251531.0</v>
      </c>
      <c r="F450" s="241" t="str">
        <f t="shared" si="0"/>
        <v/>
      </c>
    </row>
    <row r="451" spans="8:8" ht="15.75" customHeight="1">
      <c r="B451" s="317" t="s">
        <v>1499</v>
      </c>
      <c r="C451" s="283">
        <v>240605.0</v>
      </c>
      <c r="D451" s="288" t="s">
        <v>4020</v>
      </c>
      <c r="E451" s="287">
        <v>251535.0</v>
      </c>
      <c r="F451" s="241" t="str">
        <f t="shared" si="0"/>
        <v/>
      </c>
    </row>
    <row r="452" spans="8:8" ht="15.75" customHeight="1">
      <c r="B452" s="317" t="s">
        <v>4684</v>
      </c>
      <c r="C452" s="283">
        <v>241882.0</v>
      </c>
      <c r="D452" s="288" t="s">
        <v>4715</v>
      </c>
      <c r="E452" s="287">
        <v>251538.0</v>
      </c>
      <c r="F452" s="241" t="str">
        <f t="shared" si="0"/>
        <v/>
      </c>
    </row>
    <row r="453" spans="8:8" ht="15.75" customHeight="1">
      <c r="B453" s="317" t="s">
        <v>1487</v>
      </c>
      <c r="C453" s="283">
        <v>240925.0</v>
      </c>
      <c r="D453" s="288" t="s">
        <v>4716</v>
      </c>
      <c r="E453" s="287">
        <v>251545.0</v>
      </c>
      <c r="F453" s="241" t="str">
        <f t="shared" si="0"/>
        <v/>
      </c>
    </row>
    <row r="454" spans="8:8" ht="15.75" customHeight="1">
      <c r="B454" s="317" t="s">
        <v>1497</v>
      </c>
      <c r="C454" s="283">
        <v>240858.0</v>
      </c>
      <c r="D454" s="288" t="s">
        <v>4021</v>
      </c>
      <c r="E454" s="287">
        <v>251546.0</v>
      </c>
      <c r="F454" s="241" t="str">
        <f t="shared" si="0"/>
        <v/>
      </c>
    </row>
    <row r="455" spans="8:8" ht="15.75" customHeight="1">
      <c r="B455" s="317" t="s">
        <v>4699</v>
      </c>
      <c r="C455" s="283">
        <v>240747.0</v>
      </c>
      <c r="D455" s="288" t="s">
        <v>4022</v>
      </c>
      <c r="E455" s="287">
        <v>251590.0</v>
      </c>
      <c r="F455" s="241" t="str">
        <f t="shared" si="0"/>
        <v/>
      </c>
    </row>
    <row r="456" spans="8:8" ht="15.75" customHeight="1">
      <c r="B456" s="317" t="s">
        <v>1498</v>
      </c>
      <c r="C456" s="283">
        <v>240952.0</v>
      </c>
      <c r="D456" s="288" t="s">
        <v>4717</v>
      </c>
      <c r="E456" s="287">
        <v>251614.0</v>
      </c>
      <c r="F456" s="241" t="str">
        <f t="shared" si="0"/>
        <v/>
      </c>
    </row>
    <row r="457" spans="8:8" ht="15.75" customHeight="1">
      <c r="B457" s="317" t="s">
        <v>4690</v>
      </c>
      <c r="C457" s="283">
        <v>240881.0</v>
      </c>
      <c r="D457" s="288" t="s">
        <v>4718</v>
      </c>
      <c r="E457" s="287">
        <v>241807.0</v>
      </c>
      <c r="F457" s="241" t="str">
        <f t="shared" si="0"/>
        <v/>
      </c>
    </row>
    <row r="458" spans="8:8" ht="15.75" customHeight="1">
      <c r="B458" s="317" t="s">
        <v>1488</v>
      </c>
      <c r="C458" s="283">
        <v>240863.0</v>
      </c>
      <c r="D458" s="288" t="s">
        <v>1542</v>
      </c>
      <c r="E458" s="287">
        <v>241616.0</v>
      </c>
      <c r="F458" s="241" t="str">
        <f t="shared" si="0"/>
        <v/>
      </c>
    </row>
    <row r="459" spans="8:8" ht="15.75" customHeight="1">
      <c r="B459" s="317" t="s">
        <v>1844</v>
      </c>
      <c r="C459" s="283">
        <v>241924.0</v>
      </c>
      <c r="D459" s="288" t="s">
        <v>4897</v>
      </c>
      <c r="E459" s="287">
        <v>241888.0</v>
      </c>
      <c r="F459" s="241" t="str">
        <f t="shared" si="0"/>
        <v/>
      </c>
    </row>
    <row r="460" spans="8:8" ht="15.75" customHeight="1">
      <c r="B460" s="317" t="s">
        <v>4773</v>
      </c>
      <c r="C460" s="283">
        <v>240816.0</v>
      </c>
      <c r="D460" s="288" t="s">
        <v>4898</v>
      </c>
      <c r="E460" s="287">
        <v>241864.0</v>
      </c>
      <c r="F460" s="241" t="str">
        <f t="shared" si="0"/>
        <v/>
      </c>
    </row>
    <row r="461" spans="8:8" ht="15.75" customHeight="1">
      <c r="B461" s="317" t="s">
        <v>4777</v>
      </c>
      <c r="C461" s="283">
        <v>240538.0</v>
      </c>
      <c r="D461" s="288" t="s">
        <v>4719</v>
      </c>
      <c r="E461" s="287">
        <v>241618.0</v>
      </c>
      <c r="F461" s="241" t="str">
        <f t="shared" si="0"/>
        <v/>
      </c>
    </row>
    <row r="462" spans="8:8" ht="15.75" customHeight="1">
      <c r="B462" s="317" t="s">
        <v>4781</v>
      </c>
      <c r="C462" s="283">
        <v>240532.0</v>
      </c>
      <c r="D462" s="288" t="s">
        <v>4720</v>
      </c>
      <c r="E462" s="287">
        <v>241900.0</v>
      </c>
      <c r="F462" s="241" t="str">
        <f t="shared" si="0"/>
        <v/>
      </c>
    </row>
    <row r="463" spans="8:8" ht="15.75" customHeight="1">
      <c r="B463" s="317" t="s">
        <v>4711</v>
      </c>
      <c r="C463" s="283">
        <v>251305.0</v>
      </c>
      <c r="D463" s="288" t="s">
        <v>4023</v>
      </c>
      <c r="E463" s="287">
        <v>241371.0</v>
      </c>
      <c r="F463" s="241" t="str">
        <f t="shared" si="0"/>
        <v/>
      </c>
    </row>
    <row r="464" spans="8:8" ht="15.75" customHeight="1">
      <c r="B464" s="317" t="s">
        <v>4010</v>
      </c>
      <c r="C464" s="283">
        <v>251313.0</v>
      </c>
      <c r="D464" s="288" t="s">
        <v>4432</v>
      </c>
      <c r="E464" s="287">
        <v>241870.0</v>
      </c>
      <c r="F464" s="241" t="str">
        <f t="shared" si="0"/>
        <v/>
      </c>
    </row>
    <row r="465" spans="8:8" ht="15.75" customHeight="1">
      <c r="B465" s="317" t="s">
        <v>4716</v>
      </c>
      <c r="C465" s="283">
        <v>251545.0</v>
      </c>
      <c r="D465" s="288" t="s">
        <v>4728</v>
      </c>
      <c r="E465" s="287">
        <v>241331.0</v>
      </c>
      <c r="F465" s="241" t="str">
        <f t="shared" si="0"/>
        <v/>
      </c>
    </row>
    <row r="466" spans="8:8" ht="15.75" customHeight="1">
      <c r="B466" s="317" t="s">
        <v>4717</v>
      </c>
      <c r="C466" s="283">
        <v>251614.0</v>
      </c>
      <c r="D466" s="288" t="s">
        <v>4729</v>
      </c>
      <c r="E466" s="287">
        <v>241849.0</v>
      </c>
      <c r="F466" s="241" t="str">
        <f t="shared" si="0"/>
        <v/>
      </c>
    </row>
    <row r="467" spans="8:8" ht="15.75" customHeight="1">
      <c r="B467" s="317" t="s">
        <v>4400</v>
      </c>
      <c r="C467" s="283">
        <v>251641.0</v>
      </c>
      <c r="D467" s="288" t="s">
        <v>4433</v>
      </c>
      <c r="E467" s="287">
        <v>241299.0</v>
      </c>
      <c r="F467" s="241" t="str">
        <f t="shared" si="0"/>
        <v/>
      </c>
    </row>
    <row r="468" spans="8:8" ht="15.75" customHeight="1">
      <c r="B468" s="317" t="s">
        <v>4753</v>
      </c>
      <c r="C468" s="283">
        <v>251642.0</v>
      </c>
      <c r="D468" s="288" t="s">
        <v>4730</v>
      </c>
      <c r="E468" s="287">
        <v>241842.0</v>
      </c>
      <c r="F468" s="241" t="str">
        <f t="shared" si="0"/>
        <v/>
      </c>
    </row>
    <row r="469" spans="8:8" ht="15.75" customHeight="1">
      <c r="B469" s="317" t="s">
        <v>1867</v>
      </c>
      <c r="C469" s="283">
        <v>252919.0</v>
      </c>
      <c r="D469" s="288" t="s">
        <v>4434</v>
      </c>
      <c r="E469" s="287">
        <v>241874.0</v>
      </c>
      <c r="F469" s="241" t="str">
        <f t="shared" si="0"/>
        <v/>
      </c>
    </row>
    <row r="470" spans="8:8" ht="15.75" customHeight="1">
      <c r="B470" s="317" t="s">
        <v>4425</v>
      </c>
      <c r="C470" s="283">
        <v>251628.0</v>
      </c>
      <c r="D470" s="288" t="s">
        <v>4731</v>
      </c>
      <c r="E470" s="287">
        <v>241377.0</v>
      </c>
      <c r="F470" s="241" t="str">
        <f t="shared" si="0"/>
        <v/>
      </c>
    </row>
    <row r="471" spans="8:8" ht="15.75" customHeight="1">
      <c r="B471" s="317" t="s">
        <v>4973</v>
      </c>
      <c r="C471" s="283">
        <v>251655.0</v>
      </c>
      <c r="D471" s="288" t="s">
        <v>4902</v>
      </c>
      <c r="E471" s="287">
        <v>241848.0</v>
      </c>
      <c r="F471" s="241" t="str">
        <f t="shared" si="0"/>
        <v/>
      </c>
    </row>
    <row r="472" spans="8:8" ht="15.75" customHeight="1">
      <c r="B472" s="317" t="s">
        <v>4974</v>
      </c>
      <c r="C472" s="283">
        <v>251667.0</v>
      </c>
      <c r="D472" s="288" t="s">
        <v>4903</v>
      </c>
      <c r="E472" s="287">
        <v>241889.0</v>
      </c>
      <c r="F472" s="241" t="str">
        <f t="shared" si="0"/>
        <v/>
      </c>
    </row>
    <row r="473" spans="8:8" ht="15.75" customHeight="1">
      <c r="B473" s="318" t="s">
        <v>4017</v>
      </c>
      <c r="C473" s="319">
        <v>252873.0</v>
      </c>
      <c r="D473" s="288" t="s">
        <v>4732</v>
      </c>
      <c r="E473" s="287">
        <v>241357.0</v>
      </c>
      <c r="F473" s="241" t="str">
        <f t="shared" si="0"/>
        <v/>
      </c>
    </row>
    <row r="474" spans="8:8" ht="15.75" customHeight="1">
      <c r="B474" s="317" t="s">
        <v>4686</v>
      </c>
      <c r="C474" s="283">
        <v>241827.0</v>
      </c>
      <c r="D474" s="288" t="s">
        <v>4463</v>
      </c>
      <c r="E474" s="287">
        <v>251275.0</v>
      </c>
      <c r="F474" s="241" t="str">
        <f t="shared" si="0"/>
        <v/>
      </c>
    </row>
    <row r="475" spans="8:8" ht="15.75" customHeight="1">
      <c r="B475" s="317" t="s">
        <v>4718</v>
      </c>
      <c r="C475" s="283">
        <v>241807.0</v>
      </c>
      <c r="D475" s="288" t="s">
        <v>4739</v>
      </c>
      <c r="E475" s="287">
        <v>251325.0</v>
      </c>
      <c r="F475" s="241" t="str">
        <f t="shared" si="0"/>
        <v/>
      </c>
    </row>
    <row r="476" spans="8:8" ht="15.75" customHeight="1">
      <c r="B476" s="317" t="s">
        <v>4897</v>
      </c>
      <c r="C476" s="283">
        <v>241888.0</v>
      </c>
      <c r="D476" s="288" t="s">
        <v>4907</v>
      </c>
      <c r="E476" s="287">
        <v>241427.0</v>
      </c>
      <c r="F476" s="241" t="str">
        <f t="shared" si="0"/>
        <v/>
      </c>
    </row>
    <row r="477" spans="8:8" ht="15.75" customHeight="1">
      <c r="B477" s="317" t="s">
        <v>4898</v>
      </c>
      <c r="C477" s="283">
        <v>241864.0</v>
      </c>
      <c r="D477" s="288" t="s">
        <v>4464</v>
      </c>
      <c r="E477" s="287">
        <v>241826.0</v>
      </c>
      <c r="F477" s="241" t="str">
        <f t="shared" si="0"/>
        <v/>
      </c>
    </row>
    <row r="478" spans="8:8" ht="15.75" customHeight="1">
      <c r="B478" s="317" t="s">
        <v>4719</v>
      </c>
      <c r="C478" s="283">
        <v>241618.0</v>
      </c>
      <c r="D478" s="288" t="s">
        <v>4465</v>
      </c>
      <c r="E478" s="287">
        <v>241305.0</v>
      </c>
      <c r="F478" s="241" t="str">
        <f t="shared" si="0"/>
        <v/>
      </c>
    </row>
    <row r="479" spans="8:8" ht="15.75" customHeight="1">
      <c r="B479" s="317" t="s">
        <v>4023</v>
      </c>
      <c r="C479" s="283">
        <v>241371.0</v>
      </c>
      <c r="D479" s="288" t="s">
        <v>4466</v>
      </c>
      <c r="E479" s="287">
        <v>241415.0</v>
      </c>
      <c r="F479" s="241" t="str">
        <f t="shared" si="0"/>
        <v/>
      </c>
    </row>
    <row r="480" spans="8:8" ht="15.75" customHeight="1">
      <c r="B480" s="317" t="s">
        <v>4728</v>
      </c>
      <c r="C480" s="283">
        <v>241331.0</v>
      </c>
      <c r="D480" s="288" t="s">
        <v>4467</v>
      </c>
      <c r="E480" s="287">
        <v>241423.0</v>
      </c>
      <c r="F480" s="241" t="str">
        <f t="shared" si="0"/>
        <v/>
      </c>
    </row>
    <row r="481" spans="8:8" ht="15.75" customHeight="1">
      <c r="B481" s="317" t="s">
        <v>4729</v>
      </c>
      <c r="C481" s="283">
        <v>241849.0</v>
      </c>
      <c r="D481" s="288" t="s">
        <v>4468</v>
      </c>
      <c r="E481" s="287">
        <v>241424.0</v>
      </c>
      <c r="F481" s="241" t="str">
        <f t="shared" si="0"/>
        <v/>
      </c>
    </row>
    <row r="482" spans="8:8" ht="15.75" customHeight="1">
      <c r="B482" s="317" t="s">
        <v>4730</v>
      </c>
      <c r="C482" s="283">
        <v>241842.0</v>
      </c>
      <c r="D482" s="288" t="s">
        <v>4469</v>
      </c>
      <c r="E482" s="287">
        <v>241369.0</v>
      </c>
      <c r="F482" s="241" t="str">
        <f t="shared" si="0"/>
        <v/>
      </c>
    </row>
    <row r="483" spans="8:8" ht="15.75" customHeight="1">
      <c r="B483" s="317" t="s">
        <v>4902</v>
      </c>
      <c r="C483" s="283">
        <v>241848.0</v>
      </c>
      <c r="D483" s="288" t="s">
        <v>4910</v>
      </c>
      <c r="E483" s="287">
        <v>241844.0</v>
      </c>
      <c r="F483" s="241" t="str">
        <f t="shared" si="0"/>
        <v/>
      </c>
    </row>
    <row r="484" spans="8:8" ht="15.75" customHeight="1">
      <c r="B484" s="317" t="s">
        <v>4903</v>
      </c>
      <c r="C484" s="283">
        <v>241889.0</v>
      </c>
      <c r="D484" s="288" t="s">
        <v>4470</v>
      </c>
      <c r="E484" s="287">
        <v>241439.0</v>
      </c>
      <c r="F484" s="241" t="str">
        <f t="shared" si="0"/>
        <v/>
      </c>
    </row>
    <row r="485" spans="8:8" ht="15.75" customHeight="1">
      <c r="B485" s="318" t="s">
        <v>4986</v>
      </c>
      <c r="C485" s="319">
        <v>252818.0</v>
      </c>
      <c r="D485" s="288" t="s">
        <v>4478</v>
      </c>
      <c r="E485" s="287">
        <v>241659.0</v>
      </c>
      <c r="F485" s="241" t="str">
        <f t="shared" si="0"/>
        <v/>
      </c>
    </row>
    <row r="486" spans="8:8" ht="15.75" customHeight="1">
      <c r="B486" s="318" t="s">
        <v>4549</v>
      </c>
      <c r="C486" s="319">
        <v>253074.0</v>
      </c>
      <c r="D486" s="288" t="s">
        <v>4741</v>
      </c>
      <c r="E486" s="287">
        <v>241896.0</v>
      </c>
      <c r="F486" s="241" t="str">
        <f t="shared" si="0"/>
        <v/>
      </c>
    </row>
    <row r="487" spans="8:8" ht="15.75" customHeight="1">
      <c r="B487" s="318" t="s">
        <v>4554</v>
      </c>
      <c r="C487" s="319">
        <v>250703.0</v>
      </c>
      <c r="D487" s="288" t="s">
        <v>4323</v>
      </c>
      <c r="E487" s="287">
        <v>241607.0</v>
      </c>
      <c r="F487" s="241" t="str">
        <f t="shared" si="0"/>
        <v/>
      </c>
    </row>
    <row r="488" spans="8:8" ht="15.75" customHeight="1">
      <c r="B488" s="318" t="s">
        <v>4991</v>
      </c>
      <c r="C488" s="319">
        <v>250716.0</v>
      </c>
      <c r="D488" s="288" t="s">
        <v>4742</v>
      </c>
      <c r="E488" s="287">
        <v>241846.0</v>
      </c>
      <c r="F488" s="241" t="str">
        <f t="shared" si="0"/>
        <v/>
      </c>
    </row>
    <row r="489" spans="8:8" ht="15.75" customHeight="1">
      <c r="B489" s="318" t="s">
        <v>4993</v>
      </c>
      <c r="C489" s="319">
        <v>250863.0</v>
      </c>
      <c r="D489" s="288" t="s">
        <v>4479</v>
      </c>
      <c r="E489" s="287">
        <v>241899.0</v>
      </c>
      <c r="F489" s="241" t="str">
        <f t="shared" si="0"/>
        <v/>
      </c>
    </row>
    <row r="490" spans="8:8" ht="15.75" customHeight="1">
      <c r="B490" s="318" t="s">
        <v>4540</v>
      </c>
      <c r="C490" s="319">
        <v>250911.0</v>
      </c>
      <c r="D490" s="288" t="s">
        <v>4480</v>
      </c>
      <c r="E490" s="287">
        <v>241390.0</v>
      </c>
      <c r="F490" s="241" t="str">
        <f t="shared" si="0"/>
        <v/>
      </c>
    </row>
    <row r="491" spans="8:8" ht="15.75" customHeight="1">
      <c r="B491" s="318" t="s">
        <v>4541</v>
      </c>
      <c r="C491" s="319">
        <v>250940.0</v>
      </c>
      <c r="D491" s="288" t="s">
        <v>4034</v>
      </c>
      <c r="E491" s="287">
        <v>241406.0</v>
      </c>
      <c r="F491" s="241" t="str">
        <f t="shared" si="0"/>
        <v/>
      </c>
    </row>
    <row r="492" spans="8:8" ht="15.75" customHeight="1">
      <c r="B492" s="318" t="s">
        <v>4995</v>
      </c>
      <c r="C492" s="319">
        <v>250954.0</v>
      </c>
      <c r="D492" s="288" t="s">
        <v>4400</v>
      </c>
      <c r="E492" s="287">
        <v>251641.0</v>
      </c>
      <c r="F492" s="241" t="str">
        <f t="shared" si="0"/>
        <v/>
      </c>
    </row>
    <row r="493" spans="8:8" ht="15.75" customHeight="1">
      <c r="B493" s="318" t="s">
        <v>4542</v>
      </c>
      <c r="C493" s="319">
        <v>250963.0</v>
      </c>
      <c r="D493" s="288" t="s">
        <v>4753</v>
      </c>
      <c r="E493" s="287">
        <v>251642.0</v>
      </c>
      <c r="F493" s="241" t="str">
        <f t="shared" si="0"/>
        <v/>
      </c>
    </row>
    <row r="494" spans="8:8" ht="15.75" customHeight="1">
      <c r="B494" s="318" t="s">
        <v>4552</v>
      </c>
      <c r="C494" s="319">
        <v>240520.0</v>
      </c>
      <c r="D494" s="288" t="s">
        <v>4754</v>
      </c>
      <c r="E494" s="287">
        <v>251664.0</v>
      </c>
      <c r="F494" s="241" t="str">
        <f t="shared" si="0"/>
        <v/>
      </c>
    </row>
    <row r="495" spans="8:8" ht="15.75" customHeight="1">
      <c r="B495" s="318" t="s">
        <v>4646</v>
      </c>
      <c r="C495" s="319">
        <v>250705.0</v>
      </c>
      <c r="D495" s="288" t="s">
        <v>4956</v>
      </c>
      <c r="E495" s="287">
        <v>251674.0</v>
      </c>
      <c r="F495" s="241" t="str">
        <f t="shared" si="0"/>
        <v/>
      </c>
    </row>
    <row r="496" spans="8:8" ht="15.75" customHeight="1">
      <c r="B496" s="318" t="s">
        <v>4647</v>
      </c>
      <c r="C496" s="319">
        <v>250970.0</v>
      </c>
      <c r="D496" s="288" t="s">
        <v>4755</v>
      </c>
      <c r="E496" s="287">
        <v>252760.0</v>
      </c>
      <c r="F496" s="241" t="str">
        <f t="shared" si="0"/>
        <v/>
      </c>
    </row>
    <row r="497" spans="8:8" ht="15.75" customHeight="1">
      <c r="B497" s="318" t="s">
        <v>4648</v>
      </c>
      <c r="C497" s="319">
        <v>250966.0</v>
      </c>
      <c r="D497" s="288" t="s">
        <v>4756</v>
      </c>
      <c r="E497" s="287">
        <v>251752.0</v>
      </c>
      <c r="F497" s="241" t="str">
        <f t="shared" si="0"/>
        <v/>
      </c>
    </row>
    <row r="498" spans="8:8" ht="15.75" customHeight="1">
      <c r="B498" s="318" t="s">
        <v>4574</v>
      </c>
      <c r="C498" s="319">
        <v>250866.0</v>
      </c>
      <c r="D498" s="288" t="s">
        <v>4499</v>
      </c>
      <c r="E498" s="287">
        <v>252975.0</v>
      </c>
      <c r="F498" s="241" t="str">
        <f t="shared" si="0"/>
        <v/>
      </c>
    </row>
    <row r="499" spans="8:8" ht="15.75" customHeight="1">
      <c r="B499" s="318" t="s">
        <v>1516</v>
      </c>
      <c r="C499" s="319">
        <v>251044.0</v>
      </c>
      <c r="D499" s="266" t="s">
        <v>4401</v>
      </c>
      <c r="E499" s="267">
        <v>251561.0</v>
      </c>
      <c r="F499" s="241" t="str">
        <f t="shared" si="0"/>
        <v/>
      </c>
    </row>
    <row r="500" spans="8:8" ht="15.75" customHeight="1">
      <c r="B500" s="318" t="s">
        <v>4632</v>
      </c>
      <c r="C500" s="319">
        <v>251061.0</v>
      </c>
      <c r="D500" s="288" t="s">
        <v>1867</v>
      </c>
      <c r="E500" s="287">
        <v>252919.0</v>
      </c>
      <c r="F500" s="241" t="str">
        <f t="shared" si="0"/>
        <v/>
      </c>
    </row>
    <row r="501" spans="8:8" ht="15.75" customHeight="1">
      <c r="B501" s="318" t="s">
        <v>1642</v>
      </c>
      <c r="C501" s="319">
        <v>251065.0</v>
      </c>
      <c r="D501" s="288" t="s">
        <v>4402</v>
      </c>
      <c r="E501" s="287">
        <v>251442.0</v>
      </c>
      <c r="F501" s="241" t="str">
        <f t="shared" si="0"/>
        <v/>
      </c>
    </row>
    <row r="502" spans="8:8" ht="15.75" customHeight="1">
      <c r="B502" s="318" t="s">
        <v>4579</v>
      </c>
      <c r="C502" s="319">
        <v>251070.0</v>
      </c>
      <c r="D502" s="288" t="s">
        <v>4403</v>
      </c>
      <c r="E502" s="287">
        <v>251491.0</v>
      </c>
      <c r="F502" s="241" t="str">
        <f t="shared" si="0"/>
        <v/>
      </c>
    </row>
    <row r="503" spans="8:8" ht="15.75" customHeight="1">
      <c r="B503" s="318" t="s">
        <v>4580</v>
      </c>
      <c r="C503" s="319">
        <v>251051.0</v>
      </c>
      <c r="D503" s="288" t="s">
        <v>4757</v>
      </c>
      <c r="E503" s="287">
        <v>251495.0</v>
      </c>
      <c r="F503" s="241" t="str">
        <f t="shared" si="0"/>
        <v/>
      </c>
    </row>
    <row r="504" spans="8:8" ht="15.75" customHeight="1">
      <c r="B504" s="318" t="s">
        <v>5005</v>
      </c>
      <c r="C504" s="319">
        <v>251082.0</v>
      </c>
      <c r="D504" s="288" t="s">
        <v>4406</v>
      </c>
      <c r="E504" s="287">
        <v>251474.0</v>
      </c>
      <c r="F504" s="241" t="str">
        <f t="shared" si="0"/>
        <v/>
      </c>
    </row>
    <row r="505" spans="8:8" ht="15.75" customHeight="1">
      <c r="B505" s="318" t="s">
        <v>1522</v>
      </c>
      <c r="C505" s="319">
        <v>251167.0</v>
      </c>
      <c r="D505" s="288" t="s">
        <v>4405</v>
      </c>
      <c r="E505" s="287">
        <v>251639.0</v>
      </c>
      <c r="F505" s="241" t="str">
        <f t="shared" si="0"/>
        <v/>
      </c>
    </row>
    <row r="506" spans="8:8" ht="15.75" customHeight="1">
      <c r="B506" s="318" t="s">
        <v>1526</v>
      </c>
      <c r="C506" s="319">
        <v>251228.0</v>
      </c>
      <c r="D506" s="288" t="s">
        <v>4408</v>
      </c>
      <c r="E506" s="287">
        <v>241281.0</v>
      </c>
      <c r="F506" s="241" t="str">
        <f t="shared" si="0"/>
        <v/>
      </c>
    </row>
    <row r="507" spans="8:8" ht="15.75" customHeight="1">
      <c r="B507" s="318" t="s">
        <v>3241</v>
      </c>
      <c r="C507" s="319">
        <v>240339.0</v>
      </c>
      <c r="D507" s="288" t="s">
        <v>4409</v>
      </c>
      <c r="E507" s="287">
        <v>251669.0</v>
      </c>
      <c r="F507" s="241" t="str">
        <f t="shared" si="0"/>
        <v/>
      </c>
    </row>
    <row r="508" spans="8:8" ht="15.75" customHeight="1">
      <c r="B508" s="317" t="s">
        <v>4766</v>
      </c>
      <c r="C508" s="283">
        <v>252129.0</v>
      </c>
      <c r="D508" s="288" t="s">
        <v>4410</v>
      </c>
      <c r="E508" s="287">
        <v>251486.0</v>
      </c>
      <c r="F508" s="241" t="str">
        <f t="shared" si="0"/>
        <v/>
      </c>
    </row>
    <row r="509" spans="8:8" ht="15.75" customHeight="1">
      <c r="B509" s="317" t="s">
        <v>4616</v>
      </c>
      <c r="C509" s="283">
        <v>252737.0</v>
      </c>
      <c r="D509" s="288" t="s">
        <v>4407</v>
      </c>
      <c r="E509" s="287">
        <v>251493.0</v>
      </c>
      <c r="F509" s="241" t="str">
        <f t="shared" si="0"/>
        <v/>
      </c>
    </row>
    <row r="510" spans="8:8" ht="15.75" customHeight="1">
      <c r="B510" s="317" t="s">
        <v>2923</v>
      </c>
      <c r="C510" s="283">
        <v>252575.0</v>
      </c>
      <c r="D510" s="288" t="s">
        <v>4504</v>
      </c>
      <c r="E510" s="287">
        <v>251494.0</v>
      </c>
      <c r="F510" s="241" t="str">
        <f t="shared" si="0"/>
        <v/>
      </c>
    </row>
    <row r="511" spans="8:8" ht="15.75" customHeight="1">
      <c r="B511" s="317" t="s">
        <v>4636</v>
      </c>
      <c r="C511" s="283">
        <v>253040.0</v>
      </c>
      <c r="D511" s="288" t="s">
        <v>4411</v>
      </c>
      <c r="E511" s="287">
        <v>241272.0</v>
      </c>
      <c r="F511" s="241" t="str">
        <f t="shared" si="0"/>
        <v/>
      </c>
    </row>
    <row r="512" spans="8:8" ht="15.75" customHeight="1">
      <c r="B512" s="317" t="s">
        <v>5040</v>
      </c>
      <c r="C512" s="283">
        <v>252693.0</v>
      </c>
      <c r="D512" s="288" t="s">
        <v>4412</v>
      </c>
      <c r="E512" s="287">
        <v>241235.0</v>
      </c>
      <c r="F512" s="241" t="str">
        <f t="shared" si="0"/>
        <v/>
      </c>
    </row>
    <row r="513" spans="8:8" ht="15.75" customHeight="1">
      <c r="B513" s="317" t="s">
        <v>4610</v>
      </c>
      <c r="C513" s="283">
        <v>252711.0</v>
      </c>
      <c r="D513" s="288" t="s">
        <v>2504</v>
      </c>
      <c r="E513" s="287">
        <v>241236.0</v>
      </c>
      <c r="F513" s="241" t="str">
        <f t="shared" si="0"/>
        <v/>
      </c>
    </row>
    <row r="514" spans="8:8" ht="15.75" customHeight="1">
      <c r="B514" s="317" t="s">
        <v>5041</v>
      </c>
      <c r="C514" s="283">
        <v>252710.0</v>
      </c>
      <c r="D514" s="288" t="s">
        <v>4547</v>
      </c>
      <c r="E514" s="287">
        <v>241256.0</v>
      </c>
      <c r="F514" s="241" t="str">
        <f t="shared" si="0"/>
        <v/>
      </c>
    </row>
    <row r="515" spans="8:8" ht="15.75" customHeight="1">
      <c r="B515" s="317" t="s">
        <v>1553</v>
      </c>
      <c r="C515" s="283">
        <v>252722.0</v>
      </c>
      <c r="D515" s="288" t="s">
        <v>4762</v>
      </c>
      <c r="E515" s="287">
        <v>241507.0</v>
      </c>
      <c r="F515" s="241" t="str">
        <f t="shared" si="0"/>
        <v/>
      </c>
    </row>
    <row r="516" spans="8:8" ht="15.75" customHeight="1">
      <c r="B516" s="317" t="s">
        <v>4612</v>
      </c>
      <c r="C516" s="283">
        <v>252730.0</v>
      </c>
      <c r="D516" s="288" t="s">
        <v>4763</v>
      </c>
      <c r="E516" s="287">
        <v>241489.0</v>
      </c>
      <c r="F516" s="241" t="str">
        <f t="shared" si="0"/>
        <v/>
      </c>
    </row>
    <row r="517" spans="8:8" ht="15.75" customHeight="1">
      <c r="B517" s="317" t="s">
        <v>5042</v>
      </c>
      <c r="C517" s="283">
        <v>252731.0</v>
      </c>
      <c r="D517" s="288" t="s">
        <v>4404</v>
      </c>
      <c r="E517" s="287">
        <v>241951.0</v>
      </c>
      <c r="F517" s="241" t="str">
        <f t="shared" si="0"/>
        <v/>
      </c>
    </row>
    <row r="518" spans="8:8" ht="15.75" customHeight="1">
      <c r="B518" s="317" t="s">
        <v>2498</v>
      </c>
      <c r="C518" s="283">
        <v>252481.0</v>
      </c>
      <c r="D518" s="288" t="s">
        <v>4960</v>
      </c>
      <c r="E518" s="287">
        <v>241469.0</v>
      </c>
      <c r="F518" s="241" t="str">
        <f t="shared" si="0"/>
        <v/>
      </c>
    </row>
    <row r="519" spans="8:8" ht="15.75" customHeight="1">
      <c r="B519" s="317" t="s">
        <v>4664</v>
      </c>
      <c r="C519" s="283">
        <v>252811.0</v>
      </c>
      <c r="D519" s="288" t="s">
        <v>4961</v>
      </c>
      <c r="E519" s="287">
        <v>241592.0</v>
      </c>
      <c r="F519" s="241" t="str">
        <f t="shared" si="0"/>
        <v/>
      </c>
    </row>
    <row r="520" spans="8:8" ht="15.75" customHeight="1">
      <c r="B520" s="317" t="s">
        <v>2947</v>
      </c>
      <c r="C520" s="283">
        <v>252772.0</v>
      </c>
      <c r="D520" s="288" t="s">
        <v>4962</v>
      </c>
      <c r="E520" s="287">
        <v>241155.0</v>
      </c>
      <c r="F520" s="241" t="str">
        <f t="shared" si="0"/>
        <v/>
      </c>
    </row>
    <row r="521" spans="8:8" ht="15.75" customHeight="1">
      <c r="B521" s="317" t="s">
        <v>2948</v>
      </c>
      <c r="C521" s="283">
        <v>252559.0</v>
      </c>
      <c r="D521" s="288" t="s">
        <v>4413</v>
      </c>
      <c r="E521" s="287">
        <v>251662.0</v>
      </c>
      <c r="F521" s="241" t="str">
        <f t="shared" si="0"/>
        <v/>
      </c>
    </row>
    <row r="522" spans="8:8" ht="15.75" customHeight="1">
      <c r="B522" s="317" t="s">
        <v>5059</v>
      </c>
      <c r="C522" s="283">
        <v>251829.0</v>
      </c>
      <c r="D522" s="288" t="s">
        <v>4414</v>
      </c>
      <c r="E522" s="287">
        <v>251672.0</v>
      </c>
      <c r="F522" s="241" t="str">
        <f t="shared" si="0"/>
        <v/>
      </c>
    </row>
    <row r="523" spans="8:8" ht="15.75" customHeight="1">
      <c r="B523" s="317" t="s">
        <v>5060</v>
      </c>
      <c r="C523" s="283">
        <v>251810.0</v>
      </c>
      <c r="D523" s="288" t="s">
        <v>4764</v>
      </c>
      <c r="E523" s="287">
        <v>251638.0</v>
      </c>
      <c r="F523" s="241" t="str">
        <f t="shared" si="0"/>
        <v/>
      </c>
    </row>
    <row r="524" spans="8:8" ht="15.75" customHeight="1">
      <c r="B524" s="317" t="s">
        <v>4606</v>
      </c>
      <c r="C524" s="283">
        <v>251832.0</v>
      </c>
      <c r="D524" s="288" t="s">
        <v>4117</v>
      </c>
      <c r="E524" s="287">
        <v>251692.0</v>
      </c>
      <c r="F524" s="241" t="str">
        <f t="shared" si="0"/>
        <v/>
      </c>
    </row>
    <row r="525" spans="8:8" ht="15.75" customHeight="1">
      <c r="B525" s="317" t="s">
        <v>5062</v>
      </c>
      <c r="C525" s="283">
        <v>251856.0</v>
      </c>
      <c r="D525" s="288" t="s">
        <v>4423</v>
      </c>
      <c r="E525" s="287">
        <v>251785.0</v>
      </c>
      <c r="F525" s="241" t="str">
        <f t="shared" si="0"/>
        <v/>
      </c>
    </row>
    <row r="526" spans="8:8" ht="15.75" customHeight="1">
      <c r="B526" s="317" t="s">
        <v>2501</v>
      </c>
      <c r="C526" s="283">
        <v>251888.0</v>
      </c>
      <c r="D526" s="288" t="s">
        <v>4965</v>
      </c>
      <c r="E526" s="287">
        <v>251792.0</v>
      </c>
      <c r="F526" s="241" t="str">
        <f t="shared" si="0"/>
        <v/>
      </c>
    </row>
    <row r="527" spans="8:8" ht="15.75" customHeight="1">
      <c r="B527" s="317" t="s">
        <v>5064</v>
      </c>
      <c r="C527" s="283">
        <v>251840.0</v>
      </c>
      <c r="D527" s="288" t="s">
        <v>4768</v>
      </c>
      <c r="E527" s="287">
        <v>241156.0</v>
      </c>
      <c r="F527" s="241" t="str">
        <f t="shared" si="0"/>
        <v/>
      </c>
    </row>
    <row r="528" spans="8:8" ht="15.75" customHeight="1">
      <c r="B528" s="317" t="s">
        <v>4620</v>
      </c>
      <c r="C528" s="283">
        <v>252183.0</v>
      </c>
      <c r="D528" s="288" t="s">
        <v>4769</v>
      </c>
      <c r="E528" s="287">
        <v>241185.0</v>
      </c>
      <c r="F528" s="241" t="str">
        <f t="shared" si="0"/>
        <v/>
      </c>
    </row>
    <row r="529" spans="8:8" ht="15.75" customHeight="1">
      <c r="B529" s="317" t="s">
        <v>4621</v>
      </c>
      <c r="C529" s="283">
        <v>252193.0</v>
      </c>
      <c r="D529" s="288" t="s">
        <v>4967</v>
      </c>
      <c r="E529" s="287">
        <v>251523.0</v>
      </c>
      <c r="F529" s="241" t="str">
        <f t="shared" si="0"/>
        <v/>
      </c>
    </row>
    <row r="530" spans="8:8" ht="15.75" customHeight="1">
      <c r="B530" s="317" t="s">
        <v>4622</v>
      </c>
      <c r="C530" s="283">
        <v>252198.0</v>
      </c>
      <c r="D530" s="266" t="s">
        <v>4770</v>
      </c>
      <c r="E530" s="267">
        <v>252046.0</v>
      </c>
      <c r="F530" s="241" t="str">
        <f t="shared" si="0"/>
        <v/>
      </c>
    </row>
    <row r="531" spans="8:8" ht="15.75" customHeight="1">
      <c r="B531" s="317" t="s">
        <v>2904</v>
      </c>
      <c r="C531" s="283">
        <v>252322.0</v>
      </c>
      <c r="D531" s="288" t="s">
        <v>4771</v>
      </c>
      <c r="E531" s="287">
        <v>241495.0</v>
      </c>
      <c r="F531" s="241" t="str">
        <f t="shared" si="0"/>
        <v/>
      </c>
    </row>
    <row r="532" spans="8:8" ht="15.75" customHeight="1">
      <c r="B532" s="317" t="s">
        <v>4628</v>
      </c>
      <c r="C532" s="283">
        <v>241670.0</v>
      </c>
      <c r="D532" s="288" t="s">
        <v>4968</v>
      </c>
      <c r="E532" s="287">
        <v>241221.0</v>
      </c>
      <c r="F532" s="241" t="str">
        <f t="shared" si="0"/>
        <v/>
      </c>
    </row>
    <row r="533" spans="8:8" ht="15.75" customHeight="1">
      <c r="B533" s="317" t="s">
        <v>5072</v>
      </c>
      <c r="C533" s="283">
        <v>241905.0</v>
      </c>
      <c r="D533" s="288" t="s">
        <v>4424</v>
      </c>
      <c r="E533" s="287">
        <v>241550.0</v>
      </c>
      <c r="F533" s="241" t="str">
        <f t="shared" si="0"/>
        <v/>
      </c>
    </row>
    <row r="534" spans="8:8" ht="15.75" customHeight="1">
      <c r="B534" s="317" t="s">
        <v>2927</v>
      </c>
      <c r="C534" s="283">
        <v>251967.0</v>
      </c>
      <c r="D534" s="288" t="s">
        <v>3444</v>
      </c>
      <c r="E534" s="287">
        <v>241486.0</v>
      </c>
      <c r="F534" s="241" t="str">
        <f t="shared" si="0"/>
        <v/>
      </c>
    </row>
    <row r="535" spans="8:8" ht="15.75" customHeight="1">
      <c r="B535" s="317" t="s">
        <v>4641</v>
      </c>
      <c r="C535" s="283">
        <v>252289.0</v>
      </c>
      <c r="D535" s="288" t="s">
        <v>4446</v>
      </c>
      <c r="E535" s="287">
        <v>241505.0</v>
      </c>
      <c r="F535" s="241" t="str">
        <f t="shared" si="0"/>
        <v/>
      </c>
    </row>
    <row r="536" spans="8:8" ht="15.75" customHeight="1">
      <c r="B536" s="317" t="s">
        <v>4642</v>
      </c>
      <c r="C536" s="283">
        <v>241958.0</v>
      </c>
      <c r="D536" s="288" t="s">
        <v>4969</v>
      </c>
      <c r="E536" s="287">
        <v>241954.0</v>
      </c>
      <c r="F536" s="241" t="str">
        <f t="shared" si="0"/>
        <v/>
      </c>
    </row>
    <row r="537" spans="8:8" ht="15.75" customHeight="1">
      <c r="B537" s="317" t="s">
        <v>4644</v>
      </c>
      <c r="C537" s="283">
        <v>241722.0</v>
      </c>
      <c r="D537" s="288" t="s">
        <v>4425</v>
      </c>
      <c r="E537" s="287">
        <v>251628.0</v>
      </c>
      <c r="F537" s="241" t="str">
        <f t="shared" si="0"/>
        <v/>
      </c>
    </row>
    <row r="538" spans="8:8" ht="15.75" customHeight="1">
      <c r="B538" s="317" t="s">
        <v>4654</v>
      </c>
      <c r="C538" s="283">
        <v>251850.0</v>
      </c>
      <c r="D538" s="288" t="s">
        <v>4772</v>
      </c>
      <c r="E538" s="287">
        <v>251500.0</v>
      </c>
      <c r="F538" s="241" t="str">
        <f t="shared" si="0"/>
        <v/>
      </c>
    </row>
    <row r="539" spans="8:8" ht="15.75" customHeight="1">
      <c r="B539" s="317" t="s">
        <v>4655</v>
      </c>
      <c r="C539" s="283">
        <v>252311.0</v>
      </c>
      <c r="D539" s="288" t="s">
        <v>4773</v>
      </c>
      <c r="E539" s="287">
        <v>240816.0</v>
      </c>
      <c r="F539" s="241" t="str">
        <f t="shared" si="0"/>
        <v/>
      </c>
    </row>
    <row r="540" spans="8:8" ht="15.75" customHeight="1">
      <c r="B540" s="317" t="s">
        <v>5076</v>
      </c>
      <c r="C540" s="283">
        <v>241695.0</v>
      </c>
      <c r="D540" s="288" t="s">
        <v>4448</v>
      </c>
      <c r="E540" s="287">
        <v>251629.0</v>
      </c>
      <c r="F540" s="241" t="str">
        <f t="shared" si="0"/>
        <v/>
      </c>
    </row>
    <row r="541" spans="8:8" ht="15.75" customHeight="1">
      <c r="B541" s="317" t="s">
        <v>4659</v>
      </c>
      <c r="C541" s="283">
        <v>241669.0</v>
      </c>
      <c r="D541" s="288" t="s">
        <v>4973</v>
      </c>
      <c r="E541" s="287">
        <v>251655.0</v>
      </c>
      <c r="F541" s="241" t="str">
        <f t="shared" si="0"/>
        <v/>
      </c>
    </row>
    <row r="542" spans="8:8" ht="15.75" customHeight="1">
      <c r="B542" s="317" t="s">
        <v>4660</v>
      </c>
      <c r="C542" s="283">
        <v>241709.0</v>
      </c>
      <c r="D542" s="288" t="s">
        <v>4974</v>
      </c>
      <c r="E542" s="287">
        <v>251667.0</v>
      </c>
      <c r="F542" s="241" t="str">
        <f t="shared" si="0"/>
        <v/>
      </c>
    </row>
    <row r="543" spans="8:8" ht="15.75" customHeight="1">
      <c r="B543" s="317" t="s">
        <v>4028</v>
      </c>
      <c r="C543" s="283">
        <v>240053.0</v>
      </c>
      <c r="D543" s="266" t="s">
        <v>4777</v>
      </c>
      <c r="E543" s="267">
        <v>240538.0</v>
      </c>
      <c r="F543" s="241" t="str">
        <f t="shared" si="0"/>
        <v/>
      </c>
    </row>
    <row r="544" spans="8:8" ht="15.75" customHeight="1">
      <c r="B544" s="317" t="s">
        <v>4669</v>
      </c>
      <c r="C544" s="283">
        <v>240010.0</v>
      </c>
      <c r="D544" s="266" t="s">
        <v>4527</v>
      </c>
      <c r="E544" s="267">
        <v>241181.0</v>
      </c>
      <c r="F544" s="241" t="str">
        <f t="shared" si="0"/>
        <v/>
      </c>
    </row>
    <row r="545" spans="8:8" ht="15.75" customHeight="1">
      <c r="B545" s="317" t="s">
        <v>4670</v>
      </c>
      <c r="C545" s="283">
        <v>240240.0</v>
      </c>
      <c r="D545" s="266" t="s">
        <v>4449</v>
      </c>
      <c r="E545" s="267">
        <v>241534.0</v>
      </c>
      <c r="F545" s="241" t="str">
        <f t="shared" si="0"/>
        <v/>
      </c>
    </row>
    <row r="546" spans="8:8" ht="15.75" customHeight="1">
      <c r="B546" s="317" t="s">
        <v>3203</v>
      </c>
      <c r="C546" s="283">
        <v>240020.0</v>
      </c>
      <c r="D546" s="266" t="s">
        <v>4450</v>
      </c>
      <c r="E546" s="267">
        <v>241548.0</v>
      </c>
      <c r="F546" s="241" t="str">
        <f t="shared" si="0"/>
        <v/>
      </c>
    </row>
    <row r="547" spans="8:8" ht="15.75" customHeight="1">
      <c r="B547" s="317" t="s">
        <v>4671</v>
      </c>
      <c r="C547" s="283">
        <v>240154.0</v>
      </c>
      <c r="D547" s="266" t="s">
        <v>4778</v>
      </c>
      <c r="E547" s="267">
        <v>241551.0</v>
      </c>
      <c r="F547" s="241" t="str">
        <f t="shared" si="0"/>
        <v/>
      </c>
    </row>
    <row r="548" spans="8:8" ht="15.75" customHeight="1">
      <c r="B548" s="317" t="s">
        <v>4688</v>
      </c>
      <c r="C548" s="283">
        <v>240195.0</v>
      </c>
      <c r="D548" s="266" t="s">
        <v>4176</v>
      </c>
      <c r="E548" s="267">
        <v>241555.0</v>
      </c>
      <c r="F548" s="241" t="str">
        <f t="shared" si="0"/>
        <v/>
      </c>
    </row>
    <row r="549" spans="8:8" ht="15.75" customHeight="1">
      <c r="B549" s="317" t="s">
        <v>3255</v>
      </c>
      <c r="C549" s="283">
        <v>240043.0</v>
      </c>
      <c r="D549" s="266" t="s">
        <v>4451</v>
      </c>
      <c r="E549" s="267">
        <v>241585.0</v>
      </c>
      <c r="F549" s="241" t="str">
        <f t="shared" si="0"/>
        <v/>
      </c>
    </row>
    <row r="550" spans="8:8" ht="15.75" customHeight="1">
      <c r="B550" s="317" t="s">
        <v>4689</v>
      </c>
      <c r="C550" s="283">
        <v>240083.0</v>
      </c>
      <c r="D550" s="266" t="s">
        <v>4452</v>
      </c>
      <c r="E550" s="267">
        <v>241464.0</v>
      </c>
      <c r="F550" s="241" t="str">
        <f t="shared" si="0"/>
        <v/>
      </c>
    </row>
    <row r="551" spans="8:8" ht="15.75" customHeight="1">
      <c r="B551" s="317" t="s">
        <v>4743</v>
      </c>
      <c r="C551" s="283">
        <v>240173.0</v>
      </c>
      <c r="D551" s="266" t="s">
        <v>4779</v>
      </c>
      <c r="E551" s="267">
        <v>241465.0</v>
      </c>
      <c r="F551" s="241" t="str">
        <f t="shared" si="0"/>
        <v/>
      </c>
    </row>
    <row r="552" spans="8:8" ht="15.75" customHeight="1">
      <c r="B552" s="317" t="s">
        <v>3259</v>
      </c>
      <c r="C552" s="283">
        <v>240092.0</v>
      </c>
      <c r="D552" s="288" t="s">
        <v>4453</v>
      </c>
      <c r="E552" s="287">
        <v>241189.0</v>
      </c>
      <c r="F552" s="241" t="str">
        <f t="shared" si="0"/>
        <v/>
      </c>
    </row>
    <row r="553" spans="8:8" ht="15.75" customHeight="1">
      <c r="B553" s="317" t="s">
        <v>4981</v>
      </c>
      <c r="C553" s="283">
        <v>240225.0</v>
      </c>
      <c r="D553" s="288" t="s">
        <v>4454</v>
      </c>
      <c r="E553" s="287">
        <v>241190.0</v>
      </c>
      <c r="F553" s="241" t="str">
        <f t="shared" si="0"/>
        <v/>
      </c>
    </row>
    <row r="554" spans="8:8" ht="15.75" customHeight="1">
      <c r="B554" s="317" t="s">
        <v>3436</v>
      </c>
      <c r="C554" s="283">
        <v>240399.0</v>
      </c>
      <c r="D554" s="288" t="s">
        <v>4455</v>
      </c>
      <c r="E554" s="287">
        <v>241191.0</v>
      </c>
      <c r="F554" s="241" t="str">
        <f t="shared" si="0"/>
        <v/>
      </c>
    </row>
    <row r="555" spans="8:8" ht="15.75" customHeight="1">
      <c r="B555" s="317" t="s">
        <v>2931</v>
      </c>
      <c r="C555" s="283">
        <v>240434.0</v>
      </c>
      <c r="D555" s="288" t="s">
        <v>4526</v>
      </c>
      <c r="E555" s="287">
        <v>241192.0</v>
      </c>
      <c r="F555" s="241" t="str">
        <f t="shared" si="0"/>
        <v/>
      </c>
    </row>
    <row r="556" spans="8:8" ht="15.75" customHeight="1">
      <c r="B556" s="317" t="s">
        <v>5079</v>
      </c>
      <c r="C556" s="283">
        <v>240408.0</v>
      </c>
      <c r="D556" s="288" t="s">
        <v>4456</v>
      </c>
      <c r="E556" s="287">
        <v>241207.0</v>
      </c>
      <c r="F556" s="241" t="str">
        <f t="shared" si="0"/>
        <v/>
      </c>
    </row>
    <row r="557" spans="8:8" ht="15.75" customHeight="1">
      <c r="B557" s="317" t="s">
        <v>4692</v>
      </c>
      <c r="C557" s="283">
        <v>240253.0</v>
      </c>
      <c r="D557" s="288" t="s">
        <v>4525</v>
      </c>
      <c r="E557" s="287">
        <v>241212.0</v>
      </c>
      <c r="F557" s="241" t="str">
        <f t="shared" si="0"/>
        <v/>
      </c>
    </row>
    <row r="558" spans="8:8" ht="15.75" customHeight="1">
      <c r="B558" s="317" t="s">
        <v>5080</v>
      </c>
      <c r="C558" s="283">
        <v>240371.0</v>
      </c>
      <c r="D558" s="288" t="s">
        <v>4457</v>
      </c>
      <c r="E558" s="287">
        <v>241214.0</v>
      </c>
      <c r="F558" s="241" t="str">
        <f t="shared" si="0"/>
        <v/>
      </c>
    </row>
    <row r="559" spans="8:8" ht="15.75" customHeight="1">
      <c r="B559" s="317" t="s">
        <v>4693</v>
      </c>
      <c r="C559" s="283">
        <v>240904.0</v>
      </c>
      <c r="D559" s="288" t="s">
        <v>4458</v>
      </c>
      <c r="E559" s="287">
        <v>241139.0</v>
      </c>
      <c r="F559" s="241" t="str">
        <f t="shared" si="0"/>
        <v/>
      </c>
    </row>
    <row r="560" spans="8:8" ht="15.75" customHeight="1">
      <c r="B560" s="317" t="s">
        <v>4680</v>
      </c>
      <c r="C560" s="283">
        <v>240439.0</v>
      </c>
      <c r="D560" s="288" t="s">
        <v>4459</v>
      </c>
      <c r="E560" s="287">
        <v>241513.0</v>
      </c>
      <c r="F560" s="241" t="str">
        <f t="shared" si="0"/>
        <v/>
      </c>
    </row>
    <row r="561" spans="8:8" ht="15.75" customHeight="1">
      <c r="B561" s="317" t="s">
        <v>4701</v>
      </c>
      <c r="C561" s="283">
        <v>240835.0</v>
      </c>
      <c r="D561" s="288" t="s">
        <v>4460</v>
      </c>
      <c r="E561" s="287">
        <v>241518.0</v>
      </c>
      <c r="F561" s="241" t="str">
        <f t="shared" si="0"/>
        <v/>
      </c>
    </row>
    <row r="562" spans="8:8" ht="15.75" customHeight="1">
      <c r="B562" s="317" t="s">
        <v>4732</v>
      </c>
      <c r="C562" s="283">
        <v>241357.0</v>
      </c>
      <c r="D562" s="288" t="s">
        <v>4975</v>
      </c>
      <c r="E562" s="287">
        <v>241519.0</v>
      </c>
      <c r="F562" s="241" t="str">
        <f t="shared" si="0"/>
        <v/>
      </c>
    </row>
    <row r="563" spans="8:8" ht="15.75" customHeight="1">
      <c r="B563" s="317" t="s">
        <v>4907</v>
      </c>
      <c r="C563" s="283">
        <v>241427.0</v>
      </c>
      <c r="D563" s="288" t="s">
        <v>4976</v>
      </c>
      <c r="E563" s="287">
        <v>241522.0</v>
      </c>
      <c r="F563" s="241" t="str">
        <f t="shared" si="0"/>
        <v/>
      </c>
    </row>
    <row r="564" spans="8:8" ht="15.75" customHeight="1">
      <c r="B564" s="317" t="s">
        <v>4910</v>
      </c>
      <c r="C564" s="283">
        <v>241844.0</v>
      </c>
      <c r="D564" s="288" t="s">
        <v>4461</v>
      </c>
      <c r="E564" s="287">
        <v>241523.0</v>
      </c>
      <c r="F564" s="241" t="str">
        <f t="shared" si="0"/>
        <v/>
      </c>
    </row>
    <row r="565" spans="8:8" ht="15.75" customHeight="1">
      <c r="B565" s="317" t="s">
        <v>4470</v>
      </c>
      <c r="C565" s="283">
        <v>241439.0</v>
      </c>
      <c r="D565" s="288" t="s">
        <v>4518</v>
      </c>
      <c r="E565" s="287">
        <v>241527.0</v>
      </c>
      <c r="F565" s="241" t="str">
        <f t="shared" si="0"/>
        <v/>
      </c>
    </row>
    <row r="566" spans="8:8" ht="15.75" customHeight="1">
      <c r="B566" s="317" t="s">
        <v>4741</v>
      </c>
      <c r="C566" s="283">
        <v>241896.0</v>
      </c>
      <c r="D566" s="288" t="s">
        <v>4519</v>
      </c>
      <c r="E566" s="287">
        <v>241530.0</v>
      </c>
      <c r="F566" s="241" t="str">
        <f t="shared" si="0"/>
        <v/>
      </c>
    </row>
    <row r="567" spans="8:8" ht="15.75" customHeight="1">
      <c r="B567" s="317" t="s">
        <v>4742</v>
      </c>
      <c r="C567" s="283">
        <v>241846.0</v>
      </c>
      <c r="D567" s="288" t="s">
        <v>4520</v>
      </c>
      <c r="E567" s="287">
        <v>241193.0</v>
      </c>
      <c r="F567" s="241" t="str">
        <f t="shared" si="0"/>
        <v/>
      </c>
    </row>
    <row r="568" spans="8:8" ht="15.75" customHeight="1">
      <c r="B568" s="317" t="s">
        <v>4034</v>
      </c>
      <c r="C568" s="283">
        <v>241406.0</v>
      </c>
      <c r="D568" s="288" t="s">
        <v>4911</v>
      </c>
      <c r="E568" s="287">
        <v>241589.0</v>
      </c>
      <c r="F568" s="241" t="str">
        <f t="shared" si="0"/>
        <v/>
      </c>
    </row>
    <row r="569" spans="8:8" ht="15.75" customHeight="1">
      <c r="B569" s="317" t="s">
        <v>4412</v>
      </c>
      <c r="C569" s="283">
        <v>241235.0</v>
      </c>
      <c r="D569" s="288" t="s">
        <v>4740</v>
      </c>
      <c r="E569" s="287">
        <v>241234.0</v>
      </c>
      <c r="F569" s="241" t="str">
        <f t="shared" si="0"/>
        <v/>
      </c>
    </row>
    <row r="570" spans="8:8" ht="15.75" customHeight="1">
      <c r="B570" s="317" t="s">
        <v>2504</v>
      </c>
      <c r="C570" s="283">
        <v>241236.0</v>
      </c>
      <c r="D570" s="288" t="s">
        <v>4521</v>
      </c>
      <c r="E570" s="287">
        <v>241268.0</v>
      </c>
      <c r="F570" s="241" t="str">
        <f t="shared" si="0"/>
        <v/>
      </c>
    </row>
    <row r="571" spans="8:8" ht="15.75" customHeight="1">
      <c r="B571" s="317" t="s">
        <v>4762</v>
      </c>
      <c r="C571" s="283">
        <v>241507.0</v>
      </c>
      <c r="D571" s="288" t="s">
        <v>4912</v>
      </c>
      <c r="E571" s="287">
        <v>251791.0</v>
      </c>
      <c r="F571" s="241" t="str">
        <f t="shared" si="0"/>
        <v/>
      </c>
    </row>
    <row r="572" spans="8:8" ht="15.75" customHeight="1">
      <c r="B572" s="317" t="s">
        <v>4763</v>
      </c>
      <c r="C572" s="283">
        <v>241489.0</v>
      </c>
      <c r="D572" s="288" t="s">
        <v>4471</v>
      </c>
      <c r="E572" s="287">
        <v>251475.0</v>
      </c>
      <c r="F572" s="241" t="str">
        <f t="shared" si="0"/>
        <v/>
      </c>
    </row>
    <row r="573" spans="8:8" ht="15.75" customHeight="1">
      <c r="B573" s="317" t="s">
        <v>4960</v>
      </c>
      <c r="C573" s="283">
        <v>241469.0</v>
      </c>
      <c r="D573" s="288" t="s">
        <v>4472</v>
      </c>
      <c r="E573" s="287">
        <v>241472.0</v>
      </c>
      <c r="F573" s="241" t="str">
        <f t="shared" si="0"/>
        <v/>
      </c>
    </row>
    <row r="574" spans="8:8" ht="15.75" customHeight="1">
      <c r="B574" s="317" t="s">
        <v>4961</v>
      </c>
      <c r="C574" s="283">
        <v>241592.0</v>
      </c>
      <c r="D574" s="288" t="s">
        <v>4780</v>
      </c>
      <c r="E574" s="287">
        <v>241143.0</v>
      </c>
      <c r="F574" s="241" t="str">
        <f t="shared" si="0"/>
        <v/>
      </c>
    </row>
    <row r="575" spans="8:8" ht="15.75" customHeight="1">
      <c r="B575" s="317" t="s">
        <v>4962</v>
      </c>
      <c r="C575" s="283">
        <v>241155.0</v>
      </c>
      <c r="D575" s="288" t="s">
        <v>4473</v>
      </c>
      <c r="E575" s="287">
        <v>241200.0</v>
      </c>
      <c r="F575" s="241" t="str">
        <f t="shared" si="0"/>
        <v/>
      </c>
    </row>
    <row r="576" spans="8:8" ht="15.75" customHeight="1">
      <c r="B576" s="317" t="s">
        <v>4768</v>
      </c>
      <c r="C576" s="283">
        <v>241156.0</v>
      </c>
      <c r="D576" s="288" t="s">
        <v>4474</v>
      </c>
      <c r="E576" s="287">
        <v>241222.0</v>
      </c>
      <c r="F576" s="241" t="str">
        <f t="shared" si="0"/>
        <v/>
      </c>
    </row>
    <row r="577" spans="8:8" ht="15.75" customHeight="1">
      <c r="B577" s="317" t="s">
        <v>4769</v>
      </c>
      <c r="C577" s="283">
        <v>241185.0</v>
      </c>
      <c r="D577" s="288" t="s">
        <v>1481</v>
      </c>
      <c r="E577" s="287">
        <v>241577.0</v>
      </c>
      <c r="F577" s="241" t="str">
        <f t="shared" si="0"/>
        <v/>
      </c>
    </row>
    <row r="578" spans="8:8" ht="15.75" customHeight="1">
      <c r="B578" s="317" t="s">
        <v>4967</v>
      </c>
      <c r="C578" s="283">
        <v>251523.0</v>
      </c>
      <c r="D578" s="266" t="s">
        <v>3258</v>
      </c>
      <c r="E578" s="267">
        <v>251851.0</v>
      </c>
      <c r="F578" s="241" t="str">
        <f t="shared" si="0"/>
        <v/>
      </c>
    </row>
    <row r="579" spans="8:8" ht="15.75" customHeight="1">
      <c r="B579" s="317" t="s">
        <v>4968</v>
      </c>
      <c r="C579" s="283">
        <v>241221.0</v>
      </c>
      <c r="D579" s="288" t="s">
        <v>4475</v>
      </c>
      <c r="E579" s="287">
        <v>241178.0</v>
      </c>
      <c r="F579" s="241" t="str">
        <f t="shared" si="0"/>
        <v/>
      </c>
    </row>
    <row r="580" spans="8:8" ht="15.75" customHeight="1">
      <c r="B580" s="317" t="s">
        <v>3444</v>
      </c>
      <c r="C580" s="283">
        <v>241486.0</v>
      </c>
      <c r="D580" s="288" t="s">
        <v>4309</v>
      </c>
      <c r="E580" s="287">
        <v>241280.0</v>
      </c>
      <c r="F580" s="241" t="str">
        <f t="shared" si="0"/>
        <v/>
      </c>
    </row>
    <row r="581" spans="8:8" ht="15.75" customHeight="1">
      <c r="B581" s="317" t="s">
        <v>4446</v>
      </c>
      <c r="C581" s="283">
        <v>241505.0</v>
      </c>
      <c r="D581" s="288" t="s">
        <v>4476</v>
      </c>
      <c r="E581" s="287">
        <v>241449.0</v>
      </c>
      <c r="F581" s="241" t="str">
        <f t="shared" si="0"/>
        <v/>
      </c>
    </row>
    <row r="582" spans="8:8" ht="15.75" customHeight="1">
      <c r="B582" s="317" t="s">
        <v>4778</v>
      </c>
      <c r="C582" s="283">
        <v>241551.0</v>
      </c>
      <c r="D582" s="288" t="s">
        <v>4483</v>
      </c>
      <c r="E582" s="287">
        <v>241461.0</v>
      </c>
      <c r="F582" s="241" t="str">
        <f t="shared" si="0"/>
        <v/>
      </c>
    </row>
    <row r="583" spans="8:8" ht="15.75" customHeight="1">
      <c r="B583" s="317" t="s">
        <v>4975</v>
      </c>
      <c r="C583" s="283">
        <v>241519.0</v>
      </c>
      <c r="D583" s="288" t="s">
        <v>4032</v>
      </c>
      <c r="E583" s="287">
        <v>241544.0</v>
      </c>
      <c r="F583" s="241" t="str">
        <f t="shared" si="0"/>
        <v/>
      </c>
    </row>
    <row r="584" spans="8:8" ht="15.75" customHeight="1">
      <c r="B584" s="317" t="s">
        <v>4976</v>
      </c>
      <c r="C584" s="283">
        <v>241522.0</v>
      </c>
      <c r="D584" s="266" t="s">
        <v>4781</v>
      </c>
      <c r="E584" s="267">
        <v>240532.0</v>
      </c>
      <c r="F584" s="241" t="str">
        <f t="shared" si="0"/>
        <v/>
      </c>
    </row>
    <row r="585" spans="8:8" ht="15.75" customHeight="1">
      <c r="B585" s="317" t="s">
        <v>4911</v>
      </c>
      <c r="C585" s="283">
        <v>241589.0</v>
      </c>
      <c r="D585" s="327" t="s">
        <v>1459</v>
      </c>
      <c r="E585" s="319">
        <v>253114.0</v>
      </c>
      <c r="F585" s="328" t="s">
        <v>111</v>
      </c>
      <c r="G585" s="329"/>
      <c r="H585" s="167"/>
      <c r="I585" s="167"/>
      <c r="J585" s="168"/>
    </row>
    <row r="586" spans="8:8" ht="15.75" customHeight="1">
      <c r="B586" s="241"/>
      <c r="C586" s="241"/>
      <c r="F586" s="241" t="str">
        <f t="shared" si="1" ref="F586:F588">IF(AND(C587&lt;&gt;"",COUNTIF($E:$E,C587)=0),"مش موجود في E","")</f>
        <v/>
      </c>
    </row>
    <row r="587" spans="8:8" ht="15.75" customHeight="1">
      <c r="B587" s="241"/>
      <c r="C587" s="241"/>
      <c r="F587" s="241" t="str">
        <f t="shared" si="1"/>
        <v/>
      </c>
    </row>
    <row r="588" spans="8:8" ht="15.75" customHeight="1">
      <c r="A588" s="241" t="s">
        <v>5100</v>
      </c>
      <c r="B588" s="283"/>
      <c r="C588" s="283"/>
      <c r="D588" s="233"/>
      <c r="E588" s="233"/>
      <c r="F588" s="241" t="str">
        <f t="shared" si="1"/>
        <v/>
      </c>
    </row>
    <row r="589" spans="8:8" ht="15.75" customHeight="1">
      <c r="B589" s="241"/>
      <c r="C589" s="241"/>
    </row>
    <row r="590" spans="8:8" ht="15.75" customHeight="1">
      <c r="A590" s="330"/>
      <c r="B590" s="330"/>
      <c r="C590" s="330"/>
      <c r="D590" s="330"/>
      <c r="E590" s="330"/>
    </row>
    <row r="591" spans="8:8" ht="15.75" customHeight="1">
      <c r="A591" s="331"/>
      <c r="B591" s="332" t="s">
        <v>5102</v>
      </c>
      <c r="C591" s="333" t="s">
        <v>5103</v>
      </c>
      <c r="D591" s="333" t="s">
        <v>5104</v>
      </c>
      <c r="E591" s="333" t="s">
        <v>5105</v>
      </c>
      <c r="F591" s="334"/>
      <c r="G591" s="335"/>
      <c r="H591" s="336" t="s">
        <v>5106</v>
      </c>
      <c r="I591" s="337" t="s">
        <v>5107</v>
      </c>
      <c r="J591" s="337" t="s">
        <v>5108</v>
      </c>
      <c r="K591" s="335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</row>
    <row r="592" spans="8:8" ht="15.75" customHeight="1">
      <c r="A592" s="330"/>
      <c r="B592" s="338" t="s">
        <v>5109</v>
      </c>
      <c r="C592" s="338">
        <v>25.0</v>
      </c>
      <c r="D592" s="338">
        <v>3.0</v>
      </c>
      <c r="E592" s="338">
        <v>3.0</v>
      </c>
      <c r="F592" s="339">
        <v>31.0</v>
      </c>
      <c r="G592" s="340"/>
      <c r="H592" s="337" t="s">
        <v>5109</v>
      </c>
      <c r="I592" s="337">
        <v>25.0</v>
      </c>
      <c r="J592" s="337">
        <v>3.0</v>
      </c>
      <c r="K592" s="340"/>
    </row>
    <row r="593" spans="8:8" ht="15.75" customHeight="1">
      <c r="A593" s="330"/>
      <c r="B593" s="338" t="s">
        <v>5110</v>
      </c>
      <c r="C593" s="338">
        <v>25.0</v>
      </c>
      <c r="D593" s="341">
        <v>0.0</v>
      </c>
      <c r="E593" s="338">
        <v>2.0</v>
      </c>
      <c r="F593" s="342">
        <v>27.0</v>
      </c>
      <c r="G593" s="343"/>
      <c r="H593" s="337" t="s">
        <v>5110</v>
      </c>
      <c r="I593" s="337">
        <v>25.0</v>
      </c>
      <c r="J593" s="336">
        <v>0.0</v>
      </c>
      <c r="K593" s="340"/>
    </row>
    <row r="594" spans="8:8" ht="15.75" customHeight="1">
      <c r="A594" s="330"/>
      <c r="B594" s="338" t="s">
        <v>5111</v>
      </c>
      <c r="C594" s="338">
        <v>24.0</v>
      </c>
      <c r="D594" s="338">
        <v>4.0</v>
      </c>
      <c r="E594" s="338">
        <v>8.0</v>
      </c>
      <c r="F594" s="342">
        <v>36.0</v>
      </c>
      <c r="G594" s="340"/>
      <c r="H594" s="337" t="s">
        <v>5111</v>
      </c>
      <c r="I594" s="337">
        <v>24.0</v>
      </c>
      <c r="J594" s="337">
        <v>4.0</v>
      </c>
      <c r="K594" s="340"/>
    </row>
    <row r="595" spans="8:8" ht="15.75" customHeight="1">
      <c r="B595" s="338" t="s">
        <v>5112</v>
      </c>
      <c r="C595" s="338">
        <v>21.0</v>
      </c>
      <c r="D595" s="338">
        <v>0.0</v>
      </c>
      <c r="E595" s="338">
        <v>5.0</v>
      </c>
      <c r="F595" s="342">
        <v>26.0</v>
      </c>
      <c r="G595" s="340"/>
      <c r="H595" s="337" t="s">
        <v>5112</v>
      </c>
      <c r="I595" s="337">
        <v>21.0</v>
      </c>
      <c r="J595" s="337">
        <v>0.0</v>
      </c>
      <c r="K595" s="340"/>
    </row>
    <row r="596" spans="8:8" ht="15.75" customHeight="1">
      <c r="B596" s="338" t="s">
        <v>5113</v>
      </c>
      <c r="C596" s="338">
        <v>20.0</v>
      </c>
      <c r="D596" s="341">
        <v>0.0</v>
      </c>
      <c r="E596" s="338">
        <v>3.0</v>
      </c>
      <c r="F596" s="342"/>
      <c r="G596" s="340"/>
      <c r="H596" s="337" t="s">
        <v>5113</v>
      </c>
      <c r="I596" s="337">
        <v>20.0</v>
      </c>
      <c r="J596" s="336">
        <v>0.0</v>
      </c>
      <c r="K596" s="340"/>
    </row>
    <row r="597" spans="8:8" ht="15.75" customHeight="1">
      <c r="B597" s="338" t="s">
        <v>5114</v>
      </c>
      <c r="C597" s="338">
        <v>20.0</v>
      </c>
      <c r="D597" s="338">
        <v>0.0</v>
      </c>
      <c r="E597" s="338">
        <v>3.0</v>
      </c>
      <c r="F597" s="342"/>
      <c r="G597" s="340"/>
      <c r="H597" s="337" t="s">
        <v>5114</v>
      </c>
      <c r="I597" s="337">
        <v>20.0</v>
      </c>
      <c r="J597" s="337">
        <v>0.0</v>
      </c>
      <c r="K597" s="340"/>
    </row>
    <row r="598" spans="8:8" ht="15.75" customHeight="1">
      <c r="B598" s="338" t="s">
        <v>5115</v>
      </c>
      <c r="C598" s="338">
        <v>20.0</v>
      </c>
      <c r="D598" s="341">
        <v>0.0</v>
      </c>
      <c r="E598" s="341">
        <v>5.0</v>
      </c>
      <c r="F598" s="189"/>
      <c r="G598" s="340"/>
      <c r="H598" s="337" t="s">
        <v>5115</v>
      </c>
      <c r="I598" s="337">
        <v>20.0</v>
      </c>
      <c r="J598" s="336">
        <v>0.0</v>
      </c>
      <c r="K598" s="340"/>
    </row>
    <row r="599" spans="8:8" ht="15.75" customHeight="1">
      <c r="B599" s="338" t="s">
        <v>5116</v>
      </c>
      <c r="C599" s="338">
        <v>20.0</v>
      </c>
      <c r="D599" s="341">
        <v>0.0</v>
      </c>
      <c r="E599" s="341">
        <v>6.0</v>
      </c>
      <c r="F599" s="189" t="str">
        <f t="shared" si="2" ref="F599:F600">IF(AND(C600&lt;&gt;"",COUNTIF($E:$E,C600)=0),"مش موجود في E","")</f>
        <v/>
      </c>
      <c r="G599" s="340"/>
      <c r="H599" s="337" t="s">
        <v>5116</v>
      </c>
      <c r="I599" s="337">
        <v>20.0</v>
      </c>
      <c r="J599" s="336">
        <v>0.0</v>
      </c>
      <c r="K599" s="340"/>
    </row>
    <row r="600" spans="8:8" ht="15.75" customHeight="1">
      <c r="B600" s="241"/>
      <c r="C600" s="241"/>
      <c r="E600" s="4"/>
      <c r="F600" s="241" t="str">
        <f t="shared" si="2"/>
        <v/>
      </c>
    </row>
    <row r="601" spans="8:8" ht="15.75" customHeight="1">
      <c r="B601" s="241"/>
      <c r="C601" s="241"/>
      <c r="E601" s="241"/>
    </row>
    <row r="602" spans="8:8" ht="15.75" customHeight="1">
      <c r="B602" s="344" t="s">
        <v>5102</v>
      </c>
      <c r="C602" s="345" t="s">
        <v>5117</v>
      </c>
      <c r="D602" s="345" t="s">
        <v>5118</v>
      </c>
      <c r="E602" s="345" t="s">
        <v>5119</v>
      </c>
      <c r="F602" s="346" t="s">
        <v>5120</v>
      </c>
      <c r="G602" s="346" t="s">
        <v>5121</v>
      </c>
      <c r="H602" s="346" t="s">
        <v>5119</v>
      </c>
      <c r="I602" s="347" t="s">
        <v>5122</v>
      </c>
      <c r="J602" s="347" t="s">
        <v>5123</v>
      </c>
      <c r="K602" s="347" t="s">
        <v>5119</v>
      </c>
    </row>
    <row r="603" spans="8:8" ht="15.75" customHeight="1">
      <c r="B603" s="344" t="s">
        <v>5124</v>
      </c>
      <c r="C603" s="345">
        <v>28.0</v>
      </c>
      <c r="D603" s="345">
        <v>25.0</v>
      </c>
      <c r="E603" s="345">
        <f t="shared" si="3" ref="E603:E606">C603-D603</f>
        <v>3.0</v>
      </c>
      <c r="F603" s="346">
        <v>3.0</v>
      </c>
      <c r="G603" s="346">
        <v>2.0</v>
      </c>
      <c r="H603" s="346">
        <f t="shared" si="4" ref="H603:H605">F603-G603</f>
        <v>1.0</v>
      </c>
      <c r="I603" s="347">
        <f t="shared" si="5" ref="I603:J603">C603+F603</f>
        <v>31.0</v>
      </c>
      <c r="J603" s="347">
        <f t="shared" si="5"/>
        <v>27.0</v>
      </c>
      <c r="K603" s="347">
        <f t="shared" si="6" ref="K603:K605">I603-J603</f>
        <v>4.0</v>
      </c>
    </row>
    <row r="604" spans="8:8" ht="15.75" customHeight="1">
      <c r="B604" s="344" t="s">
        <v>5125</v>
      </c>
      <c r="C604" s="345">
        <v>28.0</v>
      </c>
      <c r="D604" s="345">
        <v>21.0</v>
      </c>
      <c r="E604" s="345">
        <f t="shared" si="3"/>
        <v>7.0</v>
      </c>
      <c r="F604" s="346">
        <v>8.0</v>
      </c>
      <c r="G604" s="346">
        <v>5.0</v>
      </c>
      <c r="H604" s="346">
        <f t="shared" si="4"/>
        <v>3.0</v>
      </c>
      <c r="I604" s="347">
        <f t="shared" si="7" ref="I604:J604">C604+F604</f>
        <v>36.0</v>
      </c>
      <c r="J604" s="347">
        <f t="shared" si="7"/>
        <v>26.0</v>
      </c>
      <c r="K604" s="347">
        <f t="shared" si="6"/>
        <v>10.0</v>
      </c>
    </row>
    <row r="605" spans="8:8" ht="15.75" customHeight="1">
      <c r="B605" s="344" t="s">
        <v>5126</v>
      </c>
      <c r="C605" s="345">
        <v>20.0</v>
      </c>
      <c r="D605" s="345">
        <v>20.0</v>
      </c>
      <c r="E605" s="345">
        <f t="shared" si="3"/>
        <v>0.0</v>
      </c>
      <c r="F605" s="346">
        <v>3.0</v>
      </c>
      <c r="G605" s="346">
        <v>3.0</v>
      </c>
      <c r="H605" s="346">
        <f t="shared" si="4"/>
        <v>0.0</v>
      </c>
      <c r="I605" s="347">
        <f t="shared" si="8" ref="I605:J605">C605+F605</f>
        <v>23.0</v>
      </c>
      <c r="J605" s="347">
        <f t="shared" si="8"/>
        <v>23.0</v>
      </c>
      <c r="K605" s="347">
        <f t="shared" si="6"/>
        <v>0.0</v>
      </c>
    </row>
    <row r="606" spans="8:8" ht="15.75" customHeight="1">
      <c r="B606" s="344" t="s">
        <v>5127</v>
      </c>
      <c r="C606" s="345">
        <v>20.0</v>
      </c>
      <c r="D606" s="345">
        <v>20.0</v>
      </c>
      <c r="E606" s="345">
        <f t="shared" si="3"/>
        <v>0.0</v>
      </c>
      <c r="F606" s="346">
        <v>5.0</v>
      </c>
      <c r="G606" s="346">
        <v>6.0</v>
      </c>
      <c r="H606" s="346">
        <f>G606-F606</f>
        <v>1.0</v>
      </c>
      <c r="I606" s="347">
        <f t="shared" si="9" ref="I606:J606">C606+F606</f>
        <v>25.0</v>
      </c>
      <c r="J606" s="347">
        <f t="shared" si="9"/>
        <v>26.0</v>
      </c>
      <c r="K606" s="347">
        <f>J606-I606</f>
        <v>1.0</v>
      </c>
    </row>
    <row r="607" spans="8:8" ht="15.75" customHeight="1">
      <c r="B607" s="344" t="s">
        <v>4788</v>
      </c>
      <c r="C607" s="348">
        <f t="shared" si="10" ref="C607:K607">SUM(C603:C606)</f>
        <v>96.0</v>
      </c>
      <c r="D607" s="348">
        <f t="shared" si="10"/>
        <v>86.0</v>
      </c>
      <c r="E607" s="348">
        <f t="shared" si="10"/>
        <v>10.0</v>
      </c>
      <c r="F607" s="348">
        <f t="shared" si="10"/>
        <v>19.0</v>
      </c>
      <c r="G607" s="348">
        <f t="shared" si="10"/>
        <v>16.0</v>
      </c>
      <c r="H607" s="348">
        <f t="shared" si="10"/>
        <v>5.0</v>
      </c>
      <c r="I607" s="348">
        <f t="shared" si="10"/>
        <v>115.0</v>
      </c>
      <c r="J607" s="348">
        <f t="shared" si="10"/>
        <v>102.0</v>
      </c>
      <c r="K607" s="348">
        <f t="shared" si="10"/>
        <v>15.0</v>
      </c>
    </row>
    <row r="608" spans="8:8" ht="15.75" customHeight="1">
      <c r="B608" s="241"/>
      <c r="C608" s="241"/>
    </row>
    <row r="609" spans="8:8" ht="15.75" customHeight="1">
      <c r="B609" s="241"/>
      <c r="C609" s="237"/>
      <c r="E609" s="4"/>
    </row>
    <row r="610" spans="8:8" ht="15.75" customHeight="1">
      <c r="B610" s="241"/>
      <c r="C610" s="237"/>
      <c r="E610" s="344"/>
      <c r="F610" s="347"/>
      <c r="G610" s="347"/>
      <c r="H610" s="347"/>
    </row>
    <row r="611" spans="8:8" ht="15.75" customHeight="1">
      <c r="B611" s="241"/>
      <c r="C611" s="237"/>
      <c r="E611" s="344"/>
      <c r="F611" s="135"/>
      <c r="G611" s="135"/>
      <c r="H611" s="135"/>
    </row>
    <row r="612" spans="8:8" ht="15.75" customHeight="1">
      <c r="B612" s="241"/>
      <c r="C612" s="237"/>
      <c r="E612" s="344"/>
      <c r="F612" s="135"/>
      <c r="G612" s="135"/>
      <c r="H612" s="135"/>
    </row>
    <row r="613" spans="8:8" ht="15.75" customHeight="1">
      <c r="B613" s="241"/>
      <c r="C613" s="241"/>
      <c r="E613" s="344"/>
      <c r="F613" s="135"/>
      <c r="G613" s="135"/>
      <c r="H613" s="135"/>
    </row>
    <row r="614" spans="8:8" ht="15.75" customHeight="1">
      <c r="B614" s="349" t="s">
        <v>4032</v>
      </c>
      <c r="C614" s="350">
        <v>241544.0</v>
      </c>
      <c r="D614" s="349" t="s">
        <v>4851</v>
      </c>
      <c r="E614" s="214" t="s">
        <v>4033</v>
      </c>
      <c r="F614" s="135" t="s">
        <v>5128</v>
      </c>
      <c r="G614" s="135"/>
      <c r="H614" s="135"/>
    </row>
    <row r="615" spans="8:8" ht="15.75" customHeight="1">
      <c r="B615" s="349" t="s">
        <v>4781</v>
      </c>
      <c r="C615" s="350">
        <v>240532.0</v>
      </c>
      <c r="D615" s="349" t="s">
        <v>4948</v>
      </c>
      <c r="E615" s="214" t="s">
        <v>4033</v>
      </c>
      <c r="F615" s="135" t="s">
        <v>5128</v>
      </c>
      <c r="G615" s="135"/>
      <c r="H615" s="135"/>
    </row>
    <row r="616" spans="8:8" ht="15.75" customHeight="1">
      <c r="B616" s="349" t="s">
        <v>4034</v>
      </c>
      <c r="C616" s="350">
        <v>241406.0</v>
      </c>
      <c r="D616" s="349" t="s">
        <v>4856</v>
      </c>
      <c r="E616" s="214" t="s">
        <v>4033</v>
      </c>
      <c r="F616" s="135" t="s">
        <v>5129</v>
      </c>
      <c r="G616" s="135"/>
      <c r="H616" s="135"/>
    </row>
    <row r="617" spans="8:8" ht="15.75" customHeight="1">
      <c r="B617" s="349" t="s">
        <v>4981</v>
      </c>
      <c r="C617" s="350">
        <v>240225.0</v>
      </c>
      <c r="D617" s="349" t="s">
        <v>1065</v>
      </c>
      <c r="E617" s="214" t="s">
        <v>4033</v>
      </c>
      <c r="F617" s="135" t="s">
        <v>5113</v>
      </c>
      <c r="G617" s="135"/>
      <c r="H617" s="135"/>
    </row>
    <row r="618" spans="8:8" ht="15.75" customHeight="1">
      <c r="B618" s="241"/>
      <c r="C618" s="241"/>
      <c r="E618" s="4"/>
    </row>
    <row r="619" spans="8:8" ht="15.75" customHeight="1">
      <c r="B619" s="241"/>
      <c r="C619" s="241"/>
      <c r="E619" s="4"/>
    </row>
    <row r="620" spans="8:8" ht="15.75" customHeight="1">
      <c r="B620" s="241"/>
      <c r="C620" s="241"/>
      <c r="E620" s="4"/>
    </row>
    <row r="621" spans="8:8" ht="15.75" customHeight="1">
      <c r="B621" s="241"/>
      <c r="C621" s="241"/>
      <c r="E621" s="4"/>
    </row>
    <row r="622" spans="8:8" ht="15.75" customHeight="1">
      <c r="B622" s="241"/>
      <c r="C622" s="241"/>
      <c r="E622" s="4"/>
    </row>
    <row r="623" spans="8:8" ht="15.75" customHeight="1">
      <c r="B623" s="241"/>
      <c r="C623" s="241"/>
      <c r="E623" s="4"/>
    </row>
    <row r="624" spans="8:8" ht="15.75" customHeight="1">
      <c r="B624" s="241"/>
      <c r="C624" s="241"/>
      <c r="E624" s="4"/>
    </row>
    <row r="625" spans="8:8" ht="15.75" customHeight="1">
      <c r="B625" s="241"/>
      <c r="C625" s="241"/>
      <c r="E625" s="4"/>
    </row>
    <row r="626" spans="8:8" ht="15.75" customHeight="1">
      <c r="B626" s="241"/>
      <c r="C626" s="241"/>
      <c r="E626" s="4"/>
    </row>
    <row r="627" spans="8:8" ht="15.75" customHeight="1">
      <c r="B627" s="241"/>
      <c r="C627" s="241"/>
      <c r="E627" s="4"/>
    </row>
    <row r="628" spans="8:8" ht="15.75" customHeight="1">
      <c r="B628" s="241"/>
      <c r="C628" s="241"/>
      <c r="E628" s="4"/>
    </row>
    <row r="629" spans="8:8" ht="15.75" customHeight="1">
      <c r="B629" s="241"/>
      <c r="C629" s="241"/>
      <c r="E629" s="4"/>
    </row>
    <row r="630" spans="8:8" ht="15.75" customHeight="1">
      <c r="B630" s="241"/>
      <c r="C630" s="241"/>
      <c r="E630" s="4"/>
    </row>
    <row r="631" spans="8:8" ht="15.75" customHeight="1">
      <c r="B631" s="241"/>
      <c r="C631" s="241"/>
      <c r="E631" s="4"/>
    </row>
    <row r="632" spans="8:8" ht="15.75" customHeight="1">
      <c r="B632" s="241"/>
      <c r="C632" s="241"/>
      <c r="E632" s="4"/>
    </row>
    <row r="633" spans="8:8" ht="15.75" customHeight="1">
      <c r="B633" s="241"/>
      <c r="C633" s="241"/>
      <c r="E633" s="4"/>
    </row>
    <row r="634" spans="8:8" ht="15.75" customHeight="1">
      <c r="B634" s="241"/>
      <c r="C634" s="241"/>
      <c r="E634" s="4"/>
    </row>
    <row r="635" spans="8:8" ht="15.75" customHeight="1">
      <c r="B635" s="241"/>
      <c r="C635" s="241"/>
      <c r="E635" s="4"/>
    </row>
    <row r="636" spans="8:8" ht="15.75" customHeight="1">
      <c r="B636" s="241"/>
      <c r="C636" s="241"/>
      <c r="E636" s="4"/>
    </row>
    <row r="637" spans="8:8" ht="15.75" customHeight="1">
      <c r="B637" s="241"/>
      <c r="C637" s="241"/>
      <c r="E637" s="4"/>
    </row>
    <row r="638" spans="8:8" ht="15.75" customHeight="1">
      <c r="B638" s="241"/>
      <c r="C638" s="241"/>
      <c r="E638" s="4"/>
    </row>
    <row r="639" spans="8:8" ht="15.75" customHeight="1">
      <c r="B639" s="241"/>
      <c r="C639" s="241"/>
      <c r="E639" s="4"/>
    </row>
    <row r="640" spans="8:8" ht="15.75" customHeight="1">
      <c r="B640" s="241"/>
      <c r="C640" s="241"/>
      <c r="E640" s="4"/>
    </row>
    <row r="641" spans="8:8" ht="15.75" customHeight="1">
      <c r="B641" s="241"/>
      <c r="C641" s="241"/>
      <c r="E641" s="4"/>
    </row>
    <row r="642" spans="8:8" ht="15.75" customHeight="1">
      <c r="B642" s="241"/>
      <c r="C642" s="241"/>
      <c r="E642" s="4"/>
    </row>
    <row r="643" spans="8:8" ht="15.75" customHeight="1">
      <c r="B643" s="241"/>
      <c r="C643" s="241"/>
      <c r="E643" s="4"/>
    </row>
    <row r="644" spans="8:8" ht="15.75" customHeight="1">
      <c r="B644" s="241"/>
      <c r="C644" s="241"/>
      <c r="E644" s="4"/>
    </row>
    <row r="645" spans="8:8" ht="15.75" customHeight="1">
      <c r="B645" s="241"/>
      <c r="C645" s="241"/>
      <c r="E645" s="4"/>
    </row>
    <row r="646" spans="8:8" ht="15.75" customHeight="1">
      <c r="B646" s="241"/>
      <c r="C646" s="241"/>
      <c r="E646" s="4"/>
    </row>
    <row r="647" spans="8:8" ht="15.75" customHeight="1">
      <c r="B647" s="241"/>
      <c r="C647" s="241"/>
      <c r="E647" s="4"/>
    </row>
    <row r="648" spans="8:8" ht="15.75" customHeight="1">
      <c r="B648" s="241"/>
      <c r="C648" s="241"/>
      <c r="E648" s="4"/>
    </row>
    <row r="649" spans="8:8" ht="15.75" customHeight="1">
      <c r="B649" s="241"/>
      <c r="C649" s="241"/>
      <c r="E649" s="4"/>
    </row>
    <row r="650" spans="8:8" ht="15.75" customHeight="1">
      <c r="B650" s="241"/>
      <c r="C650" s="241"/>
      <c r="E650" s="4"/>
    </row>
    <row r="651" spans="8:8" ht="15.75" customHeight="1">
      <c r="B651" s="241"/>
      <c r="C651" s="241"/>
      <c r="E651" s="4"/>
    </row>
    <row r="652" spans="8:8" ht="15.75" customHeight="1">
      <c r="B652" s="241"/>
      <c r="C652" s="241"/>
      <c r="E652" s="4"/>
    </row>
    <row r="653" spans="8:8" ht="15.75" customHeight="1">
      <c r="B653" s="241"/>
      <c r="C653" s="241"/>
      <c r="E653" s="4"/>
    </row>
    <row r="654" spans="8:8" ht="15.75" customHeight="1">
      <c r="B654" s="241"/>
      <c r="C654" s="241"/>
      <c r="E654" s="4"/>
    </row>
    <row r="655" spans="8:8" ht="15.75" customHeight="1">
      <c r="B655" s="241"/>
      <c r="C655" s="241"/>
      <c r="E655" s="4"/>
    </row>
    <row r="656" spans="8:8" ht="15.75" customHeight="1">
      <c r="B656" s="241"/>
      <c r="C656" s="241"/>
      <c r="E656" s="4"/>
    </row>
    <row r="657" spans="8:8" ht="15.75" customHeight="1">
      <c r="B657" s="241"/>
      <c r="C657" s="241"/>
      <c r="E657" s="4"/>
    </row>
    <row r="658" spans="8:8" ht="15.75" customHeight="1">
      <c r="B658" s="241"/>
      <c r="C658" s="241"/>
      <c r="E658" s="4"/>
    </row>
    <row r="659" spans="8:8" ht="15.75" customHeight="1">
      <c r="B659" s="241"/>
      <c r="C659" s="241"/>
      <c r="E659" s="4"/>
    </row>
    <row r="660" spans="8:8" ht="15.75" customHeight="1">
      <c r="B660" s="241"/>
      <c r="C660" s="241"/>
      <c r="E660" s="4"/>
    </row>
    <row r="661" spans="8:8" ht="15.75" customHeight="1">
      <c r="B661" s="241"/>
      <c r="C661" s="241"/>
      <c r="E661" s="4"/>
    </row>
    <row r="662" spans="8:8" ht="15.75" customHeight="1">
      <c r="B662" s="241"/>
      <c r="C662" s="241"/>
      <c r="E662" s="4"/>
    </row>
    <row r="663" spans="8:8" ht="15.75" customHeight="1">
      <c r="B663" s="241"/>
      <c r="C663" s="241"/>
      <c r="E663" s="4"/>
    </row>
    <row r="664" spans="8:8" ht="15.75" customHeight="1">
      <c r="B664" s="241"/>
      <c r="C664" s="241"/>
      <c r="E664" s="4"/>
    </row>
    <row r="665" spans="8:8" ht="15.75" customHeight="1">
      <c r="B665" s="241"/>
      <c r="C665" s="241"/>
      <c r="E665" s="4"/>
    </row>
    <row r="666" spans="8:8" ht="15.75" customHeight="1">
      <c r="B666" s="241"/>
      <c r="C666" s="241"/>
      <c r="E666" s="4"/>
    </row>
    <row r="667" spans="8:8" ht="15.75" customHeight="1">
      <c r="B667" s="241"/>
      <c r="C667" s="241"/>
      <c r="E667" s="4"/>
    </row>
    <row r="668" spans="8:8" ht="15.75" customHeight="1">
      <c r="B668" s="241"/>
      <c r="C668" s="241"/>
      <c r="E668" s="4"/>
    </row>
    <row r="669" spans="8:8" ht="15.75" customHeight="1">
      <c r="B669" s="241"/>
      <c r="C669" s="241"/>
      <c r="E669" s="4"/>
    </row>
    <row r="670" spans="8:8" ht="15.75" customHeight="1">
      <c r="B670" s="241"/>
      <c r="C670" s="241"/>
      <c r="E670" s="4"/>
    </row>
    <row r="671" spans="8:8" ht="15.75" customHeight="1">
      <c r="B671" s="241"/>
      <c r="C671" s="241"/>
      <c r="E671" s="4"/>
    </row>
    <row r="672" spans="8:8" ht="15.75" customHeight="1">
      <c r="B672" s="241"/>
      <c r="C672" s="241"/>
      <c r="E672" s="4"/>
    </row>
    <row r="673" spans="8:8" ht="15.75" customHeight="1">
      <c r="B673" s="241"/>
      <c r="C673" s="241"/>
      <c r="E673" s="4"/>
    </row>
    <row r="674" spans="8:8" ht="15.75" customHeight="1">
      <c r="B674" s="241"/>
      <c r="C674" s="241"/>
      <c r="E674" s="4"/>
    </row>
    <row r="675" spans="8:8" ht="15.75" customHeight="1">
      <c r="B675" s="241"/>
      <c r="C675" s="241"/>
      <c r="E675" s="4"/>
    </row>
    <row r="676" spans="8:8" ht="15.75" customHeight="1">
      <c r="B676" s="241"/>
      <c r="C676" s="241"/>
      <c r="E676" s="4"/>
    </row>
    <row r="677" spans="8:8" ht="15.75" customHeight="1">
      <c r="B677" s="241"/>
      <c r="C677" s="241"/>
      <c r="E677" s="4"/>
    </row>
    <row r="678" spans="8:8" ht="15.75" customHeight="1">
      <c r="B678" s="241"/>
      <c r="C678" s="241"/>
      <c r="E678" s="4"/>
    </row>
    <row r="679" spans="8:8" ht="15.75" customHeight="1">
      <c r="B679" s="241"/>
      <c r="C679" s="241"/>
      <c r="E679" s="4"/>
    </row>
    <row r="680" spans="8:8" ht="15.75" customHeight="1">
      <c r="B680" s="241"/>
      <c r="C680" s="241"/>
      <c r="E680" s="4"/>
    </row>
    <row r="681" spans="8:8" ht="15.75" customHeight="1">
      <c r="B681" s="241"/>
      <c r="C681" s="241"/>
      <c r="E681" s="4"/>
    </row>
    <row r="682" spans="8:8" ht="15.75" customHeight="1">
      <c r="B682" s="241"/>
      <c r="C682" s="241"/>
      <c r="E682" s="4"/>
    </row>
    <row r="683" spans="8:8" ht="15.75" customHeight="1">
      <c r="B683" s="241"/>
      <c r="C683" s="241"/>
      <c r="E683" s="4"/>
    </row>
    <row r="684" spans="8:8" ht="15.75" customHeight="1">
      <c r="B684" s="241"/>
      <c r="C684" s="241"/>
      <c r="E684" s="4"/>
    </row>
    <row r="685" spans="8:8" ht="15.75" customHeight="1">
      <c r="B685" s="241"/>
      <c r="C685" s="241"/>
      <c r="E685" s="4"/>
    </row>
    <row r="686" spans="8:8" ht="15.75" customHeight="1">
      <c r="B686" s="241"/>
      <c r="C686" s="241"/>
      <c r="E686" s="4"/>
    </row>
    <row r="687" spans="8:8" ht="15.75" customHeight="1">
      <c r="B687" s="241"/>
      <c r="C687" s="241"/>
      <c r="E687" s="4"/>
    </row>
    <row r="688" spans="8:8" ht="15.75" customHeight="1">
      <c r="B688" s="241"/>
      <c r="C688" s="241"/>
      <c r="E688" s="4"/>
    </row>
    <row r="689" spans="8:8" ht="15.75" customHeight="1">
      <c r="B689" s="241"/>
      <c r="C689" s="241"/>
      <c r="E689" s="4"/>
    </row>
    <row r="690" spans="8:8" ht="15.75" customHeight="1">
      <c r="B690" s="241"/>
      <c r="C690" s="241"/>
      <c r="E690" s="4"/>
    </row>
    <row r="691" spans="8:8" ht="15.75" customHeight="1">
      <c r="B691" s="241"/>
      <c r="C691" s="241"/>
      <c r="E691" s="4"/>
    </row>
    <row r="692" spans="8:8" ht="15.75" customHeight="1">
      <c r="B692" s="241"/>
      <c r="C692" s="241"/>
      <c r="E692" s="4"/>
    </row>
    <row r="693" spans="8:8" ht="15.75" customHeight="1">
      <c r="B693" s="241"/>
      <c r="C693" s="241"/>
      <c r="E693" s="4"/>
    </row>
    <row r="694" spans="8:8" ht="15.75" customHeight="1">
      <c r="B694" s="241"/>
      <c r="C694" s="241"/>
      <c r="E694" s="4"/>
    </row>
    <row r="695" spans="8:8" ht="15.75" customHeight="1">
      <c r="B695" s="241"/>
      <c r="C695" s="241"/>
      <c r="E695" s="4"/>
    </row>
    <row r="696" spans="8:8" ht="15.75" customHeight="1">
      <c r="B696" s="241"/>
      <c r="C696" s="241"/>
      <c r="E696" s="4"/>
    </row>
    <row r="697" spans="8:8" ht="15.75" customHeight="1">
      <c r="B697" s="241"/>
      <c r="C697" s="241"/>
      <c r="E697" s="4"/>
    </row>
    <row r="698" spans="8:8" ht="15.75" customHeight="1">
      <c r="B698" s="241"/>
      <c r="C698" s="241"/>
      <c r="E698" s="4"/>
    </row>
    <row r="699" spans="8:8" ht="15.75" customHeight="1">
      <c r="B699" s="241"/>
      <c r="C699" s="241"/>
      <c r="E699" s="4"/>
    </row>
    <row r="700" spans="8:8" ht="15.75" customHeight="1">
      <c r="B700" s="241"/>
      <c r="C700" s="241"/>
      <c r="E700" s="4"/>
    </row>
    <row r="701" spans="8:8" ht="15.75" customHeight="1">
      <c r="B701" s="241"/>
      <c r="C701" s="241"/>
      <c r="E701" s="4"/>
    </row>
    <row r="702" spans="8:8" ht="15.75" customHeight="1">
      <c r="B702" s="241"/>
      <c r="C702" s="241"/>
      <c r="E702" s="4"/>
    </row>
    <row r="703" spans="8:8" ht="15.75" customHeight="1">
      <c r="B703" s="241"/>
      <c r="C703" s="241"/>
      <c r="E703" s="4"/>
    </row>
    <row r="704" spans="8:8" ht="15.75" customHeight="1">
      <c r="B704" s="241"/>
      <c r="C704" s="241"/>
      <c r="E704" s="4"/>
    </row>
    <row r="705" spans="8:8" ht="15.75" customHeight="1">
      <c r="B705" s="241"/>
      <c r="C705" s="241"/>
      <c r="E705" s="4"/>
    </row>
    <row r="706" spans="8:8" ht="15.75" customHeight="1">
      <c r="B706" s="241"/>
      <c r="C706" s="241"/>
      <c r="E706" s="4"/>
    </row>
    <row r="707" spans="8:8" ht="15.75" customHeight="1">
      <c r="B707" s="241"/>
      <c r="C707" s="241"/>
      <c r="E707" s="4"/>
    </row>
    <row r="708" spans="8:8" ht="15.75" customHeight="1">
      <c r="B708" s="241"/>
      <c r="C708" s="241"/>
      <c r="E708" s="4"/>
    </row>
    <row r="709" spans="8:8" ht="15.75" customHeight="1">
      <c r="B709" s="241"/>
      <c r="C709" s="241"/>
      <c r="E709" s="4"/>
    </row>
    <row r="710" spans="8:8" ht="15.75" customHeight="1">
      <c r="B710" s="241"/>
      <c r="C710" s="241"/>
      <c r="E710" s="4"/>
    </row>
    <row r="711" spans="8:8" ht="15.75" customHeight="1">
      <c r="B711" s="241"/>
      <c r="C711" s="241"/>
      <c r="E711" s="4"/>
    </row>
    <row r="712" spans="8:8" ht="15.75" customHeight="1">
      <c r="B712" s="241"/>
      <c r="C712" s="241"/>
      <c r="E712" s="4"/>
    </row>
    <row r="713" spans="8:8" ht="15.75" customHeight="1">
      <c r="B713" s="241"/>
      <c r="C713" s="241"/>
      <c r="E713" s="4"/>
    </row>
    <row r="714" spans="8:8" ht="15.75" customHeight="1">
      <c r="B714" s="241"/>
      <c r="C714" s="241"/>
      <c r="E714" s="4"/>
    </row>
    <row r="715" spans="8:8" ht="15.75" customHeight="1">
      <c r="B715" s="241"/>
      <c r="C715" s="241"/>
      <c r="E715" s="4"/>
    </row>
    <row r="716" spans="8:8" ht="15.75" customHeight="1">
      <c r="B716" s="241"/>
      <c r="C716" s="241"/>
      <c r="E716" s="4"/>
    </row>
    <row r="717" spans="8:8" ht="15.75" customHeight="1">
      <c r="B717" s="241"/>
      <c r="C717" s="241"/>
      <c r="E717" s="4"/>
    </row>
    <row r="718" spans="8:8" ht="15.75" customHeight="1">
      <c r="B718" s="241"/>
      <c r="C718" s="241"/>
      <c r="E718" s="4"/>
    </row>
    <row r="719" spans="8:8" ht="15.75" customHeight="1">
      <c r="B719" s="241"/>
      <c r="C719" s="241"/>
      <c r="E719" s="4"/>
    </row>
    <row r="720" spans="8:8" ht="15.75" customHeight="1">
      <c r="B720" s="241"/>
      <c r="C720" s="241"/>
      <c r="E720" s="4"/>
    </row>
    <row r="721" spans="8:8" ht="15.75" customHeight="1">
      <c r="B721" s="241"/>
      <c r="C721" s="241"/>
      <c r="E721" s="4"/>
    </row>
    <row r="722" spans="8:8" ht="15.75" customHeight="1">
      <c r="B722" s="241"/>
      <c r="C722" s="241"/>
      <c r="E722" s="4"/>
    </row>
    <row r="723" spans="8:8" ht="15.75" customHeight="1">
      <c r="B723" s="241"/>
      <c r="C723" s="241"/>
      <c r="E723" s="4"/>
    </row>
    <row r="724" spans="8:8" ht="15.75" customHeight="1">
      <c r="B724" s="241"/>
      <c r="C724" s="241"/>
      <c r="E724" s="4"/>
    </row>
    <row r="725" spans="8:8" ht="15.75" customHeight="1">
      <c r="B725" s="241"/>
      <c r="C725" s="241"/>
      <c r="E725" s="4"/>
    </row>
    <row r="726" spans="8:8" ht="15.75" customHeight="1">
      <c r="B726" s="241"/>
      <c r="C726" s="241"/>
      <c r="E726" s="4"/>
    </row>
    <row r="727" spans="8:8" ht="15.75" customHeight="1">
      <c r="B727" s="241"/>
      <c r="C727" s="241"/>
      <c r="E727" s="4"/>
    </row>
    <row r="728" spans="8:8" ht="15.75" customHeight="1">
      <c r="B728" s="241"/>
      <c r="C728" s="241"/>
      <c r="E728" s="4"/>
    </row>
    <row r="729" spans="8:8" ht="15.75" customHeight="1">
      <c r="B729" s="241"/>
      <c r="C729" s="241"/>
      <c r="E729" s="4"/>
    </row>
    <row r="730" spans="8:8" ht="15.75" customHeight="1">
      <c r="B730" s="241"/>
      <c r="C730" s="241"/>
      <c r="E730" s="4"/>
    </row>
    <row r="731" spans="8:8" ht="15.75" customHeight="1">
      <c r="B731" s="241"/>
      <c r="C731" s="241"/>
      <c r="E731" s="4"/>
    </row>
    <row r="732" spans="8:8" ht="15.75" customHeight="1">
      <c r="B732" s="241"/>
      <c r="C732" s="241"/>
      <c r="E732" s="4"/>
    </row>
    <row r="733" spans="8:8" ht="15.75" customHeight="1">
      <c r="B733" s="241"/>
      <c r="C733" s="241"/>
      <c r="E733" s="4"/>
    </row>
    <row r="734" spans="8:8" ht="15.75" customHeight="1">
      <c r="B734" s="241"/>
      <c r="C734" s="241"/>
      <c r="E734" s="4"/>
    </row>
    <row r="735" spans="8:8" ht="15.75" customHeight="1">
      <c r="B735" s="241"/>
      <c r="C735" s="241"/>
      <c r="E735" s="4"/>
    </row>
    <row r="736" spans="8:8" ht="15.75" customHeight="1">
      <c r="B736" s="241"/>
      <c r="C736" s="241"/>
      <c r="E736" s="4"/>
    </row>
    <row r="737" spans="8:8" ht="15.75" customHeight="1">
      <c r="B737" s="241"/>
      <c r="C737" s="241"/>
      <c r="E737" s="4"/>
    </row>
    <row r="738" spans="8:8" ht="15.75" customHeight="1">
      <c r="B738" s="241"/>
      <c r="C738" s="241"/>
      <c r="E738" s="4"/>
    </row>
    <row r="739" spans="8:8" ht="15.75" customHeight="1">
      <c r="B739" s="241"/>
      <c r="C739" s="241"/>
      <c r="E739" s="4"/>
    </row>
    <row r="740" spans="8:8" ht="15.75" customHeight="1">
      <c r="B740" s="241"/>
      <c r="C740" s="241"/>
      <c r="E740" s="4"/>
    </row>
    <row r="741" spans="8:8" ht="15.75" customHeight="1">
      <c r="B741" s="241"/>
      <c r="C741" s="241"/>
      <c r="E741" s="4"/>
    </row>
    <row r="742" spans="8:8" ht="15.75" customHeight="1">
      <c r="B742" s="241"/>
      <c r="C742" s="241"/>
      <c r="E742" s="4"/>
    </row>
    <row r="743" spans="8:8" ht="15.75" customHeight="1">
      <c r="B743" s="241"/>
      <c r="C743" s="241"/>
      <c r="E743" s="4"/>
    </row>
    <row r="744" spans="8:8" ht="15.75" customHeight="1">
      <c r="B744" s="241"/>
      <c r="C744" s="241"/>
      <c r="E744" s="4"/>
    </row>
    <row r="745" spans="8:8" ht="15.75" customHeight="1">
      <c r="B745" s="241"/>
      <c r="C745" s="241"/>
      <c r="E745" s="4"/>
    </row>
    <row r="746" spans="8:8" ht="15.75" customHeight="1">
      <c r="B746" s="241"/>
      <c r="C746" s="241"/>
      <c r="E746" s="4"/>
    </row>
    <row r="747" spans="8:8" ht="15.75" customHeight="1">
      <c r="B747" s="241"/>
      <c r="C747" s="241"/>
      <c r="E747" s="4"/>
    </row>
    <row r="748" spans="8:8" ht="15.75" customHeight="1">
      <c r="B748" s="241"/>
      <c r="C748" s="241"/>
      <c r="E748" s="4"/>
    </row>
    <row r="749" spans="8:8" ht="15.75" customHeight="1">
      <c r="B749" s="241"/>
      <c r="C749" s="241"/>
      <c r="E749" s="4"/>
    </row>
    <row r="750" spans="8:8" ht="15.75" customHeight="1">
      <c r="B750" s="241"/>
      <c r="C750" s="241"/>
      <c r="E750" s="4"/>
    </row>
    <row r="751" spans="8:8" ht="15.75" customHeight="1">
      <c r="B751" s="241"/>
      <c r="C751" s="241"/>
      <c r="E751" s="4"/>
    </row>
    <row r="752" spans="8:8" ht="15.75" customHeight="1">
      <c r="B752" s="241"/>
      <c r="C752" s="241"/>
      <c r="E752" s="4"/>
    </row>
    <row r="753" spans="8:8" ht="15.75" customHeight="1">
      <c r="B753" s="241"/>
      <c r="C753" s="241"/>
      <c r="E753" s="4"/>
    </row>
    <row r="754" spans="8:8" ht="15.75" customHeight="1">
      <c r="B754" s="241"/>
      <c r="C754" s="241"/>
      <c r="E754" s="4"/>
    </row>
    <row r="755" spans="8:8" ht="15.75" customHeight="1">
      <c r="B755" s="241"/>
      <c r="C755" s="241"/>
      <c r="E755" s="4"/>
    </row>
    <row r="756" spans="8:8" ht="15.75" customHeight="1">
      <c r="B756" s="241"/>
      <c r="C756" s="241"/>
      <c r="E756" s="4"/>
    </row>
    <row r="757" spans="8:8" ht="15.75" customHeight="1">
      <c r="B757" s="241"/>
      <c r="C757" s="241"/>
      <c r="E757" s="4"/>
    </row>
    <row r="758" spans="8:8" ht="15.75" customHeight="1">
      <c r="B758" s="241"/>
      <c r="C758" s="241"/>
      <c r="E758" s="4"/>
    </row>
    <row r="759" spans="8:8" ht="15.75" customHeight="1">
      <c r="B759" s="241"/>
      <c r="C759" s="241"/>
      <c r="E759" s="4"/>
    </row>
    <row r="760" spans="8:8" ht="15.75" customHeight="1">
      <c r="B760" s="241"/>
      <c r="C760" s="241"/>
      <c r="E760" s="4"/>
    </row>
    <row r="761" spans="8:8" ht="15.75" customHeight="1">
      <c r="B761" s="241"/>
      <c r="C761" s="241"/>
      <c r="E761" s="4"/>
    </row>
    <row r="762" spans="8:8" ht="15.75" customHeight="1">
      <c r="B762" s="241"/>
      <c r="C762" s="241"/>
      <c r="E762" s="4"/>
    </row>
    <row r="763" spans="8:8" ht="15.75" customHeight="1">
      <c r="B763" s="241"/>
      <c r="C763" s="241"/>
      <c r="E763" s="4"/>
    </row>
    <row r="764" spans="8:8" ht="15.75" customHeight="1">
      <c r="B764" s="241"/>
      <c r="C764" s="241"/>
      <c r="E764" s="4"/>
    </row>
    <row r="765" spans="8:8" ht="15.75" customHeight="1">
      <c r="B765" s="241"/>
      <c r="C765" s="241"/>
      <c r="E765" s="4"/>
    </row>
    <row r="766" spans="8:8" ht="15.75" customHeight="1">
      <c r="B766" s="241"/>
      <c r="C766" s="241"/>
      <c r="E766" s="4"/>
    </row>
    <row r="767" spans="8:8" ht="15.75" customHeight="1">
      <c r="B767" s="241"/>
      <c r="C767" s="241"/>
      <c r="E767" s="4"/>
    </row>
    <row r="768" spans="8:8" ht="15.75" customHeight="1">
      <c r="B768" s="241"/>
      <c r="C768" s="241"/>
      <c r="E768" s="4"/>
    </row>
    <row r="769" spans="8:8" ht="15.75" customHeight="1">
      <c r="B769" s="241"/>
      <c r="C769" s="241"/>
      <c r="E769" s="4"/>
    </row>
    <row r="770" spans="8:8" ht="15.75" customHeight="1">
      <c r="B770" s="241"/>
      <c r="C770" s="241"/>
      <c r="E770" s="4"/>
    </row>
    <row r="771" spans="8:8" ht="15.75" customHeight="1">
      <c r="B771" s="241"/>
      <c r="C771" s="241"/>
      <c r="E771" s="4"/>
    </row>
    <row r="772" spans="8:8" ht="15.75" customHeight="1">
      <c r="B772" s="241"/>
      <c r="C772" s="241"/>
      <c r="E772" s="4"/>
    </row>
    <row r="773" spans="8:8" ht="15.75" customHeight="1">
      <c r="B773" s="241"/>
      <c r="C773" s="241"/>
      <c r="E773" s="4"/>
    </row>
    <row r="774" spans="8:8" ht="15.75" customHeight="1">
      <c r="B774" s="241"/>
      <c r="C774" s="241"/>
      <c r="E774" s="4"/>
    </row>
    <row r="775" spans="8:8" ht="15.75" customHeight="1">
      <c r="B775" s="241"/>
      <c r="C775" s="241"/>
      <c r="E775" s="4"/>
    </row>
    <row r="776" spans="8:8" ht="15.75" customHeight="1">
      <c r="B776" s="241"/>
      <c r="C776" s="241"/>
      <c r="E776" s="4"/>
    </row>
    <row r="777" spans="8:8" ht="15.75" customHeight="1">
      <c r="B777" s="241"/>
      <c r="C777" s="241"/>
      <c r="E777" s="4"/>
    </row>
    <row r="778" spans="8:8" ht="15.75" customHeight="1">
      <c r="B778" s="241"/>
      <c r="C778" s="241"/>
      <c r="E778" s="4"/>
    </row>
    <row r="779" spans="8:8" ht="15.75" customHeight="1">
      <c r="B779" s="241"/>
      <c r="C779" s="241"/>
      <c r="E779" s="4"/>
    </row>
    <row r="780" spans="8:8" ht="15.75" customHeight="1">
      <c r="B780" s="241"/>
      <c r="C780" s="241"/>
      <c r="E780" s="4"/>
    </row>
    <row r="781" spans="8:8" ht="15.75" customHeight="1">
      <c r="B781" s="241"/>
      <c r="C781" s="241"/>
      <c r="E781" s="4"/>
    </row>
    <row r="782" spans="8:8" ht="15.75" customHeight="1">
      <c r="B782" s="241"/>
      <c r="C782" s="241"/>
      <c r="E782" s="4"/>
    </row>
    <row r="783" spans="8:8" ht="15.75" customHeight="1">
      <c r="B783" s="241"/>
      <c r="C783" s="241"/>
      <c r="E783" s="4"/>
    </row>
    <row r="784" spans="8:8" ht="15.75" customHeight="1">
      <c r="B784" s="241"/>
      <c r="C784" s="241"/>
      <c r="E784" s="4"/>
    </row>
    <row r="785" spans="8:8" ht="15.75" customHeight="1">
      <c r="B785" s="241"/>
      <c r="C785" s="241"/>
      <c r="E785" s="4"/>
    </row>
    <row r="786" spans="8:8" ht="15.75" customHeight="1">
      <c r="B786" s="241"/>
      <c r="C786" s="241"/>
      <c r="E786" s="4"/>
    </row>
    <row r="787" spans="8:8" ht="15.75" customHeight="1">
      <c r="B787" s="241"/>
      <c r="C787" s="241"/>
      <c r="E787" s="4"/>
    </row>
    <row r="788" spans="8:8" ht="15.75" customHeight="1">
      <c r="B788" s="241"/>
      <c r="C788" s="241"/>
      <c r="E788" s="4"/>
    </row>
    <row r="789" spans="8:8" ht="15.75" customHeight="1">
      <c r="B789" s="241"/>
      <c r="C789" s="241"/>
      <c r="E789" s="4"/>
    </row>
    <row r="790" spans="8:8" ht="15.75" customHeight="1">
      <c r="B790" s="241"/>
      <c r="C790" s="241"/>
      <c r="E790" s="4"/>
    </row>
    <row r="791" spans="8:8" ht="15.75" customHeight="1">
      <c r="B791" s="241"/>
      <c r="C791" s="241"/>
      <c r="E791" s="4"/>
    </row>
    <row r="792" spans="8:8" ht="15.75" customHeight="1">
      <c r="B792" s="241"/>
      <c r="C792" s="241"/>
      <c r="E792" s="4"/>
    </row>
    <row r="793" spans="8:8" ht="15.75" customHeight="1">
      <c r="B793" s="241"/>
      <c r="C793" s="241"/>
      <c r="E793" s="4"/>
    </row>
    <row r="794" spans="8:8" ht="15.75" customHeight="1">
      <c r="B794" s="241"/>
      <c r="C794" s="241"/>
      <c r="E794" s="4"/>
    </row>
    <row r="795" spans="8:8" ht="15.75" customHeight="1">
      <c r="B795" s="241"/>
      <c r="C795" s="241"/>
      <c r="E795" s="4"/>
    </row>
    <row r="796" spans="8:8" ht="15.75" customHeight="1">
      <c r="B796" s="241"/>
      <c r="C796" s="241"/>
      <c r="E796" s="4"/>
    </row>
    <row r="797" spans="8:8" ht="15.75" customHeight="1">
      <c r="B797" s="241"/>
      <c r="C797" s="241"/>
      <c r="E797" s="4"/>
    </row>
    <row r="798" spans="8:8" ht="15.75" customHeight="1">
      <c r="B798" s="241"/>
      <c r="C798" s="241"/>
      <c r="E798" s="4"/>
    </row>
    <row r="799" spans="8:8" ht="15.75" customHeight="1">
      <c r="B799" s="241"/>
      <c r="C799" s="241"/>
      <c r="E799" s="4"/>
    </row>
    <row r="800" spans="8:8" ht="15.75" customHeight="1">
      <c r="B800" s="241"/>
      <c r="C800" s="241"/>
      <c r="E800" s="4"/>
    </row>
    <row r="801" spans="8:8" ht="15.75" customHeight="1">
      <c r="B801" s="241"/>
      <c r="C801" s="241"/>
      <c r="E801" s="4"/>
    </row>
    <row r="802" spans="8:8" ht="15.75" customHeight="1">
      <c r="B802" s="241"/>
      <c r="C802" s="241"/>
      <c r="E802" s="4"/>
    </row>
    <row r="803" spans="8:8" ht="15.75" customHeight="1">
      <c r="B803" s="241"/>
      <c r="C803" s="241"/>
      <c r="E803" s="4"/>
    </row>
    <row r="804" spans="8:8" ht="15.75" customHeight="1">
      <c r="B804" s="241"/>
      <c r="C804" s="241"/>
      <c r="E804" s="4"/>
    </row>
    <row r="805" spans="8:8" ht="15.75" customHeight="1">
      <c r="B805" s="241"/>
      <c r="C805" s="241"/>
      <c r="E805" s="4"/>
    </row>
    <row r="806" spans="8:8" ht="15.75" customHeight="1">
      <c r="B806" s="241"/>
      <c r="C806" s="241"/>
      <c r="E806" s="4"/>
    </row>
    <row r="807" spans="8:8" ht="15.75" customHeight="1">
      <c r="B807" s="241"/>
      <c r="C807" s="241"/>
      <c r="E807" s="4"/>
    </row>
    <row r="808" spans="8:8" ht="15.75" customHeight="1">
      <c r="B808" s="241"/>
      <c r="C808" s="241"/>
      <c r="E808" s="4"/>
    </row>
    <row r="809" spans="8:8" ht="15.75" customHeight="1">
      <c r="B809" s="241"/>
      <c r="C809" s="241"/>
      <c r="E809" s="4"/>
    </row>
    <row r="810" spans="8:8" ht="15.75" customHeight="1">
      <c r="B810" s="241"/>
      <c r="C810" s="241"/>
      <c r="E810" s="4"/>
    </row>
    <row r="811" spans="8:8" ht="15.75" customHeight="1">
      <c r="B811" s="241"/>
      <c r="C811" s="241"/>
      <c r="E811" s="4"/>
    </row>
    <row r="812" spans="8:8" ht="15.75" customHeight="1">
      <c r="B812" s="241"/>
      <c r="C812" s="241"/>
      <c r="E812" s="4"/>
    </row>
    <row r="813" spans="8:8" ht="15.75" customHeight="1">
      <c r="B813" s="241"/>
      <c r="C813" s="241"/>
      <c r="E813" s="4"/>
    </row>
    <row r="814" spans="8:8" ht="15.75" customHeight="1">
      <c r="B814" s="241"/>
      <c r="C814" s="241"/>
      <c r="E814" s="4"/>
    </row>
    <row r="815" spans="8:8" ht="15.75" customHeight="1">
      <c r="B815" s="241"/>
      <c r="C815" s="241"/>
      <c r="E815" s="4"/>
    </row>
    <row r="816" spans="8:8" ht="15.75" customHeight="1">
      <c r="B816" s="241"/>
      <c r="C816" s="241"/>
      <c r="E816" s="4"/>
    </row>
    <row r="817" spans="8:8" ht="15.75" customHeight="1">
      <c r="B817" s="241"/>
      <c r="C817" s="241"/>
      <c r="E817" s="4"/>
    </row>
    <row r="818" spans="8:8" ht="15.75" customHeight="1">
      <c r="E818" s="4"/>
    </row>
    <row r="819" spans="8:8" ht="15.75" customHeight="1">
      <c r="E819" s="4"/>
    </row>
    <row r="820" spans="8:8" ht="15.75" customHeight="1">
      <c r="E820" s="4"/>
    </row>
    <row r="821" spans="8:8" ht="15.75" customHeight="1">
      <c r="E821" s="4"/>
    </row>
    <row r="822" spans="8:8" ht="15.75" customHeight="1">
      <c r="E822" s="4"/>
    </row>
    <row r="823" spans="8:8" ht="15.75" customHeight="1">
      <c r="E823" s="4"/>
    </row>
    <row r="824" spans="8:8" ht="15.75" customHeight="1">
      <c r="E824" s="4"/>
    </row>
    <row r="825" spans="8:8" ht="15.75" customHeight="1">
      <c r="E825" s="4"/>
    </row>
    <row r="826" spans="8:8" ht="15.75" customHeight="1">
      <c r="E826" s="4"/>
    </row>
    <row r="827" spans="8:8" ht="15.75" customHeight="1">
      <c r="E827" s="4"/>
    </row>
    <row r="828" spans="8:8" ht="15.75" customHeight="1">
      <c r="E828" s="4"/>
    </row>
    <row r="829" spans="8:8" ht="15.75" customHeight="1">
      <c r="E829" s="4"/>
    </row>
    <row r="830" spans="8:8" ht="15.75" customHeight="1">
      <c r="E830" s="4"/>
    </row>
    <row r="831" spans="8:8" ht="15.75" customHeight="1">
      <c r="E831" s="4"/>
    </row>
    <row r="832" spans="8:8" ht="15.75" customHeight="1">
      <c r="E832" s="4"/>
    </row>
    <row r="833" spans="8:8" ht="15.75" customHeight="1">
      <c r="E833" s="4"/>
    </row>
    <row r="834" spans="8:8" ht="15.75" customHeight="1">
      <c r="E834" s="4"/>
    </row>
    <row r="835" spans="8:8" ht="15.75" customHeight="1">
      <c r="E835" s="4"/>
    </row>
    <row r="836" spans="8:8" ht="15.75" customHeight="1">
      <c r="E836" s="4"/>
    </row>
    <row r="837" spans="8:8" ht="15.75" customHeight="1">
      <c r="E837" s="4"/>
    </row>
    <row r="838" spans="8:8" ht="15.75" customHeight="1">
      <c r="E838" s="4"/>
    </row>
    <row r="839" spans="8:8" ht="15.75" customHeight="1">
      <c r="E839" s="4"/>
    </row>
    <row r="840" spans="8:8" ht="15.75" customHeight="1">
      <c r="E840" s="4"/>
    </row>
    <row r="841" spans="8:8" ht="15.75" customHeight="1">
      <c r="E841" s="4"/>
    </row>
    <row r="842" spans="8:8" ht="15.75" customHeight="1">
      <c r="E842" s="4"/>
    </row>
    <row r="843" spans="8:8" ht="15.75" customHeight="1">
      <c r="E843" s="4"/>
    </row>
    <row r="844" spans="8:8" ht="15.75" customHeight="1">
      <c r="E844" s="4"/>
    </row>
    <row r="845" spans="8:8" ht="15.75" customHeight="1">
      <c r="E845" s="4"/>
    </row>
    <row r="846" spans="8:8" ht="15.75" customHeight="1">
      <c r="E846" s="4"/>
    </row>
    <row r="847" spans="8:8" ht="15.75" customHeight="1">
      <c r="E847" s="4"/>
    </row>
    <row r="848" spans="8:8" ht="15.75" customHeight="1">
      <c r="E848" s="4"/>
    </row>
    <row r="849" spans="8:8" ht="15.75" customHeight="1">
      <c r="E849" s="4"/>
    </row>
    <row r="850" spans="8:8" ht="15.75" customHeight="1">
      <c r="E850" s="4"/>
    </row>
    <row r="851" spans="8:8" ht="15.75" customHeight="1">
      <c r="E851" s="4"/>
    </row>
    <row r="852" spans="8:8" ht="15.75" customHeight="1">
      <c r="E852" s="4"/>
    </row>
    <row r="853" spans="8:8" ht="15.75" customHeight="1">
      <c r="E853" s="4"/>
    </row>
    <row r="854" spans="8:8" ht="15.75" customHeight="1">
      <c r="E854" s="4"/>
    </row>
    <row r="855" spans="8:8" ht="15.75" customHeight="1">
      <c r="E855" s="4"/>
    </row>
    <row r="856" spans="8:8" ht="15.75" customHeight="1">
      <c r="E856" s="4"/>
    </row>
    <row r="857" spans="8:8" ht="15.75" customHeight="1">
      <c r="E857" s="4"/>
    </row>
    <row r="858" spans="8:8" ht="15.75" customHeight="1">
      <c r="E858" s="4"/>
    </row>
    <row r="859" spans="8:8" ht="15.75" customHeight="1">
      <c r="E859" s="4"/>
    </row>
    <row r="860" spans="8:8" ht="15.75" customHeight="1">
      <c r="E860" s="4"/>
    </row>
    <row r="861" spans="8:8" ht="15.75" customHeight="1">
      <c r="E861" s="4"/>
    </row>
    <row r="862" spans="8:8" ht="15.75" customHeight="1">
      <c r="E862" s="4"/>
    </row>
    <row r="863" spans="8:8" ht="15.75" customHeight="1">
      <c r="E863" s="4"/>
    </row>
    <row r="864" spans="8:8" ht="15.75" customHeight="1">
      <c r="E864" s="4"/>
    </row>
    <row r="865" spans="8:8" ht="15.75" customHeight="1">
      <c r="E865" s="4"/>
    </row>
    <row r="866" spans="8:8" ht="15.75" customHeight="1">
      <c r="E866" s="4"/>
    </row>
    <row r="867" spans="8:8" ht="15.75" customHeight="1">
      <c r="E867" s="4"/>
    </row>
    <row r="868" spans="8:8" ht="15.75" customHeight="1">
      <c r="E868" s="4"/>
    </row>
    <row r="869" spans="8:8" ht="15.75" customHeight="1">
      <c r="E869" s="4"/>
    </row>
    <row r="870" spans="8:8" ht="15.75" customHeight="1">
      <c r="E870" s="4"/>
    </row>
    <row r="871" spans="8:8" ht="15.75" customHeight="1">
      <c r="E871" s="4"/>
    </row>
    <row r="872" spans="8:8" ht="15.75" customHeight="1">
      <c r="E872" s="4"/>
    </row>
    <row r="873" spans="8:8" ht="15.75" customHeight="1">
      <c r="E873" s="4"/>
    </row>
    <row r="874" spans="8:8" ht="15.75" customHeight="1">
      <c r="E874" s="4"/>
    </row>
    <row r="875" spans="8:8" ht="15.75" customHeight="1">
      <c r="E875" s="4"/>
    </row>
    <row r="876" spans="8:8" ht="15.75" customHeight="1">
      <c r="E876" s="4"/>
    </row>
    <row r="877" spans="8:8" ht="15.75" customHeight="1">
      <c r="E877" s="4"/>
    </row>
    <row r="878" spans="8:8" ht="15.75" customHeight="1">
      <c r="E878" s="4"/>
    </row>
    <row r="879" spans="8:8" ht="15.75" customHeight="1">
      <c r="E879" s="4"/>
    </row>
    <row r="880" spans="8:8" ht="15.75" customHeight="1">
      <c r="E880" s="4"/>
    </row>
    <row r="881" spans="8:8" ht="15.75" customHeight="1">
      <c r="E881" s="4"/>
    </row>
    <row r="882" spans="8:8" ht="15.75" customHeight="1">
      <c r="E882" s="4"/>
    </row>
    <row r="883" spans="8:8" ht="15.75" customHeight="1">
      <c r="E883" s="4"/>
    </row>
    <row r="884" spans="8:8" ht="15.75" customHeight="1">
      <c r="E884" s="4"/>
    </row>
    <row r="885" spans="8:8" ht="15.75" customHeight="1">
      <c r="E885" s="4"/>
    </row>
    <row r="886" spans="8:8" ht="15.75" customHeight="1">
      <c r="E886" s="4"/>
    </row>
    <row r="887" spans="8:8" ht="15.75" customHeight="1">
      <c r="E887" s="4"/>
    </row>
    <row r="888" spans="8:8" ht="15.75" customHeight="1">
      <c r="E888" s="4"/>
    </row>
    <row r="889" spans="8:8" ht="15.75" customHeight="1">
      <c r="E889" s="4"/>
    </row>
    <row r="890" spans="8:8" ht="15.75" customHeight="1">
      <c r="E890" s="4"/>
    </row>
    <row r="891" spans="8:8" ht="15.75" customHeight="1">
      <c r="E891" s="4"/>
    </row>
    <row r="892" spans="8:8" ht="15.75" customHeight="1">
      <c r="E892" s="4"/>
    </row>
    <row r="893" spans="8:8" ht="15.75" customHeight="1">
      <c r="E893" s="4"/>
    </row>
    <row r="894" spans="8:8" ht="15.75" customHeight="1">
      <c r="E894" s="4"/>
    </row>
    <row r="895" spans="8:8" ht="15.75" customHeight="1">
      <c r="E895" s="4"/>
    </row>
    <row r="896" spans="8:8" ht="15.75" customHeight="1">
      <c r="E896" s="4"/>
    </row>
    <row r="897" spans="8:8" ht="15.75" customHeight="1">
      <c r="E897" s="4"/>
    </row>
    <row r="898" spans="8:8" ht="15.75" customHeight="1">
      <c r="E898" s="4"/>
    </row>
    <row r="899" spans="8:8" ht="15.75" customHeight="1">
      <c r="E899" s="4"/>
    </row>
    <row r="900" spans="8:8" ht="15.75" customHeight="1">
      <c r="E900" s="4"/>
    </row>
    <row r="901" spans="8:8" ht="15.75" customHeight="1">
      <c r="E901" s="4"/>
    </row>
    <row r="902" spans="8:8" ht="15.75" customHeight="1">
      <c r="E902" s="4"/>
    </row>
    <row r="903" spans="8:8" ht="15.75" customHeight="1">
      <c r="E903" s="4"/>
    </row>
    <row r="904" spans="8:8" ht="15.75" customHeight="1">
      <c r="E904" s="4"/>
    </row>
    <row r="905" spans="8:8" ht="15.75" customHeight="1">
      <c r="E905" s="4"/>
    </row>
    <row r="906" spans="8:8" ht="15.75" customHeight="1">
      <c r="E906" s="4"/>
    </row>
    <row r="907" spans="8:8" ht="15.75" customHeight="1">
      <c r="E907" s="4"/>
    </row>
    <row r="908" spans="8:8" ht="15.75" customHeight="1">
      <c r="E908" s="4"/>
    </row>
    <row r="909" spans="8:8" ht="15.75" customHeight="1">
      <c r="E909" s="4"/>
    </row>
    <row r="910" spans="8:8" ht="15.75" customHeight="1">
      <c r="E910" s="4"/>
    </row>
    <row r="911" spans="8:8" ht="15.75" customHeight="1">
      <c r="E911" s="4"/>
    </row>
    <row r="912" spans="8:8" ht="15.75" customHeight="1">
      <c r="E912" s="4"/>
    </row>
    <row r="913" spans="8:8" ht="15.75" customHeight="1">
      <c r="E913" s="4"/>
    </row>
    <row r="914" spans="8:8" ht="15.75" customHeight="1">
      <c r="E914" s="4"/>
    </row>
    <row r="915" spans="8:8" ht="15.75" customHeight="1">
      <c r="E915" s="4"/>
    </row>
    <row r="916" spans="8:8" ht="15.75" customHeight="1">
      <c r="E916" s="4"/>
    </row>
    <row r="917" spans="8:8" ht="15.75" customHeight="1">
      <c r="E917" s="4"/>
    </row>
    <row r="918" spans="8:8" ht="15.75" customHeight="1">
      <c r="E918" s="4"/>
    </row>
    <row r="919" spans="8:8" ht="15.75" customHeight="1">
      <c r="E919" s="4"/>
    </row>
    <row r="920" spans="8:8" ht="15.75" customHeight="1">
      <c r="E920" s="4"/>
    </row>
    <row r="921" spans="8:8" ht="15.75" customHeight="1">
      <c r="E921" s="4"/>
    </row>
    <row r="922" spans="8:8" ht="15.75" customHeight="1">
      <c r="E922" s="4"/>
    </row>
    <row r="923" spans="8:8" ht="15.75" customHeight="1">
      <c r="E923" s="4"/>
    </row>
    <row r="924" spans="8:8" ht="15.75" customHeight="1">
      <c r="E924" s="4"/>
    </row>
    <row r="925" spans="8:8" ht="15.75" customHeight="1">
      <c r="E925" s="4"/>
    </row>
    <row r="926" spans="8:8" ht="15.75" customHeight="1">
      <c r="E926" s="4"/>
    </row>
    <row r="927" spans="8:8" ht="15.75" customHeight="1">
      <c r="E927" s="4"/>
    </row>
    <row r="928" spans="8:8" ht="15.75" customHeight="1">
      <c r="E928" s="4"/>
    </row>
    <row r="929" spans="8:8" ht="15.75" customHeight="1">
      <c r="E929" s="4"/>
    </row>
    <row r="930" spans="8:8" ht="15.75" customHeight="1">
      <c r="E930" s="4"/>
    </row>
    <row r="931" spans="8:8" ht="15.75" customHeight="1">
      <c r="E931" s="4"/>
    </row>
    <row r="932" spans="8:8" ht="15.75" customHeight="1">
      <c r="E932" s="4"/>
    </row>
    <row r="933" spans="8:8" ht="15.75" customHeight="1">
      <c r="E933" s="4"/>
    </row>
    <row r="934" spans="8:8" ht="15.75" customHeight="1">
      <c r="E934" s="4"/>
    </row>
    <row r="935" spans="8:8" ht="15.75" customHeight="1">
      <c r="E935" s="4"/>
    </row>
    <row r="936" spans="8:8" ht="15.75" customHeight="1">
      <c r="E936" s="4"/>
    </row>
    <row r="937" spans="8:8" ht="15.75" customHeight="1">
      <c r="E937" s="4"/>
    </row>
    <row r="938" spans="8:8" ht="15.75" customHeight="1">
      <c r="E938" s="4"/>
    </row>
    <row r="939" spans="8:8" ht="15.75" customHeight="1">
      <c r="E939" s="4"/>
    </row>
    <row r="940" spans="8:8" ht="15.75" customHeight="1">
      <c r="E940" s="4"/>
    </row>
    <row r="941" spans="8:8" ht="15.75" customHeight="1">
      <c r="E941" s="4"/>
    </row>
    <row r="942" spans="8:8" ht="15.75" customHeight="1">
      <c r="E942" s="4"/>
    </row>
    <row r="943" spans="8:8" ht="15.75" customHeight="1">
      <c r="E943" s="4"/>
    </row>
    <row r="944" spans="8:8" ht="15.75" customHeight="1">
      <c r="E944" s="4"/>
    </row>
    <row r="945" spans="8:8" ht="15.75" customHeight="1">
      <c r="E945" s="4"/>
    </row>
    <row r="946" spans="8:8" ht="15.75" customHeight="1">
      <c r="E946" s="4"/>
    </row>
    <row r="947" spans="8:8" ht="15.75" customHeight="1">
      <c r="E947" s="4"/>
    </row>
    <row r="948" spans="8:8" ht="15.75" customHeight="1">
      <c r="E948" s="4"/>
    </row>
    <row r="949" spans="8:8" ht="15.75" customHeight="1">
      <c r="E949" s="4"/>
    </row>
    <row r="950" spans="8:8" ht="15.75" customHeight="1">
      <c r="E950" s="4"/>
    </row>
    <row r="951" spans="8:8" ht="15.75" customHeight="1">
      <c r="E951" s="4"/>
    </row>
    <row r="952" spans="8:8" ht="15.75" customHeight="1">
      <c r="E952" s="4"/>
    </row>
    <row r="953" spans="8:8" ht="15.75" customHeight="1">
      <c r="E953" s="4"/>
    </row>
    <row r="954" spans="8:8" ht="15.75" customHeight="1">
      <c r="E954" s="4"/>
    </row>
    <row r="955" spans="8:8" ht="15.75" customHeight="1">
      <c r="E955" s="4"/>
    </row>
    <row r="956" spans="8:8" ht="15.75" customHeight="1">
      <c r="E956" s="4"/>
    </row>
    <row r="957" spans="8:8" ht="15.75" customHeight="1">
      <c r="E957" s="4"/>
    </row>
    <row r="958" spans="8:8" ht="15.75" customHeight="1">
      <c r="E958" s="4"/>
    </row>
    <row r="959" spans="8:8" ht="15.75" customHeight="1">
      <c r="E959" s="4"/>
    </row>
    <row r="960" spans="8:8" ht="15.75" customHeight="1">
      <c r="E960" s="4"/>
    </row>
    <row r="961" spans="8:8" ht="15.75" customHeight="1">
      <c r="E961" s="4"/>
    </row>
    <row r="962" spans="8:8" ht="15.75" customHeight="1">
      <c r="E962" s="4"/>
    </row>
    <row r="963" spans="8:8" ht="15.75" customHeight="1">
      <c r="E963" s="4"/>
    </row>
    <row r="964" spans="8:8" ht="15.75" customHeight="1">
      <c r="E964" s="4"/>
    </row>
    <row r="965" spans="8:8" ht="15.75" customHeight="1">
      <c r="E965" s="4"/>
    </row>
    <row r="966" spans="8:8" ht="15.75" customHeight="1">
      <c r="E966" s="4"/>
    </row>
    <row r="967" spans="8:8" ht="15.75" customHeight="1">
      <c r="E967" s="4"/>
    </row>
    <row r="968" spans="8:8" ht="15.75" customHeight="1">
      <c r="E968" s="4"/>
    </row>
    <row r="969" spans="8:8" ht="15.75" customHeight="1">
      <c r="E969" s="4"/>
    </row>
    <row r="970" spans="8:8" ht="15.75" customHeight="1">
      <c r="E970" s="4"/>
    </row>
    <row r="971" spans="8:8" ht="15.75" customHeight="1">
      <c r="E971" s="4"/>
    </row>
    <row r="972" spans="8:8" ht="15.75" customHeight="1">
      <c r="E972" s="4"/>
    </row>
    <row r="973" spans="8:8" ht="15.75" customHeight="1">
      <c r="E973" s="4"/>
    </row>
    <row r="974" spans="8:8" ht="15.75" customHeight="1">
      <c r="E974" s="4"/>
    </row>
    <row r="975" spans="8:8" ht="15.75" customHeight="1">
      <c r="E975" s="4"/>
    </row>
    <row r="976" spans="8:8" ht="15.75" customHeight="1">
      <c r="E976" s="4"/>
    </row>
    <row r="977" spans="8:8" ht="15.75" customHeight="1">
      <c r="E977" s="4"/>
    </row>
    <row r="978" spans="8:8" ht="15.75" customHeight="1">
      <c r="E978" s="4"/>
    </row>
    <row r="979" spans="8:8" ht="15.75" customHeight="1">
      <c r="E979" s="4"/>
    </row>
    <row r="980" spans="8:8" ht="15.75" customHeight="1">
      <c r="E980" s="4"/>
    </row>
    <row r="981" spans="8:8" ht="15.75" customHeight="1">
      <c r="E981" s="4"/>
    </row>
    <row r="982" spans="8:8" ht="15.75" customHeight="1">
      <c r="E982" s="4"/>
    </row>
    <row r="983" spans="8:8" ht="15.75" customHeight="1">
      <c r="E983" s="4"/>
    </row>
    <row r="984" spans="8:8" ht="15.75" customHeight="1">
      <c r="E984" s="4"/>
    </row>
    <row r="985" spans="8:8" ht="15.75" customHeight="1">
      <c r="E985" s="4"/>
    </row>
    <row r="986" spans="8:8" ht="15.75" customHeight="1">
      <c r="E986" s="4"/>
    </row>
    <row r="987" spans="8:8" ht="15.75" customHeight="1">
      <c r="E987" s="4"/>
    </row>
    <row r="988" spans="8:8" ht="15.75" customHeight="1">
      <c r="E988" s="4"/>
    </row>
    <row r="989" spans="8:8" ht="15.75" customHeight="1">
      <c r="E989" s="4"/>
    </row>
    <row r="990" spans="8:8" ht="15.75" customHeight="1">
      <c r="E990" s="4"/>
    </row>
    <row r="991" spans="8:8" ht="15.75" customHeight="1">
      <c r="E991" s="4"/>
    </row>
    <row r="992" spans="8:8" ht="15.75" customHeight="1">
      <c r="E992" s="4"/>
    </row>
    <row r="993" spans="8:8" ht="15.75" customHeight="1">
      <c r="E993" s="4"/>
    </row>
    <row r="994" spans="8:8" ht="15.75" customHeight="1">
      <c r="E994" s="4"/>
    </row>
    <row r="995" spans="8:8" ht="15.75" customHeight="1">
      <c r="E995" s="4"/>
    </row>
    <row r="996" spans="8:8" ht="15.75" customHeight="1">
      <c r="E996" s="4"/>
    </row>
    <row r="997" spans="8:8" ht="15.75" customHeight="1">
      <c r="E997" s="4"/>
    </row>
    <row r="998" spans="8:8" ht="15.75" customHeight="1">
      <c r="E998" s="4"/>
    </row>
    <row r="999" spans="8:8" ht="15.75" customHeight="1">
      <c r="E999" s="4"/>
    </row>
    <row r="1000" spans="8:8" ht="15.75" customHeight="1">
      <c r="E1000" s="4"/>
    </row>
  </sheetData>
  <mergeCells count="1">
    <mergeCell ref="G585:J585"/>
  </mergeCells>
  <conditionalFormatting sqref="E107">
    <cfRule type="expression" priority="16" dxfId="422">
      <formula>COUNTIF($D:$D,E107)&gt;0</formula>
    </cfRule>
  </conditionalFormatting>
  <conditionalFormatting sqref="E46">
    <cfRule type="expression" priority="72" dxfId="423">
      <formula>COUNTIF($D:$D,E46)&gt;0</formula>
    </cfRule>
  </conditionalFormatting>
  <conditionalFormatting sqref="E1:E2 E588">
    <cfRule type="expression" priority="110" dxfId="424">
      <formula>COUNTIF($D:$D,E1)&gt;0</formula>
    </cfRule>
  </conditionalFormatting>
  <conditionalFormatting sqref="E34:E36">
    <cfRule type="expression" priority="82" dxfId="425">
      <formula>COUNTIF($D:$D,E34)&gt;0</formula>
    </cfRule>
  </conditionalFormatting>
  <conditionalFormatting sqref="E54">
    <cfRule type="expression" priority="65" dxfId="426">
      <formula>COUNTIF($D:$D,E54)&gt;0</formula>
    </cfRule>
  </conditionalFormatting>
  <conditionalFormatting sqref="E72">
    <cfRule type="expression" priority="50" dxfId="427">
      <formula>COUNTIF($D:$D,E72)&gt;0</formula>
    </cfRule>
  </conditionalFormatting>
  <conditionalFormatting sqref="E53">
    <cfRule type="expression" priority="66" dxfId="428">
      <formula>COUNTIF($D:$D,E53)&gt;0</formula>
    </cfRule>
  </conditionalFormatting>
  <conditionalFormatting sqref="E85">
    <cfRule type="expression" priority="37" dxfId="429">
      <formula>COUNTIF($D:$D,E85)&gt;0</formula>
    </cfRule>
  </conditionalFormatting>
  <conditionalFormatting sqref="E75">
    <cfRule type="expression" priority="47" dxfId="430">
      <formula>COUNTIF($D:$D,E75)&gt;0</formula>
    </cfRule>
  </conditionalFormatting>
  <conditionalFormatting sqref="E86">
    <cfRule type="expression" priority="36" dxfId="431">
      <formula>COUNTIF($D:$D,E86)&gt;0</formula>
    </cfRule>
  </conditionalFormatting>
  <conditionalFormatting sqref="E101">
    <cfRule type="expression" priority="22" dxfId="432">
      <formula>COUNTIF($D:$D,E101)&gt;0</formula>
    </cfRule>
  </conditionalFormatting>
  <conditionalFormatting sqref="E63:E64">
    <cfRule type="expression" priority="57" dxfId="433">
      <formula>COUNTIF($D:$D,E63)&gt;0</formula>
    </cfRule>
  </conditionalFormatting>
  <conditionalFormatting sqref="E33">
    <cfRule type="expression" priority="83" dxfId="434">
      <formula>COUNTIF($D:$D,E33)&gt;0</formula>
    </cfRule>
  </conditionalFormatting>
  <conditionalFormatting sqref="E41">
    <cfRule type="expression" priority="77" dxfId="435">
      <formula>COUNTIF($D:$D,E41)&gt;0</formula>
    </cfRule>
  </conditionalFormatting>
  <conditionalFormatting sqref="E78">
    <cfRule type="expression" priority="44" dxfId="436">
      <formula>COUNTIF($D:$D,E78)&gt;0</formula>
    </cfRule>
  </conditionalFormatting>
  <conditionalFormatting sqref="E96">
    <cfRule type="expression" priority="27" dxfId="437">
      <formula>COUNTIF($D:$D,E96)&gt;0</formula>
    </cfRule>
  </conditionalFormatting>
  <conditionalFormatting sqref="E24">
    <cfRule type="expression" priority="91" dxfId="438">
      <formula>COUNTIF($D:$D,E24)&gt;0</formula>
    </cfRule>
  </conditionalFormatting>
  <conditionalFormatting sqref="E116">
    <cfRule type="expression" priority="9" dxfId="439">
      <formula>COUNTIF($D:$D,E116)&gt;0</formula>
    </cfRule>
  </conditionalFormatting>
  <conditionalFormatting sqref="E97">
    <cfRule type="expression" priority="26" dxfId="440">
      <formula>COUNTIF($D:$D,E97)&gt;0</formula>
    </cfRule>
  </conditionalFormatting>
  <conditionalFormatting sqref="E8">
    <cfRule type="expression" priority="104" dxfId="441">
      <formula>COUNTIF($D:$D,E8)&gt;0</formula>
    </cfRule>
  </conditionalFormatting>
  <conditionalFormatting sqref="E74">
    <cfRule type="expression" priority="48" dxfId="442">
      <formula>COUNTIF($D:$D,E74)&gt;0</formula>
    </cfRule>
  </conditionalFormatting>
  <conditionalFormatting sqref="E80">
    <cfRule type="expression" priority="42" dxfId="443">
      <formula>COUNTIF($D:$D,E80)&gt;0</formula>
    </cfRule>
  </conditionalFormatting>
  <conditionalFormatting sqref="E70:E71">
    <cfRule type="expression" priority="51" dxfId="444">
      <formula>COUNTIF($D:$D,E70)&gt;0</formula>
    </cfRule>
  </conditionalFormatting>
  <conditionalFormatting sqref="E50:E51">
    <cfRule type="expression" priority="68" dxfId="445">
      <formula>COUNTIF($D:$D,E50)&gt;0</formula>
    </cfRule>
  </conditionalFormatting>
  <conditionalFormatting sqref="E26:E27">
    <cfRule type="expression" priority="89" dxfId="446">
      <formula>COUNTIF($D:$D,E26)&gt;0</formula>
    </cfRule>
  </conditionalFormatting>
  <conditionalFormatting sqref="E40">
    <cfRule type="expression" priority="78" dxfId="447">
      <formula>COUNTIF($D:$D,E40)&gt;0</formula>
    </cfRule>
  </conditionalFormatting>
  <conditionalFormatting sqref="E125">
    <cfRule type="expression" priority="3" dxfId="448">
      <formula>COUNTIF($D:$D,E125)&gt;0</formula>
    </cfRule>
  </conditionalFormatting>
  <conditionalFormatting sqref="E22">
    <cfRule type="expression" priority="93" dxfId="449">
      <formula>COUNTIF($D:$D,E22)&gt;0</formula>
    </cfRule>
  </conditionalFormatting>
  <conditionalFormatting sqref="E59">
    <cfRule type="expression" priority="60" dxfId="450">
      <formula>COUNTIF($D:$D,E59)&gt;0</formula>
    </cfRule>
  </conditionalFormatting>
  <conditionalFormatting sqref="E20">
    <cfRule type="expression" priority="95" dxfId="451">
      <formula>COUNTIF($D:$D,E20)&gt;0</formula>
    </cfRule>
  </conditionalFormatting>
  <conditionalFormatting sqref="E9:E11">
    <cfRule type="expression" priority="103" dxfId="452">
      <formula>COUNTIF($D:$D,E9)&gt;0</formula>
    </cfRule>
  </conditionalFormatting>
  <conditionalFormatting sqref="E21">
    <cfRule type="expression" priority="94" dxfId="453">
      <formula>COUNTIF($D:$D,E21)&gt;0</formula>
    </cfRule>
  </conditionalFormatting>
  <conditionalFormatting sqref="E104">
    <cfRule type="expression" priority="19" dxfId="454">
      <formula>COUNTIF($D:$D,E104)&gt;0</formula>
    </cfRule>
  </conditionalFormatting>
  <conditionalFormatting sqref="E106">
    <cfRule type="expression" priority="17" dxfId="455">
      <formula>COUNTIF($D:$D,E106)&gt;0</formula>
    </cfRule>
  </conditionalFormatting>
  <conditionalFormatting sqref="E62">
    <cfRule type="expression" priority="58" dxfId="456">
      <formula>COUNTIF($D:$D,E62)&gt;0</formula>
    </cfRule>
  </conditionalFormatting>
  <conditionalFormatting sqref="E84">
    <cfRule type="expression" priority="38" dxfId="457">
      <formula>COUNTIF($D:$D,E84)&gt;0</formula>
    </cfRule>
  </conditionalFormatting>
  <conditionalFormatting sqref="E49">
    <cfRule type="expression" priority="69" dxfId="458">
      <formula>COUNTIF($D:$D,E49)&gt;0</formula>
    </cfRule>
  </conditionalFormatting>
  <conditionalFormatting sqref="E90">
    <cfRule type="expression" priority="32" dxfId="459">
      <formula>COUNTIF($D:$D,E90)&gt;0</formula>
    </cfRule>
  </conditionalFormatting>
  <conditionalFormatting sqref="E3">
    <cfRule type="expression" priority="109" dxfId="460">
      <formula>COUNTIF($D:$D,E3)&gt;0</formula>
    </cfRule>
  </conditionalFormatting>
  <conditionalFormatting sqref="E92:E93">
    <cfRule type="expression" priority="30" dxfId="461">
      <formula>COUNTIF($D:$D,E92)&gt;0</formula>
    </cfRule>
  </conditionalFormatting>
  <conditionalFormatting sqref="E57">
    <cfRule type="expression" priority="62" dxfId="462">
      <formula>COUNTIF($D:$D,E57)&gt;0</formula>
    </cfRule>
  </conditionalFormatting>
  <conditionalFormatting sqref="E5">
    <cfRule type="expression" priority="107" dxfId="463">
      <formula>COUNTIF($D:$D,E5)&gt;0</formula>
    </cfRule>
  </conditionalFormatting>
  <conditionalFormatting sqref="E67">
    <cfRule type="expression" priority="54" dxfId="464">
      <formula>COUNTIF($D:$D,E67)&gt;0</formula>
    </cfRule>
  </conditionalFormatting>
  <conditionalFormatting sqref="E123">
    <cfRule type="expression" priority="5" dxfId="465">
      <formula>COUNTIF($D:$D,E123)&gt;0</formula>
    </cfRule>
  </conditionalFormatting>
  <conditionalFormatting sqref="E29">
    <cfRule type="expression" priority="87" dxfId="466">
      <formula>COUNTIF($D:$D,E29)&gt;0</formula>
    </cfRule>
  </conditionalFormatting>
  <conditionalFormatting sqref="E4">
    <cfRule type="expression" priority="108" dxfId="467">
      <formula>COUNTIF($D:$D,E4)&gt;0</formula>
    </cfRule>
  </conditionalFormatting>
  <conditionalFormatting sqref="E30">
    <cfRule type="expression" priority="86" dxfId="468">
      <formula>COUNTIF($D:$D,E30)&gt;0</formula>
    </cfRule>
  </conditionalFormatting>
  <conditionalFormatting sqref="E25">
    <cfRule type="expression" priority="90" dxfId="469">
      <formula>COUNTIF($D:$D,E25)&gt;0</formula>
    </cfRule>
  </conditionalFormatting>
  <conditionalFormatting sqref="E117">
    <cfRule type="expression" priority="8" dxfId="470">
      <formula>COUNTIF($D:$D,E117)&gt;0</formula>
    </cfRule>
  </conditionalFormatting>
  <conditionalFormatting sqref="E12">
    <cfRule type="expression" priority="102" dxfId="471">
      <formula>COUNTIF($D:$D,E12)&gt;0</formula>
    </cfRule>
  </conditionalFormatting>
  <conditionalFormatting sqref="E95">
    <cfRule type="expression" priority="28" dxfId="472">
      <formula>COUNTIF($D:$D,E95)&gt;0</formula>
    </cfRule>
  </conditionalFormatting>
  <conditionalFormatting sqref="E82">
    <cfRule type="expression" priority="40" dxfId="473">
      <formula>COUNTIF($D:$D,E82)&gt;0</formula>
    </cfRule>
  </conditionalFormatting>
  <conditionalFormatting sqref="E18">
    <cfRule type="expression" priority="97" dxfId="474">
      <formula>COUNTIF($D:$D,E18)&gt;0</formula>
    </cfRule>
  </conditionalFormatting>
  <conditionalFormatting sqref="E88">
    <cfRule type="expression" priority="34" dxfId="475">
      <formula>COUNTIF($D:$D,E88)&gt;0</formula>
    </cfRule>
  </conditionalFormatting>
  <conditionalFormatting sqref="E42">
    <cfRule type="expression" priority="76" dxfId="476">
      <formula>COUNTIF($D:$D,E42)&gt;0</formula>
    </cfRule>
  </conditionalFormatting>
  <conditionalFormatting sqref="E127:E129 E362:E363 E431 E584">
    <cfRule type="expression" priority="1" dxfId="477">
      <formula>COUNTIF($D:$D,E127)&gt;0</formula>
    </cfRule>
  </conditionalFormatting>
  <conditionalFormatting sqref="E31">
    <cfRule type="expression" priority="85" dxfId="478">
      <formula>COUNTIF($D:$D,E31)&gt;0</formula>
    </cfRule>
  </conditionalFormatting>
  <conditionalFormatting sqref="E44">
    <cfRule type="expression" priority="74" dxfId="479">
      <formula>COUNTIF($D:$D,E44)&gt;0</formula>
    </cfRule>
  </conditionalFormatting>
  <conditionalFormatting sqref="E60:E61">
    <cfRule type="expression" priority="59" dxfId="480">
      <formula>COUNTIF($D:$D,E60)&gt;0</formula>
    </cfRule>
  </conditionalFormatting>
  <conditionalFormatting sqref="E108:E109">
    <cfRule type="expression" priority="15" dxfId="481">
      <formula>COUNTIF($D:$D,E108)&gt;0</formula>
    </cfRule>
  </conditionalFormatting>
  <conditionalFormatting sqref="E126">
    <cfRule type="expression" priority="2" dxfId="482">
      <formula>COUNTIF($D:$D,E126)&gt;0</formula>
    </cfRule>
  </conditionalFormatting>
  <conditionalFormatting sqref="E114">
    <cfRule type="expression" priority="11" dxfId="483">
      <formula>COUNTIF($D:$D,E114)&gt;0</formula>
    </cfRule>
  </conditionalFormatting>
  <conditionalFormatting sqref="E66">
    <cfRule type="expression" priority="55" dxfId="484">
      <formula>COUNTIF($D:$D,E66)&gt;0</formula>
    </cfRule>
  </conditionalFormatting>
  <conditionalFormatting sqref="E91">
    <cfRule type="expression" priority="31" dxfId="485">
      <formula>COUNTIF($D:$D,E91)&gt;0</formula>
    </cfRule>
  </conditionalFormatting>
  <conditionalFormatting sqref="E15">
    <cfRule type="expression" priority="100" dxfId="486">
      <formula>COUNTIF($D:$D,E15)&gt;0</formula>
    </cfRule>
  </conditionalFormatting>
  <conditionalFormatting sqref="E77">
    <cfRule type="expression" priority="45" dxfId="487">
      <formula>COUNTIF($D:$D,E77)&gt;0</formula>
    </cfRule>
  </conditionalFormatting>
  <conditionalFormatting sqref="E102">
    <cfRule type="expression" priority="21" dxfId="488">
      <formula>COUNTIF($D:$D,E102)&gt;0</formula>
    </cfRule>
  </conditionalFormatting>
  <conditionalFormatting sqref="E68">
    <cfRule type="expression" priority="53" dxfId="489">
      <formula>COUNTIF($D:$D,E68)&gt;0</formula>
    </cfRule>
  </conditionalFormatting>
  <conditionalFormatting sqref="E28">
    <cfRule type="expression" priority="88" dxfId="490">
      <formula>COUNTIF($D:$D,E28)&gt;0</formula>
    </cfRule>
  </conditionalFormatting>
  <conditionalFormatting sqref="E16">
    <cfRule type="expression" priority="99" dxfId="491">
      <formula>COUNTIF($D:$D,E16)&gt;0</formula>
    </cfRule>
  </conditionalFormatting>
  <conditionalFormatting sqref="E32">
    <cfRule type="expression" priority="84" dxfId="492">
      <formula>COUNTIF($D:$D,E32)&gt;0</formula>
    </cfRule>
  </conditionalFormatting>
  <conditionalFormatting sqref="E112">
    <cfRule type="expression" priority="13" dxfId="493">
      <formula>COUNTIF($D:$D,E112)&gt;0</formula>
    </cfRule>
  </conditionalFormatting>
  <conditionalFormatting sqref="E99">
    <cfRule type="expression" priority="24" dxfId="494">
      <formula>COUNTIF($D:$D,E99)&gt;0</formula>
    </cfRule>
  </conditionalFormatting>
  <conditionalFormatting sqref="F62">
    <cfRule type="notContainsBlanks" priority="111" dxfId="495">
      <formula>LEN(TRIM(F62))&gt;0</formula>
    </cfRule>
  </conditionalFormatting>
  <conditionalFormatting sqref="E103">
    <cfRule type="expression" priority="20" dxfId="496">
      <formula>COUNTIF($D:$D,E103)&gt;0</formula>
    </cfRule>
  </conditionalFormatting>
  <conditionalFormatting sqref="E105">
    <cfRule type="expression" priority="18" dxfId="497">
      <formula>COUNTIF($D:$D,E105)&gt;0</formula>
    </cfRule>
  </conditionalFormatting>
  <conditionalFormatting sqref="E69">
    <cfRule type="expression" priority="52" dxfId="498">
      <formula>COUNTIF($D:$D,E69)&gt;0</formula>
    </cfRule>
  </conditionalFormatting>
  <conditionalFormatting sqref="E23">
    <cfRule type="expression" priority="92" dxfId="499">
      <formula>COUNTIF($D:$D,E23)&gt;0</formula>
    </cfRule>
  </conditionalFormatting>
  <conditionalFormatting sqref="E94">
    <cfRule type="expression" priority="29" dxfId="500">
      <formula>COUNTIF($D:$D,E94)&gt;0</formula>
    </cfRule>
  </conditionalFormatting>
  <conditionalFormatting sqref="E52">
    <cfRule type="expression" priority="67" dxfId="501">
      <formula>COUNTIF($D:$D,E52)&gt;0</formula>
    </cfRule>
  </conditionalFormatting>
  <conditionalFormatting sqref="E118:E120">
    <cfRule type="expression" priority="7" dxfId="502">
      <formula>COUNTIF($D:$D,E118)&gt;0</formula>
    </cfRule>
  </conditionalFormatting>
  <conditionalFormatting sqref="E39">
    <cfRule type="expression" priority="79" dxfId="503">
      <formula>COUNTIF($D:$D,E39)&gt;0</formula>
    </cfRule>
  </conditionalFormatting>
  <conditionalFormatting sqref="E7">
    <cfRule type="expression" priority="105" dxfId="504">
      <formula>COUNTIF($D:$D,E7)&gt;0</formula>
    </cfRule>
  </conditionalFormatting>
  <conditionalFormatting sqref="E110:E111">
    <cfRule type="expression" priority="14" dxfId="505">
      <formula>COUNTIF($D:$D,E110)&gt;0</formula>
    </cfRule>
  </conditionalFormatting>
  <conditionalFormatting sqref="E89">
    <cfRule type="expression" priority="33" dxfId="506">
      <formula>COUNTIF($D:$D,E89)&gt;0</formula>
    </cfRule>
  </conditionalFormatting>
  <conditionalFormatting sqref="E55">
    <cfRule type="expression" priority="64" dxfId="507">
      <formula>COUNTIF($D:$D,E55)&gt;0</formula>
    </cfRule>
  </conditionalFormatting>
  <conditionalFormatting sqref="E98">
    <cfRule type="expression" priority="25" dxfId="508">
      <formula>COUNTIF($D:$D,E98)&gt;0</formula>
    </cfRule>
  </conditionalFormatting>
  <conditionalFormatting sqref="D593 D596 D598:D599 E1:E589 E591:E592 E594:E600 E609 E618:E1000 H603:H606 J593 J596 J598:J599 K603:K606">
    <cfRule type="expression" priority="112" dxfId="509">
      <formula>COUNTIF($C:$C,E1)&gt;0</formula>
    </cfRule>
  </conditionalFormatting>
  <conditionalFormatting sqref="E65">
    <cfRule type="expression" priority="56" dxfId="510">
      <formula>COUNTIF($D:$D,E65)&gt;0</formula>
    </cfRule>
  </conditionalFormatting>
  <conditionalFormatting sqref="E13:E14">
    <cfRule type="expression" priority="101" dxfId="511">
      <formula>COUNTIF($D:$D,E13)&gt;0</formula>
    </cfRule>
  </conditionalFormatting>
  <conditionalFormatting sqref="E121:E122">
    <cfRule type="expression" priority="6" dxfId="512">
      <formula>COUNTIF($D:$D,E121)&gt;0</formula>
    </cfRule>
  </conditionalFormatting>
  <conditionalFormatting sqref="E38">
    <cfRule type="expression" priority="80" dxfId="513">
      <formula>COUNTIF($D:$D,E38)&gt;0</formula>
    </cfRule>
  </conditionalFormatting>
  <conditionalFormatting sqref="E113">
    <cfRule type="expression" priority="12" dxfId="514">
      <formula>COUNTIF($D:$D,E113)&gt;0</formula>
    </cfRule>
  </conditionalFormatting>
  <conditionalFormatting sqref="E48">
    <cfRule type="expression" priority="70" dxfId="515">
      <formula>COUNTIF($D:$D,E48)&gt;0</formula>
    </cfRule>
  </conditionalFormatting>
  <conditionalFormatting sqref="E56">
    <cfRule type="expression" priority="63" dxfId="516">
      <formula>COUNTIF($D:$D,E56)&gt;0</formula>
    </cfRule>
  </conditionalFormatting>
  <conditionalFormatting sqref="E19">
    <cfRule type="expression" priority="96" dxfId="517">
      <formula>COUNTIF($D:$D,E19)&gt;0</formula>
    </cfRule>
  </conditionalFormatting>
  <conditionalFormatting sqref="E17">
    <cfRule type="expression" priority="98" dxfId="518">
      <formula>COUNTIF($D:$D,E17)&gt;0</formula>
    </cfRule>
  </conditionalFormatting>
  <conditionalFormatting sqref="E73">
    <cfRule type="expression" priority="49" dxfId="519">
      <formula>COUNTIF($D:$D,E73)&gt;0</formula>
    </cfRule>
  </conditionalFormatting>
  <conditionalFormatting sqref="E43">
    <cfRule type="expression" priority="75" dxfId="520">
      <formula>COUNTIF($D:$D,E43)&gt;0</formula>
    </cfRule>
  </conditionalFormatting>
  <conditionalFormatting sqref="E47">
    <cfRule type="expression" priority="71" dxfId="521">
      <formula>COUNTIF($D:$D,E47)&gt;0</formula>
    </cfRule>
  </conditionalFormatting>
  <conditionalFormatting sqref="E124">
    <cfRule type="expression" priority="4" dxfId="522">
      <formula>COUNTIF($D:$D,E124)&gt;0</formula>
    </cfRule>
  </conditionalFormatting>
  <conditionalFormatting sqref="E83">
    <cfRule type="expression" priority="39" dxfId="523">
      <formula>COUNTIF($D:$D,E83)&gt;0</formula>
    </cfRule>
  </conditionalFormatting>
  <conditionalFormatting sqref="E76">
    <cfRule type="expression" priority="46" dxfId="524">
      <formula>COUNTIF($D:$D,E76)&gt;0</formula>
    </cfRule>
  </conditionalFormatting>
  <conditionalFormatting sqref="E115">
    <cfRule type="expression" priority="10" dxfId="525">
      <formula>COUNTIF($D:$D,E115)&gt;0</formula>
    </cfRule>
  </conditionalFormatting>
  <conditionalFormatting sqref="E6">
    <cfRule type="expression" priority="106" dxfId="526">
      <formula>COUNTIF($D:$D,E6)&gt;0</formula>
    </cfRule>
  </conditionalFormatting>
  <conditionalFormatting sqref="E79">
    <cfRule type="expression" priority="43" dxfId="527">
      <formula>COUNTIF($D:$D,E79)&gt;0</formula>
    </cfRule>
  </conditionalFormatting>
  <conditionalFormatting sqref="E45">
    <cfRule type="expression" priority="73" dxfId="528">
      <formula>COUNTIF($D:$D,E45)&gt;0</formula>
    </cfRule>
  </conditionalFormatting>
  <conditionalFormatting sqref="E81">
    <cfRule type="expression" priority="41" dxfId="529">
      <formula>COUNTIF($D:$D,E81)&gt;0</formula>
    </cfRule>
  </conditionalFormatting>
  <conditionalFormatting sqref="E37">
    <cfRule type="expression" priority="81" dxfId="530">
      <formula>COUNTIF($D:$D,E37)&gt;0</formula>
    </cfRule>
  </conditionalFormatting>
  <conditionalFormatting sqref="E58">
    <cfRule type="expression" priority="61" dxfId="531">
      <formula>COUNTIF($D:$D,E58)&gt;0</formula>
    </cfRule>
  </conditionalFormatting>
  <conditionalFormatting sqref="E100">
    <cfRule type="expression" priority="23" dxfId="532">
      <formula>COUNTIF($D:$D,E100)&gt;0</formula>
    </cfRule>
  </conditionalFormatting>
  <conditionalFormatting sqref="E87">
    <cfRule type="expression" priority="35" dxfId="533">
      <formula>COUNTIF($D:$D,E87)&gt;0</formula>
    </cfRule>
  </conditionalFormatting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P352"/>
  <sheetViews>
    <sheetView workbookViewId="0">
      <selection activeCell="A1" sqref="A1"/>
    </sheetView>
  </sheetViews>
  <sheetFormatPr defaultRowHeight="15.0" customHeight="1" defaultColWidth="12"/>
  <cols>
    <col min="1" max="1" customWidth="1" width="11.5" style="0"/>
    <col min="2" max="2" customWidth="1" width="29.378906" style="0"/>
    <col min="4" max="4" customWidth="1" width="23.628906" style="0"/>
    <col min="10" max="10" customWidth="1" width="21.25" style="0"/>
    <col min="11" max="11" customWidth="1" width="30.128906" style="0"/>
    <col min="12" max="12" customWidth="1" width="31.878906" style="0"/>
  </cols>
  <sheetData>
    <row r="1" spans="8:8" ht="15.75" customHeight="1">
      <c r="A1" s="286">
        <v>1.0</v>
      </c>
      <c r="B1" s="288" t="s">
        <v>4710</v>
      </c>
      <c r="C1" s="287">
        <v>251259.0</v>
      </c>
      <c r="D1" s="288" t="s">
        <v>4803</v>
      </c>
      <c r="E1" s="287" t="s">
        <v>28</v>
      </c>
      <c r="F1" s="241">
        <v>9.0</v>
      </c>
      <c r="H1" s="237"/>
      <c r="I1" s="237"/>
      <c r="J1" s="269">
        <v>15.0</v>
      </c>
      <c r="K1" s="268" t="s">
        <v>4710</v>
      </c>
      <c r="L1" s="269">
        <v>251259.0</v>
      </c>
      <c r="M1" s="268" t="s">
        <v>4803</v>
      </c>
      <c r="N1" s="269" t="s">
        <v>28</v>
      </c>
    </row>
    <row r="2" spans="8:8" ht="15.75" customHeight="1">
      <c r="A2" s="289">
        <v>2.0</v>
      </c>
      <c r="B2" s="266" t="s">
        <v>4889</v>
      </c>
      <c r="C2" s="267">
        <v>252425.0</v>
      </c>
      <c r="D2" s="266" t="s">
        <v>4890</v>
      </c>
      <c r="E2" s="287" t="s">
        <v>28</v>
      </c>
      <c r="F2" s="241">
        <v>9.0</v>
      </c>
      <c r="H2" s="237"/>
      <c r="I2" s="237"/>
      <c r="J2" s="269">
        <v>25.0</v>
      </c>
      <c r="K2" s="268" t="s">
        <v>4889</v>
      </c>
      <c r="L2" s="269">
        <v>252425.0</v>
      </c>
      <c r="M2" s="266" t="s">
        <v>4890</v>
      </c>
      <c r="N2" s="269" t="s">
        <v>28</v>
      </c>
    </row>
    <row r="3" spans="8:8" ht="15.75" customHeight="1">
      <c r="A3" s="286">
        <v>3.0</v>
      </c>
      <c r="B3" s="288" t="s">
        <v>4007</v>
      </c>
      <c r="C3" s="287">
        <v>251284.0</v>
      </c>
      <c r="D3" s="288" t="s">
        <v>4810</v>
      </c>
      <c r="E3" s="287" t="s">
        <v>28</v>
      </c>
      <c r="F3" s="241">
        <v>9.0</v>
      </c>
      <c r="H3" s="237"/>
      <c r="I3" s="237"/>
      <c r="J3" s="269">
        <v>1.0</v>
      </c>
      <c r="K3" s="268" t="s">
        <v>4007</v>
      </c>
      <c r="L3" s="269">
        <v>251284.0</v>
      </c>
      <c r="M3" s="268" t="s">
        <v>4810</v>
      </c>
      <c r="N3" s="269" t="s">
        <v>28</v>
      </c>
    </row>
    <row r="4" spans="8:8" ht="15.75" customHeight="1">
      <c r="A4" s="289">
        <v>4.0</v>
      </c>
      <c r="B4" s="288" t="s">
        <v>4008</v>
      </c>
      <c r="C4" s="287">
        <v>251297.0</v>
      </c>
      <c r="D4" s="288" t="s">
        <v>4810</v>
      </c>
      <c r="E4" s="287" t="s">
        <v>28</v>
      </c>
      <c r="F4" s="241">
        <v>9.0</v>
      </c>
      <c r="H4" s="237"/>
      <c r="I4" s="237"/>
      <c r="J4" s="269">
        <v>8.0</v>
      </c>
      <c r="K4" s="268" t="s">
        <v>4008</v>
      </c>
      <c r="L4" s="269">
        <v>251297.0</v>
      </c>
      <c r="M4" s="268" t="s">
        <v>4810</v>
      </c>
      <c r="N4" s="269" t="s">
        <v>28</v>
      </c>
    </row>
    <row r="5" spans="8:8" ht="15.75" customHeight="1">
      <c r="A5" s="286">
        <v>5.0</v>
      </c>
      <c r="B5" s="288" t="s">
        <v>4009</v>
      </c>
      <c r="C5" s="287">
        <v>251299.0</v>
      </c>
      <c r="D5" s="288" t="s">
        <v>4810</v>
      </c>
      <c r="E5" s="287" t="s">
        <v>28</v>
      </c>
      <c r="F5" s="241">
        <v>9.0</v>
      </c>
      <c r="H5" s="237"/>
      <c r="I5" s="237"/>
      <c r="J5" s="269">
        <v>9.0</v>
      </c>
      <c r="K5" s="268" t="s">
        <v>4009</v>
      </c>
      <c r="L5" s="269">
        <v>251299.0</v>
      </c>
      <c r="M5" s="268" t="s">
        <v>4810</v>
      </c>
      <c r="N5" s="269" t="s">
        <v>28</v>
      </c>
    </row>
    <row r="6" spans="8:8" ht="15.75" customHeight="1">
      <c r="A6" s="289">
        <v>6.0</v>
      </c>
      <c r="B6" s="288" t="s">
        <v>4711</v>
      </c>
      <c r="C6" s="287">
        <v>251305.0</v>
      </c>
      <c r="D6" s="288" t="s">
        <v>4818</v>
      </c>
      <c r="E6" s="287" t="s">
        <v>28</v>
      </c>
      <c r="F6" s="241">
        <v>9.0</v>
      </c>
      <c r="H6" s="237"/>
      <c r="I6" s="237"/>
      <c r="J6" s="269">
        <v>12.0</v>
      </c>
      <c r="K6" s="268" t="s">
        <v>4711</v>
      </c>
      <c r="L6" s="269">
        <v>251305.0</v>
      </c>
      <c r="M6" s="268" t="s">
        <v>4818</v>
      </c>
      <c r="N6" s="269" t="s">
        <v>28</v>
      </c>
    </row>
    <row r="7" spans="8:8" ht="15.75" customHeight="1">
      <c r="A7" s="286">
        <v>7.0</v>
      </c>
      <c r="B7" s="288" t="s">
        <v>4010</v>
      </c>
      <c r="C7" s="287">
        <v>251313.0</v>
      </c>
      <c r="D7" s="288" t="s">
        <v>4818</v>
      </c>
      <c r="E7" s="287" t="s">
        <v>28</v>
      </c>
      <c r="F7" s="241">
        <v>9.0</v>
      </c>
      <c r="H7" s="237"/>
      <c r="I7" s="237"/>
      <c r="J7" s="269">
        <v>15.0</v>
      </c>
      <c r="K7" s="268" t="s">
        <v>4010</v>
      </c>
      <c r="L7" s="269">
        <v>251313.0</v>
      </c>
      <c r="M7" s="268" t="s">
        <v>4818</v>
      </c>
      <c r="N7" s="269" t="s">
        <v>28</v>
      </c>
    </row>
    <row r="8" spans="8:8" ht="15.75" customHeight="1">
      <c r="A8" s="289">
        <v>8.0</v>
      </c>
      <c r="B8" s="288" t="s">
        <v>4011</v>
      </c>
      <c r="C8" s="287">
        <v>251317.0</v>
      </c>
      <c r="D8" s="288" t="s">
        <v>4818</v>
      </c>
      <c r="E8" s="287" t="s">
        <v>28</v>
      </c>
      <c r="F8" s="241">
        <v>9.0</v>
      </c>
      <c r="H8" s="237"/>
      <c r="I8" s="237"/>
      <c r="J8" s="269">
        <v>16.0</v>
      </c>
      <c r="K8" s="268" t="s">
        <v>4011</v>
      </c>
      <c r="L8" s="269">
        <v>251317.0</v>
      </c>
      <c r="M8" s="268" t="s">
        <v>4818</v>
      </c>
      <c r="N8" s="269" t="s">
        <v>28</v>
      </c>
    </row>
    <row r="9" spans="8:8" ht="15.75" customHeight="1">
      <c r="A9" s="286">
        <v>9.0</v>
      </c>
      <c r="B9" s="288" t="s">
        <v>4012</v>
      </c>
      <c r="C9" s="287">
        <v>251329.0</v>
      </c>
      <c r="D9" s="288" t="s">
        <v>4818</v>
      </c>
      <c r="E9" s="287" t="s">
        <v>28</v>
      </c>
      <c r="F9" s="241">
        <v>9.0</v>
      </c>
      <c r="H9" s="237"/>
      <c r="I9" s="237"/>
      <c r="J9" s="269">
        <v>21.0</v>
      </c>
      <c r="K9" s="268" t="s">
        <v>4012</v>
      </c>
      <c r="L9" s="269">
        <v>251329.0</v>
      </c>
      <c r="M9" s="268" t="s">
        <v>4818</v>
      </c>
      <c r="N9" s="269" t="s">
        <v>28</v>
      </c>
    </row>
    <row r="10" spans="8:8" ht="15.75" customHeight="1">
      <c r="A10" s="289">
        <v>10.0</v>
      </c>
      <c r="B10" s="288" t="s">
        <v>4013</v>
      </c>
      <c r="C10" s="287">
        <v>251331.0</v>
      </c>
      <c r="D10" s="288" t="s">
        <v>4818</v>
      </c>
      <c r="E10" s="287" t="s">
        <v>28</v>
      </c>
      <c r="F10" s="241">
        <v>9.0</v>
      </c>
      <c r="H10" s="237"/>
      <c r="I10" s="237"/>
      <c r="J10" s="269">
        <v>23.0</v>
      </c>
      <c r="K10" s="268" t="s">
        <v>4013</v>
      </c>
      <c r="L10" s="269">
        <v>251331.0</v>
      </c>
      <c r="M10" s="268" t="s">
        <v>4818</v>
      </c>
      <c r="N10" s="269" t="s">
        <v>28</v>
      </c>
    </row>
    <row r="11" spans="8:8" ht="15.75" customHeight="1">
      <c r="A11" s="286">
        <v>11.0</v>
      </c>
      <c r="B11" s="288" t="s">
        <v>4891</v>
      </c>
      <c r="C11" s="287">
        <v>251580.0</v>
      </c>
      <c r="D11" s="288" t="s">
        <v>1868</v>
      </c>
      <c r="E11" s="287" t="s">
        <v>28</v>
      </c>
      <c r="F11" s="241">
        <v>9.0</v>
      </c>
      <c r="H11" s="237"/>
      <c r="I11" s="237"/>
      <c r="J11" s="269">
        <v>26.0</v>
      </c>
      <c r="K11" s="268" t="s">
        <v>4891</v>
      </c>
      <c r="L11" s="269">
        <v>251580.0</v>
      </c>
      <c r="M11" s="288" t="s">
        <v>1868</v>
      </c>
      <c r="N11" s="269" t="s">
        <v>28</v>
      </c>
    </row>
    <row r="12" spans="8:8" ht="15.75" customHeight="1">
      <c r="A12" s="289">
        <v>12.0</v>
      </c>
      <c r="B12" s="288" t="s">
        <v>4014</v>
      </c>
      <c r="C12" s="287">
        <v>251354.0</v>
      </c>
      <c r="D12" s="288" t="s">
        <v>4822</v>
      </c>
      <c r="E12" s="287" t="s">
        <v>28</v>
      </c>
      <c r="F12" s="241">
        <v>9.0</v>
      </c>
      <c r="H12" s="237"/>
      <c r="I12" s="237"/>
      <c r="J12" s="269">
        <v>11.0</v>
      </c>
      <c r="K12" s="268" t="s">
        <v>4014</v>
      </c>
      <c r="L12" s="269">
        <v>251354.0</v>
      </c>
      <c r="M12" s="268" t="s">
        <v>4822</v>
      </c>
      <c r="N12" s="269" t="s">
        <v>28</v>
      </c>
    </row>
    <row r="13" spans="8:8" ht="15.75" customHeight="1">
      <c r="A13" s="286">
        <v>13.0</v>
      </c>
      <c r="B13" s="288" t="s">
        <v>4712</v>
      </c>
      <c r="C13" s="287">
        <v>251394.0</v>
      </c>
      <c r="D13" s="288" t="s">
        <v>4825</v>
      </c>
      <c r="E13" s="287" t="s">
        <v>28</v>
      </c>
      <c r="F13" s="241">
        <v>9.0</v>
      </c>
      <c r="H13" s="237"/>
      <c r="I13" s="237"/>
      <c r="J13" s="269">
        <v>7.0</v>
      </c>
      <c r="K13" s="268" t="s">
        <v>4712</v>
      </c>
      <c r="L13" s="269">
        <v>251394.0</v>
      </c>
      <c r="M13" s="268" t="s">
        <v>4825</v>
      </c>
      <c r="N13" s="269" t="s">
        <v>28</v>
      </c>
    </row>
    <row r="14" spans="8:8" ht="15.75" customHeight="1">
      <c r="A14" s="289">
        <v>14.0</v>
      </c>
      <c r="B14" s="288" t="s">
        <v>4015</v>
      </c>
      <c r="C14" s="287">
        <v>251399.0</v>
      </c>
      <c r="D14" s="288" t="s">
        <v>4825</v>
      </c>
      <c r="E14" s="287" t="s">
        <v>28</v>
      </c>
      <c r="F14" s="241">
        <v>9.0</v>
      </c>
      <c r="H14" s="237"/>
      <c r="I14" s="237"/>
      <c r="J14" s="269">
        <v>9.0</v>
      </c>
      <c r="K14" s="268" t="s">
        <v>4015</v>
      </c>
      <c r="L14" s="269">
        <v>251399.0</v>
      </c>
      <c r="M14" s="268" t="s">
        <v>4825</v>
      </c>
      <c r="N14" s="269" t="s">
        <v>28</v>
      </c>
    </row>
    <row r="15" spans="8:8" ht="15.75" customHeight="1">
      <c r="A15" s="286">
        <v>15.0</v>
      </c>
      <c r="B15" s="288" t="s">
        <v>4016</v>
      </c>
      <c r="C15" s="287">
        <v>251400.0</v>
      </c>
      <c r="D15" s="288" t="s">
        <v>4832</v>
      </c>
      <c r="E15" s="287" t="s">
        <v>28</v>
      </c>
      <c r="F15" s="241">
        <v>9.0</v>
      </c>
      <c r="G15" s="241" t="s">
        <v>5130</v>
      </c>
      <c r="H15" s="237"/>
      <c r="I15" s="237"/>
      <c r="J15" s="269">
        <v>10.0</v>
      </c>
      <c r="K15" s="268" t="s">
        <v>4016</v>
      </c>
      <c r="L15" s="269">
        <v>251400.0</v>
      </c>
      <c r="M15" s="268" t="s">
        <v>4832</v>
      </c>
      <c r="N15" s="269" t="s">
        <v>28</v>
      </c>
    </row>
    <row r="16" spans="8:8" ht="15.75" customHeight="1">
      <c r="A16" s="289">
        <v>16.0</v>
      </c>
      <c r="B16" s="288" t="s">
        <v>4018</v>
      </c>
      <c r="C16" s="287">
        <v>251405.0</v>
      </c>
      <c r="D16" s="288" t="s">
        <v>4832</v>
      </c>
      <c r="E16" s="287" t="s">
        <v>28</v>
      </c>
      <c r="F16" s="241">
        <v>9.0</v>
      </c>
      <c r="H16" s="237"/>
      <c r="I16" s="237"/>
      <c r="J16" s="269">
        <v>14.0</v>
      </c>
      <c r="K16" s="268" t="s">
        <v>4018</v>
      </c>
      <c r="L16" s="269">
        <v>251405.0</v>
      </c>
      <c r="M16" s="268" t="s">
        <v>4832</v>
      </c>
      <c r="N16" s="269" t="s">
        <v>28</v>
      </c>
    </row>
    <row r="17" spans="8:8" ht="15.75" customHeight="1">
      <c r="A17" s="286">
        <v>17.0</v>
      </c>
      <c r="B17" s="288" t="s">
        <v>4714</v>
      </c>
      <c r="C17" s="287">
        <v>251529.0</v>
      </c>
      <c r="D17" s="288" t="s">
        <v>4838</v>
      </c>
      <c r="E17" s="287" t="s">
        <v>28</v>
      </c>
      <c r="F17" s="241">
        <v>9.0</v>
      </c>
      <c r="H17" s="237"/>
      <c r="I17" s="237"/>
      <c r="J17" s="269">
        <v>10.0</v>
      </c>
      <c r="K17" s="268" t="s">
        <v>4714</v>
      </c>
      <c r="L17" s="269">
        <v>251529.0</v>
      </c>
      <c r="M17" s="268" t="s">
        <v>4838</v>
      </c>
      <c r="N17" s="269" t="s">
        <v>28</v>
      </c>
    </row>
    <row r="18" spans="8:8" ht="15.75" customHeight="1">
      <c r="A18" s="289">
        <v>18.0</v>
      </c>
      <c r="B18" s="288" t="s">
        <v>4019</v>
      </c>
      <c r="C18" s="287">
        <v>251531.0</v>
      </c>
      <c r="D18" s="288" t="s">
        <v>4838</v>
      </c>
      <c r="E18" s="287" t="s">
        <v>28</v>
      </c>
      <c r="F18" s="241">
        <v>9.0</v>
      </c>
      <c r="H18" s="237"/>
      <c r="I18" s="237"/>
      <c r="J18" s="269">
        <v>12.0</v>
      </c>
      <c r="K18" s="268" t="s">
        <v>4019</v>
      </c>
      <c r="L18" s="269">
        <v>251531.0</v>
      </c>
      <c r="M18" s="268" t="s">
        <v>4838</v>
      </c>
      <c r="N18" s="269" t="s">
        <v>28</v>
      </c>
    </row>
    <row r="19" spans="8:8" ht="15.75" customHeight="1">
      <c r="A19" s="286">
        <v>19.0</v>
      </c>
      <c r="B19" s="288" t="s">
        <v>4020</v>
      </c>
      <c r="C19" s="287">
        <v>251535.0</v>
      </c>
      <c r="D19" s="288" t="s">
        <v>4838</v>
      </c>
      <c r="E19" s="287" t="s">
        <v>28</v>
      </c>
      <c r="F19" s="241">
        <v>9.0</v>
      </c>
      <c r="H19" s="237"/>
      <c r="I19" s="237"/>
      <c r="J19" s="269">
        <v>16.0</v>
      </c>
      <c r="K19" s="268" t="s">
        <v>4020</v>
      </c>
      <c r="L19" s="269">
        <v>251535.0</v>
      </c>
      <c r="M19" s="268" t="s">
        <v>4838</v>
      </c>
      <c r="N19" s="269" t="s">
        <v>28</v>
      </c>
    </row>
    <row r="20" spans="8:8" ht="15.75" customHeight="1">
      <c r="A20" s="289">
        <v>20.0</v>
      </c>
      <c r="B20" s="288" t="s">
        <v>4715</v>
      </c>
      <c r="C20" s="287">
        <v>251538.0</v>
      </c>
      <c r="D20" s="288" t="s">
        <v>4838</v>
      </c>
      <c r="E20" s="287" t="s">
        <v>28</v>
      </c>
      <c r="F20" s="241">
        <v>9.0</v>
      </c>
      <c r="H20" s="237"/>
      <c r="I20" s="237"/>
      <c r="J20" s="269">
        <v>19.0</v>
      </c>
      <c r="K20" s="268" t="s">
        <v>4715</v>
      </c>
      <c r="L20" s="269">
        <v>251538.0</v>
      </c>
      <c r="M20" s="268" t="s">
        <v>4838</v>
      </c>
      <c r="N20" s="269" t="s">
        <v>28</v>
      </c>
    </row>
    <row r="21" spans="8:8" ht="15.75" customHeight="1">
      <c r="A21" s="286">
        <v>21.0</v>
      </c>
      <c r="B21" s="288" t="s">
        <v>4716</v>
      </c>
      <c r="C21" s="287">
        <v>251545.0</v>
      </c>
      <c r="D21" s="288" t="s">
        <v>4838</v>
      </c>
      <c r="E21" s="287" t="s">
        <v>28</v>
      </c>
      <c r="F21" s="241">
        <v>9.0</v>
      </c>
      <c r="H21" s="237"/>
      <c r="I21" s="237"/>
      <c r="J21" s="269">
        <v>23.0</v>
      </c>
      <c r="K21" s="268" t="s">
        <v>4716</v>
      </c>
      <c r="L21" s="269">
        <v>251545.0</v>
      </c>
      <c r="M21" s="268" t="s">
        <v>4838</v>
      </c>
      <c r="N21" s="269" t="s">
        <v>28</v>
      </c>
    </row>
    <row r="22" spans="8:8" ht="15.75" customHeight="1">
      <c r="A22" s="289">
        <v>22.0</v>
      </c>
      <c r="B22" s="288" t="s">
        <v>4021</v>
      </c>
      <c r="C22" s="287">
        <v>251546.0</v>
      </c>
      <c r="D22" s="288" t="s">
        <v>4838</v>
      </c>
      <c r="E22" s="287" t="s">
        <v>28</v>
      </c>
      <c r="F22" s="241">
        <v>9.0</v>
      </c>
      <c r="H22" s="237"/>
      <c r="I22" s="237"/>
      <c r="J22" s="269">
        <v>24.0</v>
      </c>
      <c r="K22" s="268" t="s">
        <v>4021</v>
      </c>
      <c r="L22" s="269">
        <v>251546.0</v>
      </c>
      <c r="M22" s="268" t="s">
        <v>4838</v>
      </c>
      <c r="N22" s="269" t="s">
        <v>28</v>
      </c>
    </row>
    <row r="23" spans="8:8" ht="15.75" customHeight="1">
      <c r="A23" s="286">
        <v>23.0</v>
      </c>
      <c r="B23" s="288" t="s">
        <v>4022</v>
      </c>
      <c r="C23" s="287">
        <v>251590.0</v>
      </c>
      <c r="D23" s="288" t="s">
        <v>4845</v>
      </c>
      <c r="E23" s="287" t="s">
        <v>28</v>
      </c>
      <c r="F23" s="241">
        <v>9.0</v>
      </c>
      <c r="H23" s="237"/>
      <c r="I23" s="237"/>
      <c r="J23" s="269">
        <v>24.0</v>
      </c>
      <c r="K23" s="268" t="s">
        <v>4022</v>
      </c>
      <c r="L23" s="269">
        <v>251590.0</v>
      </c>
      <c r="M23" s="268" t="s">
        <v>4845</v>
      </c>
      <c r="N23" s="269" t="s">
        <v>28</v>
      </c>
    </row>
    <row r="24" spans="8:8" ht="15.75" customHeight="1">
      <c r="A24" s="289">
        <v>24.0</v>
      </c>
      <c r="B24" s="288" t="s">
        <v>4717</v>
      </c>
      <c r="C24" s="287">
        <v>251614.0</v>
      </c>
      <c r="D24" s="288" t="s">
        <v>4823</v>
      </c>
      <c r="E24" s="287" t="s">
        <v>28</v>
      </c>
      <c r="F24" s="241">
        <v>9.0</v>
      </c>
      <c r="H24" s="237"/>
      <c r="I24" s="237"/>
      <c r="J24" s="269">
        <v>13.0</v>
      </c>
      <c r="K24" s="268" t="s">
        <v>4717</v>
      </c>
      <c r="L24" s="269">
        <v>251614.0</v>
      </c>
      <c r="M24" s="268" t="s">
        <v>4823</v>
      </c>
      <c r="N24" s="269" t="s">
        <v>28</v>
      </c>
    </row>
    <row r="25" spans="8:8" ht="15.75" customHeight="1">
      <c r="A25" s="286">
        <v>25.0</v>
      </c>
      <c r="B25" s="288" t="s">
        <v>4718</v>
      </c>
      <c r="C25" s="287">
        <v>241807.0</v>
      </c>
      <c r="D25" s="288" t="s">
        <v>4857</v>
      </c>
      <c r="E25" s="287" t="s">
        <v>28</v>
      </c>
      <c r="F25" s="241">
        <v>9.0</v>
      </c>
      <c r="H25" s="237"/>
      <c r="I25" s="237"/>
      <c r="J25" s="269">
        <v>15.0</v>
      </c>
      <c r="K25" s="268" t="s">
        <v>4718</v>
      </c>
      <c r="L25" s="269">
        <v>241807.0</v>
      </c>
      <c r="M25" s="268" t="s">
        <v>4857</v>
      </c>
      <c r="N25" s="269" t="s">
        <v>28</v>
      </c>
    </row>
    <row r="26" spans="8:8" ht="15.75" customHeight="1">
      <c r="A26" s="289">
        <v>26.0</v>
      </c>
      <c r="B26" s="288" t="s">
        <v>1542</v>
      </c>
      <c r="C26" s="287">
        <v>241616.0</v>
      </c>
      <c r="D26" s="288" t="s">
        <v>4857</v>
      </c>
      <c r="E26" s="287" t="s">
        <v>28</v>
      </c>
      <c r="F26" s="241">
        <v>9.0</v>
      </c>
      <c r="H26" s="237"/>
      <c r="I26" s="237"/>
      <c r="J26" s="269">
        <v>16.0</v>
      </c>
      <c r="K26" s="268" t="s">
        <v>1542</v>
      </c>
      <c r="L26" s="269">
        <v>241616.0</v>
      </c>
      <c r="M26" s="268" t="s">
        <v>4857</v>
      </c>
      <c r="N26" s="269" t="s">
        <v>28</v>
      </c>
    </row>
    <row r="27" spans="8:8" ht="15.75" customHeight="1">
      <c r="A27" s="286">
        <v>27.0</v>
      </c>
      <c r="B27" s="288" t="s">
        <v>4897</v>
      </c>
      <c r="C27" s="287">
        <v>241888.0</v>
      </c>
      <c r="D27" s="288" t="s">
        <v>4857</v>
      </c>
      <c r="E27" s="287" t="s">
        <v>28</v>
      </c>
      <c r="F27" s="241">
        <v>9.0</v>
      </c>
      <c r="H27" s="237"/>
      <c r="I27" s="237"/>
      <c r="J27" s="269">
        <v>17.0</v>
      </c>
      <c r="K27" s="268" t="s">
        <v>4897</v>
      </c>
      <c r="L27" s="269">
        <v>241888.0</v>
      </c>
      <c r="M27" s="268" t="s">
        <v>4857</v>
      </c>
      <c r="N27" s="269" t="s">
        <v>28</v>
      </c>
    </row>
    <row r="28" spans="8:8" ht="15.75" customHeight="1">
      <c r="A28" s="289">
        <v>28.0</v>
      </c>
      <c r="B28" s="288" t="s">
        <v>4898</v>
      </c>
      <c r="C28" s="287">
        <v>241864.0</v>
      </c>
      <c r="D28" s="288" t="s">
        <v>4857</v>
      </c>
      <c r="E28" s="287" t="s">
        <v>28</v>
      </c>
      <c r="F28" s="241">
        <v>9.0</v>
      </c>
      <c r="H28" s="237"/>
      <c r="I28" s="237"/>
      <c r="J28" s="269">
        <v>18.0</v>
      </c>
      <c r="K28" s="268" t="s">
        <v>4898</v>
      </c>
      <c r="L28" s="269">
        <v>241864.0</v>
      </c>
      <c r="M28" s="268" t="s">
        <v>4857</v>
      </c>
      <c r="N28" s="269" t="s">
        <v>28</v>
      </c>
    </row>
    <row r="29" spans="8:8" ht="15.75" customHeight="1">
      <c r="A29" s="286">
        <v>29.0</v>
      </c>
      <c r="B29" s="288" t="s">
        <v>4719</v>
      </c>
      <c r="C29" s="287">
        <v>241618.0</v>
      </c>
      <c r="D29" s="288" t="s">
        <v>4857</v>
      </c>
      <c r="E29" s="287" t="s">
        <v>28</v>
      </c>
      <c r="F29" s="241">
        <v>9.0</v>
      </c>
      <c r="H29" s="237"/>
      <c r="I29" s="237"/>
      <c r="J29" s="269">
        <v>19.0</v>
      </c>
      <c r="K29" s="268" t="s">
        <v>4719</v>
      </c>
      <c r="L29" s="269">
        <v>241618.0</v>
      </c>
      <c r="M29" s="268" t="s">
        <v>4857</v>
      </c>
      <c r="N29" s="269" t="s">
        <v>28</v>
      </c>
    </row>
    <row r="30" spans="8:8" ht="15.75" customHeight="1">
      <c r="A30" s="289">
        <v>30.0</v>
      </c>
      <c r="B30" s="288" t="s">
        <v>4720</v>
      </c>
      <c r="C30" s="287">
        <v>241900.0</v>
      </c>
      <c r="D30" s="288" t="s">
        <v>4857</v>
      </c>
      <c r="E30" s="287" t="s">
        <v>28</v>
      </c>
      <c r="F30" s="241">
        <v>9.0</v>
      </c>
      <c r="H30" s="237"/>
      <c r="I30" s="237"/>
      <c r="J30" s="269">
        <v>20.0</v>
      </c>
      <c r="K30" s="268" t="s">
        <v>4720</v>
      </c>
      <c r="L30" s="269">
        <v>241900.0</v>
      </c>
      <c r="M30" s="268" t="s">
        <v>4857</v>
      </c>
      <c r="N30" s="269" t="s">
        <v>28</v>
      </c>
    </row>
    <row r="31" spans="8:8" ht="15.75" customHeight="1">
      <c r="A31" s="286">
        <v>31.0</v>
      </c>
      <c r="B31" s="288" t="s">
        <v>4023</v>
      </c>
      <c r="C31" s="287">
        <v>241371.0</v>
      </c>
      <c r="D31" s="288" t="s">
        <v>4856</v>
      </c>
      <c r="E31" s="287" t="s">
        <v>28</v>
      </c>
      <c r="F31" s="241">
        <v>9.0</v>
      </c>
      <c r="H31" s="237"/>
      <c r="I31" s="237"/>
      <c r="J31" s="269">
        <v>21.0</v>
      </c>
      <c r="K31" s="268" t="s">
        <v>4023</v>
      </c>
      <c r="L31" s="269">
        <v>241371.0</v>
      </c>
      <c r="M31" s="268" t="s">
        <v>4856</v>
      </c>
      <c r="N31" s="269" t="s">
        <v>28</v>
      </c>
    </row>
    <row r="32" spans="8:8" ht="15.75" customHeight="1">
      <c r="A32" s="289">
        <v>32.0</v>
      </c>
      <c r="B32" s="288" t="s">
        <v>4432</v>
      </c>
      <c r="C32" s="287">
        <v>241870.0</v>
      </c>
      <c r="D32" s="288" t="s">
        <v>4857</v>
      </c>
      <c r="E32" s="287" t="s">
        <v>111</v>
      </c>
      <c r="F32" s="241">
        <v>9.0</v>
      </c>
      <c r="H32" s="237"/>
      <c r="I32" s="237"/>
      <c r="J32" s="269">
        <v>11.0</v>
      </c>
      <c r="K32" s="268" t="s">
        <v>4432</v>
      </c>
      <c r="L32" s="269">
        <v>241870.0</v>
      </c>
      <c r="M32" s="268" t="s">
        <v>4857</v>
      </c>
      <c r="N32" s="269" t="s">
        <v>111</v>
      </c>
    </row>
    <row r="33" spans="8:8" ht="15.75" customHeight="1">
      <c r="A33" s="286">
        <v>33.0</v>
      </c>
      <c r="B33" s="288" t="s">
        <v>4728</v>
      </c>
      <c r="C33" s="287">
        <v>241331.0</v>
      </c>
      <c r="D33" s="288" t="s">
        <v>4856</v>
      </c>
      <c r="E33" s="287" t="s">
        <v>111</v>
      </c>
      <c r="F33" s="241">
        <v>9.0</v>
      </c>
      <c r="H33" s="237"/>
      <c r="I33" s="237"/>
      <c r="J33" s="269">
        <v>13.0</v>
      </c>
      <c r="K33" s="268" t="s">
        <v>4728</v>
      </c>
      <c r="L33" s="269">
        <v>241331.0</v>
      </c>
      <c r="M33" s="268" t="s">
        <v>4856</v>
      </c>
      <c r="N33" s="269" t="s">
        <v>111</v>
      </c>
    </row>
    <row r="34" spans="8:8" ht="15.75" customHeight="1">
      <c r="A34" s="289">
        <v>34.0</v>
      </c>
      <c r="B34" s="288" t="s">
        <v>4729</v>
      </c>
      <c r="C34" s="287">
        <v>241849.0</v>
      </c>
      <c r="D34" s="288" t="s">
        <v>4857</v>
      </c>
      <c r="E34" s="287" t="s">
        <v>111</v>
      </c>
      <c r="F34" s="241">
        <v>9.0</v>
      </c>
      <c r="H34" s="237"/>
      <c r="I34" s="237"/>
      <c r="J34" s="269">
        <v>15.0</v>
      </c>
      <c r="K34" s="268" t="s">
        <v>4729</v>
      </c>
      <c r="L34" s="269">
        <v>241849.0</v>
      </c>
      <c r="M34" s="268" t="s">
        <v>4857</v>
      </c>
      <c r="N34" s="269" t="s">
        <v>111</v>
      </c>
    </row>
    <row r="35" spans="8:8" ht="15.75" customHeight="1">
      <c r="A35" s="286">
        <v>35.0</v>
      </c>
      <c r="B35" s="288" t="s">
        <v>4433</v>
      </c>
      <c r="C35" s="287">
        <v>241299.0</v>
      </c>
      <c r="D35" s="288" t="s">
        <v>4856</v>
      </c>
      <c r="E35" s="287" t="s">
        <v>111</v>
      </c>
      <c r="F35" s="241">
        <v>9.0</v>
      </c>
      <c r="H35" s="237"/>
      <c r="I35" s="237"/>
      <c r="J35" s="269">
        <v>16.0</v>
      </c>
      <c r="K35" s="268" t="s">
        <v>4433</v>
      </c>
      <c r="L35" s="269">
        <v>241299.0</v>
      </c>
      <c r="M35" s="268" t="s">
        <v>4856</v>
      </c>
      <c r="N35" s="269" t="s">
        <v>111</v>
      </c>
    </row>
    <row r="36" spans="8:8" ht="15.75" customHeight="1">
      <c r="A36" s="289">
        <v>36.0</v>
      </c>
      <c r="B36" s="288" t="s">
        <v>4730</v>
      </c>
      <c r="C36" s="287">
        <v>241842.0</v>
      </c>
      <c r="D36" s="288" t="s">
        <v>4857</v>
      </c>
      <c r="E36" s="287" t="s">
        <v>111</v>
      </c>
      <c r="F36" s="241">
        <v>9.0</v>
      </c>
      <c r="H36" s="237"/>
      <c r="I36" s="237"/>
      <c r="J36" s="269">
        <v>17.0</v>
      </c>
      <c r="K36" s="268" t="s">
        <v>4730</v>
      </c>
      <c r="L36" s="269">
        <v>241842.0</v>
      </c>
      <c r="M36" s="268" t="s">
        <v>4857</v>
      </c>
      <c r="N36" s="269" t="s">
        <v>111</v>
      </c>
    </row>
    <row r="37" spans="8:8" ht="15.75" customHeight="1">
      <c r="A37" s="286">
        <v>37.0</v>
      </c>
      <c r="B37" s="288" t="s">
        <v>4434</v>
      </c>
      <c r="C37" s="287">
        <v>241874.0</v>
      </c>
      <c r="D37" s="288" t="s">
        <v>4857</v>
      </c>
      <c r="E37" s="287" t="s">
        <v>111</v>
      </c>
      <c r="F37" s="241">
        <v>9.0</v>
      </c>
      <c r="H37" s="237"/>
      <c r="I37" s="237"/>
      <c r="J37" s="269">
        <v>20.0</v>
      </c>
      <c r="K37" s="268" t="s">
        <v>4434</v>
      </c>
      <c r="L37" s="269">
        <v>241874.0</v>
      </c>
      <c r="M37" s="268" t="s">
        <v>4857</v>
      </c>
      <c r="N37" s="269" t="s">
        <v>111</v>
      </c>
    </row>
    <row r="38" spans="8:8" ht="15.75" customHeight="1">
      <c r="A38" s="289">
        <v>38.0</v>
      </c>
      <c r="B38" s="288" t="s">
        <v>4731</v>
      </c>
      <c r="C38" s="287">
        <v>241377.0</v>
      </c>
      <c r="D38" s="288" t="s">
        <v>4856</v>
      </c>
      <c r="E38" s="287" t="s">
        <v>111</v>
      </c>
      <c r="F38" s="241">
        <v>9.0</v>
      </c>
      <c r="H38" s="237"/>
      <c r="I38" s="237"/>
      <c r="J38" s="269">
        <v>21.0</v>
      </c>
      <c r="K38" s="268" t="s">
        <v>4731</v>
      </c>
      <c r="L38" s="269">
        <v>241377.0</v>
      </c>
      <c r="M38" s="268" t="s">
        <v>4856</v>
      </c>
      <c r="N38" s="269" t="s">
        <v>111</v>
      </c>
    </row>
    <row r="39" spans="8:8" ht="15.75" customHeight="1">
      <c r="A39" s="286">
        <v>39.0</v>
      </c>
      <c r="B39" s="288" t="s">
        <v>4902</v>
      </c>
      <c r="C39" s="287">
        <v>241848.0</v>
      </c>
      <c r="D39" s="288" t="s">
        <v>4857</v>
      </c>
      <c r="E39" s="287" t="s">
        <v>111</v>
      </c>
      <c r="F39" s="241">
        <v>9.0</v>
      </c>
      <c r="H39" s="237"/>
      <c r="I39" s="237"/>
      <c r="J39" s="269">
        <v>22.0</v>
      </c>
      <c r="K39" s="268" t="s">
        <v>4902</v>
      </c>
      <c r="L39" s="269">
        <v>241848.0</v>
      </c>
      <c r="M39" s="268" t="s">
        <v>4857</v>
      </c>
      <c r="N39" s="269" t="s">
        <v>111</v>
      </c>
    </row>
    <row r="40" spans="8:8" ht="15.75" customHeight="1">
      <c r="A40" s="289">
        <v>40.0</v>
      </c>
      <c r="B40" s="288" t="s">
        <v>4903</v>
      </c>
      <c r="C40" s="287">
        <v>241889.0</v>
      </c>
      <c r="D40" s="288" t="s">
        <v>4857</v>
      </c>
      <c r="E40" s="287" t="s">
        <v>111</v>
      </c>
      <c r="F40" s="241">
        <v>9.0</v>
      </c>
      <c r="H40" s="237"/>
      <c r="I40" s="237"/>
      <c r="J40" s="269">
        <v>23.0</v>
      </c>
      <c r="K40" s="268" t="s">
        <v>4903</v>
      </c>
      <c r="L40" s="269">
        <v>241889.0</v>
      </c>
      <c r="M40" s="268" t="s">
        <v>4857</v>
      </c>
      <c r="N40" s="269" t="s">
        <v>111</v>
      </c>
    </row>
    <row r="41" spans="8:8" ht="15.75" customHeight="1">
      <c r="A41" s="286">
        <v>41.0</v>
      </c>
      <c r="B41" s="288" t="s">
        <v>4732</v>
      </c>
      <c r="C41" s="287">
        <v>241357.0</v>
      </c>
      <c r="D41" s="288" t="s">
        <v>4856</v>
      </c>
      <c r="E41" s="287" t="s">
        <v>111</v>
      </c>
      <c r="F41" s="241">
        <v>9.0</v>
      </c>
      <c r="G41" s="241" t="s">
        <v>5130</v>
      </c>
      <c r="H41" s="237"/>
      <c r="I41" s="237"/>
      <c r="J41" s="269">
        <v>24.0</v>
      </c>
      <c r="K41" s="268" t="s">
        <v>4732</v>
      </c>
      <c r="L41" s="269">
        <v>241357.0</v>
      </c>
      <c r="M41" s="268" t="s">
        <v>4856</v>
      </c>
      <c r="N41" s="269" t="s">
        <v>111</v>
      </c>
    </row>
    <row r="42" spans="8:8" ht="15.75" customHeight="1">
      <c r="A42" s="289">
        <v>42.0</v>
      </c>
      <c r="B42" s="288" t="s">
        <v>4463</v>
      </c>
      <c r="C42" s="287">
        <v>251275.0</v>
      </c>
      <c r="D42" s="288" t="s">
        <v>4810</v>
      </c>
      <c r="E42" s="287" t="s">
        <v>580</v>
      </c>
      <c r="F42" s="241">
        <v>9.0</v>
      </c>
      <c r="G42" s="241" t="s">
        <v>5130</v>
      </c>
      <c r="H42" s="237"/>
      <c r="I42" s="237"/>
      <c r="J42" s="269">
        <v>5.0</v>
      </c>
      <c r="K42" s="268" t="s">
        <v>4463</v>
      </c>
      <c r="L42" s="269">
        <v>251275.0</v>
      </c>
      <c r="M42" s="268" t="s">
        <v>4810</v>
      </c>
      <c r="N42" s="269" t="s">
        <v>580</v>
      </c>
    </row>
    <row r="43" spans="8:8" ht="15.75" customHeight="1">
      <c r="A43" s="286">
        <v>43.0</v>
      </c>
      <c r="B43" s="288" t="s">
        <v>4739</v>
      </c>
      <c r="C43" s="287">
        <v>251325.0</v>
      </c>
      <c r="D43" s="288" t="s">
        <v>4818</v>
      </c>
      <c r="E43" s="287" t="s">
        <v>580</v>
      </c>
      <c r="F43" s="241">
        <v>9.0</v>
      </c>
      <c r="G43" s="241" t="s">
        <v>5130</v>
      </c>
      <c r="H43" s="237"/>
      <c r="I43" s="237"/>
      <c r="J43" s="269">
        <v>12.0</v>
      </c>
      <c r="K43" s="268" t="s">
        <v>4739</v>
      </c>
      <c r="L43" s="269">
        <v>251325.0</v>
      </c>
      <c r="M43" s="268" t="s">
        <v>4818</v>
      </c>
      <c r="N43" s="269" t="s">
        <v>580</v>
      </c>
    </row>
    <row r="44" spans="8:8" ht="15.75" customHeight="1">
      <c r="A44" s="289">
        <v>44.0</v>
      </c>
      <c r="B44" s="288" t="s">
        <v>4907</v>
      </c>
      <c r="C44" s="287">
        <v>241427.0</v>
      </c>
      <c r="D44" s="288" t="s">
        <v>4856</v>
      </c>
      <c r="E44" s="287" t="s">
        <v>580</v>
      </c>
      <c r="F44" s="241">
        <v>9.0</v>
      </c>
      <c r="G44" s="241" t="s">
        <v>5130</v>
      </c>
      <c r="H44" s="237"/>
      <c r="I44" s="237"/>
      <c r="J44" s="269">
        <v>19.0</v>
      </c>
      <c r="K44" s="268" t="s">
        <v>4907</v>
      </c>
      <c r="L44" s="269">
        <v>241427.0</v>
      </c>
      <c r="M44" s="268" t="s">
        <v>4856</v>
      </c>
      <c r="N44" s="269" t="s">
        <v>580</v>
      </c>
    </row>
    <row r="45" spans="8:8" ht="15.75" customHeight="1">
      <c r="A45" s="286">
        <v>45.0</v>
      </c>
      <c r="B45" s="288" t="s">
        <v>4464</v>
      </c>
      <c r="C45" s="287">
        <v>241826.0</v>
      </c>
      <c r="D45" s="288" t="s">
        <v>4857</v>
      </c>
      <c r="E45" s="287" t="s">
        <v>580</v>
      </c>
      <c r="F45" s="241">
        <v>9.0</v>
      </c>
      <c r="G45" s="241" t="s">
        <v>5130</v>
      </c>
      <c r="H45" s="237"/>
      <c r="I45" s="237"/>
      <c r="J45" s="269">
        <v>20.0</v>
      </c>
      <c r="K45" s="268" t="s">
        <v>4464</v>
      </c>
      <c r="L45" s="269">
        <v>241826.0</v>
      </c>
      <c r="M45" s="268" t="s">
        <v>4857</v>
      </c>
      <c r="N45" s="269" t="s">
        <v>580</v>
      </c>
    </row>
    <row r="46" spans="8:8" ht="15.75" customHeight="1">
      <c r="A46" s="289">
        <v>46.0</v>
      </c>
      <c r="B46" s="288" t="s">
        <v>4465</v>
      </c>
      <c r="C46" s="287">
        <v>241305.0</v>
      </c>
      <c r="D46" s="288" t="s">
        <v>4856</v>
      </c>
      <c r="E46" s="287" t="s">
        <v>580</v>
      </c>
      <c r="F46" s="241">
        <v>9.0</v>
      </c>
      <c r="G46" s="241" t="s">
        <v>5130</v>
      </c>
      <c r="H46" s="237"/>
      <c r="I46" s="237"/>
      <c r="J46" s="269">
        <v>21.0</v>
      </c>
      <c r="K46" s="268" t="s">
        <v>4465</v>
      </c>
      <c r="L46" s="269">
        <v>241305.0</v>
      </c>
      <c r="M46" s="268" t="s">
        <v>4856</v>
      </c>
      <c r="N46" s="269" t="s">
        <v>580</v>
      </c>
    </row>
    <row r="47" spans="8:8" ht="15.75" customHeight="1">
      <c r="A47" s="286">
        <v>47.0</v>
      </c>
      <c r="B47" s="288" t="s">
        <v>4466</v>
      </c>
      <c r="C47" s="287">
        <v>241415.0</v>
      </c>
      <c r="D47" s="288" t="s">
        <v>4856</v>
      </c>
      <c r="E47" s="287" t="s">
        <v>580</v>
      </c>
      <c r="F47" s="241">
        <v>9.0</v>
      </c>
      <c r="G47" s="241" t="s">
        <v>5130</v>
      </c>
      <c r="H47" s="237"/>
      <c r="I47" s="237"/>
      <c r="J47" s="269">
        <v>24.0</v>
      </c>
      <c r="K47" s="268" t="s">
        <v>4466</v>
      </c>
      <c r="L47" s="269">
        <v>241415.0</v>
      </c>
      <c r="M47" s="268" t="s">
        <v>4856</v>
      </c>
      <c r="N47" s="269" t="s">
        <v>580</v>
      </c>
    </row>
    <row r="48" spans="8:8" ht="15.75" customHeight="1">
      <c r="A48" s="289">
        <v>48.0</v>
      </c>
      <c r="B48" s="288" t="s">
        <v>4467</v>
      </c>
      <c r="C48" s="287">
        <v>241423.0</v>
      </c>
      <c r="D48" s="288" t="s">
        <v>4856</v>
      </c>
      <c r="E48" s="287" t="s">
        <v>580</v>
      </c>
      <c r="F48" s="241">
        <v>9.0</v>
      </c>
      <c r="G48" s="241" t="s">
        <v>5130</v>
      </c>
      <c r="H48" s="237"/>
      <c r="I48" s="237"/>
      <c r="J48" s="269">
        <v>25.0</v>
      </c>
      <c r="K48" s="268" t="s">
        <v>4467</v>
      </c>
      <c r="L48" s="269">
        <v>241423.0</v>
      </c>
      <c r="M48" s="268" t="s">
        <v>4856</v>
      </c>
      <c r="N48" s="269" t="s">
        <v>580</v>
      </c>
    </row>
    <row r="49" spans="8:8" ht="15.75" customHeight="1">
      <c r="A49" s="286">
        <v>49.0</v>
      </c>
      <c r="B49" s="288" t="s">
        <v>4468</v>
      </c>
      <c r="C49" s="287">
        <v>241424.0</v>
      </c>
      <c r="D49" s="288" t="s">
        <v>4856</v>
      </c>
      <c r="E49" s="287" t="s">
        <v>580</v>
      </c>
      <c r="F49" s="241">
        <v>9.0</v>
      </c>
      <c r="G49" s="241" t="s">
        <v>5130</v>
      </c>
      <c r="H49" s="237"/>
      <c r="I49" s="237"/>
      <c r="J49" s="269">
        <v>26.0</v>
      </c>
      <c r="K49" s="268" t="s">
        <v>4468</v>
      </c>
      <c r="L49" s="269">
        <v>241424.0</v>
      </c>
      <c r="M49" s="268" t="s">
        <v>4856</v>
      </c>
      <c r="N49" s="269" t="s">
        <v>580</v>
      </c>
    </row>
    <row r="50" spans="8:8" ht="15.75" customHeight="1">
      <c r="A50" s="289">
        <v>50.0</v>
      </c>
      <c r="B50" s="288" t="s">
        <v>4469</v>
      </c>
      <c r="C50" s="287">
        <v>241369.0</v>
      </c>
      <c r="D50" s="288" t="s">
        <v>4856</v>
      </c>
      <c r="E50" s="287" t="s">
        <v>580</v>
      </c>
      <c r="F50" s="241">
        <v>9.0</v>
      </c>
      <c r="G50" s="241" t="s">
        <v>5130</v>
      </c>
      <c r="H50" s="237"/>
      <c r="I50" s="237"/>
      <c r="J50" s="269">
        <v>12.0</v>
      </c>
      <c r="K50" s="268" t="s">
        <v>4469</v>
      </c>
      <c r="L50" s="269">
        <v>241369.0</v>
      </c>
      <c r="M50" s="268" t="s">
        <v>4856</v>
      </c>
      <c r="N50" s="269" t="s">
        <v>580</v>
      </c>
    </row>
    <row r="51" spans="8:8" ht="15.75" customHeight="1">
      <c r="A51" s="286">
        <v>51.0</v>
      </c>
      <c r="B51" s="288" t="s">
        <v>4910</v>
      </c>
      <c r="C51" s="287">
        <v>241844.0</v>
      </c>
      <c r="D51" s="288" t="s">
        <v>4857</v>
      </c>
      <c r="E51" s="287" t="s">
        <v>580</v>
      </c>
      <c r="F51" s="241">
        <v>9.0</v>
      </c>
      <c r="G51" s="241" t="s">
        <v>5130</v>
      </c>
      <c r="H51" s="237"/>
      <c r="I51" s="237"/>
      <c r="J51" s="269">
        <v>2.0</v>
      </c>
      <c r="K51" s="268" t="s">
        <v>4910</v>
      </c>
      <c r="L51" s="269">
        <v>241844.0</v>
      </c>
      <c r="M51" s="268" t="s">
        <v>4857</v>
      </c>
      <c r="N51" s="269" t="s">
        <v>580</v>
      </c>
    </row>
    <row r="52" spans="8:8" ht="15.75" customHeight="1">
      <c r="A52" s="289">
        <v>52.0</v>
      </c>
      <c r="B52" s="288" t="s">
        <v>4470</v>
      </c>
      <c r="C52" s="287">
        <v>241439.0</v>
      </c>
      <c r="D52" s="288" t="s">
        <v>4856</v>
      </c>
      <c r="E52" s="287" t="s">
        <v>580</v>
      </c>
      <c r="F52" s="241">
        <v>9.0</v>
      </c>
      <c r="G52" s="241" t="s">
        <v>5130</v>
      </c>
      <c r="H52" s="237"/>
      <c r="I52" s="237"/>
      <c r="J52" s="269">
        <v>16.0</v>
      </c>
      <c r="K52" s="268" t="s">
        <v>4470</v>
      </c>
      <c r="L52" s="269">
        <v>241439.0</v>
      </c>
      <c r="M52" s="268" t="s">
        <v>4856</v>
      </c>
      <c r="N52" s="269" t="s">
        <v>580</v>
      </c>
    </row>
    <row r="53" spans="8:8" ht="15.75" customHeight="1">
      <c r="A53" s="286">
        <v>53.0</v>
      </c>
      <c r="B53" s="288" t="s">
        <v>4478</v>
      </c>
      <c r="C53" s="287">
        <v>241659.0</v>
      </c>
      <c r="D53" s="288" t="s">
        <v>4857</v>
      </c>
      <c r="E53" s="287" t="s">
        <v>781</v>
      </c>
      <c r="F53" s="241">
        <v>9.0</v>
      </c>
      <c r="H53" s="237"/>
      <c r="I53" s="237"/>
      <c r="J53" s="269">
        <v>9.0</v>
      </c>
      <c r="K53" s="268" t="s">
        <v>4478</v>
      </c>
      <c r="L53" s="269">
        <v>241659.0</v>
      </c>
      <c r="M53" s="268" t="s">
        <v>4857</v>
      </c>
      <c r="N53" s="269" t="s">
        <v>781</v>
      </c>
    </row>
    <row r="54" spans="8:8" ht="15.75" customHeight="1">
      <c r="A54" s="289">
        <v>54.0</v>
      </c>
      <c r="B54" s="288" t="s">
        <v>4741</v>
      </c>
      <c r="C54" s="287">
        <v>241896.0</v>
      </c>
      <c r="D54" s="288" t="s">
        <v>4857</v>
      </c>
      <c r="E54" s="287" t="s">
        <v>781</v>
      </c>
      <c r="F54" s="241">
        <v>9.0</v>
      </c>
      <c r="H54" s="237"/>
      <c r="I54" s="237"/>
      <c r="J54" s="269">
        <v>11.0</v>
      </c>
      <c r="K54" s="268" t="s">
        <v>4741</v>
      </c>
      <c r="L54" s="269">
        <v>241896.0</v>
      </c>
      <c r="M54" s="268" t="s">
        <v>4857</v>
      </c>
      <c r="N54" s="269" t="s">
        <v>781</v>
      </c>
    </row>
    <row r="55" spans="8:8" ht="15.75" customHeight="1">
      <c r="A55" s="286">
        <v>55.0</v>
      </c>
      <c r="B55" s="288" t="s">
        <v>4323</v>
      </c>
      <c r="C55" s="287">
        <v>241607.0</v>
      </c>
      <c r="D55" s="288" t="s">
        <v>4857</v>
      </c>
      <c r="E55" s="287" t="s">
        <v>781</v>
      </c>
      <c r="F55" s="241">
        <v>9.0</v>
      </c>
      <c r="G55" s="241" t="s">
        <v>5130</v>
      </c>
      <c r="H55" s="237"/>
      <c r="I55" s="237"/>
      <c r="J55" s="269">
        <v>11.0</v>
      </c>
      <c r="K55" s="268" t="s">
        <v>4323</v>
      </c>
      <c r="L55" s="269">
        <v>241607.0</v>
      </c>
      <c r="M55" s="268" t="s">
        <v>4857</v>
      </c>
      <c r="N55" s="269" t="s">
        <v>580</v>
      </c>
    </row>
    <row r="56" spans="8:8" ht="15.75" customHeight="1">
      <c r="A56" s="289">
        <v>56.0</v>
      </c>
      <c r="B56" s="288" t="s">
        <v>4742</v>
      </c>
      <c r="C56" s="287">
        <v>241846.0</v>
      </c>
      <c r="D56" s="288" t="s">
        <v>4857</v>
      </c>
      <c r="E56" s="287" t="s">
        <v>781</v>
      </c>
      <c r="F56" s="241">
        <v>9.0</v>
      </c>
      <c r="G56" s="241" t="s">
        <v>5130</v>
      </c>
      <c r="H56" s="237"/>
      <c r="I56" s="237"/>
      <c r="J56" s="269">
        <v>14.0</v>
      </c>
      <c r="K56" s="268" t="s">
        <v>4742</v>
      </c>
      <c r="L56" s="269">
        <v>241846.0</v>
      </c>
      <c r="M56" s="268" t="s">
        <v>4857</v>
      </c>
      <c r="N56" s="269" t="s">
        <v>580</v>
      </c>
    </row>
    <row r="57" spans="8:8" ht="15.75" customHeight="1">
      <c r="A57" s="286">
        <v>57.0</v>
      </c>
      <c r="B57" s="288" t="s">
        <v>4479</v>
      </c>
      <c r="C57" s="287">
        <v>241899.0</v>
      </c>
      <c r="D57" s="288" t="s">
        <v>4857</v>
      </c>
      <c r="E57" s="287" t="s">
        <v>781</v>
      </c>
      <c r="F57" s="241">
        <v>9.0</v>
      </c>
      <c r="H57" s="237"/>
      <c r="I57" s="237"/>
      <c r="J57" s="269">
        <v>11.0</v>
      </c>
      <c r="K57" s="268" t="s">
        <v>4479</v>
      </c>
      <c r="L57" s="269">
        <v>241899.0</v>
      </c>
      <c r="M57" s="268" t="s">
        <v>4857</v>
      </c>
      <c r="N57" s="269" t="s">
        <v>781</v>
      </c>
    </row>
    <row r="58" spans="8:8" ht="15.75" customHeight="1">
      <c r="A58" s="289">
        <v>58.0</v>
      </c>
      <c r="B58" s="288" t="s">
        <v>4480</v>
      </c>
      <c r="C58" s="287">
        <v>241390.0</v>
      </c>
      <c r="D58" s="288" t="s">
        <v>4856</v>
      </c>
      <c r="E58" s="287" t="s">
        <v>781</v>
      </c>
      <c r="F58" s="241">
        <v>9.0</v>
      </c>
      <c r="H58" s="237"/>
      <c r="I58" s="237"/>
      <c r="J58" s="269">
        <v>15.0</v>
      </c>
      <c r="K58" s="268" t="s">
        <v>4480</v>
      </c>
      <c r="L58" s="269">
        <v>241390.0</v>
      </c>
      <c r="M58" s="268" t="s">
        <v>4856</v>
      </c>
      <c r="N58" s="269" t="s">
        <v>781</v>
      </c>
    </row>
    <row r="59" spans="8:8" ht="15.75" customHeight="1">
      <c r="A59" s="286">
        <v>59.0</v>
      </c>
      <c r="B59" s="288" t="s">
        <v>4034</v>
      </c>
      <c r="C59" s="287">
        <v>241406.0</v>
      </c>
      <c r="D59" s="288" t="s">
        <v>4856</v>
      </c>
      <c r="E59" s="287" t="s">
        <v>1645</v>
      </c>
      <c r="F59" s="241">
        <v>9.0</v>
      </c>
      <c r="G59" s="351" t="s">
        <v>5131</v>
      </c>
      <c r="H59" s="237"/>
      <c r="I59" s="237"/>
      <c r="J59" s="269">
        <v>1.0</v>
      </c>
      <c r="K59" s="268" t="s">
        <v>4034</v>
      </c>
      <c r="L59" s="269">
        <v>241406.0</v>
      </c>
      <c r="M59" s="268" t="s">
        <v>4856</v>
      </c>
      <c r="N59" s="269" t="s">
        <v>1645</v>
      </c>
    </row>
    <row r="60" spans="8:8" ht="15.75" customHeight="1">
      <c r="A60" s="289">
        <v>60.0</v>
      </c>
      <c r="B60" s="288" t="s">
        <v>4400</v>
      </c>
      <c r="C60" s="287">
        <v>251641.0</v>
      </c>
      <c r="D60" s="288" t="s">
        <v>4812</v>
      </c>
      <c r="E60" s="287" t="s">
        <v>28</v>
      </c>
      <c r="F60" s="241">
        <v>12.0</v>
      </c>
      <c r="H60" s="237"/>
      <c r="I60" s="237"/>
      <c r="J60" s="269">
        <v>13.0</v>
      </c>
      <c r="K60" s="268" t="s">
        <v>4400</v>
      </c>
      <c r="L60" s="269">
        <v>251641.0</v>
      </c>
      <c r="M60" s="268" t="s">
        <v>4812</v>
      </c>
      <c r="N60" s="269" t="s">
        <v>28</v>
      </c>
    </row>
    <row r="61" spans="8:8" ht="15.75" customHeight="1">
      <c r="A61" s="286">
        <v>61.0</v>
      </c>
      <c r="B61" s="288" t="s">
        <v>4753</v>
      </c>
      <c r="C61" s="287">
        <v>251642.0</v>
      </c>
      <c r="D61" s="288" t="s">
        <v>4812</v>
      </c>
      <c r="E61" s="287" t="s">
        <v>28</v>
      </c>
      <c r="F61" s="241">
        <v>12.0</v>
      </c>
      <c r="H61" s="237"/>
      <c r="I61" s="237"/>
      <c r="J61" s="269">
        <v>14.0</v>
      </c>
      <c r="K61" s="268" t="s">
        <v>4753</v>
      </c>
      <c r="L61" s="269">
        <v>251642.0</v>
      </c>
      <c r="M61" s="268" t="s">
        <v>4812</v>
      </c>
      <c r="N61" s="269" t="s">
        <v>28</v>
      </c>
    </row>
    <row r="62" spans="8:8" ht="15.75" customHeight="1">
      <c r="A62" s="289">
        <v>62.0</v>
      </c>
      <c r="B62" s="288" t="s">
        <v>4754</v>
      </c>
      <c r="C62" s="287">
        <v>251664.0</v>
      </c>
      <c r="D62" s="288" t="s">
        <v>4840</v>
      </c>
      <c r="E62" s="287" t="s">
        <v>28</v>
      </c>
      <c r="F62" s="241">
        <v>12.0</v>
      </c>
      <c r="H62" s="237"/>
      <c r="I62" s="237"/>
      <c r="J62" s="269">
        <v>25.0</v>
      </c>
      <c r="K62" s="268" t="s">
        <v>4754</v>
      </c>
      <c r="L62" s="269">
        <v>251664.0</v>
      </c>
      <c r="M62" s="268" t="s">
        <v>4840</v>
      </c>
      <c r="N62" s="269" t="s">
        <v>28</v>
      </c>
    </row>
    <row r="63" spans="8:8" ht="15.75" customHeight="1">
      <c r="A63" s="286">
        <v>63.0</v>
      </c>
      <c r="B63" s="288" t="s">
        <v>4956</v>
      </c>
      <c r="C63" s="287">
        <v>251674.0</v>
      </c>
      <c r="D63" s="288" t="s">
        <v>4840</v>
      </c>
      <c r="E63" s="287" t="s">
        <v>28</v>
      </c>
      <c r="F63" s="241">
        <v>12.0</v>
      </c>
      <c r="H63" s="237"/>
      <c r="I63" s="237"/>
      <c r="J63" s="269">
        <v>26.0</v>
      </c>
      <c r="K63" s="268" t="s">
        <v>4956</v>
      </c>
      <c r="L63" s="269">
        <v>251674.0</v>
      </c>
      <c r="M63" s="268" t="s">
        <v>4840</v>
      </c>
      <c r="N63" s="269" t="s">
        <v>28</v>
      </c>
    </row>
    <row r="64" spans="8:8" ht="15.75" customHeight="1">
      <c r="A64" s="289">
        <v>64.0</v>
      </c>
      <c r="B64" s="288" t="s">
        <v>4755</v>
      </c>
      <c r="C64" s="287">
        <v>252760.0</v>
      </c>
      <c r="D64" s="288" t="s">
        <v>4957</v>
      </c>
      <c r="E64" s="287" t="s">
        <v>28</v>
      </c>
      <c r="F64" s="241">
        <v>12.0</v>
      </c>
      <c r="H64" s="237"/>
      <c r="I64" s="237"/>
      <c r="J64" s="269">
        <v>33.0</v>
      </c>
      <c r="K64" s="268" t="s">
        <v>4755</v>
      </c>
      <c r="L64" s="269">
        <v>252760.0</v>
      </c>
      <c r="M64" s="288" t="s">
        <v>4957</v>
      </c>
      <c r="N64" s="269" t="s">
        <v>28</v>
      </c>
    </row>
    <row r="65" spans="8:8" ht="15.75" customHeight="1">
      <c r="A65" s="286">
        <v>65.0</v>
      </c>
      <c r="B65" s="288" t="s">
        <v>4756</v>
      </c>
      <c r="C65" s="287">
        <v>251752.0</v>
      </c>
      <c r="D65" s="288" t="s">
        <v>4828</v>
      </c>
      <c r="E65" s="287" t="s">
        <v>28</v>
      </c>
      <c r="F65" s="241">
        <v>12.0</v>
      </c>
      <c r="H65" s="237"/>
      <c r="I65" s="237"/>
      <c r="J65" s="269">
        <v>25.0</v>
      </c>
      <c r="K65" s="268" t="s">
        <v>4756</v>
      </c>
      <c r="L65" s="269">
        <v>251752.0</v>
      </c>
      <c r="M65" s="268" t="s">
        <v>4828</v>
      </c>
      <c r="N65" s="269" t="s">
        <v>28</v>
      </c>
    </row>
    <row r="66" spans="8:8" ht="15.75" customHeight="1">
      <c r="A66" s="289">
        <v>66.0</v>
      </c>
      <c r="B66" s="288" t="s">
        <v>4499</v>
      </c>
      <c r="C66" s="287">
        <v>252975.0</v>
      </c>
      <c r="D66" s="288" t="s">
        <v>4814</v>
      </c>
      <c r="E66" s="287" t="s">
        <v>28</v>
      </c>
      <c r="F66" s="241">
        <v>12.0</v>
      </c>
      <c r="H66" s="237"/>
      <c r="I66" s="237"/>
      <c r="J66" s="269">
        <v>28.0</v>
      </c>
      <c r="K66" s="268" t="s">
        <v>4499</v>
      </c>
      <c r="L66" s="269">
        <v>252975.0</v>
      </c>
      <c r="M66" s="268" t="s">
        <v>4814</v>
      </c>
      <c r="N66" s="269" t="s">
        <v>28</v>
      </c>
    </row>
    <row r="67" spans="8:8" ht="15.75" customHeight="1">
      <c r="A67" s="286">
        <v>67.0</v>
      </c>
      <c r="B67" s="266" t="s">
        <v>4401</v>
      </c>
      <c r="C67" s="267">
        <v>251561.0</v>
      </c>
      <c r="D67" s="266" t="s">
        <v>4958</v>
      </c>
      <c r="E67" s="287" t="s">
        <v>28</v>
      </c>
      <c r="F67" s="241">
        <v>12.0</v>
      </c>
      <c r="H67" s="237"/>
      <c r="I67" s="237"/>
      <c r="J67" s="269">
        <v>32.0</v>
      </c>
      <c r="K67" s="268" t="s">
        <v>4401</v>
      </c>
      <c r="L67" s="269">
        <v>251561.0</v>
      </c>
      <c r="M67" s="268" t="s">
        <v>4958</v>
      </c>
      <c r="N67" s="269" t="s">
        <v>28</v>
      </c>
    </row>
    <row r="68" spans="8:8" ht="15.75" customHeight="1">
      <c r="A68" s="289">
        <v>68.0</v>
      </c>
      <c r="B68" s="288" t="s">
        <v>1867</v>
      </c>
      <c r="C68" s="287">
        <v>252919.0</v>
      </c>
      <c r="D68" s="288" t="s">
        <v>4829</v>
      </c>
      <c r="E68" s="287" t="s">
        <v>28</v>
      </c>
      <c r="F68" s="241">
        <v>12.0</v>
      </c>
      <c r="H68" s="237"/>
      <c r="I68" s="237"/>
      <c r="J68" s="269">
        <v>14.0</v>
      </c>
      <c r="K68" s="268" t="s">
        <v>1867</v>
      </c>
      <c r="L68" s="269">
        <v>252919.0</v>
      </c>
      <c r="M68" s="268" t="s">
        <v>4829</v>
      </c>
      <c r="N68" s="269" t="s">
        <v>28</v>
      </c>
    </row>
    <row r="69" spans="8:8" ht="15.75" customHeight="1">
      <c r="A69" s="286">
        <v>69.0</v>
      </c>
      <c r="B69" s="288" t="s">
        <v>4402</v>
      </c>
      <c r="C69" s="287">
        <v>251442.0</v>
      </c>
      <c r="D69" s="288" t="s">
        <v>4827</v>
      </c>
      <c r="E69" s="287" t="s">
        <v>28</v>
      </c>
      <c r="F69" s="241">
        <v>12.0</v>
      </c>
      <c r="H69" s="237"/>
      <c r="I69" s="237"/>
      <c r="J69" s="269">
        <v>21.0</v>
      </c>
      <c r="K69" s="268" t="s">
        <v>4402</v>
      </c>
      <c r="L69" s="269">
        <v>251442.0</v>
      </c>
      <c r="M69" s="268" t="s">
        <v>4827</v>
      </c>
      <c r="N69" s="269" t="s">
        <v>28</v>
      </c>
    </row>
    <row r="70" spans="8:8" ht="15.75" customHeight="1">
      <c r="A70" s="289">
        <v>70.0</v>
      </c>
      <c r="B70" s="288" t="s">
        <v>4403</v>
      </c>
      <c r="C70" s="287">
        <v>251491.0</v>
      </c>
      <c r="D70" s="288" t="s">
        <v>4834</v>
      </c>
      <c r="E70" s="287" t="s">
        <v>28</v>
      </c>
      <c r="F70" s="241">
        <v>12.0</v>
      </c>
      <c r="H70" s="237"/>
      <c r="I70" s="237"/>
      <c r="J70" s="269">
        <v>18.0</v>
      </c>
      <c r="K70" s="268" t="s">
        <v>4403</v>
      </c>
      <c r="L70" s="269">
        <v>251491.0</v>
      </c>
      <c r="M70" s="268" t="s">
        <v>4834</v>
      </c>
      <c r="N70" s="269" t="s">
        <v>28</v>
      </c>
    </row>
    <row r="71" spans="8:8" ht="15.75" customHeight="1">
      <c r="A71" s="286">
        <v>71.0</v>
      </c>
      <c r="B71" s="288" t="s">
        <v>4757</v>
      </c>
      <c r="C71" s="287">
        <v>251495.0</v>
      </c>
      <c r="D71" s="288" t="s">
        <v>4834</v>
      </c>
      <c r="E71" s="287" t="s">
        <v>28</v>
      </c>
      <c r="F71" s="241">
        <v>12.0</v>
      </c>
      <c r="H71" s="237"/>
      <c r="I71" s="237"/>
      <c r="J71" s="269">
        <v>19.0</v>
      </c>
      <c r="K71" s="268" t="s">
        <v>4757</v>
      </c>
      <c r="L71" s="269">
        <v>251495.0</v>
      </c>
      <c r="M71" s="268" t="s">
        <v>4834</v>
      </c>
      <c r="N71" s="269" t="s">
        <v>28</v>
      </c>
    </row>
    <row r="72" spans="8:8" ht="15.75" customHeight="1">
      <c r="A72" s="289">
        <v>72.0</v>
      </c>
      <c r="B72" s="288" t="s">
        <v>4406</v>
      </c>
      <c r="C72" s="287">
        <v>251474.0</v>
      </c>
      <c r="D72" s="288" t="s">
        <v>4834</v>
      </c>
      <c r="E72" s="287" t="s">
        <v>28</v>
      </c>
      <c r="F72" s="241">
        <v>12.0</v>
      </c>
      <c r="H72" s="237"/>
      <c r="I72" s="237"/>
      <c r="J72" s="269">
        <v>24.0</v>
      </c>
      <c r="K72" s="268" t="s">
        <v>4406</v>
      </c>
      <c r="L72" s="269">
        <v>251474.0</v>
      </c>
      <c r="M72" s="268" t="s">
        <v>4834</v>
      </c>
      <c r="N72" s="269" t="s">
        <v>28</v>
      </c>
    </row>
    <row r="73" spans="8:8" ht="15.75" customHeight="1">
      <c r="A73" s="286">
        <v>73.0</v>
      </c>
      <c r="B73" s="288" t="s">
        <v>4405</v>
      </c>
      <c r="C73" s="287">
        <v>251639.0</v>
      </c>
      <c r="D73" s="288" t="s">
        <v>4814</v>
      </c>
      <c r="E73" s="287" t="s">
        <v>28</v>
      </c>
      <c r="F73" s="241">
        <v>12.0</v>
      </c>
      <c r="H73" s="237"/>
      <c r="I73" s="237"/>
      <c r="J73" s="269">
        <v>30.0</v>
      </c>
      <c r="K73" s="268" t="s">
        <v>4405</v>
      </c>
      <c r="L73" s="269">
        <v>251639.0</v>
      </c>
      <c r="M73" s="268" t="s">
        <v>4814</v>
      </c>
      <c r="N73" s="269" t="s">
        <v>28</v>
      </c>
    </row>
    <row r="74" spans="8:8" ht="15.75" customHeight="1">
      <c r="A74" s="289">
        <v>74.0</v>
      </c>
      <c r="B74" s="288" t="s">
        <v>4408</v>
      </c>
      <c r="C74" s="287">
        <v>241281.0</v>
      </c>
      <c r="D74" s="288" t="s">
        <v>4875</v>
      </c>
      <c r="E74" s="287" t="s">
        <v>28</v>
      </c>
      <c r="F74" s="241">
        <v>12.0</v>
      </c>
      <c r="H74" s="237"/>
      <c r="I74" s="237"/>
      <c r="J74" s="269">
        <v>33.0</v>
      </c>
      <c r="K74" s="268" t="s">
        <v>4408</v>
      </c>
      <c r="L74" s="269">
        <v>241281.0</v>
      </c>
      <c r="M74" s="268" t="s">
        <v>4875</v>
      </c>
      <c r="N74" s="269" t="s">
        <v>28</v>
      </c>
    </row>
    <row r="75" spans="8:8" ht="15.75" customHeight="1">
      <c r="A75" s="286">
        <v>75.0</v>
      </c>
      <c r="B75" s="288" t="s">
        <v>4409</v>
      </c>
      <c r="C75" s="287">
        <v>251669.0</v>
      </c>
      <c r="D75" s="288" t="s">
        <v>4840</v>
      </c>
      <c r="E75" s="287" t="s">
        <v>28</v>
      </c>
      <c r="F75" s="241">
        <v>12.0</v>
      </c>
      <c r="H75" s="237"/>
      <c r="I75" s="237"/>
      <c r="J75" s="287">
        <v>34.0</v>
      </c>
      <c r="K75" s="268" t="s">
        <v>4409</v>
      </c>
      <c r="L75" s="269">
        <v>251669.0</v>
      </c>
      <c r="M75" s="268" t="s">
        <v>4840</v>
      </c>
      <c r="N75" s="269" t="s">
        <v>28</v>
      </c>
    </row>
    <row r="76" spans="8:8" ht="15.75" customHeight="1">
      <c r="A76" s="289">
        <v>76.0</v>
      </c>
      <c r="B76" s="288" t="s">
        <v>4410</v>
      </c>
      <c r="C76" s="287">
        <v>251486.0</v>
      </c>
      <c r="D76" s="288" t="s">
        <v>4834</v>
      </c>
      <c r="E76" s="287" t="s">
        <v>28</v>
      </c>
      <c r="F76" s="241">
        <v>12.0</v>
      </c>
      <c r="H76" s="237"/>
      <c r="I76" s="237"/>
      <c r="J76" s="287">
        <v>35.0</v>
      </c>
      <c r="K76" s="268" t="s">
        <v>4410</v>
      </c>
      <c r="L76" s="269">
        <v>251486.0</v>
      </c>
      <c r="M76" s="268" t="s">
        <v>4834</v>
      </c>
      <c r="N76" s="269" t="s">
        <v>28</v>
      </c>
    </row>
    <row r="77" spans="8:8" ht="15.75" customHeight="1">
      <c r="A77" s="286">
        <v>77.0</v>
      </c>
      <c r="B77" s="288" t="s">
        <v>4407</v>
      </c>
      <c r="C77" s="287">
        <v>251493.0</v>
      </c>
      <c r="D77" s="288" t="s">
        <v>4834</v>
      </c>
      <c r="E77" s="287" t="s">
        <v>28</v>
      </c>
      <c r="F77" s="241">
        <v>12.0</v>
      </c>
      <c r="H77" s="237"/>
      <c r="I77" s="237"/>
      <c r="J77" s="269">
        <v>3.0</v>
      </c>
      <c r="K77" s="268" t="s">
        <v>4407</v>
      </c>
      <c r="L77" s="269">
        <v>251493.0</v>
      </c>
      <c r="M77" s="268" t="s">
        <v>4834</v>
      </c>
      <c r="N77" s="269" t="s">
        <v>28</v>
      </c>
    </row>
    <row r="78" spans="8:8" ht="15.75" customHeight="1">
      <c r="A78" s="289">
        <v>78.0</v>
      </c>
      <c r="B78" s="288" t="s">
        <v>4504</v>
      </c>
      <c r="C78" s="287">
        <v>251494.0</v>
      </c>
      <c r="D78" s="288" t="s">
        <v>4834</v>
      </c>
      <c r="E78" s="287" t="s">
        <v>28</v>
      </c>
      <c r="F78" s="241">
        <v>12.0</v>
      </c>
      <c r="H78" s="237"/>
      <c r="I78" s="237"/>
      <c r="J78" s="269">
        <v>4.0</v>
      </c>
      <c r="K78" s="268" t="s">
        <v>4504</v>
      </c>
      <c r="L78" s="269">
        <v>251494.0</v>
      </c>
      <c r="M78" s="268" t="s">
        <v>4834</v>
      </c>
      <c r="N78" s="269" t="s">
        <v>28</v>
      </c>
    </row>
    <row r="79" spans="8:8" ht="15.75" customHeight="1">
      <c r="A79" s="286">
        <v>79.0</v>
      </c>
      <c r="B79" s="288" t="s">
        <v>4411</v>
      </c>
      <c r="C79" s="287">
        <v>241272.0</v>
      </c>
      <c r="D79" s="288" t="s">
        <v>4859</v>
      </c>
      <c r="E79" s="287" t="s">
        <v>28</v>
      </c>
      <c r="F79" s="241">
        <v>12.0</v>
      </c>
      <c r="H79" s="237"/>
      <c r="I79" s="237"/>
      <c r="J79" s="269">
        <v>7.0</v>
      </c>
      <c r="K79" s="268" t="s">
        <v>4411</v>
      </c>
      <c r="L79" s="269">
        <v>241272.0</v>
      </c>
      <c r="M79" s="268" t="s">
        <v>4859</v>
      </c>
      <c r="N79" s="269" t="s">
        <v>28</v>
      </c>
    </row>
    <row r="80" spans="8:8" ht="15.75" customHeight="1">
      <c r="A80" s="289">
        <v>80.0</v>
      </c>
      <c r="B80" s="288" t="s">
        <v>4412</v>
      </c>
      <c r="C80" s="287">
        <v>241235.0</v>
      </c>
      <c r="D80" s="288" t="s">
        <v>4859</v>
      </c>
      <c r="E80" s="287" t="s">
        <v>28</v>
      </c>
      <c r="F80" s="241">
        <v>12.0</v>
      </c>
      <c r="H80" s="237"/>
      <c r="I80" s="237"/>
      <c r="J80" s="269">
        <v>8.0</v>
      </c>
      <c r="K80" s="268" t="s">
        <v>4412</v>
      </c>
      <c r="L80" s="269">
        <v>241235.0</v>
      </c>
      <c r="M80" s="268" t="s">
        <v>4859</v>
      </c>
      <c r="N80" s="269" t="s">
        <v>28</v>
      </c>
    </row>
    <row r="81" spans="8:8" ht="15.75" customHeight="1">
      <c r="A81" s="286">
        <v>81.0</v>
      </c>
      <c r="B81" s="288" t="s">
        <v>2504</v>
      </c>
      <c r="C81" s="287">
        <v>241236.0</v>
      </c>
      <c r="D81" s="288" t="s">
        <v>4859</v>
      </c>
      <c r="E81" s="287" t="s">
        <v>28</v>
      </c>
      <c r="F81" s="241">
        <v>12.0</v>
      </c>
      <c r="H81" s="237"/>
      <c r="I81" s="237"/>
      <c r="J81" s="269">
        <v>9.0</v>
      </c>
      <c r="K81" s="268" t="s">
        <v>2504</v>
      </c>
      <c r="L81" s="269">
        <v>241236.0</v>
      </c>
      <c r="M81" s="268" t="s">
        <v>4859</v>
      </c>
      <c r="N81" s="269" t="s">
        <v>28</v>
      </c>
    </row>
    <row r="82" spans="8:8" ht="15.75" customHeight="1">
      <c r="A82" s="289">
        <v>82.0</v>
      </c>
      <c r="B82" s="288" t="s">
        <v>4547</v>
      </c>
      <c r="C82" s="287">
        <v>241256.0</v>
      </c>
      <c r="D82" s="288" t="s">
        <v>4859</v>
      </c>
      <c r="E82" s="287" t="s">
        <v>28</v>
      </c>
      <c r="F82" s="241">
        <v>12.0</v>
      </c>
      <c r="H82" s="237"/>
      <c r="I82" s="237"/>
      <c r="J82" s="269">
        <v>12.0</v>
      </c>
      <c r="K82" s="268" t="s">
        <v>4547</v>
      </c>
      <c r="L82" s="269">
        <v>241256.0</v>
      </c>
      <c r="M82" s="268" t="s">
        <v>4859</v>
      </c>
      <c r="N82" s="269" t="s">
        <v>28</v>
      </c>
    </row>
    <row r="83" spans="8:8" ht="15.75" customHeight="1">
      <c r="A83" s="286">
        <v>83.0</v>
      </c>
      <c r="B83" s="288" t="s">
        <v>4762</v>
      </c>
      <c r="C83" s="287">
        <v>241507.0</v>
      </c>
      <c r="D83" s="288" t="s">
        <v>4851</v>
      </c>
      <c r="E83" s="287" t="s">
        <v>28</v>
      </c>
      <c r="F83" s="241">
        <v>12.0</v>
      </c>
      <c r="H83" s="237"/>
      <c r="I83" s="237"/>
      <c r="J83" s="269">
        <v>13.0</v>
      </c>
      <c r="K83" s="268" t="s">
        <v>4762</v>
      </c>
      <c r="L83" s="269">
        <v>241507.0</v>
      </c>
      <c r="M83" s="268" t="s">
        <v>4851</v>
      </c>
      <c r="N83" s="269" t="s">
        <v>28</v>
      </c>
    </row>
    <row r="84" spans="8:8" ht="15.75" customHeight="1">
      <c r="A84" s="289">
        <v>84.0</v>
      </c>
      <c r="B84" s="288" t="s">
        <v>4763</v>
      </c>
      <c r="C84" s="287">
        <v>241489.0</v>
      </c>
      <c r="D84" s="288" t="s">
        <v>4851</v>
      </c>
      <c r="E84" s="287" t="s">
        <v>28</v>
      </c>
      <c r="F84" s="241">
        <v>12.0</v>
      </c>
      <c r="H84" s="237"/>
      <c r="I84" s="237"/>
      <c r="J84" s="269">
        <v>14.0</v>
      </c>
      <c r="K84" s="268" t="s">
        <v>4763</v>
      </c>
      <c r="L84" s="269">
        <v>241489.0</v>
      </c>
      <c r="M84" s="268" t="s">
        <v>4851</v>
      </c>
      <c r="N84" s="269" t="s">
        <v>28</v>
      </c>
    </row>
    <row r="85" spans="8:8" ht="15.75" customHeight="1">
      <c r="A85" s="286">
        <v>85.0</v>
      </c>
      <c r="B85" s="288" t="s">
        <v>4404</v>
      </c>
      <c r="C85" s="287">
        <v>241951.0</v>
      </c>
      <c r="D85" s="288" t="s">
        <v>4859</v>
      </c>
      <c r="E85" s="287" t="s">
        <v>28</v>
      </c>
      <c r="F85" s="241">
        <v>12.0</v>
      </c>
      <c r="H85" s="237"/>
      <c r="I85" s="237"/>
      <c r="J85" s="269">
        <v>15.0</v>
      </c>
      <c r="K85" s="268" t="s">
        <v>4404</v>
      </c>
      <c r="L85" s="269">
        <v>241951.0</v>
      </c>
      <c r="M85" s="268" t="s">
        <v>4859</v>
      </c>
      <c r="N85" s="269" t="s">
        <v>28</v>
      </c>
    </row>
    <row r="86" spans="8:8" ht="15.75" customHeight="1">
      <c r="A86" s="289">
        <v>86.0</v>
      </c>
      <c r="B86" s="288" t="s">
        <v>4960</v>
      </c>
      <c r="C86" s="287">
        <v>241469.0</v>
      </c>
      <c r="D86" s="288" t="s">
        <v>4851</v>
      </c>
      <c r="E86" s="287" t="s">
        <v>28</v>
      </c>
      <c r="F86" s="241">
        <v>12.0</v>
      </c>
      <c r="H86" s="237"/>
      <c r="I86" s="237"/>
      <c r="J86" s="269">
        <v>16.0</v>
      </c>
      <c r="K86" s="268" t="s">
        <v>4960</v>
      </c>
      <c r="L86" s="269">
        <v>241469.0</v>
      </c>
      <c r="M86" s="268" t="s">
        <v>4851</v>
      </c>
      <c r="N86" s="269" t="s">
        <v>28</v>
      </c>
    </row>
    <row r="87" spans="8:8" ht="15.75" customHeight="1">
      <c r="A87" s="286">
        <v>87.0</v>
      </c>
      <c r="B87" s="288" t="s">
        <v>4961</v>
      </c>
      <c r="C87" s="287">
        <v>241592.0</v>
      </c>
      <c r="D87" s="288" t="s">
        <v>4851</v>
      </c>
      <c r="E87" s="287" t="s">
        <v>28</v>
      </c>
      <c r="F87" s="241">
        <v>12.0</v>
      </c>
      <c r="H87" s="237"/>
      <c r="I87" s="237"/>
      <c r="J87" s="269">
        <v>17.0</v>
      </c>
      <c r="K87" s="268" t="s">
        <v>4961</v>
      </c>
      <c r="L87" s="269">
        <v>241592.0</v>
      </c>
      <c r="M87" s="268" t="s">
        <v>4851</v>
      </c>
      <c r="N87" s="269" t="s">
        <v>28</v>
      </c>
    </row>
    <row r="88" spans="8:8" ht="15.75" customHeight="1">
      <c r="A88" s="289">
        <v>88.0</v>
      </c>
      <c r="B88" s="288" t="s">
        <v>4962</v>
      </c>
      <c r="C88" s="287">
        <v>241155.0</v>
      </c>
      <c r="D88" s="288" t="s">
        <v>4859</v>
      </c>
      <c r="E88" s="287" t="s">
        <v>28</v>
      </c>
      <c r="F88" s="241">
        <v>12.0</v>
      </c>
      <c r="H88" s="237"/>
      <c r="I88" s="237"/>
      <c r="J88" s="269">
        <v>19.0</v>
      </c>
      <c r="K88" s="268" t="s">
        <v>4962</v>
      </c>
      <c r="L88" s="269">
        <v>241155.0</v>
      </c>
      <c r="M88" s="268" t="s">
        <v>4859</v>
      </c>
      <c r="N88" s="269" t="s">
        <v>28</v>
      </c>
    </row>
    <row r="89" spans="8:8" ht="15.75" customHeight="1">
      <c r="A89" s="286">
        <v>89.0</v>
      </c>
      <c r="B89" s="288" t="s">
        <v>4413</v>
      </c>
      <c r="C89" s="287">
        <v>251662.0</v>
      </c>
      <c r="D89" s="288" t="s">
        <v>4840</v>
      </c>
      <c r="E89" s="287" t="s">
        <v>28</v>
      </c>
      <c r="F89" s="241">
        <v>12.0</v>
      </c>
      <c r="H89" s="237"/>
      <c r="I89" s="237"/>
      <c r="J89" s="269">
        <v>21.0</v>
      </c>
      <c r="K89" s="268" t="s">
        <v>4413</v>
      </c>
      <c r="L89" s="269">
        <v>251662.0</v>
      </c>
      <c r="M89" s="268" t="s">
        <v>4840</v>
      </c>
      <c r="N89" s="269" t="s">
        <v>28</v>
      </c>
    </row>
    <row r="90" spans="8:8" ht="15.75" customHeight="1">
      <c r="A90" s="289">
        <v>90.0</v>
      </c>
      <c r="B90" s="288" t="s">
        <v>4414</v>
      </c>
      <c r="C90" s="287">
        <v>251672.0</v>
      </c>
      <c r="D90" s="288" t="s">
        <v>4840</v>
      </c>
      <c r="E90" s="287" t="s">
        <v>28</v>
      </c>
      <c r="F90" s="241">
        <v>12.0</v>
      </c>
      <c r="H90" s="237"/>
      <c r="I90" s="237"/>
      <c r="J90" s="269">
        <v>25.0</v>
      </c>
      <c r="K90" s="268" t="s">
        <v>4414</v>
      </c>
      <c r="L90" s="269">
        <v>251672.0</v>
      </c>
      <c r="M90" s="268" t="s">
        <v>4840</v>
      </c>
      <c r="N90" s="269" t="s">
        <v>28</v>
      </c>
    </row>
    <row r="91" spans="8:8" ht="15.75" customHeight="1">
      <c r="A91" s="286">
        <v>91.0</v>
      </c>
      <c r="B91" s="288" t="s">
        <v>4764</v>
      </c>
      <c r="C91" s="287">
        <v>251638.0</v>
      </c>
      <c r="D91" s="287"/>
      <c r="E91" s="287" t="s">
        <v>28</v>
      </c>
      <c r="F91" s="241">
        <v>12.0</v>
      </c>
      <c r="H91" s="237"/>
      <c r="I91" s="237"/>
      <c r="J91" s="269">
        <v>31.0</v>
      </c>
      <c r="K91" s="268" t="s">
        <v>4764</v>
      </c>
      <c r="L91" s="269">
        <v>251638.0</v>
      </c>
      <c r="M91" s="287"/>
      <c r="N91" s="269" t="s">
        <v>28</v>
      </c>
    </row>
    <row r="92" spans="8:8" ht="15.75" customHeight="1">
      <c r="A92" s="289">
        <v>92.0</v>
      </c>
      <c r="B92" s="288" t="s">
        <v>4117</v>
      </c>
      <c r="C92" s="287">
        <v>251692.0</v>
      </c>
      <c r="D92" s="288" t="s">
        <v>4843</v>
      </c>
      <c r="E92" s="287" t="s">
        <v>111</v>
      </c>
      <c r="F92" s="241">
        <v>12.0</v>
      </c>
      <c r="H92" s="237"/>
      <c r="I92" s="237"/>
      <c r="J92" s="269">
        <v>6.0</v>
      </c>
      <c r="K92" s="268" t="s">
        <v>4117</v>
      </c>
      <c r="L92" s="269">
        <v>251692.0</v>
      </c>
      <c r="M92" s="268" t="s">
        <v>4843</v>
      </c>
      <c r="N92" s="269" t="s">
        <v>111</v>
      </c>
    </row>
    <row r="93" spans="8:8" ht="15.75" customHeight="1">
      <c r="A93" s="286">
        <v>93.0</v>
      </c>
      <c r="B93" s="288" t="s">
        <v>4423</v>
      </c>
      <c r="C93" s="287">
        <v>251785.0</v>
      </c>
      <c r="D93" s="288" t="s">
        <v>4829</v>
      </c>
      <c r="E93" s="287" t="s">
        <v>111</v>
      </c>
      <c r="F93" s="241">
        <v>12.0</v>
      </c>
      <c r="H93" s="237"/>
      <c r="I93" s="237"/>
      <c r="J93" s="269">
        <v>7.0</v>
      </c>
      <c r="K93" s="268" t="s">
        <v>4423</v>
      </c>
      <c r="L93" s="269">
        <v>251785.0</v>
      </c>
      <c r="M93" s="268" t="s">
        <v>4829</v>
      </c>
      <c r="N93" s="269" t="s">
        <v>111</v>
      </c>
    </row>
    <row r="94" spans="8:8" ht="15.75" customHeight="1">
      <c r="A94" s="289">
        <v>94.0</v>
      </c>
      <c r="B94" s="288" t="s">
        <v>4965</v>
      </c>
      <c r="C94" s="287">
        <v>251792.0</v>
      </c>
      <c r="D94" s="288" t="s">
        <v>4829</v>
      </c>
      <c r="E94" s="287" t="s">
        <v>111</v>
      </c>
      <c r="F94" s="241">
        <v>12.0</v>
      </c>
      <c r="H94" s="237"/>
      <c r="I94" s="237"/>
      <c r="J94" s="269">
        <v>8.0</v>
      </c>
      <c r="K94" s="268" t="s">
        <v>4965</v>
      </c>
      <c r="L94" s="269">
        <v>251792.0</v>
      </c>
      <c r="M94" s="268" t="s">
        <v>4829</v>
      </c>
      <c r="N94" s="269" t="s">
        <v>111</v>
      </c>
    </row>
    <row r="95" spans="8:8" ht="15.75" customHeight="1">
      <c r="A95" s="286">
        <v>95.0</v>
      </c>
      <c r="B95" s="288" t="s">
        <v>4768</v>
      </c>
      <c r="C95" s="287">
        <v>241156.0</v>
      </c>
      <c r="D95" s="288" t="s">
        <v>4859</v>
      </c>
      <c r="E95" s="287" t="s">
        <v>111</v>
      </c>
      <c r="F95" s="241">
        <v>12.0</v>
      </c>
      <c r="H95" s="237"/>
      <c r="I95" s="237"/>
      <c r="J95" s="269">
        <v>24.0</v>
      </c>
      <c r="K95" s="268" t="s">
        <v>4768</v>
      </c>
      <c r="L95" s="269">
        <v>241156.0</v>
      </c>
      <c r="M95" s="268" t="s">
        <v>4859</v>
      </c>
      <c r="N95" s="269" t="s">
        <v>111</v>
      </c>
    </row>
    <row r="96" spans="8:8" ht="15.75" customHeight="1">
      <c r="A96" s="289">
        <v>96.0</v>
      </c>
      <c r="B96" s="288" t="s">
        <v>4769</v>
      </c>
      <c r="C96" s="287">
        <v>241185.0</v>
      </c>
      <c r="D96" s="288" t="s">
        <v>4859</v>
      </c>
      <c r="E96" s="287" t="s">
        <v>111</v>
      </c>
      <c r="F96" s="241">
        <v>12.0</v>
      </c>
      <c r="H96" s="237"/>
      <c r="I96" s="237"/>
      <c r="J96" s="269">
        <v>26.0</v>
      </c>
      <c r="K96" s="268" t="s">
        <v>4769</v>
      </c>
      <c r="L96" s="269">
        <v>241185.0</v>
      </c>
      <c r="M96" s="268" t="s">
        <v>4859</v>
      </c>
      <c r="N96" s="269" t="s">
        <v>111</v>
      </c>
    </row>
    <row r="97" spans="8:8" ht="15.75" customHeight="1">
      <c r="A97" s="286">
        <v>97.0</v>
      </c>
      <c r="B97" s="288" t="s">
        <v>4967</v>
      </c>
      <c r="C97" s="287">
        <v>251523.0</v>
      </c>
      <c r="D97" s="287"/>
      <c r="E97" s="287" t="s">
        <v>111</v>
      </c>
      <c r="F97" s="241">
        <v>12.0</v>
      </c>
      <c r="H97" s="237"/>
      <c r="I97" s="237"/>
      <c r="J97" s="269">
        <v>28.0</v>
      </c>
      <c r="K97" s="268" t="s">
        <v>4967</v>
      </c>
      <c r="L97" s="269">
        <v>251523.0</v>
      </c>
      <c r="M97" s="287"/>
      <c r="N97" s="269" t="s">
        <v>111</v>
      </c>
    </row>
    <row r="98" spans="8:8" ht="15.75" customHeight="1">
      <c r="A98" s="289">
        <v>98.0</v>
      </c>
      <c r="B98" s="266" t="s">
        <v>4770</v>
      </c>
      <c r="C98" s="267">
        <v>252046.0</v>
      </c>
      <c r="D98" s="266" t="s">
        <v>4860</v>
      </c>
      <c r="E98" s="287" t="s">
        <v>111</v>
      </c>
      <c r="F98" s="241">
        <v>12.0</v>
      </c>
      <c r="H98" s="237"/>
      <c r="I98" s="237"/>
      <c r="J98" s="269">
        <v>31.0</v>
      </c>
      <c r="K98" s="268" t="s">
        <v>4770</v>
      </c>
      <c r="L98" s="269">
        <v>252046.0</v>
      </c>
      <c r="M98" s="268" t="s">
        <v>4860</v>
      </c>
      <c r="N98" s="269" t="s">
        <v>111</v>
      </c>
    </row>
    <row r="99" spans="8:8" ht="15.75" customHeight="1">
      <c r="A99" s="286">
        <v>99.0</v>
      </c>
      <c r="B99" s="288" t="s">
        <v>4771</v>
      </c>
      <c r="C99" s="287">
        <v>241495.0</v>
      </c>
      <c r="D99" s="288" t="s">
        <v>4851</v>
      </c>
      <c r="E99" s="287" t="s">
        <v>111</v>
      </c>
      <c r="F99" s="241">
        <v>12.0</v>
      </c>
      <c r="H99" s="237"/>
      <c r="I99" s="237"/>
      <c r="J99" s="269">
        <v>8.0</v>
      </c>
      <c r="K99" s="268" t="s">
        <v>4771</v>
      </c>
      <c r="L99" s="269">
        <v>241495.0</v>
      </c>
      <c r="M99" s="268" t="s">
        <v>4851</v>
      </c>
      <c r="N99" s="269" t="s">
        <v>111</v>
      </c>
    </row>
    <row r="100" spans="8:8" ht="15.75" customHeight="1">
      <c r="A100" s="289">
        <v>100.0</v>
      </c>
      <c r="B100" s="288" t="s">
        <v>4968</v>
      </c>
      <c r="C100" s="287">
        <v>241221.0</v>
      </c>
      <c r="D100" s="288" t="s">
        <v>4859</v>
      </c>
      <c r="E100" s="287" t="s">
        <v>111</v>
      </c>
      <c r="F100" s="241">
        <v>12.0</v>
      </c>
      <c r="H100" s="237"/>
      <c r="I100" s="237"/>
      <c r="J100" s="269">
        <v>10.0</v>
      </c>
      <c r="K100" s="268" t="s">
        <v>4968</v>
      </c>
      <c r="L100" s="269">
        <v>241221.0</v>
      </c>
      <c r="M100" s="268" t="s">
        <v>4859</v>
      </c>
      <c r="N100" s="269" t="s">
        <v>111</v>
      </c>
    </row>
    <row r="101" spans="8:8" ht="15.75" customHeight="1">
      <c r="A101" s="286">
        <v>101.0</v>
      </c>
      <c r="B101" s="288" t="s">
        <v>4424</v>
      </c>
      <c r="C101" s="287">
        <v>241550.0</v>
      </c>
      <c r="D101" s="288" t="s">
        <v>4851</v>
      </c>
      <c r="E101" s="287" t="s">
        <v>111</v>
      </c>
      <c r="F101" s="241">
        <v>12.0</v>
      </c>
      <c r="H101" s="237"/>
      <c r="I101" s="237"/>
      <c r="J101" s="269">
        <v>12.0</v>
      </c>
      <c r="K101" s="268" t="s">
        <v>4424</v>
      </c>
      <c r="L101" s="269">
        <v>241550.0</v>
      </c>
      <c r="M101" s="268" t="s">
        <v>4851</v>
      </c>
      <c r="N101" s="269" t="s">
        <v>111</v>
      </c>
    </row>
    <row r="102" spans="8:8" ht="15.75" customHeight="1">
      <c r="A102" s="289">
        <v>102.0</v>
      </c>
      <c r="B102" s="288" t="s">
        <v>3444</v>
      </c>
      <c r="C102" s="287">
        <v>241486.0</v>
      </c>
      <c r="D102" s="288" t="s">
        <v>4851</v>
      </c>
      <c r="E102" s="287" t="s">
        <v>111</v>
      </c>
      <c r="F102" s="241">
        <v>12.0</v>
      </c>
      <c r="H102" s="237"/>
      <c r="I102" s="237"/>
      <c r="J102" s="269">
        <v>14.0</v>
      </c>
      <c r="K102" s="268" t="s">
        <v>3444</v>
      </c>
      <c r="L102" s="269">
        <v>241486.0</v>
      </c>
      <c r="M102" s="268" t="s">
        <v>4851</v>
      </c>
      <c r="N102" s="269" t="s">
        <v>111</v>
      </c>
    </row>
    <row r="103" spans="8:8" ht="15.75" customHeight="1">
      <c r="A103" s="286">
        <v>103.0</v>
      </c>
      <c r="B103" s="288" t="s">
        <v>4446</v>
      </c>
      <c r="C103" s="287">
        <v>241505.0</v>
      </c>
      <c r="D103" s="288" t="s">
        <v>4851</v>
      </c>
      <c r="E103" s="287" t="s">
        <v>111</v>
      </c>
      <c r="F103" s="241">
        <v>12.0</v>
      </c>
      <c r="H103" s="237"/>
      <c r="I103" s="237"/>
      <c r="J103" s="269">
        <v>15.0</v>
      </c>
      <c r="K103" s="268" t="s">
        <v>4446</v>
      </c>
      <c r="L103" s="269">
        <v>241505.0</v>
      </c>
      <c r="M103" s="268" t="s">
        <v>4851</v>
      </c>
      <c r="N103" s="269" t="s">
        <v>111</v>
      </c>
    </row>
    <row r="104" spans="8:8" ht="15.75" customHeight="1">
      <c r="A104" s="289">
        <v>104.0</v>
      </c>
      <c r="B104" s="288" t="s">
        <v>4969</v>
      </c>
      <c r="C104" s="287">
        <v>241954.0</v>
      </c>
      <c r="D104" s="288" t="s">
        <v>4859</v>
      </c>
      <c r="E104" s="287" t="s">
        <v>111</v>
      </c>
      <c r="F104" s="241">
        <v>12.0</v>
      </c>
      <c r="H104" s="237"/>
      <c r="I104" s="237"/>
      <c r="J104" s="269">
        <v>20.0</v>
      </c>
      <c r="K104" s="268" t="s">
        <v>4969</v>
      </c>
      <c r="L104" s="269">
        <v>241954.0</v>
      </c>
      <c r="M104" s="268" t="s">
        <v>4859</v>
      </c>
      <c r="N104" s="269" t="s">
        <v>111</v>
      </c>
    </row>
    <row r="105" spans="8:8" ht="15.75" customHeight="1">
      <c r="A105" s="286">
        <v>105.0</v>
      </c>
      <c r="B105" s="288" t="s">
        <v>4425</v>
      </c>
      <c r="C105" s="287">
        <v>251628.0</v>
      </c>
      <c r="D105" s="288" t="s">
        <v>4812</v>
      </c>
      <c r="E105" s="287" t="s">
        <v>111</v>
      </c>
      <c r="F105" s="241">
        <v>12.0</v>
      </c>
      <c r="H105" s="237"/>
      <c r="I105" s="237"/>
      <c r="J105" s="269">
        <v>31.0</v>
      </c>
      <c r="K105" s="268" t="s">
        <v>4425</v>
      </c>
      <c r="L105" s="269">
        <v>251628.0</v>
      </c>
      <c r="M105" s="268" t="s">
        <v>4812</v>
      </c>
      <c r="N105" s="269" t="s">
        <v>111</v>
      </c>
    </row>
    <row r="106" spans="8:8" ht="15.75" customHeight="1">
      <c r="A106" s="289">
        <v>106.0</v>
      </c>
      <c r="B106" s="288" t="s">
        <v>4772</v>
      </c>
      <c r="C106" s="287">
        <v>251500.0</v>
      </c>
      <c r="D106" s="288" t="s">
        <v>4970</v>
      </c>
      <c r="E106" s="287" t="s">
        <v>111</v>
      </c>
      <c r="F106" s="241">
        <v>12.0</v>
      </c>
      <c r="H106" s="237"/>
      <c r="I106" s="237"/>
      <c r="J106" s="269">
        <v>32.0</v>
      </c>
      <c r="K106" s="268" t="s">
        <v>4772</v>
      </c>
      <c r="L106" s="269">
        <v>251500.0</v>
      </c>
      <c r="M106" s="288" t="s">
        <v>4970</v>
      </c>
      <c r="N106" s="269" t="s">
        <v>111</v>
      </c>
    </row>
    <row r="107" spans="8:8" ht="15.75" customHeight="1">
      <c r="A107" s="286">
        <v>107.0</v>
      </c>
      <c r="B107" s="288" t="s">
        <v>4773</v>
      </c>
      <c r="C107" s="287">
        <v>240816.0</v>
      </c>
      <c r="D107" s="288" t="s">
        <v>4971</v>
      </c>
      <c r="E107" s="287" t="s">
        <v>111</v>
      </c>
      <c r="F107" s="241">
        <v>12.0</v>
      </c>
      <c r="H107" s="237"/>
      <c r="I107" s="237"/>
      <c r="J107" s="269">
        <v>33.0</v>
      </c>
      <c r="K107" s="268" t="s">
        <v>4773</v>
      </c>
      <c r="L107" s="269">
        <v>240816.0</v>
      </c>
      <c r="M107" s="288" t="s">
        <v>4971</v>
      </c>
      <c r="N107" s="269" t="s">
        <v>111</v>
      </c>
    </row>
    <row r="108" spans="8:8" ht="15.75" customHeight="1">
      <c r="A108" s="289">
        <v>108.0</v>
      </c>
      <c r="B108" s="288" t="s">
        <v>4448</v>
      </c>
      <c r="C108" s="287">
        <v>251629.0</v>
      </c>
      <c r="D108" s="288" t="s">
        <v>4812</v>
      </c>
      <c r="E108" s="287" t="s">
        <v>580</v>
      </c>
      <c r="F108" s="241">
        <v>12.0</v>
      </c>
      <c r="H108" s="237"/>
      <c r="I108" s="237"/>
      <c r="J108" s="269">
        <v>1.0</v>
      </c>
      <c r="K108" s="268" t="s">
        <v>4448</v>
      </c>
      <c r="L108" s="269">
        <v>251629.0</v>
      </c>
      <c r="M108" s="268" t="s">
        <v>4812</v>
      </c>
      <c r="N108" s="269" t="s">
        <v>580</v>
      </c>
    </row>
    <row r="109" spans="8:8" ht="15.75" customHeight="1">
      <c r="A109" s="286">
        <v>109.0</v>
      </c>
      <c r="B109" s="288" t="s">
        <v>4973</v>
      </c>
      <c r="C109" s="287">
        <v>251655.0</v>
      </c>
      <c r="D109" s="288" t="s">
        <v>4812</v>
      </c>
      <c r="E109" s="287" t="s">
        <v>580</v>
      </c>
      <c r="F109" s="241">
        <v>12.0</v>
      </c>
      <c r="H109" s="237"/>
      <c r="I109" s="237"/>
      <c r="J109" s="269">
        <v>4.0</v>
      </c>
      <c r="K109" s="268" t="s">
        <v>4973</v>
      </c>
      <c r="L109" s="269">
        <v>251655.0</v>
      </c>
      <c r="M109" s="268" t="s">
        <v>4812</v>
      </c>
      <c r="N109" s="269" t="s">
        <v>580</v>
      </c>
    </row>
    <row r="110" spans="8:8" ht="15.75" customHeight="1">
      <c r="A110" s="289">
        <v>110.0</v>
      </c>
      <c r="B110" s="288" t="s">
        <v>4974</v>
      </c>
      <c r="C110" s="287">
        <v>251667.0</v>
      </c>
      <c r="D110" s="288" t="s">
        <v>4840</v>
      </c>
      <c r="E110" s="287"/>
      <c r="F110" s="241">
        <v>12.0</v>
      </c>
      <c r="H110" s="237"/>
      <c r="I110" s="237"/>
      <c r="J110" s="287"/>
      <c r="K110" s="268" t="s">
        <v>4974</v>
      </c>
      <c r="L110" s="269">
        <v>251667.0</v>
      </c>
      <c r="M110" s="268" t="s">
        <v>4840</v>
      </c>
      <c r="N110" s="287"/>
    </row>
    <row r="111" spans="8:8" ht="15.75" customHeight="1">
      <c r="A111" s="286">
        <v>111.0</v>
      </c>
      <c r="B111" s="266" t="s">
        <v>4777</v>
      </c>
      <c r="C111" s="267">
        <v>240538.0</v>
      </c>
      <c r="D111" s="266" t="s">
        <v>4948</v>
      </c>
      <c r="E111" s="287" t="s">
        <v>580</v>
      </c>
      <c r="F111" s="241">
        <v>12.0</v>
      </c>
      <c r="H111" s="237"/>
      <c r="I111" s="237"/>
      <c r="J111" s="269">
        <v>27.0</v>
      </c>
      <c r="K111" s="268" t="s">
        <v>4777</v>
      </c>
      <c r="L111" s="269">
        <v>240538.0</v>
      </c>
      <c r="M111" s="268" t="s">
        <v>4948</v>
      </c>
      <c r="N111" s="269" t="s">
        <v>580</v>
      </c>
    </row>
    <row r="112" spans="8:8" ht="15.75" customHeight="1">
      <c r="A112" s="289">
        <v>112.0</v>
      </c>
      <c r="B112" s="266" t="s">
        <v>4527</v>
      </c>
      <c r="C112" s="267">
        <v>241181.0</v>
      </c>
      <c r="D112" s="266" t="s">
        <v>4859</v>
      </c>
      <c r="E112" s="287" t="s">
        <v>580</v>
      </c>
      <c r="F112" s="241">
        <v>12.0</v>
      </c>
      <c r="H112" s="237"/>
      <c r="I112" s="237"/>
      <c r="J112" s="269">
        <v>10.0</v>
      </c>
      <c r="K112" s="268" t="s">
        <v>4527</v>
      </c>
      <c r="L112" s="269">
        <v>241181.0</v>
      </c>
      <c r="M112" s="268" t="s">
        <v>4859</v>
      </c>
      <c r="N112" s="269" t="s">
        <v>580</v>
      </c>
    </row>
    <row r="113" spans="8:8" ht="15.75" customHeight="1">
      <c r="A113" s="286">
        <v>113.0</v>
      </c>
      <c r="B113" s="266" t="s">
        <v>4449</v>
      </c>
      <c r="C113" s="267">
        <v>241534.0</v>
      </c>
      <c r="D113" s="266" t="s">
        <v>4851</v>
      </c>
      <c r="E113" s="287" t="s">
        <v>580</v>
      </c>
      <c r="F113" s="241">
        <v>12.0</v>
      </c>
      <c r="H113" s="237"/>
      <c r="I113" s="237"/>
      <c r="J113" s="269">
        <v>11.0</v>
      </c>
      <c r="K113" s="268" t="s">
        <v>4449</v>
      </c>
      <c r="L113" s="269">
        <v>241534.0</v>
      </c>
      <c r="M113" s="268" t="s">
        <v>4851</v>
      </c>
      <c r="N113" s="269" t="s">
        <v>580</v>
      </c>
    </row>
    <row r="114" spans="8:8" ht="15.75" customHeight="1">
      <c r="A114" s="289">
        <v>114.0</v>
      </c>
      <c r="B114" s="266" t="s">
        <v>4450</v>
      </c>
      <c r="C114" s="267">
        <v>241548.0</v>
      </c>
      <c r="D114" s="266" t="s">
        <v>4851</v>
      </c>
      <c r="E114" s="287" t="s">
        <v>580</v>
      </c>
      <c r="F114" s="241">
        <v>12.0</v>
      </c>
      <c r="H114" s="237"/>
      <c r="I114" s="237"/>
      <c r="J114" s="269">
        <v>12.0</v>
      </c>
      <c r="K114" s="268" t="s">
        <v>4450</v>
      </c>
      <c r="L114" s="269">
        <v>241548.0</v>
      </c>
      <c r="M114" s="268" t="s">
        <v>4851</v>
      </c>
      <c r="N114" s="269" t="s">
        <v>580</v>
      </c>
    </row>
    <row r="115" spans="8:8" ht="15.75" customHeight="1">
      <c r="A115" s="286">
        <v>115.0</v>
      </c>
      <c r="B115" s="266" t="s">
        <v>4778</v>
      </c>
      <c r="C115" s="267">
        <v>241551.0</v>
      </c>
      <c r="D115" s="266" t="s">
        <v>4851</v>
      </c>
      <c r="E115" s="287" t="s">
        <v>580</v>
      </c>
      <c r="F115" s="241">
        <v>12.0</v>
      </c>
      <c r="H115" s="237"/>
      <c r="I115" s="237"/>
      <c r="J115" s="269">
        <v>13.0</v>
      </c>
      <c r="K115" s="268" t="s">
        <v>4778</v>
      </c>
      <c r="L115" s="269">
        <v>241551.0</v>
      </c>
      <c r="M115" s="268" t="s">
        <v>4851</v>
      </c>
      <c r="N115" s="269" t="s">
        <v>580</v>
      </c>
    </row>
    <row r="116" spans="8:8" ht="15.75" customHeight="1">
      <c r="A116" s="289">
        <v>116.0</v>
      </c>
      <c r="B116" s="266" t="s">
        <v>4176</v>
      </c>
      <c r="C116" s="267">
        <v>241555.0</v>
      </c>
      <c r="D116" s="266" t="s">
        <v>4851</v>
      </c>
      <c r="E116" s="287" t="s">
        <v>580</v>
      </c>
      <c r="F116" s="241">
        <v>12.0</v>
      </c>
      <c r="H116" s="237"/>
      <c r="I116" s="237"/>
      <c r="J116" s="269">
        <v>14.0</v>
      </c>
      <c r="K116" s="268" t="s">
        <v>4176</v>
      </c>
      <c r="L116" s="269">
        <v>241555.0</v>
      </c>
      <c r="M116" s="268" t="s">
        <v>4851</v>
      </c>
      <c r="N116" s="269" t="s">
        <v>580</v>
      </c>
    </row>
    <row r="117" spans="8:8" ht="15.75" customHeight="1">
      <c r="A117" s="286">
        <v>117.0</v>
      </c>
      <c r="B117" s="266" t="s">
        <v>4451</v>
      </c>
      <c r="C117" s="267">
        <v>241585.0</v>
      </c>
      <c r="D117" s="266" t="s">
        <v>4851</v>
      </c>
      <c r="E117" s="287" t="s">
        <v>580</v>
      </c>
      <c r="F117" s="241">
        <v>12.0</v>
      </c>
      <c r="H117" s="237"/>
      <c r="I117" s="237"/>
      <c r="J117" s="269">
        <v>15.0</v>
      </c>
      <c r="K117" s="268" t="s">
        <v>4451</v>
      </c>
      <c r="L117" s="269">
        <v>241585.0</v>
      </c>
      <c r="M117" s="268" t="s">
        <v>4851</v>
      </c>
      <c r="N117" s="269" t="s">
        <v>580</v>
      </c>
    </row>
    <row r="118" spans="8:8" ht="15.75" customHeight="1">
      <c r="A118" s="289">
        <v>118.0</v>
      </c>
      <c r="B118" s="266" t="s">
        <v>4452</v>
      </c>
      <c r="C118" s="267">
        <v>241464.0</v>
      </c>
      <c r="D118" s="266" t="s">
        <v>4851</v>
      </c>
      <c r="E118" s="287" t="s">
        <v>580</v>
      </c>
      <c r="F118" s="241">
        <v>12.0</v>
      </c>
      <c r="H118" s="237"/>
      <c r="I118" s="237"/>
      <c r="J118" s="269">
        <v>20.0</v>
      </c>
      <c r="K118" s="268" t="s">
        <v>4452</v>
      </c>
      <c r="L118" s="269">
        <v>241464.0</v>
      </c>
      <c r="M118" s="268" t="s">
        <v>4851</v>
      </c>
      <c r="N118" s="269" t="s">
        <v>580</v>
      </c>
    </row>
    <row r="119" spans="8:8" ht="15.75" customHeight="1">
      <c r="A119" s="286">
        <v>119.0</v>
      </c>
      <c r="B119" s="266" t="s">
        <v>4779</v>
      </c>
      <c r="C119" s="267">
        <v>241465.0</v>
      </c>
      <c r="D119" s="266" t="s">
        <v>4851</v>
      </c>
      <c r="E119" s="287" t="s">
        <v>580</v>
      </c>
      <c r="F119" s="241">
        <v>12.0</v>
      </c>
      <c r="H119" s="237"/>
      <c r="I119" s="237"/>
      <c r="J119" s="269">
        <v>21.0</v>
      </c>
      <c r="K119" s="268" t="s">
        <v>4779</v>
      </c>
      <c r="L119" s="269">
        <v>241465.0</v>
      </c>
      <c r="M119" s="268" t="s">
        <v>4851</v>
      </c>
      <c r="N119" s="269" t="s">
        <v>580</v>
      </c>
    </row>
    <row r="120" spans="8:8" ht="15.75" customHeight="1">
      <c r="A120" s="289">
        <v>120.0</v>
      </c>
      <c r="B120" s="288" t="s">
        <v>4453</v>
      </c>
      <c r="C120" s="287">
        <v>241189.0</v>
      </c>
      <c r="D120" s="288" t="s">
        <v>4859</v>
      </c>
      <c r="E120" s="287" t="s">
        <v>580</v>
      </c>
      <c r="F120" s="241">
        <v>12.0</v>
      </c>
      <c r="H120" s="237"/>
      <c r="I120" s="237"/>
      <c r="J120" s="269">
        <v>2.0</v>
      </c>
      <c r="K120" s="268" t="s">
        <v>4453</v>
      </c>
      <c r="L120" s="269">
        <v>241189.0</v>
      </c>
      <c r="M120" s="268" t="s">
        <v>4859</v>
      </c>
      <c r="N120" s="269" t="s">
        <v>580</v>
      </c>
    </row>
    <row r="121" spans="8:8" ht="15.75" customHeight="1">
      <c r="A121" s="286">
        <v>121.0</v>
      </c>
      <c r="B121" s="288" t="s">
        <v>4454</v>
      </c>
      <c r="C121" s="287">
        <v>241190.0</v>
      </c>
      <c r="D121" s="288" t="s">
        <v>4859</v>
      </c>
      <c r="E121" s="287" t="s">
        <v>580</v>
      </c>
      <c r="F121" s="241">
        <v>12.0</v>
      </c>
      <c r="H121" s="237"/>
      <c r="I121" s="237"/>
      <c r="J121" s="269">
        <v>3.0</v>
      </c>
      <c r="K121" s="268" t="s">
        <v>4454</v>
      </c>
      <c r="L121" s="269">
        <v>241190.0</v>
      </c>
      <c r="M121" s="268" t="s">
        <v>4859</v>
      </c>
      <c r="N121" s="269" t="s">
        <v>580</v>
      </c>
    </row>
    <row r="122" spans="8:8" ht="15.75" customHeight="1">
      <c r="A122" s="289">
        <v>122.0</v>
      </c>
      <c r="B122" s="288" t="s">
        <v>4455</v>
      </c>
      <c r="C122" s="287">
        <v>241191.0</v>
      </c>
      <c r="D122" s="288" t="s">
        <v>4859</v>
      </c>
      <c r="E122" s="287" t="s">
        <v>580</v>
      </c>
      <c r="F122" s="241">
        <v>12.0</v>
      </c>
      <c r="H122" s="237"/>
      <c r="I122" s="237"/>
      <c r="J122" s="269">
        <v>4.0</v>
      </c>
      <c r="K122" s="268" t="s">
        <v>4455</v>
      </c>
      <c r="L122" s="269">
        <v>241191.0</v>
      </c>
      <c r="M122" s="268" t="s">
        <v>4859</v>
      </c>
      <c r="N122" s="269" t="s">
        <v>580</v>
      </c>
    </row>
    <row r="123" spans="8:8" ht="15.75" customHeight="1">
      <c r="A123" s="286">
        <v>123.0</v>
      </c>
      <c r="B123" s="288" t="s">
        <v>4526</v>
      </c>
      <c r="C123" s="287">
        <v>241192.0</v>
      </c>
      <c r="D123" s="288" t="s">
        <v>4859</v>
      </c>
      <c r="E123" s="287" t="s">
        <v>580</v>
      </c>
      <c r="F123" s="241">
        <v>12.0</v>
      </c>
      <c r="H123" s="237"/>
      <c r="I123" s="237"/>
      <c r="J123" s="269">
        <v>5.0</v>
      </c>
      <c r="K123" s="268" t="s">
        <v>4526</v>
      </c>
      <c r="L123" s="269">
        <v>241192.0</v>
      </c>
      <c r="M123" s="268" t="s">
        <v>4859</v>
      </c>
      <c r="N123" s="269" t="s">
        <v>580</v>
      </c>
    </row>
    <row r="124" spans="8:8" ht="15.75" customHeight="1">
      <c r="A124" s="289">
        <v>124.0</v>
      </c>
      <c r="B124" s="288" t="s">
        <v>4456</v>
      </c>
      <c r="C124" s="287">
        <v>241207.0</v>
      </c>
      <c r="D124" s="288" t="s">
        <v>4859</v>
      </c>
      <c r="E124" s="287" t="s">
        <v>580</v>
      </c>
      <c r="F124" s="241">
        <v>12.0</v>
      </c>
      <c r="H124" s="237"/>
      <c r="I124" s="237"/>
      <c r="J124" s="269">
        <v>7.0</v>
      </c>
      <c r="K124" s="268" t="s">
        <v>4456</v>
      </c>
      <c r="L124" s="269">
        <v>241207.0</v>
      </c>
      <c r="M124" s="268" t="s">
        <v>4859</v>
      </c>
      <c r="N124" s="269" t="s">
        <v>580</v>
      </c>
    </row>
    <row r="125" spans="8:8" ht="15.75" customHeight="1">
      <c r="A125" s="286">
        <v>125.0</v>
      </c>
      <c r="B125" s="288" t="s">
        <v>4525</v>
      </c>
      <c r="C125" s="287">
        <v>241212.0</v>
      </c>
      <c r="D125" s="288" t="s">
        <v>4859</v>
      </c>
      <c r="E125" s="287" t="s">
        <v>580</v>
      </c>
      <c r="F125" s="241">
        <v>12.0</v>
      </c>
      <c r="H125" s="237"/>
      <c r="I125" s="237"/>
      <c r="J125" s="269">
        <v>9.0</v>
      </c>
      <c r="K125" s="268" t="s">
        <v>4525</v>
      </c>
      <c r="L125" s="269">
        <v>241212.0</v>
      </c>
      <c r="M125" s="268" t="s">
        <v>4859</v>
      </c>
      <c r="N125" s="269" t="s">
        <v>580</v>
      </c>
    </row>
    <row r="126" spans="8:8" ht="15.75" customHeight="1">
      <c r="A126" s="289">
        <v>126.0</v>
      </c>
      <c r="B126" s="288" t="s">
        <v>4457</v>
      </c>
      <c r="C126" s="287">
        <v>241214.0</v>
      </c>
      <c r="D126" s="288" t="s">
        <v>4859</v>
      </c>
      <c r="E126" s="287" t="s">
        <v>580</v>
      </c>
      <c r="F126" s="241">
        <v>12.0</v>
      </c>
      <c r="H126" s="237"/>
      <c r="I126" s="237"/>
      <c r="J126" s="269">
        <v>10.0</v>
      </c>
      <c r="K126" s="268" t="s">
        <v>4457</v>
      </c>
      <c r="L126" s="269">
        <v>241214.0</v>
      </c>
      <c r="M126" s="268" t="s">
        <v>4859</v>
      </c>
      <c r="N126" s="269" t="s">
        <v>580</v>
      </c>
    </row>
    <row r="127" spans="8:8" ht="15.75" customHeight="1">
      <c r="A127" s="286">
        <v>127.0</v>
      </c>
      <c r="B127" s="288" t="s">
        <v>4458</v>
      </c>
      <c r="C127" s="287">
        <v>241139.0</v>
      </c>
      <c r="D127" s="288" t="s">
        <v>4859</v>
      </c>
      <c r="E127" s="287" t="s">
        <v>580</v>
      </c>
      <c r="F127" s="241">
        <v>12.0</v>
      </c>
      <c r="H127" s="237"/>
      <c r="I127" s="237"/>
      <c r="J127" s="269">
        <v>13.0</v>
      </c>
      <c r="K127" s="268" t="s">
        <v>4458</v>
      </c>
      <c r="L127" s="269">
        <v>241139.0</v>
      </c>
      <c r="M127" s="268" t="s">
        <v>4859</v>
      </c>
      <c r="N127" s="269" t="s">
        <v>580</v>
      </c>
    </row>
    <row r="128" spans="8:8" ht="15.75" customHeight="1">
      <c r="A128" s="289">
        <v>128.0</v>
      </c>
      <c r="B128" s="288" t="s">
        <v>4459</v>
      </c>
      <c r="C128" s="287">
        <v>241513.0</v>
      </c>
      <c r="D128" s="288" t="s">
        <v>4851</v>
      </c>
      <c r="E128" s="287" t="s">
        <v>580</v>
      </c>
      <c r="F128" s="241">
        <v>12.0</v>
      </c>
      <c r="H128" s="237"/>
      <c r="I128" s="237"/>
      <c r="J128" s="269">
        <v>15.0</v>
      </c>
      <c r="K128" s="268" t="s">
        <v>4459</v>
      </c>
      <c r="L128" s="269">
        <v>241513.0</v>
      </c>
      <c r="M128" s="268" t="s">
        <v>4851</v>
      </c>
      <c r="N128" s="269" t="s">
        <v>580</v>
      </c>
    </row>
    <row r="129" spans="8:8" ht="15.75" customHeight="1">
      <c r="A129" s="286">
        <v>129.0</v>
      </c>
      <c r="B129" s="288" t="s">
        <v>4460</v>
      </c>
      <c r="C129" s="287">
        <v>241518.0</v>
      </c>
      <c r="D129" s="288" t="s">
        <v>4851</v>
      </c>
      <c r="E129" s="287" t="s">
        <v>580</v>
      </c>
      <c r="F129" s="241">
        <v>12.0</v>
      </c>
      <c r="H129" s="237"/>
      <c r="I129" s="237"/>
      <c r="J129" s="269">
        <v>17.0</v>
      </c>
      <c r="K129" s="268" t="s">
        <v>4460</v>
      </c>
      <c r="L129" s="269">
        <v>241518.0</v>
      </c>
      <c r="M129" s="268" t="s">
        <v>4851</v>
      </c>
      <c r="N129" s="269" t="s">
        <v>580</v>
      </c>
    </row>
    <row r="130" spans="8:8" ht="15.75" customHeight="1">
      <c r="A130" s="289">
        <v>130.0</v>
      </c>
      <c r="B130" s="288" t="s">
        <v>4975</v>
      </c>
      <c r="C130" s="287">
        <v>241519.0</v>
      </c>
      <c r="D130" s="288" t="s">
        <v>4851</v>
      </c>
      <c r="E130" s="287" t="s">
        <v>580</v>
      </c>
      <c r="F130" s="241">
        <v>12.0</v>
      </c>
      <c r="H130" s="237"/>
      <c r="I130" s="237"/>
      <c r="J130" s="269">
        <v>18.0</v>
      </c>
      <c r="K130" s="268" t="s">
        <v>4975</v>
      </c>
      <c r="L130" s="269">
        <v>241519.0</v>
      </c>
      <c r="M130" s="268" t="s">
        <v>4851</v>
      </c>
      <c r="N130" s="269" t="s">
        <v>580</v>
      </c>
    </row>
    <row r="131" spans="8:8" ht="15.75" customHeight="1">
      <c r="A131" s="286">
        <v>131.0</v>
      </c>
      <c r="B131" s="288" t="s">
        <v>4976</v>
      </c>
      <c r="C131" s="287">
        <v>241522.0</v>
      </c>
      <c r="D131" s="288" t="s">
        <v>4851</v>
      </c>
      <c r="E131" s="287" t="s">
        <v>580</v>
      </c>
      <c r="F131" s="241">
        <v>12.0</v>
      </c>
      <c r="H131" s="237"/>
      <c r="I131" s="237"/>
      <c r="J131" s="269">
        <v>19.0</v>
      </c>
      <c r="K131" s="268" t="s">
        <v>4976</v>
      </c>
      <c r="L131" s="269">
        <v>241522.0</v>
      </c>
      <c r="M131" s="268" t="s">
        <v>4851</v>
      </c>
      <c r="N131" s="269" t="s">
        <v>580</v>
      </c>
    </row>
    <row r="132" spans="8:8" ht="15.75" customHeight="1">
      <c r="A132" s="289">
        <v>132.0</v>
      </c>
      <c r="B132" s="288" t="s">
        <v>4461</v>
      </c>
      <c r="C132" s="287">
        <v>241523.0</v>
      </c>
      <c r="D132" s="288" t="s">
        <v>4851</v>
      </c>
      <c r="E132" s="287" t="s">
        <v>580</v>
      </c>
      <c r="F132" s="241">
        <v>12.0</v>
      </c>
      <c r="H132" s="237"/>
      <c r="I132" s="237"/>
      <c r="J132" s="269">
        <v>20.0</v>
      </c>
      <c r="K132" s="268" t="s">
        <v>4461</v>
      </c>
      <c r="L132" s="269">
        <v>241523.0</v>
      </c>
      <c r="M132" s="268" t="s">
        <v>4851</v>
      </c>
      <c r="N132" s="269" t="s">
        <v>580</v>
      </c>
    </row>
    <row r="133" spans="8:8" ht="15.75" customHeight="1">
      <c r="A133" s="286">
        <v>133.0</v>
      </c>
      <c r="B133" s="288" t="s">
        <v>4518</v>
      </c>
      <c r="C133" s="287">
        <v>241527.0</v>
      </c>
      <c r="D133" s="288" t="s">
        <v>4851</v>
      </c>
      <c r="E133" s="287" t="s">
        <v>580</v>
      </c>
      <c r="F133" s="241">
        <v>12.0</v>
      </c>
      <c r="H133" s="237"/>
      <c r="I133" s="237"/>
      <c r="J133" s="269">
        <v>22.0</v>
      </c>
      <c r="K133" s="268" t="s">
        <v>4518</v>
      </c>
      <c r="L133" s="269">
        <v>241527.0</v>
      </c>
      <c r="M133" s="268" t="s">
        <v>4851</v>
      </c>
      <c r="N133" s="269" t="s">
        <v>580</v>
      </c>
    </row>
    <row r="134" spans="8:8" ht="15.75" customHeight="1">
      <c r="A134" s="289">
        <v>134.0</v>
      </c>
      <c r="B134" s="288" t="s">
        <v>4519</v>
      </c>
      <c r="C134" s="287">
        <v>241530.0</v>
      </c>
      <c r="D134" s="288" t="s">
        <v>4851</v>
      </c>
      <c r="E134" s="287" t="s">
        <v>580</v>
      </c>
      <c r="F134" s="241">
        <v>12.0</v>
      </c>
      <c r="H134" s="237"/>
      <c r="I134" s="237"/>
      <c r="J134" s="269">
        <v>24.0</v>
      </c>
      <c r="K134" s="268" t="s">
        <v>4519</v>
      </c>
      <c r="L134" s="269">
        <v>241530.0</v>
      </c>
      <c r="M134" s="268" t="s">
        <v>4851</v>
      </c>
      <c r="N134" s="269" t="s">
        <v>580</v>
      </c>
    </row>
    <row r="135" spans="8:8" ht="15.75" customHeight="1">
      <c r="A135" s="286">
        <v>135.0</v>
      </c>
      <c r="B135" s="288" t="s">
        <v>4520</v>
      </c>
      <c r="C135" s="287">
        <v>241193.0</v>
      </c>
      <c r="D135" s="288" t="s">
        <v>4859</v>
      </c>
      <c r="E135" s="287" t="s">
        <v>580</v>
      </c>
      <c r="F135" s="241">
        <v>12.0</v>
      </c>
      <c r="H135" s="237"/>
      <c r="I135" s="237"/>
      <c r="J135" s="269">
        <v>19.0</v>
      </c>
      <c r="K135" s="268" t="s">
        <v>4520</v>
      </c>
      <c r="L135" s="269">
        <v>241193.0</v>
      </c>
      <c r="M135" s="268" t="s">
        <v>4859</v>
      </c>
      <c r="N135" s="269" t="s">
        <v>580</v>
      </c>
    </row>
    <row r="136" spans="8:8" ht="15.75" customHeight="1">
      <c r="A136" s="289">
        <v>136.0</v>
      </c>
      <c r="B136" s="288" t="s">
        <v>4911</v>
      </c>
      <c r="C136" s="287">
        <v>241589.0</v>
      </c>
      <c r="D136" s="288" t="s">
        <v>4851</v>
      </c>
      <c r="E136" s="287" t="s">
        <v>580</v>
      </c>
      <c r="F136" s="241">
        <v>12.0</v>
      </c>
      <c r="H136" s="237"/>
      <c r="I136" s="237"/>
      <c r="J136" s="269">
        <v>24.0</v>
      </c>
      <c r="K136" s="268" t="s">
        <v>4911</v>
      </c>
      <c r="L136" s="269">
        <v>241589.0</v>
      </c>
      <c r="M136" s="268" t="s">
        <v>4851</v>
      </c>
      <c r="N136" s="269" t="s">
        <v>580</v>
      </c>
    </row>
    <row r="137" spans="8:8" ht="15.75" customHeight="1">
      <c r="A137" s="286">
        <v>137.0</v>
      </c>
      <c r="B137" s="288" t="s">
        <v>4740</v>
      </c>
      <c r="C137" s="287">
        <v>241234.0</v>
      </c>
      <c r="D137" s="288" t="s">
        <v>4859</v>
      </c>
      <c r="E137" s="287" t="s">
        <v>580</v>
      </c>
      <c r="F137" s="241">
        <v>12.0</v>
      </c>
      <c r="H137" s="237"/>
      <c r="I137" s="237"/>
      <c r="J137" s="269">
        <v>3.0</v>
      </c>
      <c r="K137" s="268" t="s">
        <v>4740</v>
      </c>
      <c r="L137" s="269">
        <v>241234.0</v>
      </c>
      <c r="M137" s="268" t="s">
        <v>4859</v>
      </c>
      <c r="N137" s="269" t="s">
        <v>580</v>
      </c>
    </row>
    <row r="138" spans="8:8" ht="15.75" customHeight="1">
      <c r="A138" s="289">
        <v>138.0</v>
      </c>
      <c r="B138" s="288" t="s">
        <v>4521</v>
      </c>
      <c r="C138" s="287">
        <v>241268.0</v>
      </c>
      <c r="D138" s="288" t="s">
        <v>4859</v>
      </c>
      <c r="E138" s="287" t="s">
        <v>580</v>
      </c>
      <c r="F138" s="241">
        <v>12.0</v>
      </c>
      <c r="H138" s="237"/>
      <c r="I138" s="237"/>
      <c r="J138" s="269">
        <v>16.0</v>
      </c>
      <c r="K138" s="268" t="s">
        <v>4521</v>
      </c>
      <c r="L138" s="269">
        <v>241268.0</v>
      </c>
      <c r="M138" s="268" t="s">
        <v>4859</v>
      </c>
      <c r="N138" s="269" t="s">
        <v>580</v>
      </c>
    </row>
    <row r="139" spans="8:8" ht="15.75" customHeight="1">
      <c r="A139" s="286">
        <v>139.0</v>
      </c>
      <c r="B139" s="288" t="s">
        <v>4912</v>
      </c>
      <c r="C139" s="287">
        <v>251791.0</v>
      </c>
      <c r="D139" s="288" t="s">
        <v>4811</v>
      </c>
      <c r="E139" s="287" t="s">
        <v>580</v>
      </c>
      <c r="F139" s="241">
        <v>12.0</v>
      </c>
      <c r="H139" s="237"/>
      <c r="I139" s="237"/>
      <c r="J139" s="269">
        <v>26.0</v>
      </c>
      <c r="K139" s="268" t="s">
        <v>4912</v>
      </c>
      <c r="L139" s="269">
        <v>251791.0</v>
      </c>
      <c r="M139" s="268" t="s">
        <v>4811</v>
      </c>
      <c r="N139" s="269" t="s">
        <v>580</v>
      </c>
    </row>
    <row r="140" spans="8:8" ht="15.75" customHeight="1">
      <c r="A140" s="289">
        <v>140.0</v>
      </c>
      <c r="B140" s="288" t="s">
        <v>4471</v>
      </c>
      <c r="C140" s="287">
        <v>251475.0</v>
      </c>
      <c r="D140" s="288" t="s">
        <v>4834</v>
      </c>
      <c r="E140" s="287" t="s">
        <v>781</v>
      </c>
      <c r="F140" s="241">
        <v>12.0</v>
      </c>
      <c r="H140" s="237"/>
      <c r="I140" s="237"/>
      <c r="J140" s="269">
        <v>3.0</v>
      </c>
      <c r="K140" s="268" t="s">
        <v>4471</v>
      </c>
      <c r="L140" s="269">
        <v>251475.0</v>
      </c>
      <c r="M140" s="268" t="s">
        <v>4834</v>
      </c>
      <c r="N140" s="269" t="s">
        <v>781</v>
      </c>
    </row>
    <row r="141" spans="8:8" ht="15.75" customHeight="1">
      <c r="A141" s="286">
        <v>141.0</v>
      </c>
      <c r="B141" s="288" t="s">
        <v>4472</v>
      </c>
      <c r="C141" s="287">
        <v>241472.0</v>
      </c>
      <c r="D141" s="288" t="s">
        <v>4851</v>
      </c>
      <c r="E141" s="287" t="s">
        <v>781</v>
      </c>
      <c r="F141" s="241">
        <v>12.0</v>
      </c>
      <c r="H141" s="237"/>
      <c r="I141" s="237"/>
      <c r="J141" s="269">
        <v>6.0</v>
      </c>
      <c r="K141" s="268" t="s">
        <v>4472</v>
      </c>
      <c r="L141" s="269">
        <v>241472.0</v>
      </c>
      <c r="M141" s="268" t="s">
        <v>4851</v>
      </c>
      <c r="N141" s="269" t="s">
        <v>781</v>
      </c>
    </row>
    <row r="142" spans="8:8" ht="15.75" customHeight="1">
      <c r="A142" s="289">
        <v>142.0</v>
      </c>
      <c r="B142" s="288" t="s">
        <v>4780</v>
      </c>
      <c r="C142" s="287">
        <v>241143.0</v>
      </c>
      <c r="D142" s="288" t="s">
        <v>4859</v>
      </c>
      <c r="E142" s="287" t="s">
        <v>781</v>
      </c>
      <c r="F142" s="241">
        <v>12.0</v>
      </c>
      <c r="H142" s="237"/>
      <c r="I142" s="237"/>
      <c r="J142" s="269">
        <v>8.0</v>
      </c>
      <c r="K142" s="268" t="s">
        <v>4780</v>
      </c>
      <c r="L142" s="269">
        <v>241143.0</v>
      </c>
      <c r="M142" s="268" t="s">
        <v>4859</v>
      </c>
      <c r="N142" s="269" t="s">
        <v>781</v>
      </c>
    </row>
    <row r="143" spans="8:8" ht="15.75" customHeight="1">
      <c r="A143" s="286">
        <v>143.0</v>
      </c>
      <c r="B143" s="288" t="s">
        <v>4473</v>
      </c>
      <c r="C143" s="287">
        <v>241200.0</v>
      </c>
      <c r="D143" s="288" t="s">
        <v>4859</v>
      </c>
      <c r="E143" s="287" t="s">
        <v>781</v>
      </c>
      <c r="F143" s="241">
        <v>12.0</v>
      </c>
      <c r="H143" s="237"/>
      <c r="I143" s="237"/>
      <c r="J143" s="269">
        <v>10.0</v>
      </c>
      <c r="K143" s="288" t="s">
        <v>4473</v>
      </c>
      <c r="L143" s="269">
        <v>241200.0</v>
      </c>
      <c r="M143" s="268" t="s">
        <v>4859</v>
      </c>
      <c r="N143" s="269" t="s">
        <v>781</v>
      </c>
    </row>
    <row r="144" spans="8:8" ht="15.75" customHeight="1">
      <c r="A144" s="289">
        <v>144.0</v>
      </c>
      <c r="B144" s="288" t="s">
        <v>4474</v>
      </c>
      <c r="C144" s="287">
        <v>241222.0</v>
      </c>
      <c r="D144" s="288" t="s">
        <v>4859</v>
      </c>
      <c r="E144" s="287" t="s">
        <v>781</v>
      </c>
      <c r="F144" s="241">
        <v>12.0</v>
      </c>
      <c r="H144" s="237"/>
      <c r="I144" s="237"/>
      <c r="J144" s="269">
        <v>17.0</v>
      </c>
      <c r="K144" s="268" t="s">
        <v>4474</v>
      </c>
      <c r="L144" s="269">
        <v>241222.0</v>
      </c>
      <c r="M144" s="268" t="s">
        <v>4859</v>
      </c>
      <c r="N144" s="269" t="s">
        <v>781</v>
      </c>
    </row>
    <row r="145" spans="8:8" ht="15.75" customHeight="1">
      <c r="A145" s="286">
        <v>145.0</v>
      </c>
      <c r="B145" s="288" t="s">
        <v>1481</v>
      </c>
      <c r="C145" s="287">
        <v>241577.0</v>
      </c>
      <c r="D145" s="288" t="s">
        <v>5132</v>
      </c>
      <c r="E145" s="287" t="s">
        <v>781</v>
      </c>
      <c r="F145" s="241">
        <v>12.0</v>
      </c>
      <c r="H145" s="237"/>
      <c r="I145" s="237"/>
      <c r="J145" s="269">
        <v>30.0</v>
      </c>
      <c r="K145" s="268" t="s">
        <v>1481</v>
      </c>
      <c r="L145" s="269">
        <v>241577.0</v>
      </c>
      <c r="M145" s="288" t="s">
        <v>5132</v>
      </c>
      <c r="N145" s="269" t="s">
        <v>781</v>
      </c>
    </row>
    <row r="146" spans="8:8" ht="15.75" customHeight="1">
      <c r="A146" s="289">
        <v>146.0</v>
      </c>
      <c r="B146" s="266" t="s">
        <v>3258</v>
      </c>
      <c r="C146" s="267">
        <v>251851.0</v>
      </c>
      <c r="D146" s="288" t="s">
        <v>5058</v>
      </c>
      <c r="E146" s="287" t="s">
        <v>781</v>
      </c>
      <c r="F146" s="241">
        <v>12.0</v>
      </c>
      <c r="H146" s="237"/>
      <c r="I146" s="237"/>
      <c r="J146" s="269">
        <v>32.0</v>
      </c>
      <c r="K146" s="268" t="s">
        <v>3258</v>
      </c>
      <c r="L146" s="269">
        <v>251851.0</v>
      </c>
      <c r="M146" s="288" t="s">
        <v>5058</v>
      </c>
      <c r="N146" s="269" t="s">
        <v>781</v>
      </c>
    </row>
    <row r="147" spans="8:8" ht="15.75" customHeight="1">
      <c r="A147" s="286">
        <v>147.0</v>
      </c>
      <c r="B147" s="288" t="s">
        <v>4475</v>
      </c>
      <c r="C147" s="287">
        <v>241178.0</v>
      </c>
      <c r="D147" s="288" t="s">
        <v>4859</v>
      </c>
      <c r="E147" s="287" t="s">
        <v>781</v>
      </c>
      <c r="F147" s="241">
        <v>12.0</v>
      </c>
      <c r="H147" s="237"/>
      <c r="I147" s="237"/>
      <c r="J147" s="269">
        <v>18.0</v>
      </c>
      <c r="K147" s="268" t="s">
        <v>4475</v>
      </c>
      <c r="L147" s="269">
        <v>241178.0</v>
      </c>
      <c r="M147" s="268" t="s">
        <v>4859</v>
      </c>
      <c r="N147" s="269" t="s">
        <v>781</v>
      </c>
    </row>
    <row r="148" spans="8:8" ht="15.75" customHeight="1">
      <c r="A148" s="289">
        <v>148.0</v>
      </c>
      <c r="B148" s="288" t="s">
        <v>4309</v>
      </c>
      <c r="C148" s="287">
        <v>241280.0</v>
      </c>
      <c r="D148" s="288" t="s">
        <v>4859</v>
      </c>
      <c r="E148" s="287" t="s">
        <v>781</v>
      </c>
      <c r="F148" s="241">
        <v>12.0</v>
      </c>
      <c r="H148" s="237"/>
      <c r="I148" s="237"/>
      <c r="J148" s="269">
        <v>17.0</v>
      </c>
      <c r="K148" s="268" t="s">
        <v>4309</v>
      </c>
      <c r="L148" s="269">
        <v>241280.0</v>
      </c>
      <c r="M148" s="268" t="s">
        <v>4859</v>
      </c>
      <c r="N148" s="269" t="s">
        <v>781</v>
      </c>
    </row>
    <row r="149" spans="8:8" ht="15.75" customHeight="1">
      <c r="A149" s="286">
        <v>149.0</v>
      </c>
      <c r="B149" s="288" t="s">
        <v>4476</v>
      </c>
      <c r="C149" s="287">
        <v>241449.0</v>
      </c>
      <c r="D149" s="288" t="s">
        <v>4851</v>
      </c>
      <c r="E149" s="287" t="s">
        <v>781</v>
      </c>
      <c r="F149" s="241">
        <v>12.0</v>
      </c>
      <c r="H149" s="237"/>
      <c r="I149" s="237"/>
      <c r="J149" s="269">
        <v>18.0</v>
      </c>
      <c r="K149" s="268" t="s">
        <v>4476</v>
      </c>
      <c r="L149" s="269">
        <v>241449.0</v>
      </c>
      <c r="M149" s="268" t="s">
        <v>4851</v>
      </c>
      <c r="N149" s="269" t="s">
        <v>781</v>
      </c>
    </row>
    <row r="150" spans="8:8" ht="15.75" customHeight="1">
      <c r="A150" s="289">
        <v>150.0</v>
      </c>
      <c r="B150" s="288" t="s">
        <v>4483</v>
      </c>
      <c r="C150" s="287">
        <v>241461.0</v>
      </c>
      <c r="D150" s="288" t="s">
        <v>4851</v>
      </c>
      <c r="E150" s="287" t="s">
        <v>781</v>
      </c>
      <c r="F150" s="241">
        <v>12.0</v>
      </c>
      <c r="H150" s="237"/>
      <c r="I150" s="237"/>
      <c r="J150" s="269">
        <v>24.0</v>
      </c>
      <c r="K150" s="268" t="s">
        <v>4483</v>
      </c>
      <c r="L150" s="269">
        <v>241461.0</v>
      </c>
      <c r="M150" s="268" t="s">
        <v>4851</v>
      </c>
      <c r="N150" s="269" t="s">
        <v>781</v>
      </c>
    </row>
    <row r="151" spans="8:8" ht="15.75" customHeight="1">
      <c r="A151" s="286">
        <v>151.0</v>
      </c>
      <c r="B151" s="288" t="s">
        <v>4032</v>
      </c>
      <c r="C151" s="287">
        <v>241544.0</v>
      </c>
      <c r="D151" s="288" t="s">
        <v>4851</v>
      </c>
      <c r="E151" s="287" t="s">
        <v>1645</v>
      </c>
      <c r="F151" s="241">
        <v>12.0</v>
      </c>
      <c r="H151" s="237"/>
      <c r="I151" s="237"/>
      <c r="J151" s="269">
        <v>12.0</v>
      </c>
      <c r="K151" s="268" t="s">
        <v>4032</v>
      </c>
      <c r="L151" s="269">
        <v>241544.0</v>
      </c>
      <c r="M151" s="268" t="s">
        <v>4851</v>
      </c>
      <c r="N151" s="269" t="s">
        <v>1645</v>
      </c>
    </row>
    <row r="152" spans="8:8" ht="15.75" customHeight="1">
      <c r="A152" s="289">
        <v>152.0</v>
      </c>
      <c r="B152" s="266" t="s">
        <v>4781</v>
      </c>
      <c r="C152" s="267">
        <v>240532.0</v>
      </c>
      <c r="D152" s="266" t="s">
        <v>4948</v>
      </c>
      <c r="E152" s="287" t="s">
        <v>1645</v>
      </c>
      <c r="F152" s="241">
        <v>12.0</v>
      </c>
      <c r="H152" s="237"/>
      <c r="I152" s="237"/>
      <c r="J152" s="269">
        <v>20.0</v>
      </c>
      <c r="K152" s="268" t="s">
        <v>4781</v>
      </c>
      <c r="L152" s="269">
        <v>240532.0</v>
      </c>
      <c r="M152" s="268" t="s">
        <v>4948</v>
      </c>
      <c r="N152" s="269" t="s">
        <v>1645</v>
      </c>
    </row>
    <row r="153" spans="8:8" ht="15.75" customHeight="1">
      <c r="H153" s="237"/>
      <c r="I153" s="237"/>
      <c r="J153" s="237"/>
      <c r="K153" s="237"/>
      <c r="L153" s="237"/>
      <c r="M153" s="237"/>
    </row>
    <row r="154" spans="8:8" ht="15.75" customHeight="1">
      <c r="H154" s="237"/>
      <c r="I154" s="237"/>
      <c r="J154" s="237"/>
      <c r="K154" s="237"/>
      <c r="L154" s="237"/>
      <c r="M154" s="237"/>
    </row>
    <row r="155" spans="8:8" ht="15.75" customHeight="1">
      <c r="H155" s="237"/>
      <c r="I155" s="237"/>
      <c r="J155" s="237"/>
      <c r="K155" s="237"/>
      <c r="L155" s="237"/>
      <c r="M155" s="237"/>
    </row>
    <row r="156" spans="8:8" ht="15.75" customHeight="1">
      <c r="H156" s="237"/>
      <c r="I156" s="237"/>
      <c r="J156" s="237"/>
      <c r="K156" s="237"/>
      <c r="L156" s="237"/>
      <c r="M156" s="237"/>
    </row>
    <row r="157" spans="8:8" ht="15.75" customHeight="1">
      <c r="H157" s="237"/>
      <c r="I157" s="237"/>
      <c r="J157" s="237"/>
      <c r="K157" s="237"/>
      <c r="L157" s="237"/>
      <c r="M157" s="237"/>
    </row>
    <row r="158" spans="8:8" ht="15.75" customHeight="1">
      <c r="H158" s="237"/>
      <c r="I158" s="237"/>
      <c r="J158" s="237"/>
      <c r="K158" s="237"/>
      <c r="L158" s="237"/>
      <c r="M158" s="237"/>
    </row>
    <row r="159" spans="8:8" ht="15.75" customHeight="1">
      <c r="H159" s="237"/>
      <c r="I159" s="237"/>
      <c r="J159" s="237"/>
      <c r="K159" s="237"/>
      <c r="L159" s="237"/>
      <c r="M159" s="237"/>
    </row>
    <row r="160" spans="8:8" ht="15.75" customHeight="1">
      <c r="H160" s="237"/>
      <c r="I160" s="237"/>
      <c r="J160" s="237"/>
      <c r="K160" s="237"/>
      <c r="L160" s="237"/>
      <c r="M160" s="237"/>
    </row>
    <row r="161" spans="8:8" ht="15.75" customHeight="1">
      <c r="H161" s="237"/>
      <c r="I161" s="237"/>
      <c r="J161" s="237"/>
      <c r="K161" s="237"/>
      <c r="L161" s="237"/>
      <c r="M161" s="237"/>
    </row>
    <row r="162" spans="8:8" ht="15.75" customHeight="1">
      <c r="H162" s="237"/>
      <c r="I162" s="237"/>
      <c r="J162" s="237"/>
      <c r="K162" s="237"/>
      <c r="L162" s="237"/>
      <c r="M162" s="237"/>
    </row>
    <row r="163" spans="8:8" ht="15.75" customHeight="1">
      <c r="H163" s="237"/>
      <c r="I163" s="237"/>
      <c r="J163" s="237"/>
      <c r="K163" s="237"/>
      <c r="L163" s="237"/>
      <c r="M163" s="237"/>
    </row>
    <row r="164" spans="8:8" ht="15.75" customHeight="1">
      <c r="H164" s="237"/>
      <c r="I164" s="237"/>
      <c r="J164" s="237"/>
      <c r="K164" s="237"/>
      <c r="L164" s="237"/>
      <c r="M164" s="237"/>
    </row>
    <row r="165" spans="8:8" ht="15.75" customHeight="1">
      <c r="H165" s="237"/>
      <c r="I165" s="237"/>
      <c r="J165" s="237"/>
      <c r="K165" s="237"/>
      <c r="L165" s="237"/>
      <c r="M165" s="237"/>
    </row>
    <row r="166" spans="8:8" ht="15.75" customHeight="1">
      <c r="H166" s="237"/>
      <c r="I166" s="237"/>
      <c r="J166" s="237"/>
      <c r="K166" s="237"/>
      <c r="L166" s="237"/>
      <c r="M166" s="237"/>
    </row>
    <row r="167" spans="8:8" ht="15.75" customHeight="1">
      <c r="H167" s="237"/>
      <c r="I167" s="237"/>
      <c r="J167" s="237"/>
      <c r="K167" s="237"/>
      <c r="L167" s="237"/>
      <c r="M167" s="237"/>
    </row>
    <row r="168" spans="8:8" ht="15.75" customHeight="1">
      <c r="H168" s="237"/>
      <c r="I168" s="237"/>
      <c r="J168" s="237"/>
      <c r="K168" s="237"/>
      <c r="L168" s="237"/>
      <c r="M168" s="237"/>
    </row>
    <row r="169" spans="8:8" ht="15.75" customHeight="1">
      <c r="H169" s="237"/>
      <c r="I169" s="237"/>
      <c r="J169" s="237"/>
      <c r="K169" s="237"/>
      <c r="L169" s="237"/>
      <c r="M169" s="237"/>
    </row>
    <row r="170" spans="8:8" ht="15.75" customHeight="1">
      <c r="H170" s="237"/>
      <c r="I170" s="237"/>
      <c r="J170" s="237"/>
      <c r="K170" s="237"/>
      <c r="L170" s="237"/>
      <c r="M170" s="237"/>
    </row>
    <row r="171" spans="8:8" ht="15.75" customHeight="1">
      <c r="H171" s="237"/>
      <c r="I171" s="237"/>
      <c r="J171" s="237"/>
      <c r="K171" s="237"/>
      <c r="L171" s="237"/>
      <c r="M171" s="237"/>
    </row>
    <row r="172" spans="8:8" ht="15.75" customHeight="1">
      <c r="H172" s="237"/>
      <c r="I172" s="237"/>
      <c r="J172" s="237"/>
      <c r="K172" s="237"/>
      <c r="L172" s="237"/>
      <c r="M172" s="237"/>
    </row>
    <row r="173" spans="8:8" ht="15.75" customHeight="1">
      <c r="H173" s="237"/>
      <c r="I173" s="237"/>
      <c r="J173" s="237"/>
      <c r="K173" s="237"/>
      <c r="L173" s="237"/>
      <c r="M173" s="237"/>
    </row>
    <row r="174" spans="8:8" ht="15.75" customHeight="1">
      <c r="H174" s="237"/>
      <c r="I174" s="237"/>
      <c r="J174" s="237"/>
      <c r="K174" s="237"/>
      <c r="L174" s="237"/>
      <c r="M174" s="237"/>
    </row>
    <row r="175" spans="8:8" ht="15.75" customHeight="1">
      <c r="H175" s="237"/>
      <c r="I175" s="237"/>
      <c r="J175" s="237"/>
      <c r="K175" s="237"/>
      <c r="L175" s="237"/>
      <c r="M175" s="237"/>
    </row>
    <row r="176" spans="8:8" ht="15.75" customHeight="1">
      <c r="H176" s="237"/>
      <c r="I176" s="237"/>
      <c r="J176" s="237"/>
      <c r="K176" s="237"/>
      <c r="L176" s="237"/>
      <c r="M176" s="237"/>
    </row>
    <row r="177" spans="8:8" ht="15.75" customHeight="1">
      <c r="H177" s="237"/>
      <c r="I177" s="237"/>
      <c r="J177" s="237"/>
      <c r="K177" s="237"/>
      <c r="L177" s="237"/>
      <c r="M177" s="237"/>
    </row>
    <row r="178" spans="8:8" ht="15.75" customHeight="1">
      <c r="H178" s="237"/>
      <c r="I178" s="237"/>
      <c r="J178" s="237"/>
      <c r="K178" s="237"/>
      <c r="L178" s="237"/>
      <c r="M178" s="237"/>
    </row>
    <row r="179" spans="8:8" ht="15.75" customHeight="1">
      <c r="H179" s="237"/>
      <c r="I179" s="237"/>
      <c r="J179" s="237"/>
      <c r="K179" s="237"/>
      <c r="L179" s="237"/>
      <c r="M179" s="237"/>
    </row>
    <row r="180" spans="8:8" ht="15.75" customHeight="1">
      <c r="H180" s="237"/>
      <c r="I180" s="237"/>
      <c r="J180" s="237"/>
      <c r="K180" s="237"/>
      <c r="L180" s="237"/>
      <c r="M180" s="237"/>
    </row>
    <row r="181" spans="8:8" ht="15.75" customHeight="1">
      <c r="H181" s="237"/>
      <c r="I181" s="237"/>
      <c r="J181" s="237"/>
      <c r="K181" s="237"/>
      <c r="L181" s="237"/>
      <c r="M181" s="237"/>
    </row>
    <row r="182" spans="8:8" ht="15.75" customHeight="1">
      <c r="H182" s="237"/>
      <c r="I182" s="237"/>
      <c r="J182" s="237"/>
      <c r="K182" s="237"/>
      <c r="L182" s="237"/>
      <c r="M182" s="237"/>
    </row>
    <row r="183" spans="8:8" ht="15.75" customHeight="1">
      <c r="H183" s="237"/>
      <c r="I183" s="237"/>
      <c r="J183" s="237"/>
      <c r="K183" s="237"/>
      <c r="L183" s="237"/>
      <c r="M183" s="237"/>
    </row>
    <row r="184" spans="8:8" ht="15.75" customHeight="1">
      <c r="H184" s="237"/>
      <c r="I184" s="237"/>
      <c r="J184" s="237"/>
      <c r="K184" s="237"/>
      <c r="L184" s="237"/>
      <c r="M184" s="237"/>
    </row>
    <row r="185" spans="8:8" ht="15.75" customHeight="1">
      <c r="H185" s="237"/>
      <c r="I185" s="237"/>
      <c r="J185" s="237"/>
      <c r="K185" s="237"/>
      <c r="L185" s="237"/>
      <c r="M185" s="237"/>
    </row>
    <row r="186" spans="8:8" ht="15.75" customHeight="1">
      <c r="H186" s="237"/>
      <c r="I186" s="237"/>
      <c r="J186" s="237"/>
      <c r="K186" s="237"/>
      <c r="L186" s="237"/>
      <c r="M186" s="237"/>
    </row>
    <row r="187" spans="8:8" ht="15.75" customHeight="1">
      <c r="H187" s="237"/>
      <c r="I187" s="237"/>
      <c r="J187" s="237"/>
      <c r="K187" s="237"/>
      <c r="L187" s="237"/>
      <c r="M187" s="237"/>
    </row>
    <row r="188" spans="8:8" ht="15.75" customHeight="1">
      <c r="H188" s="237"/>
      <c r="I188" s="237"/>
      <c r="J188" s="237"/>
      <c r="K188" s="237"/>
      <c r="L188" s="237"/>
      <c r="M188" s="237"/>
    </row>
    <row r="189" spans="8:8" ht="15.75" customHeight="1">
      <c r="H189" s="237"/>
      <c r="I189" s="237"/>
      <c r="J189" s="237"/>
      <c r="K189" s="237"/>
      <c r="L189" s="237"/>
      <c r="M189" s="237"/>
    </row>
    <row r="190" spans="8:8" ht="15.75" customHeight="1">
      <c r="H190" s="237"/>
      <c r="I190" s="237"/>
      <c r="J190" s="237"/>
      <c r="K190" s="237"/>
      <c r="L190" s="237"/>
      <c r="M190" s="237"/>
    </row>
    <row r="191" spans="8:8" ht="15.75" customHeight="1">
      <c r="H191" s="237"/>
      <c r="I191" s="237"/>
      <c r="J191" s="237"/>
      <c r="K191" s="237"/>
      <c r="L191" s="237"/>
      <c r="M191" s="237"/>
    </row>
    <row r="192" spans="8:8" ht="15.75" customHeight="1">
      <c r="H192" s="237"/>
      <c r="I192" s="237"/>
      <c r="J192" s="237"/>
      <c r="K192" s="237"/>
      <c r="L192" s="237"/>
      <c r="M192" s="237"/>
    </row>
    <row r="193" spans="8:8" ht="15.75" customHeight="1">
      <c r="H193" s="237"/>
      <c r="I193" s="237"/>
      <c r="J193" s="237"/>
      <c r="K193" s="237"/>
      <c r="L193" s="237"/>
      <c r="M193" s="237"/>
    </row>
    <row r="194" spans="8:8" ht="15.75" customHeight="1">
      <c r="H194" s="237"/>
      <c r="I194" s="237"/>
      <c r="J194" s="237"/>
      <c r="K194" s="237"/>
      <c r="L194" s="237"/>
      <c r="M194" s="237"/>
    </row>
    <row r="195" spans="8:8" ht="15.75" customHeight="1">
      <c r="H195" s="237"/>
      <c r="I195" s="237"/>
      <c r="J195" s="237"/>
      <c r="K195" s="237"/>
      <c r="L195" s="237"/>
      <c r="M195" s="237"/>
    </row>
    <row r="196" spans="8:8" ht="15.75" customHeight="1">
      <c r="H196" s="237"/>
      <c r="I196" s="237"/>
      <c r="J196" s="237"/>
      <c r="K196" s="237"/>
      <c r="L196" s="237"/>
      <c r="M196" s="237"/>
    </row>
    <row r="197" spans="8:8" ht="15.75" customHeight="1">
      <c r="H197" s="237"/>
      <c r="I197" s="237"/>
      <c r="J197" s="237"/>
      <c r="K197" s="237"/>
      <c r="L197" s="237"/>
      <c r="M197" s="237"/>
    </row>
    <row r="198" spans="8:8" ht="15.75" customHeight="1">
      <c r="H198" s="237"/>
      <c r="I198" s="237"/>
      <c r="J198" s="237"/>
      <c r="K198" s="237"/>
      <c r="L198" s="237"/>
      <c r="M198" s="237"/>
    </row>
    <row r="199" spans="8:8" ht="15.75" customHeight="1">
      <c r="H199" s="237"/>
      <c r="I199" s="237"/>
      <c r="J199" s="237"/>
      <c r="K199" s="237"/>
      <c r="L199" s="237"/>
      <c r="M199" s="237"/>
    </row>
    <row r="200" spans="8:8" ht="15.75" customHeight="1">
      <c r="H200" s="237"/>
      <c r="I200" s="237"/>
      <c r="J200" s="237"/>
      <c r="K200" s="237"/>
      <c r="L200" s="237"/>
      <c r="M200" s="237"/>
    </row>
    <row r="201" spans="8:8" ht="15.75" customHeight="1">
      <c r="H201" s="237"/>
      <c r="I201" s="237"/>
      <c r="J201" s="237"/>
      <c r="K201" s="237"/>
      <c r="L201" s="237"/>
      <c r="M201" s="237"/>
    </row>
    <row r="202" spans="8:8" ht="15.75" customHeight="1">
      <c r="H202" s="237"/>
      <c r="I202" s="237"/>
      <c r="J202" s="237"/>
      <c r="K202" s="237"/>
      <c r="L202" s="237"/>
      <c r="M202" s="237"/>
    </row>
    <row r="203" spans="8:8" ht="15.75" customHeight="1">
      <c r="H203" s="237"/>
      <c r="I203" s="237"/>
      <c r="J203" s="237"/>
      <c r="K203" s="237"/>
      <c r="L203" s="237"/>
      <c r="M203" s="237"/>
    </row>
    <row r="204" spans="8:8" ht="15.75" customHeight="1">
      <c r="H204" s="237"/>
      <c r="I204" s="237"/>
      <c r="J204" s="237"/>
      <c r="K204" s="237"/>
      <c r="L204" s="237"/>
      <c r="M204" s="237"/>
    </row>
    <row r="205" spans="8:8" ht="15.75" customHeight="1">
      <c r="H205" s="237"/>
      <c r="I205" s="237"/>
      <c r="J205" s="237"/>
      <c r="K205" s="237"/>
      <c r="L205" s="237"/>
      <c r="M205" s="237"/>
    </row>
    <row r="206" spans="8:8" ht="15.75" customHeight="1">
      <c r="H206" s="237"/>
      <c r="I206" s="237"/>
      <c r="J206" s="237"/>
      <c r="K206" s="237"/>
      <c r="L206" s="237"/>
      <c r="M206" s="237"/>
    </row>
    <row r="207" spans="8:8" ht="15.75" customHeight="1">
      <c r="H207" s="237"/>
      <c r="I207" s="237"/>
      <c r="J207" s="237"/>
      <c r="K207" s="237"/>
      <c r="L207" s="237"/>
      <c r="M207" s="237"/>
    </row>
    <row r="208" spans="8:8" ht="15.75" customHeight="1">
      <c r="H208" s="237"/>
      <c r="I208" s="237"/>
      <c r="J208" s="237"/>
      <c r="K208" s="237"/>
      <c r="L208" s="237"/>
      <c r="M208" s="237"/>
    </row>
    <row r="209" spans="8:8" ht="15.75" customHeight="1">
      <c r="H209" s="237"/>
      <c r="I209" s="237"/>
      <c r="J209" s="237"/>
      <c r="K209" s="237"/>
      <c r="L209" s="237"/>
      <c r="M209" s="237"/>
    </row>
    <row r="210" spans="8:8" ht="15.75" customHeight="1">
      <c r="H210" s="237"/>
      <c r="I210" s="237"/>
      <c r="J210" s="237"/>
      <c r="K210" s="237"/>
      <c r="L210" s="237"/>
      <c r="M210" s="237"/>
    </row>
    <row r="211" spans="8:8" ht="15.75" customHeight="1">
      <c r="H211" s="237"/>
      <c r="I211" s="237"/>
      <c r="J211" s="237"/>
      <c r="K211" s="237"/>
      <c r="L211" s="237"/>
      <c r="M211" s="237"/>
    </row>
    <row r="212" spans="8:8" ht="15.75" customHeight="1">
      <c r="H212" s="237"/>
      <c r="I212" s="237"/>
      <c r="J212" s="237"/>
      <c r="K212" s="237"/>
      <c r="L212" s="237"/>
      <c r="M212" s="237"/>
    </row>
    <row r="213" spans="8:8" ht="15.75" customHeight="1">
      <c r="H213" s="237"/>
      <c r="I213" s="237"/>
      <c r="J213" s="237"/>
      <c r="K213" s="237"/>
      <c r="L213" s="237"/>
      <c r="M213" s="237"/>
    </row>
    <row r="214" spans="8:8" ht="15.75" customHeight="1">
      <c r="H214" s="237"/>
      <c r="I214" s="237"/>
      <c r="J214" s="237"/>
      <c r="K214" s="237"/>
      <c r="L214" s="237"/>
      <c r="M214" s="237"/>
    </row>
    <row r="215" spans="8:8" ht="15.75" customHeight="1">
      <c r="H215" s="237"/>
      <c r="I215" s="237"/>
      <c r="J215" s="237"/>
      <c r="K215" s="237"/>
      <c r="L215" s="237"/>
      <c r="M215" s="237"/>
    </row>
    <row r="216" spans="8:8" ht="15.75" customHeight="1">
      <c r="H216" s="237"/>
      <c r="I216" s="237"/>
      <c r="J216" s="237"/>
      <c r="K216" s="237"/>
      <c r="L216" s="237"/>
      <c r="M216" s="237"/>
    </row>
    <row r="217" spans="8:8" ht="15.75" customHeight="1">
      <c r="H217" s="237"/>
      <c r="I217" s="237"/>
      <c r="J217" s="237"/>
      <c r="K217" s="237"/>
      <c r="L217" s="237"/>
      <c r="M217" s="237"/>
    </row>
    <row r="218" spans="8:8" ht="15.75" customHeight="1">
      <c r="H218" s="237"/>
      <c r="I218" s="237"/>
      <c r="J218" s="237"/>
      <c r="K218" s="237"/>
      <c r="L218" s="237"/>
      <c r="M218" s="237"/>
    </row>
    <row r="219" spans="8:8" ht="15.75" customHeight="1">
      <c r="H219" s="237"/>
      <c r="I219" s="237"/>
      <c r="J219" s="237"/>
      <c r="K219" s="237"/>
      <c r="L219" s="237"/>
      <c r="M219" s="237"/>
    </row>
    <row r="220" spans="8:8" ht="15.75" customHeight="1">
      <c r="H220" s="237"/>
      <c r="I220" s="237"/>
      <c r="J220" s="237"/>
      <c r="K220" s="237"/>
      <c r="L220" s="237"/>
      <c r="M220" s="237"/>
    </row>
    <row r="221" spans="8:8" ht="15.75" customHeight="1">
      <c r="H221" s="237"/>
      <c r="I221" s="237"/>
      <c r="J221" s="237"/>
      <c r="K221" s="237"/>
      <c r="L221" s="237"/>
      <c r="M221" s="237"/>
    </row>
    <row r="222" spans="8:8" ht="15.75" customHeight="1">
      <c r="H222" s="237"/>
      <c r="I222" s="237"/>
      <c r="J222" s="237"/>
      <c r="K222" s="237"/>
      <c r="L222" s="237"/>
      <c r="M222" s="237"/>
    </row>
    <row r="223" spans="8:8" ht="15.75" customHeight="1">
      <c r="H223" s="237"/>
      <c r="I223" s="237"/>
      <c r="J223" s="237"/>
      <c r="K223" s="237"/>
      <c r="L223" s="237"/>
      <c r="M223" s="237"/>
    </row>
    <row r="224" spans="8:8" ht="15.75" customHeight="1">
      <c r="H224" s="237"/>
      <c r="I224" s="237"/>
      <c r="J224" s="237"/>
      <c r="K224" s="237"/>
      <c r="L224" s="237"/>
      <c r="M224" s="237"/>
    </row>
    <row r="225" spans="8:8" ht="15.75" customHeight="1">
      <c r="H225" s="237"/>
      <c r="I225" s="237"/>
      <c r="J225" s="237"/>
      <c r="K225" s="237"/>
      <c r="L225" s="237"/>
      <c r="M225" s="237"/>
    </row>
    <row r="226" spans="8:8" ht="15.75" customHeight="1">
      <c r="H226" s="237"/>
      <c r="I226" s="237"/>
      <c r="J226" s="237"/>
      <c r="K226" s="237"/>
      <c r="L226" s="237"/>
      <c r="M226" s="237"/>
    </row>
    <row r="227" spans="8:8" ht="15.75" customHeight="1">
      <c r="H227" s="237"/>
      <c r="I227" s="237"/>
      <c r="J227" s="237"/>
      <c r="K227" s="237"/>
      <c r="L227" s="237"/>
      <c r="M227" s="237"/>
    </row>
    <row r="228" spans="8:8" ht="15.75" customHeight="1">
      <c r="H228" s="237"/>
      <c r="I228" s="237"/>
      <c r="J228" s="237"/>
      <c r="K228" s="237"/>
      <c r="L228" s="237"/>
      <c r="M228" s="237"/>
    </row>
    <row r="229" spans="8:8" ht="15.75" customHeight="1">
      <c r="H229" s="237"/>
      <c r="I229" s="237"/>
      <c r="J229" s="237"/>
      <c r="K229" s="237"/>
      <c r="L229" s="237"/>
      <c r="M229" s="237"/>
    </row>
    <row r="230" spans="8:8" ht="15.75" customHeight="1">
      <c r="H230" s="237"/>
      <c r="I230" s="237"/>
      <c r="J230" s="237"/>
      <c r="K230" s="237"/>
      <c r="L230" s="237"/>
      <c r="M230" s="237"/>
    </row>
    <row r="231" spans="8:8" ht="15.75" customHeight="1">
      <c r="H231" s="237"/>
      <c r="I231" s="237"/>
      <c r="J231" s="237"/>
      <c r="K231" s="237"/>
      <c r="L231" s="237"/>
      <c r="M231" s="237"/>
    </row>
    <row r="232" spans="8:8" ht="15.75" customHeight="1">
      <c r="H232" s="237"/>
      <c r="I232" s="237"/>
      <c r="J232" s="237"/>
      <c r="K232" s="237"/>
      <c r="L232" s="237"/>
      <c r="M232" s="237"/>
    </row>
    <row r="233" spans="8:8" ht="15.75" customHeight="1">
      <c r="H233" s="237"/>
      <c r="I233" s="237"/>
      <c r="J233" s="237"/>
      <c r="K233" s="237"/>
      <c r="L233" s="237"/>
      <c r="M233" s="237"/>
    </row>
    <row r="234" spans="8:8" ht="15.75" customHeight="1">
      <c r="H234" s="237"/>
      <c r="I234" s="237"/>
      <c r="J234" s="237"/>
      <c r="K234" s="237"/>
      <c r="L234" s="237"/>
      <c r="M234" s="237"/>
    </row>
    <row r="235" spans="8:8" ht="15.75" customHeight="1">
      <c r="H235" s="237"/>
      <c r="I235" s="237"/>
      <c r="J235" s="237"/>
      <c r="K235" s="237"/>
      <c r="L235" s="237"/>
      <c r="M235" s="237"/>
    </row>
    <row r="236" spans="8:8" ht="15.75" customHeight="1">
      <c r="H236" s="237"/>
      <c r="I236" s="237"/>
      <c r="J236" s="237"/>
      <c r="K236" s="237"/>
      <c r="L236" s="237"/>
      <c r="M236" s="237"/>
    </row>
    <row r="237" spans="8:8" ht="15.75" customHeight="1">
      <c r="H237" s="237"/>
      <c r="I237" s="237"/>
      <c r="J237" s="237"/>
      <c r="K237" s="237"/>
      <c r="L237" s="237"/>
      <c r="M237" s="237"/>
    </row>
    <row r="238" spans="8:8" ht="15.75" customHeight="1">
      <c r="H238" s="237"/>
      <c r="I238" s="237"/>
      <c r="J238" s="237"/>
      <c r="K238" s="237"/>
      <c r="L238" s="237"/>
      <c r="M238" s="237"/>
    </row>
    <row r="239" spans="8:8" ht="15.75" customHeight="1">
      <c r="H239" s="237"/>
      <c r="I239" s="237"/>
      <c r="J239" s="237"/>
      <c r="K239" s="237"/>
      <c r="L239" s="237"/>
      <c r="M239" s="237"/>
    </row>
    <row r="240" spans="8:8" ht="15.75" customHeight="1">
      <c r="H240" s="237"/>
      <c r="I240" s="237"/>
      <c r="J240" s="237"/>
      <c r="K240" s="237"/>
      <c r="L240" s="237"/>
      <c r="M240" s="237"/>
    </row>
    <row r="241" spans="8:8" ht="15.75" customHeight="1">
      <c r="H241" s="237"/>
      <c r="I241" s="237"/>
      <c r="J241" s="237"/>
      <c r="K241" s="237"/>
      <c r="L241" s="237"/>
      <c r="M241" s="237"/>
    </row>
    <row r="242" spans="8:8" ht="15.75" customHeight="1">
      <c r="H242" s="237"/>
      <c r="I242" s="237"/>
      <c r="J242" s="237"/>
      <c r="K242" s="237"/>
      <c r="L242" s="237"/>
      <c r="M242" s="237"/>
    </row>
    <row r="243" spans="8:8" ht="15.75" customHeight="1">
      <c r="H243" s="237"/>
      <c r="I243" s="237"/>
      <c r="J243" s="237"/>
      <c r="K243" s="237"/>
      <c r="L243" s="237"/>
      <c r="M243" s="237"/>
    </row>
    <row r="244" spans="8:8" ht="15.75" customHeight="1">
      <c r="H244" s="237"/>
      <c r="I244" s="237"/>
      <c r="J244" s="237"/>
      <c r="K244" s="237"/>
      <c r="L244" s="237"/>
      <c r="M244" s="237"/>
    </row>
    <row r="245" spans="8:8" ht="15.75" customHeight="1">
      <c r="H245" s="237"/>
      <c r="I245" s="237"/>
      <c r="J245" s="237"/>
      <c r="K245" s="237"/>
      <c r="L245" s="237"/>
      <c r="M245" s="237"/>
    </row>
    <row r="246" spans="8:8" ht="15.75" customHeight="1">
      <c r="H246" s="237"/>
      <c r="I246" s="237"/>
      <c r="J246" s="237"/>
      <c r="K246" s="237"/>
      <c r="L246" s="237"/>
      <c r="M246" s="237"/>
    </row>
    <row r="247" spans="8:8" ht="15.75" customHeight="1">
      <c r="H247" s="237"/>
      <c r="I247" s="237"/>
      <c r="J247" s="237"/>
      <c r="K247" s="237"/>
      <c r="L247" s="237"/>
      <c r="M247" s="237"/>
    </row>
    <row r="248" spans="8:8" ht="15.75" customHeight="1">
      <c r="H248" s="237"/>
      <c r="I248" s="237"/>
      <c r="J248" s="237"/>
      <c r="K248" s="237"/>
      <c r="L248" s="237"/>
      <c r="M248" s="237"/>
    </row>
    <row r="249" spans="8:8" ht="15.75" customHeight="1">
      <c r="H249" s="237"/>
      <c r="I249" s="237"/>
      <c r="J249" s="237"/>
      <c r="K249" s="237"/>
      <c r="L249" s="237"/>
      <c r="M249" s="237"/>
    </row>
    <row r="250" spans="8:8" ht="15.75" customHeight="1">
      <c r="H250" s="237"/>
      <c r="I250" s="237"/>
      <c r="J250" s="237"/>
      <c r="K250" s="237"/>
      <c r="L250" s="237"/>
      <c r="M250" s="237"/>
    </row>
    <row r="251" spans="8:8" ht="15.75" customHeight="1">
      <c r="H251" s="237"/>
      <c r="I251" s="237"/>
      <c r="J251" s="237"/>
      <c r="K251" s="237"/>
      <c r="L251" s="237"/>
      <c r="M251" s="237"/>
    </row>
    <row r="252" spans="8:8" ht="15.75" customHeight="1">
      <c r="H252" s="237"/>
      <c r="I252" s="237"/>
      <c r="J252" s="237"/>
      <c r="K252" s="237"/>
      <c r="L252" s="237"/>
      <c r="M252" s="237"/>
    </row>
    <row r="253" spans="8:8" ht="15.75" customHeight="1">
      <c r="H253" s="237"/>
      <c r="I253" s="237"/>
      <c r="J253" s="237"/>
      <c r="K253" s="237"/>
      <c r="L253" s="237"/>
      <c r="M253" s="237"/>
    </row>
    <row r="254" spans="8:8" ht="15.75" customHeight="1">
      <c r="H254" s="237"/>
      <c r="I254" s="237"/>
      <c r="J254" s="237"/>
      <c r="K254" s="237"/>
      <c r="L254" s="237"/>
      <c r="M254" s="237"/>
    </row>
    <row r="255" spans="8:8" ht="15.75" customHeight="1">
      <c r="H255" s="237"/>
      <c r="I255" s="237"/>
      <c r="J255" s="237"/>
      <c r="K255" s="237"/>
      <c r="L255" s="237"/>
      <c r="M255" s="237"/>
    </row>
    <row r="256" spans="8:8" ht="15.75" customHeight="1">
      <c r="H256" s="237"/>
      <c r="I256" s="237"/>
      <c r="J256" s="237"/>
      <c r="K256" s="237"/>
      <c r="L256" s="237"/>
      <c r="M256" s="237"/>
    </row>
    <row r="257" spans="8:8" ht="15.75" customHeight="1">
      <c r="H257" s="237"/>
      <c r="I257" s="237"/>
      <c r="J257" s="237"/>
      <c r="K257" s="237"/>
      <c r="L257" s="237"/>
      <c r="M257" s="237"/>
    </row>
    <row r="258" spans="8:8" ht="15.75" customHeight="1">
      <c r="H258" s="237"/>
      <c r="I258" s="237"/>
      <c r="J258" s="237"/>
      <c r="K258" s="237"/>
      <c r="L258" s="237"/>
      <c r="M258" s="237"/>
    </row>
    <row r="259" spans="8:8" ht="15.75" customHeight="1">
      <c r="H259" s="237"/>
      <c r="I259" s="237"/>
      <c r="J259" s="237"/>
      <c r="K259" s="237"/>
      <c r="L259" s="237"/>
      <c r="M259" s="237"/>
    </row>
    <row r="260" spans="8:8" ht="15.75" customHeight="1">
      <c r="H260" s="237"/>
      <c r="I260" s="237"/>
      <c r="J260" s="237"/>
      <c r="K260" s="237"/>
      <c r="L260" s="237"/>
      <c r="M260" s="237"/>
    </row>
    <row r="261" spans="8:8" ht="15.75" customHeight="1">
      <c r="H261" s="237"/>
      <c r="I261" s="237"/>
      <c r="J261" s="237"/>
      <c r="K261" s="237"/>
      <c r="L261" s="237"/>
      <c r="M261" s="237"/>
    </row>
    <row r="262" spans="8:8" ht="15.75" customHeight="1">
      <c r="H262" s="237"/>
      <c r="I262" s="237"/>
      <c r="J262" s="237"/>
      <c r="K262" s="237"/>
      <c r="L262" s="237"/>
      <c r="M262" s="237"/>
    </row>
    <row r="263" spans="8:8" ht="15.75" customHeight="1">
      <c r="H263" s="237"/>
      <c r="I263" s="237"/>
      <c r="J263" s="237"/>
      <c r="K263" s="237"/>
      <c r="L263" s="237"/>
      <c r="M263" s="237"/>
    </row>
    <row r="264" spans="8:8" ht="15.75" customHeight="1">
      <c r="H264" s="237"/>
      <c r="I264" s="237"/>
      <c r="J264" s="237"/>
      <c r="K264" s="237"/>
      <c r="L264" s="237"/>
      <c r="M264" s="237"/>
    </row>
    <row r="265" spans="8:8" ht="15.75" customHeight="1">
      <c r="H265" s="237"/>
      <c r="I265" s="237"/>
      <c r="J265" s="237"/>
      <c r="K265" s="237"/>
      <c r="L265" s="237"/>
      <c r="M265" s="237"/>
    </row>
    <row r="266" spans="8:8" ht="15.75" customHeight="1">
      <c r="H266" s="237"/>
      <c r="I266" s="237"/>
      <c r="J266" s="237"/>
      <c r="K266" s="237"/>
      <c r="L266" s="237"/>
      <c r="M266" s="237"/>
    </row>
    <row r="267" spans="8:8" ht="15.75" customHeight="1">
      <c r="H267" s="237"/>
      <c r="I267" s="237"/>
      <c r="J267" s="237"/>
      <c r="K267" s="237"/>
      <c r="L267" s="237"/>
      <c r="M267" s="237"/>
    </row>
    <row r="268" spans="8:8" ht="15.75" customHeight="1">
      <c r="H268" s="237"/>
      <c r="I268" s="237"/>
      <c r="J268" s="237"/>
      <c r="K268" s="237"/>
      <c r="L268" s="237"/>
      <c r="M268" s="237"/>
    </row>
    <row r="269" spans="8:8" ht="15.75" customHeight="1">
      <c r="H269" s="237"/>
      <c r="I269" s="237"/>
      <c r="J269" s="237"/>
      <c r="K269" s="237"/>
      <c r="L269" s="237"/>
      <c r="M269" s="237"/>
    </row>
    <row r="270" spans="8:8" ht="15.75" customHeight="1">
      <c r="H270" s="237"/>
      <c r="I270" s="237"/>
      <c r="J270" s="237"/>
      <c r="K270" s="237"/>
      <c r="L270" s="237"/>
      <c r="M270" s="237"/>
    </row>
    <row r="271" spans="8:8" ht="15.75" customHeight="1">
      <c r="H271" s="237"/>
      <c r="I271" s="237"/>
      <c r="J271" s="237"/>
      <c r="K271" s="237"/>
      <c r="L271" s="237"/>
      <c r="M271" s="237"/>
    </row>
    <row r="272" spans="8:8" ht="15.75" customHeight="1">
      <c r="H272" s="237"/>
      <c r="I272" s="237"/>
      <c r="J272" s="237"/>
      <c r="K272" s="237"/>
      <c r="L272" s="237"/>
      <c r="M272" s="237"/>
    </row>
    <row r="273" spans="8:8" ht="15.75" customHeight="1">
      <c r="H273" s="237"/>
      <c r="I273" s="237"/>
      <c r="J273" s="237"/>
      <c r="K273" s="237"/>
      <c r="L273" s="237"/>
      <c r="M273" s="237"/>
    </row>
    <row r="274" spans="8:8" ht="15.75" customHeight="1">
      <c r="H274" s="237"/>
      <c r="I274" s="237"/>
      <c r="J274" s="237"/>
      <c r="K274" s="237"/>
      <c r="L274" s="237"/>
      <c r="M274" s="237"/>
    </row>
    <row r="275" spans="8:8" ht="15.75" customHeight="1">
      <c r="H275" s="237"/>
      <c r="I275" s="237"/>
      <c r="J275" s="237"/>
      <c r="K275" s="237"/>
      <c r="L275" s="237"/>
      <c r="M275" s="237"/>
    </row>
    <row r="276" spans="8:8" ht="15.75" customHeight="1">
      <c r="H276" s="237"/>
      <c r="I276" s="237"/>
      <c r="J276" s="237"/>
      <c r="K276" s="237"/>
      <c r="L276" s="237"/>
      <c r="M276" s="237"/>
    </row>
    <row r="277" spans="8:8" ht="15.75" customHeight="1">
      <c r="H277" s="237"/>
      <c r="I277" s="237"/>
      <c r="J277" s="237"/>
      <c r="K277" s="237"/>
      <c r="L277" s="237"/>
      <c r="M277" s="237"/>
    </row>
    <row r="278" spans="8:8" ht="15.75" customHeight="1">
      <c r="H278" s="237"/>
      <c r="I278" s="237"/>
      <c r="J278" s="237"/>
      <c r="K278" s="237"/>
      <c r="L278" s="237"/>
      <c r="M278" s="237"/>
    </row>
    <row r="279" spans="8:8" ht="15.75" customHeight="1">
      <c r="H279" s="237"/>
      <c r="I279" s="237"/>
      <c r="J279" s="237"/>
      <c r="K279" s="237"/>
      <c r="L279" s="237"/>
      <c r="M279" s="237"/>
    </row>
    <row r="280" spans="8:8" ht="15.75" customHeight="1">
      <c r="H280" s="237"/>
      <c r="I280" s="237"/>
      <c r="J280" s="237"/>
      <c r="K280" s="237"/>
      <c r="L280" s="237"/>
      <c r="M280" s="237"/>
    </row>
    <row r="281" spans="8:8" ht="15.75" customHeight="1">
      <c r="H281" s="237"/>
      <c r="I281" s="237"/>
      <c r="J281" s="237"/>
      <c r="K281" s="237"/>
      <c r="L281" s="237"/>
      <c r="M281" s="237"/>
    </row>
    <row r="282" spans="8:8" ht="15.75" customHeight="1">
      <c r="H282" s="237"/>
      <c r="I282" s="237"/>
      <c r="J282" s="237"/>
      <c r="K282" s="237"/>
      <c r="L282" s="237"/>
      <c r="M282" s="237"/>
    </row>
    <row r="283" spans="8:8" ht="15.75" customHeight="1">
      <c r="H283" s="237"/>
      <c r="I283" s="237"/>
      <c r="J283" s="237"/>
      <c r="K283" s="237"/>
      <c r="L283" s="237"/>
      <c r="M283" s="237"/>
    </row>
    <row r="284" spans="8:8" ht="15.75" customHeight="1">
      <c r="H284" s="237"/>
      <c r="I284" s="237"/>
      <c r="J284" s="237"/>
      <c r="K284" s="237"/>
      <c r="L284" s="237"/>
      <c r="M284" s="237"/>
    </row>
    <row r="285" spans="8:8" ht="15.75" customHeight="1">
      <c r="H285" s="237"/>
      <c r="I285" s="237"/>
      <c r="J285" s="237"/>
      <c r="K285" s="237"/>
      <c r="L285" s="237"/>
      <c r="M285" s="237"/>
    </row>
    <row r="286" spans="8:8" ht="15.75" customHeight="1">
      <c r="H286" s="237"/>
      <c r="I286" s="237"/>
      <c r="J286" s="237"/>
      <c r="K286" s="237"/>
      <c r="L286" s="237"/>
      <c r="M286" s="237"/>
    </row>
    <row r="287" spans="8:8" ht="15.75" customHeight="1">
      <c r="H287" s="237"/>
      <c r="I287" s="237"/>
      <c r="J287" s="237"/>
      <c r="K287" s="237"/>
      <c r="L287" s="237"/>
      <c r="M287" s="237"/>
    </row>
    <row r="288" spans="8:8" ht="15.75" customHeight="1">
      <c r="H288" s="237"/>
      <c r="I288" s="237"/>
      <c r="J288" s="237"/>
      <c r="K288" s="237"/>
      <c r="L288" s="237"/>
      <c r="M288" s="237"/>
    </row>
    <row r="289" spans="8:8" ht="15.75" customHeight="1">
      <c r="H289" s="237"/>
      <c r="I289" s="237"/>
      <c r="J289" s="237"/>
      <c r="K289" s="237"/>
      <c r="L289" s="237"/>
      <c r="M289" s="237"/>
    </row>
    <row r="290" spans="8:8" ht="15.75" customHeight="1">
      <c r="H290" s="237"/>
      <c r="I290" s="237"/>
      <c r="J290" s="237"/>
      <c r="K290" s="237"/>
      <c r="L290" s="237"/>
      <c r="M290" s="237"/>
    </row>
    <row r="291" spans="8:8" ht="15.75" customHeight="1">
      <c r="H291" s="237"/>
      <c r="I291" s="237"/>
      <c r="J291" s="237"/>
      <c r="K291" s="237"/>
      <c r="L291" s="237"/>
      <c r="M291" s="237"/>
    </row>
    <row r="292" spans="8:8" ht="15.75" customHeight="1">
      <c r="H292" s="237"/>
      <c r="I292" s="237"/>
      <c r="J292" s="237"/>
      <c r="K292" s="237"/>
      <c r="L292" s="237"/>
      <c r="M292" s="237"/>
    </row>
    <row r="293" spans="8:8" ht="15.75" customHeight="1">
      <c r="H293" s="237"/>
      <c r="I293" s="237"/>
      <c r="J293" s="237"/>
      <c r="K293" s="237"/>
      <c r="L293" s="237"/>
      <c r="M293" s="237"/>
    </row>
    <row r="294" spans="8:8" ht="15.75" customHeight="1">
      <c r="H294" s="237"/>
      <c r="I294" s="237"/>
      <c r="J294" s="237"/>
      <c r="K294" s="237"/>
      <c r="L294" s="237"/>
      <c r="M294" s="237"/>
    </row>
    <row r="295" spans="8:8" ht="15.75" customHeight="1">
      <c r="H295" s="237"/>
      <c r="I295" s="237"/>
      <c r="J295" s="237"/>
      <c r="K295" s="237"/>
      <c r="L295" s="237"/>
      <c r="M295" s="237"/>
    </row>
    <row r="296" spans="8:8" ht="15.75" customHeight="1">
      <c r="H296" s="237"/>
      <c r="I296" s="237"/>
      <c r="J296" s="237"/>
      <c r="K296" s="237"/>
      <c r="L296" s="237"/>
      <c r="M296" s="237"/>
    </row>
    <row r="297" spans="8:8" ht="15.75" customHeight="1">
      <c r="H297" s="237"/>
      <c r="I297" s="237"/>
      <c r="J297" s="237"/>
      <c r="K297" s="237"/>
      <c r="L297" s="237"/>
      <c r="M297" s="237"/>
    </row>
    <row r="298" spans="8:8" ht="15.75" customHeight="1">
      <c r="H298" s="237"/>
      <c r="I298" s="237"/>
      <c r="J298" s="237"/>
      <c r="K298" s="237"/>
      <c r="L298" s="237"/>
      <c r="M298" s="237"/>
    </row>
    <row r="299" spans="8:8" ht="15.75" customHeight="1">
      <c r="H299" s="237"/>
      <c r="I299" s="237"/>
      <c r="J299" s="237"/>
      <c r="K299" s="237"/>
      <c r="L299" s="237"/>
      <c r="M299" s="237"/>
    </row>
    <row r="300" spans="8:8" ht="15.75" customHeight="1">
      <c r="H300" s="237"/>
      <c r="I300" s="237"/>
      <c r="J300" s="237"/>
      <c r="K300" s="237"/>
      <c r="L300" s="237"/>
      <c r="M300" s="237"/>
    </row>
    <row r="301" spans="8:8" ht="15.75" customHeight="1">
      <c r="H301" s="237"/>
      <c r="I301" s="237"/>
      <c r="J301" s="237"/>
      <c r="K301" s="237"/>
      <c r="L301" s="237"/>
      <c r="M301" s="237"/>
    </row>
    <row r="302" spans="8:8" ht="15.75" customHeight="1">
      <c r="H302" s="237"/>
      <c r="I302" s="237"/>
      <c r="J302" s="237"/>
      <c r="K302" s="237"/>
      <c r="L302" s="237"/>
      <c r="M302" s="237"/>
    </row>
    <row r="303" spans="8:8" ht="15.75" customHeight="1">
      <c r="H303" s="237"/>
      <c r="I303" s="237"/>
      <c r="J303" s="237"/>
      <c r="K303" s="237"/>
      <c r="L303" s="237"/>
      <c r="M303" s="237"/>
    </row>
    <row r="304" spans="8:8" ht="15.75" customHeight="1">
      <c r="H304" s="237"/>
      <c r="I304" s="237"/>
      <c r="J304" s="237"/>
      <c r="K304" s="237"/>
      <c r="L304" s="237"/>
      <c r="M304" s="237"/>
    </row>
    <row r="305" spans="8:8" ht="15.75" customHeight="1">
      <c r="H305" s="237"/>
      <c r="I305" s="237"/>
      <c r="J305" s="237"/>
      <c r="K305" s="237"/>
      <c r="L305" s="237"/>
      <c r="M305" s="237"/>
    </row>
    <row r="306" spans="8:8" ht="15.75" customHeight="1">
      <c r="H306" s="237"/>
      <c r="I306" s="237"/>
      <c r="J306" s="237"/>
      <c r="K306" s="237"/>
      <c r="L306" s="237"/>
      <c r="M306" s="237"/>
    </row>
    <row r="307" spans="8:8" ht="15.75" customHeight="1">
      <c r="H307" s="237"/>
      <c r="I307" s="237"/>
      <c r="J307" s="237"/>
      <c r="K307" s="237"/>
      <c r="L307" s="237"/>
      <c r="M307" s="237"/>
    </row>
    <row r="308" spans="8:8" ht="15.75" customHeight="1">
      <c r="H308" s="237"/>
      <c r="I308" s="237"/>
      <c r="J308" s="237"/>
      <c r="K308" s="237"/>
      <c r="L308" s="237"/>
      <c r="M308" s="237"/>
    </row>
    <row r="309" spans="8:8" ht="15.75" customHeight="1">
      <c r="H309" s="237"/>
      <c r="I309" s="237"/>
      <c r="J309" s="237"/>
      <c r="K309" s="237"/>
      <c r="L309" s="237"/>
      <c r="M309" s="237"/>
    </row>
    <row r="310" spans="8:8" ht="15.75" customHeight="1">
      <c r="H310" s="237"/>
      <c r="I310" s="237"/>
      <c r="J310" s="237"/>
      <c r="K310" s="237"/>
      <c r="L310" s="237"/>
      <c r="M310" s="237"/>
    </row>
    <row r="311" spans="8:8" ht="15.75" customHeight="1">
      <c r="H311" s="237"/>
      <c r="I311" s="237"/>
      <c r="J311" s="237"/>
      <c r="K311" s="237"/>
      <c r="L311" s="237"/>
      <c r="M311" s="237"/>
    </row>
    <row r="312" spans="8:8" ht="15.75" customHeight="1">
      <c r="H312" s="237"/>
      <c r="I312" s="237"/>
      <c r="J312" s="237"/>
      <c r="K312" s="237"/>
      <c r="L312" s="237"/>
      <c r="M312" s="237"/>
    </row>
    <row r="313" spans="8:8" ht="15.75" customHeight="1">
      <c r="H313" s="237"/>
      <c r="I313" s="237"/>
      <c r="J313" s="237"/>
      <c r="K313" s="237"/>
      <c r="L313" s="237"/>
      <c r="M313" s="237"/>
    </row>
    <row r="314" spans="8:8" ht="15.75" customHeight="1">
      <c r="H314" s="237"/>
      <c r="I314" s="237"/>
      <c r="J314" s="237"/>
      <c r="K314" s="237"/>
      <c r="L314" s="237"/>
      <c r="M314" s="237"/>
    </row>
    <row r="315" spans="8:8" ht="15.75" customHeight="1">
      <c r="H315" s="237"/>
      <c r="I315" s="237"/>
      <c r="J315" s="237"/>
      <c r="K315" s="237"/>
      <c r="L315" s="237"/>
      <c r="M315" s="237"/>
    </row>
    <row r="316" spans="8:8" ht="15.75" customHeight="1">
      <c r="H316" s="237"/>
      <c r="I316" s="237"/>
      <c r="J316" s="237"/>
      <c r="K316" s="237"/>
      <c r="L316" s="237"/>
      <c r="M316" s="237"/>
    </row>
    <row r="317" spans="8:8" ht="15.75" customHeight="1">
      <c r="H317" s="237"/>
      <c r="I317" s="237"/>
      <c r="J317" s="237"/>
      <c r="K317" s="237"/>
      <c r="L317" s="237"/>
      <c r="M317" s="237"/>
    </row>
    <row r="318" spans="8:8" ht="15.75" customHeight="1">
      <c r="H318" s="237"/>
      <c r="I318" s="237"/>
      <c r="J318" s="237"/>
      <c r="K318" s="237"/>
      <c r="L318" s="237"/>
      <c r="M318" s="237"/>
    </row>
    <row r="319" spans="8:8" ht="15.75" customHeight="1">
      <c r="H319" s="237"/>
      <c r="I319" s="237"/>
      <c r="J319" s="237"/>
      <c r="K319" s="237"/>
      <c r="L319" s="237"/>
      <c r="M319" s="237"/>
    </row>
    <row r="320" spans="8:8" ht="15.75" customHeight="1">
      <c r="H320" s="237"/>
      <c r="I320" s="237"/>
      <c r="J320" s="237"/>
      <c r="K320" s="237"/>
      <c r="L320" s="237"/>
      <c r="M320" s="237"/>
    </row>
    <row r="321" spans="8:8" ht="15.75" customHeight="1">
      <c r="H321" s="237"/>
      <c r="I321" s="237"/>
      <c r="J321" s="237"/>
      <c r="K321" s="237"/>
      <c r="L321" s="237"/>
      <c r="M321" s="237"/>
    </row>
    <row r="322" spans="8:8" ht="15.75" customHeight="1">
      <c r="H322" s="237"/>
      <c r="I322" s="237"/>
      <c r="J322" s="237"/>
      <c r="K322" s="237"/>
      <c r="L322" s="237"/>
      <c r="M322" s="237"/>
    </row>
    <row r="323" spans="8:8" ht="15.75" customHeight="1">
      <c r="H323" s="237"/>
      <c r="I323" s="237"/>
      <c r="J323" s="237"/>
      <c r="K323" s="237"/>
      <c r="L323" s="237"/>
      <c r="M323" s="237"/>
    </row>
    <row r="324" spans="8:8" ht="15.75" customHeight="1">
      <c r="H324" s="237"/>
      <c r="I324" s="237"/>
      <c r="J324" s="237"/>
      <c r="K324" s="237"/>
      <c r="L324" s="237"/>
      <c r="M324" s="237"/>
    </row>
    <row r="325" spans="8:8" ht="15.75" customHeight="1">
      <c r="H325" s="237"/>
      <c r="I325" s="237"/>
      <c r="J325" s="237"/>
      <c r="K325" s="237"/>
      <c r="L325" s="237"/>
      <c r="M325" s="237"/>
    </row>
    <row r="326" spans="8:8" ht="15.75" customHeight="1">
      <c r="H326" s="237"/>
      <c r="I326" s="237"/>
      <c r="J326" s="237"/>
      <c r="K326" s="237"/>
      <c r="L326" s="237"/>
      <c r="M326" s="237"/>
    </row>
    <row r="327" spans="8:8" ht="15.75" customHeight="1">
      <c r="H327" s="237"/>
      <c r="I327" s="237"/>
      <c r="J327" s="237"/>
      <c r="K327" s="237"/>
      <c r="L327" s="237"/>
      <c r="M327" s="237"/>
    </row>
    <row r="328" spans="8:8" ht="15.75" customHeight="1">
      <c r="H328" s="237"/>
      <c r="I328" s="237"/>
      <c r="J328" s="237"/>
      <c r="K328" s="237"/>
      <c r="L328" s="237"/>
      <c r="M328" s="237"/>
    </row>
    <row r="329" spans="8:8" ht="15.75" customHeight="1">
      <c r="H329" s="237"/>
      <c r="I329" s="237"/>
      <c r="J329" s="237"/>
      <c r="K329" s="237"/>
      <c r="L329" s="237"/>
      <c r="M329" s="237"/>
    </row>
    <row r="330" spans="8:8" ht="15.75" customHeight="1">
      <c r="H330" s="237"/>
      <c r="I330" s="237"/>
      <c r="J330" s="237"/>
      <c r="K330" s="237"/>
      <c r="L330" s="237"/>
      <c r="M330" s="237"/>
    </row>
    <row r="331" spans="8:8" ht="15.75" customHeight="1">
      <c r="H331" s="237"/>
      <c r="I331" s="237"/>
      <c r="J331" s="237"/>
      <c r="K331" s="237"/>
      <c r="L331" s="237"/>
      <c r="M331" s="237"/>
    </row>
    <row r="332" spans="8:8" ht="15.75" customHeight="1">
      <c r="H332" s="237"/>
      <c r="I332" s="237"/>
      <c r="J332" s="237"/>
      <c r="K332" s="237"/>
      <c r="L332" s="237"/>
      <c r="M332" s="237"/>
    </row>
    <row r="333" spans="8:8" ht="15.75" customHeight="1">
      <c r="H333" s="237"/>
      <c r="I333" s="237"/>
      <c r="J333" s="237"/>
      <c r="K333" s="237"/>
      <c r="L333" s="237"/>
      <c r="M333" s="237"/>
    </row>
    <row r="334" spans="8:8" ht="15.75" customHeight="1">
      <c r="H334" s="237"/>
      <c r="I334" s="237"/>
      <c r="J334" s="237"/>
      <c r="K334" s="237"/>
      <c r="L334" s="237"/>
      <c r="M334" s="237"/>
    </row>
    <row r="335" spans="8:8" ht="15.75" customHeight="1">
      <c r="H335" s="237"/>
      <c r="I335" s="237"/>
      <c r="J335" s="237"/>
      <c r="K335" s="237"/>
      <c r="L335" s="237"/>
      <c r="M335" s="237"/>
    </row>
    <row r="336" spans="8:8" ht="15.75" customHeight="1">
      <c r="H336" s="237"/>
      <c r="I336" s="237"/>
      <c r="J336" s="237"/>
      <c r="K336" s="237"/>
      <c r="L336" s="237"/>
      <c r="M336" s="237"/>
    </row>
    <row r="337" spans="8:8" ht="15.75" customHeight="1">
      <c r="H337" s="237"/>
      <c r="I337" s="237"/>
      <c r="J337" s="237"/>
      <c r="K337" s="237"/>
      <c r="L337" s="237"/>
      <c r="M337" s="237"/>
    </row>
    <row r="338" spans="8:8" ht="15.75" customHeight="1">
      <c r="H338" s="237"/>
      <c r="I338" s="237"/>
      <c r="J338" s="237"/>
      <c r="K338" s="237"/>
      <c r="L338" s="237"/>
      <c r="M338" s="237"/>
    </row>
    <row r="339" spans="8:8" ht="15.75" customHeight="1">
      <c r="H339" s="237"/>
      <c r="I339" s="237"/>
      <c r="J339" s="237"/>
      <c r="K339" s="237"/>
      <c r="L339" s="237"/>
      <c r="M339" s="237"/>
    </row>
    <row r="340" spans="8:8" ht="15.75" customHeight="1">
      <c r="H340" s="237"/>
      <c r="I340" s="237"/>
      <c r="J340" s="237"/>
      <c r="K340" s="237"/>
      <c r="L340" s="237"/>
      <c r="M340" s="237"/>
    </row>
    <row r="341" spans="8:8" ht="15.75" customHeight="1">
      <c r="H341" s="237"/>
      <c r="I341" s="237"/>
      <c r="J341" s="237"/>
      <c r="K341" s="237"/>
      <c r="L341" s="237"/>
      <c r="M341" s="237"/>
    </row>
    <row r="342" spans="8:8" ht="15.75" customHeight="1">
      <c r="H342" s="237"/>
      <c r="I342" s="237"/>
      <c r="J342" s="237"/>
      <c r="K342" s="237"/>
      <c r="L342" s="237"/>
      <c r="M342" s="237"/>
    </row>
    <row r="343" spans="8:8" ht="15.75" customHeight="1">
      <c r="H343" s="237"/>
      <c r="I343" s="237"/>
      <c r="J343" s="237"/>
      <c r="K343" s="237"/>
      <c r="L343" s="237"/>
      <c r="M343" s="237"/>
    </row>
    <row r="344" spans="8:8" ht="15.75" customHeight="1">
      <c r="H344" s="237"/>
      <c r="I344" s="237"/>
      <c r="J344" s="237"/>
      <c r="K344" s="237"/>
      <c r="L344" s="237"/>
      <c r="M344" s="237"/>
    </row>
    <row r="345" spans="8:8" ht="15.75" customHeight="1">
      <c r="H345" s="237"/>
      <c r="I345" s="237"/>
      <c r="J345" s="237"/>
      <c r="K345" s="237"/>
      <c r="L345" s="237"/>
      <c r="M345" s="237"/>
    </row>
    <row r="346" spans="8:8" ht="15.75" customHeight="1">
      <c r="H346" s="237"/>
      <c r="I346" s="237"/>
      <c r="J346" s="237"/>
      <c r="K346" s="237"/>
      <c r="L346" s="237"/>
      <c r="M346" s="237"/>
    </row>
    <row r="347" spans="8:8" ht="15.75" customHeight="1">
      <c r="H347" s="237"/>
      <c r="I347" s="237"/>
      <c r="J347" s="237"/>
      <c r="K347" s="237"/>
      <c r="L347" s="237"/>
      <c r="M347" s="237"/>
    </row>
    <row r="348" spans="8:8" ht="15.75" customHeight="1">
      <c r="H348" s="237"/>
      <c r="I348" s="237"/>
      <c r="J348" s="237"/>
      <c r="K348" s="237"/>
      <c r="L348" s="237"/>
      <c r="M348" s="237"/>
    </row>
    <row r="349" spans="8:8" ht="15.75" customHeight="1">
      <c r="H349" s="237"/>
      <c r="I349" s="237"/>
      <c r="J349" s="237"/>
      <c r="K349" s="237"/>
      <c r="L349" s="237"/>
      <c r="M349" s="237"/>
    </row>
    <row r="350" spans="8:8" ht="15.75" customHeight="1">
      <c r="H350" s="237"/>
      <c r="I350" s="237"/>
      <c r="J350" s="237"/>
      <c r="K350" s="237"/>
      <c r="L350" s="237"/>
      <c r="M350" s="237"/>
    </row>
    <row r="351" spans="8:8" ht="15.75" customHeight="1">
      <c r="H351" s="237"/>
      <c r="I351" s="237"/>
      <c r="J351" s="237"/>
      <c r="K351" s="237"/>
      <c r="L351" s="237"/>
      <c r="M351" s="237"/>
    </row>
    <row r="352" spans="8:8" ht="15.75" customHeight="1">
      <c r="H352" s="237"/>
      <c r="I352" s="237"/>
      <c r="J352" s="237"/>
      <c r="K352" s="237"/>
      <c r="L352" s="237"/>
      <c r="M352" s="237"/>
    </row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Yara Elzalama</dc:creator>
  <dcterms:created xsi:type="dcterms:W3CDTF">2026-04-22T10:09:02Z</dcterms:created>
  <dcterms:modified xsi:type="dcterms:W3CDTF">2026-05-07T21:20:55Z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ee1b69f01fef4695ab7a77e716da7507</vt:lpwstr>
  </property>
</Properties>
</file>